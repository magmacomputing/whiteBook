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p696158\Project\"/>
    </mc:Choice>
  </mc:AlternateContent>
  <bookViews>
    <workbookView xWindow="-108" yWindow="-108" windowWidth="23256" windowHeight="12576" tabRatio="760" activeTab="1"/>
  </bookViews>
  <sheets>
    <sheet name="Rcpts" sheetId="1" r:id="rId1"/>
    <sheet name="Paid" sheetId="2" r:id="rId2"/>
    <sheet name="BAS" sheetId="3" r:id="rId3"/>
    <sheet name="Amex" sheetId="4" r:id="rId4"/>
    <sheet name="=1" sheetId="5" r:id="rId5"/>
    <sheet name="Invs" sheetId="6" r:id="rId6"/>
    <sheet name="Custs" sheetId="7" r:id="rId7"/>
    <sheet name="Pivot" sheetId="8" r:id="rId8"/>
    <sheet name="=2" sheetId="9" r:id="rId9"/>
    <sheet name="Totals" sheetId="10" r:id="rId10"/>
    <sheet name="Netbank" sheetId="11" r:id="rId11"/>
    <sheet name="=3" sheetId="12" r:id="rId12"/>
    <sheet name="PAYG" sheetId="13" r:id="rId13"/>
    <sheet name="Emps" sheetId="14" r:id="rId14"/>
    <sheet name="Emps2019" sheetId="17" r:id="rId15"/>
    <sheet name="Expenses" sheetId="15" r:id="rId16"/>
    <sheet name="Tables" sheetId="16" r:id="rId17"/>
  </sheets>
  <functionGroups builtInGroupCount="18"/>
  <definedNames>
    <definedName name="_xlnm._FilterDatabase" localSheetId="13" hidden="1">Emps!$C$21:$C$678</definedName>
    <definedName name="_xlnm._FilterDatabase" localSheetId="14" hidden="1">Emps2019!$C$21:$C$687</definedName>
    <definedName name="_xlnm._FilterDatabase" localSheetId="5" hidden="1">Invs!$A$4:$X$140</definedName>
    <definedName name="_xlnm._FilterDatabase" localSheetId="10" hidden="1">Netbank!#REF!</definedName>
    <definedName name="_xlnm._FilterDatabase" localSheetId="0" hidden="1">Rcpts!$C$1:$C$184</definedName>
    <definedName name="_xlnm._FilterDatabase" localSheetId="16" hidden="1">Tables!$B$1:$C$158</definedName>
    <definedName name="bankDirect">Netbank!$E1048576</definedName>
    <definedName name="basGstNet">BAS!$G$17</definedName>
    <definedName name="basPayG">BAS!$I$17</definedName>
    <definedName name="basTaxMagma">SUM(BAS!$L$17:$L$17)</definedName>
    <definedName name="Customer">Custs!$A$3:$C$51</definedName>
    <definedName name="EmpID" localSheetId="14">Emps2019!$C$1</definedName>
    <definedName name="EmpID">Emps!$C$1</definedName>
    <definedName name="Error" localSheetId="6">BAS!$M$21</definedName>
    <definedName name="InsureRate">Tables!$L$151</definedName>
    <definedName name="InsureRate2">Tables!$L$152</definedName>
    <definedName name="invCustomer">Custs!$A$3:$B$51</definedName>
    <definedName name="invProject">Custs!$A$54:$G$150</definedName>
    <definedName name="PaidApr">Paid!$C$276</definedName>
    <definedName name="PaidAug">Paid!$C$58</definedName>
    <definedName name="PaidDec">Paid!$C$173</definedName>
    <definedName name="PaidFeb">Paid!$C$226</definedName>
    <definedName name="PaidFed">Paid!$C$226</definedName>
    <definedName name="PaidJan">Paid!$C$204</definedName>
    <definedName name="PaidJul">Paid!$C$34</definedName>
    <definedName name="PaidJun">Paid!$C$323</definedName>
    <definedName name="PaidMar">Paid!$C$252</definedName>
    <definedName name="PaidMay">Paid!$C$301</definedName>
    <definedName name="PaidNov">Paid!$C$143</definedName>
    <definedName name="PaidOct">Paid!$C$111</definedName>
    <definedName name="PaidSep">Paid!$C$89</definedName>
    <definedName name="payAllow" localSheetId="14">Emps2019!$U$266:$U$366</definedName>
    <definedName name="payAllow">Emps!$V$269:$V$357</definedName>
    <definedName name="payCapGstQ1">Paid!$G$90</definedName>
    <definedName name="payCapGstQ2">Paid!$G$174</definedName>
    <definedName name="payCapGstQ3">Paid!$G$253</definedName>
    <definedName name="payCapGstQ4">Paid!$G$324</definedName>
    <definedName name="payDay" localSheetId="14">Emps2019!$V$266:$V$366</definedName>
    <definedName name="payDay">Emps!$W$269:$W$357</definedName>
    <definedName name="payDet" localSheetId="14">Emps2019!$U$23:$U$148</definedName>
    <definedName name="payDet">Emps!$V$23:$V$151</definedName>
    <definedName name="payDirRate">Tables!$H$151</definedName>
    <definedName name="payEmpIDs" localSheetId="14">Emps2019!$X$3:$X$12</definedName>
    <definedName name="payEmpIDs">Emps!$Y$3:$Y$12</definedName>
    <definedName name="payEmpNames" localSheetId="14">Emps2019!$X$3:$AA$13</definedName>
    <definedName name="payEmpNames">Emps!$Y$3:$AB$13</definedName>
    <definedName name="payEmpPay" localSheetId="14">Emps2019!$U$152:$U$261</definedName>
    <definedName name="payEmpPay">Emps!$V$155:$V$264</definedName>
    <definedName name="payMgmtRate">Tables!$G$151</definedName>
    <definedName name="payNonGstQ1">Paid!$H$90</definedName>
    <definedName name="payNonGstQ2">Paid!$H$174</definedName>
    <definedName name="payNonGstQ3">Paid!$H$253</definedName>
    <definedName name="payNonGstQ4">Paid!$H$324</definedName>
    <definedName name="payNonMonth" localSheetId="14">Emps2019!$U$371:$U$688</definedName>
    <definedName name="payNonMonth">Emps!$V$362:$V$679</definedName>
    <definedName name="PayRollRate">Tables!$M$151</definedName>
    <definedName name="payTot" localSheetId="14">Emps2019!$A$24:$A$148</definedName>
    <definedName name="payTot">Emps!$A$24:$A$151</definedName>
    <definedName name="Project">Custs!$A$52:$G$150</definedName>
    <definedName name="rcpApr">Rcpts!$J$151</definedName>
    <definedName name="rcpAug">Rcpts!$J$37</definedName>
    <definedName name="rcpDec">Rcpts!$J$95</definedName>
    <definedName name="rcpEarnQ1">SUM(Rcpts!$E$54:$F$54)</definedName>
    <definedName name="rcpEarnQ2">SUM(Rcpts!$E$96:$F$96)</definedName>
    <definedName name="rcpEarnQ3">SUM(Rcpts!$E$138:$F$138)</definedName>
    <definedName name="rcpEarnQ4">SUM(Rcpts!$E$181:$F$181)</definedName>
    <definedName name="rcpFeb">Rcpts!$J$121</definedName>
    <definedName name="rcpGstQ1">Rcpts!$G$54</definedName>
    <definedName name="rcpGstQ2">Rcpts!$G$96</definedName>
    <definedName name="rcpGstQ3">Rcpts!$G$138</definedName>
    <definedName name="rcpGstQ4">Rcpts!$G$181</definedName>
    <definedName name="rcpJan">Rcpts!$J$110</definedName>
    <definedName name="rcpJul">Rcpts!$J$19</definedName>
    <definedName name="rcpJun">Rcpts!$J$180</definedName>
    <definedName name="rcpMar">Rcpts!$J$137</definedName>
    <definedName name="rcpMay">Rcpts!$J$166</definedName>
    <definedName name="rcpNov">Rcpts!$J$82</definedName>
    <definedName name="rcpOct">Rcpts!$J$66</definedName>
    <definedName name="rcpRcptQ1">Rcpts!$H$54</definedName>
    <definedName name="rcpRcptQ2">Rcpts!$H$96</definedName>
    <definedName name="rcpRcptQ3">Rcpts!$H$138</definedName>
    <definedName name="rcpRcptQ4">Rcpts!$H$181</definedName>
    <definedName name="rcpSep">Rcpts!$J$53</definedName>
    <definedName name="tblPayRates">Tables!$A$3:$N$147</definedName>
  </definedNames>
  <calcPr calcId="171027"/>
  <pivotCaches>
    <pivotCache cacheId="0" r:id="rId1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33" i="15" l="1"/>
  <c r="I32" i="15"/>
  <c r="C75" i="2"/>
  <c r="C85" i="2"/>
  <c r="X63" i="17" l="1" a="1"/>
  <c r="AI63" i="17" s="1"/>
  <c r="W63" i="17"/>
  <c r="V63" i="17"/>
  <c r="X62" i="17" a="1"/>
  <c r="AG62" i="17" s="1"/>
  <c r="W62" i="17"/>
  <c r="V62" i="17"/>
  <c r="A62" i="17"/>
  <c r="A63" i="17"/>
  <c r="U63" i="17" l="1"/>
  <c r="U62" i="17"/>
  <c r="Y63" i="17"/>
  <c r="AG63" i="17"/>
  <c r="X62" i="17"/>
  <c r="AF62" i="17"/>
  <c r="Z63" i="17"/>
  <c r="AH63" i="17"/>
  <c r="Z62" i="17"/>
  <c r="AH62" i="17"/>
  <c r="AB63" i="17"/>
  <c r="AA62" i="17"/>
  <c r="AI62" i="17"/>
  <c r="AC63" i="17"/>
  <c r="AB62" i="17"/>
  <c r="AD63" i="17"/>
  <c r="AE63" i="17"/>
  <c r="AD62" i="17"/>
  <c r="X63" i="17"/>
  <c r="AF63" i="17"/>
  <c r="AC62" i="17"/>
  <c r="AE62" i="17"/>
  <c r="Y62" i="17"/>
  <c r="AA63" i="17"/>
  <c r="W55" i="17"/>
  <c r="W54" i="17"/>
  <c r="G51" i="1"/>
  <c r="H51" i="1" s="1"/>
  <c r="J51" i="1" s="1"/>
  <c r="D51" i="1"/>
  <c r="C51" i="1"/>
  <c r="G50" i="1"/>
  <c r="H50" i="1" s="1"/>
  <c r="J50" i="1" s="1"/>
  <c r="D50" i="1"/>
  <c r="C50" i="1"/>
  <c r="D27" i="4" l="1"/>
  <c r="D28" i="4"/>
  <c r="D29" i="4"/>
  <c r="D30" i="4"/>
  <c r="D31" i="4"/>
  <c r="D26" i="4"/>
  <c r="D25" i="4"/>
  <c r="D24" i="4" l="1"/>
  <c r="E24" i="4" s="1"/>
  <c r="E392" i="17"/>
  <c r="E383" i="17"/>
  <c r="E512" i="17"/>
  <c r="E447" i="17"/>
  <c r="E507" i="17" l="1"/>
  <c r="E442" i="17"/>
  <c r="V278" i="17"/>
  <c r="U278" i="17"/>
  <c r="L278" i="17"/>
  <c r="R278" i="17" s="1"/>
  <c r="V277" i="17"/>
  <c r="U277" i="17"/>
  <c r="L277" i="17"/>
  <c r="R277" i="17" s="1"/>
  <c r="V276" i="17"/>
  <c r="U276" i="17"/>
  <c r="L276" i="17"/>
  <c r="R276" i="17" s="1"/>
  <c r="V275" i="17"/>
  <c r="U275" i="17"/>
  <c r="L275" i="17"/>
  <c r="R275" i="17" s="1"/>
  <c r="V274" i="17"/>
  <c r="U274" i="17"/>
  <c r="L274" i="17"/>
  <c r="V273" i="17"/>
  <c r="U273" i="17"/>
  <c r="L273" i="17"/>
  <c r="Q273" i="17" s="1"/>
  <c r="V272" i="17"/>
  <c r="U272" i="17"/>
  <c r="L272" i="17"/>
  <c r="Q272" i="17" s="1"/>
  <c r="S272" i="17" s="1"/>
  <c r="V271" i="17"/>
  <c r="U271" i="17"/>
  <c r="L271" i="17"/>
  <c r="R271" i="17" s="1"/>
  <c r="V270" i="17"/>
  <c r="U270" i="17"/>
  <c r="L270" i="17"/>
  <c r="R270" i="17" s="1"/>
  <c r="V269" i="17"/>
  <c r="U269" i="17"/>
  <c r="L269" i="17"/>
  <c r="R269" i="17" s="1"/>
  <c r="V268" i="17"/>
  <c r="U268" i="17"/>
  <c r="L268" i="17"/>
  <c r="R268" i="17" s="1"/>
  <c r="V267" i="17"/>
  <c r="U267" i="17"/>
  <c r="L267" i="17"/>
  <c r="R267" i="17" s="1"/>
  <c r="U644" i="17"/>
  <c r="U636" i="17"/>
  <c r="U635" i="17"/>
  <c r="E635" i="17"/>
  <c r="U634" i="17"/>
  <c r="U633" i="17"/>
  <c r="U632" i="17"/>
  <c r="E632" i="17"/>
  <c r="U631" i="17"/>
  <c r="U630" i="17"/>
  <c r="U629" i="17"/>
  <c r="E629" i="17"/>
  <c r="U628" i="17"/>
  <c r="U627" i="17"/>
  <c r="U626" i="17"/>
  <c r="E626" i="17"/>
  <c r="U625" i="17"/>
  <c r="U624" i="17"/>
  <c r="U623" i="17"/>
  <c r="E623" i="17"/>
  <c r="U622" i="17"/>
  <c r="U621" i="17"/>
  <c r="U620" i="17"/>
  <c r="E620" i="17"/>
  <c r="U619" i="17"/>
  <c r="U618" i="17"/>
  <c r="U617" i="17"/>
  <c r="E617" i="17"/>
  <c r="U616" i="17"/>
  <c r="U615" i="17"/>
  <c r="U614" i="17"/>
  <c r="E614" i="17"/>
  <c r="U613" i="17"/>
  <c r="U612" i="17"/>
  <c r="U611" i="17"/>
  <c r="E611" i="17"/>
  <c r="U610" i="17"/>
  <c r="U609" i="17"/>
  <c r="U608" i="17"/>
  <c r="E608" i="17"/>
  <c r="U607" i="17"/>
  <c r="U606" i="17"/>
  <c r="U605" i="17"/>
  <c r="E605" i="17"/>
  <c r="U604" i="17"/>
  <c r="U603" i="17"/>
  <c r="U602" i="17"/>
  <c r="E602" i="17"/>
  <c r="U601" i="17"/>
  <c r="U600" i="17"/>
  <c r="U599" i="17"/>
  <c r="E599" i="17"/>
  <c r="U598" i="17"/>
  <c r="U597" i="17"/>
  <c r="U596" i="17"/>
  <c r="E596" i="17"/>
  <c r="U595" i="17"/>
  <c r="U594" i="17"/>
  <c r="U593" i="17"/>
  <c r="E593" i="17"/>
  <c r="U592" i="17"/>
  <c r="U591" i="17"/>
  <c r="U590" i="17"/>
  <c r="E590" i="17"/>
  <c r="U589" i="17"/>
  <c r="U588" i="17"/>
  <c r="U587" i="17"/>
  <c r="E587" i="17"/>
  <c r="U586" i="17"/>
  <c r="U585" i="17"/>
  <c r="U584" i="17"/>
  <c r="E584" i="17"/>
  <c r="U583" i="17"/>
  <c r="U582" i="17"/>
  <c r="U581" i="17"/>
  <c r="E581" i="17"/>
  <c r="U580" i="17"/>
  <c r="U579" i="17"/>
  <c r="U578" i="17"/>
  <c r="E578" i="17"/>
  <c r="U577" i="17"/>
  <c r="U576" i="17"/>
  <c r="U575" i="17"/>
  <c r="E575" i="17"/>
  <c r="U574" i="17"/>
  <c r="U573" i="17"/>
  <c r="U572" i="17"/>
  <c r="E572" i="17"/>
  <c r="U571" i="17"/>
  <c r="U570" i="17"/>
  <c r="U569" i="17"/>
  <c r="E569" i="17"/>
  <c r="U568" i="17"/>
  <c r="U567" i="17"/>
  <c r="U566" i="17"/>
  <c r="E566" i="17"/>
  <c r="U565" i="17"/>
  <c r="U564" i="17"/>
  <c r="U563" i="17"/>
  <c r="E563" i="17"/>
  <c r="U562" i="17"/>
  <c r="U561" i="17"/>
  <c r="E560" i="17"/>
  <c r="E554" i="17"/>
  <c r="E549" i="17"/>
  <c r="E543" i="17"/>
  <c r="E538" i="17"/>
  <c r="E533" i="17"/>
  <c r="E527" i="17"/>
  <c r="E522" i="17"/>
  <c r="E517" i="17"/>
  <c r="E501" i="17"/>
  <c r="U497" i="17"/>
  <c r="E496" i="17"/>
  <c r="E490" i="17"/>
  <c r="E485" i="17"/>
  <c r="E480" i="17"/>
  <c r="E475" i="17"/>
  <c r="E468" i="17"/>
  <c r="E463" i="17"/>
  <c r="E458" i="17"/>
  <c r="E452" i="17"/>
  <c r="E436" i="17"/>
  <c r="U432" i="17"/>
  <c r="U371" i="17"/>
  <c r="C370" i="17"/>
  <c r="C369" i="17"/>
  <c r="V366" i="17"/>
  <c r="U366" i="17"/>
  <c r="L366" i="17"/>
  <c r="Q366" i="17" s="1"/>
  <c r="V365" i="17"/>
  <c r="U365" i="17"/>
  <c r="L365" i="17"/>
  <c r="R365" i="17" s="1"/>
  <c r="V364" i="17"/>
  <c r="U364" i="17"/>
  <c r="L364" i="17"/>
  <c r="Q364" i="17" s="1"/>
  <c r="V363" i="17"/>
  <c r="U363" i="17"/>
  <c r="L363" i="17"/>
  <c r="R363" i="17" s="1"/>
  <c r="V362" i="17"/>
  <c r="U362" i="17"/>
  <c r="L362" i="17"/>
  <c r="Q362" i="17" s="1"/>
  <c r="V361" i="17"/>
  <c r="U361" i="17"/>
  <c r="L361" i="17"/>
  <c r="R361" i="17" s="1"/>
  <c r="V360" i="17"/>
  <c r="U360" i="17"/>
  <c r="L360" i="17"/>
  <c r="Q360" i="17" s="1"/>
  <c r="V359" i="17"/>
  <c r="U359" i="17"/>
  <c r="L359" i="17"/>
  <c r="R359" i="17" s="1"/>
  <c r="V358" i="17"/>
  <c r="U358" i="17"/>
  <c r="L358" i="17"/>
  <c r="Q358" i="17" s="1"/>
  <c r="V357" i="17"/>
  <c r="U357" i="17"/>
  <c r="L357" i="17"/>
  <c r="Q357" i="17" s="1"/>
  <c r="V356" i="17"/>
  <c r="U356" i="17"/>
  <c r="L356" i="17"/>
  <c r="Q356" i="17" s="1"/>
  <c r="V355" i="17"/>
  <c r="U355" i="17"/>
  <c r="L355" i="17"/>
  <c r="Q355" i="17" s="1"/>
  <c r="V354" i="17"/>
  <c r="U354" i="17"/>
  <c r="L354" i="17"/>
  <c r="Q354" i="17" s="1"/>
  <c r="V353" i="17"/>
  <c r="U353" i="17"/>
  <c r="L353" i="17"/>
  <c r="Q353" i="17" s="1"/>
  <c r="V352" i="17"/>
  <c r="U352" i="17"/>
  <c r="L352" i="17"/>
  <c r="Q352" i="17" s="1"/>
  <c r="V351" i="17"/>
  <c r="U351" i="17"/>
  <c r="L351" i="17"/>
  <c r="Q351" i="17" s="1"/>
  <c r="V350" i="17"/>
  <c r="U350" i="17"/>
  <c r="L350" i="17"/>
  <c r="Q350" i="17" s="1"/>
  <c r="V349" i="17"/>
  <c r="U349" i="17"/>
  <c r="L349" i="17"/>
  <c r="Q349" i="17" s="1"/>
  <c r="V348" i="17"/>
  <c r="U348" i="17"/>
  <c r="L348" i="17"/>
  <c r="Q348" i="17" s="1"/>
  <c r="V347" i="17"/>
  <c r="U347" i="17"/>
  <c r="L347" i="17"/>
  <c r="Q347" i="17" s="1"/>
  <c r="V346" i="17"/>
  <c r="U346" i="17"/>
  <c r="L346" i="17"/>
  <c r="Q346" i="17" s="1"/>
  <c r="V345" i="17"/>
  <c r="U345" i="17"/>
  <c r="L345" i="17"/>
  <c r="Q345" i="17" s="1"/>
  <c r="V344" i="17"/>
  <c r="U344" i="17"/>
  <c r="L344" i="17"/>
  <c r="Q344" i="17" s="1"/>
  <c r="V343" i="17"/>
  <c r="U343" i="17"/>
  <c r="L343" i="17"/>
  <c r="Q343" i="17" s="1"/>
  <c r="V342" i="17"/>
  <c r="U342" i="17"/>
  <c r="L342" i="17"/>
  <c r="Q342" i="17" s="1"/>
  <c r="V341" i="17"/>
  <c r="U341" i="17"/>
  <c r="L341" i="17"/>
  <c r="Q341" i="17" s="1"/>
  <c r="V340" i="17"/>
  <c r="U340" i="17"/>
  <c r="L340" i="17"/>
  <c r="Q340" i="17" s="1"/>
  <c r="V339" i="17"/>
  <c r="U339" i="17"/>
  <c r="L339" i="17"/>
  <c r="Q339" i="17" s="1"/>
  <c r="V338" i="17"/>
  <c r="U338" i="17"/>
  <c r="L338" i="17"/>
  <c r="Q338" i="17" s="1"/>
  <c r="V337" i="17"/>
  <c r="U337" i="17"/>
  <c r="L337" i="17"/>
  <c r="Q337" i="17" s="1"/>
  <c r="V336" i="17"/>
  <c r="U336" i="17"/>
  <c r="L336" i="17"/>
  <c r="Q336" i="17" s="1"/>
  <c r="V335" i="17"/>
  <c r="U335" i="17"/>
  <c r="L335" i="17"/>
  <c r="Q335" i="17" s="1"/>
  <c r="V334" i="17"/>
  <c r="U334" i="17"/>
  <c r="L334" i="17"/>
  <c r="Q334" i="17" s="1"/>
  <c r="V333" i="17"/>
  <c r="U333" i="17"/>
  <c r="L333" i="17"/>
  <c r="Q333" i="17" s="1"/>
  <c r="V332" i="17"/>
  <c r="U332" i="17"/>
  <c r="L332" i="17"/>
  <c r="Q332" i="17" s="1"/>
  <c r="V331" i="17"/>
  <c r="U331" i="17"/>
  <c r="L331" i="17"/>
  <c r="Q331" i="17" s="1"/>
  <c r="V330" i="17"/>
  <c r="U330" i="17"/>
  <c r="L330" i="17"/>
  <c r="Q330" i="17" s="1"/>
  <c r="V329" i="17"/>
  <c r="U329" i="17"/>
  <c r="L329" i="17"/>
  <c r="Q329" i="17" s="1"/>
  <c r="V328" i="17"/>
  <c r="U328" i="17"/>
  <c r="L328" i="17"/>
  <c r="Q328" i="17" s="1"/>
  <c r="V327" i="17"/>
  <c r="U327" i="17"/>
  <c r="L327" i="17"/>
  <c r="R327" i="17" s="1"/>
  <c r="V326" i="17"/>
  <c r="U326" i="17"/>
  <c r="L326" i="17"/>
  <c r="Q326" i="17" s="1"/>
  <c r="V325" i="17"/>
  <c r="U325" i="17"/>
  <c r="L325" i="17"/>
  <c r="Q325" i="17" s="1"/>
  <c r="V324" i="17"/>
  <c r="U324" i="17"/>
  <c r="L324" i="17"/>
  <c r="Q324" i="17" s="1"/>
  <c r="V323" i="17"/>
  <c r="U323" i="17"/>
  <c r="L323" i="17"/>
  <c r="R323" i="17" s="1"/>
  <c r="V322" i="17"/>
  <c r="U322" i="17"/>
  <c r="L322" i="17"/>
  <c r="Q322" i="17" s="1"/>
  <c r="V321" i="17"/>
  <c r="U321" i="17"/>
  <c r="L321" i="17"/>
  <c r="Q321" i="17" s="1"/>
  <c r="V320" i="17"/>
  <c r="U320" i="17"/>
  <c r="L320" i="17"/>
  <c r="Q320" i="17" s="1"/>
  <c r="V319" i="17"/>
  <c r="U319" i="17"/>
  <c r="L319" i="17"/>
  <c r="V318" i="17"/>
  <c r="U318" i="17"/>
  <c r="L318" i="17"/>
  <c r="Q318" i="17" s="1"/>
  <c r="V317" i="17"/>
  <c r="U317" i="17"/>
  <c r="L317" i="17"/>
  <c r="Q317" i="17" s="1"/>
  <c r="V316" i="17"/>
  <c r="U316" i="17"/>
  <c r="L316" i="17"/>
  <c r="Q316" i="17" s="1"/>
  <c r="V315" i="17"/>
  <c r="U315" i="17"/>
  <c r="L315" i="17"/>
  <c r="Q315" i="17" s="1"/>
  <c r="V314" i="17"/>
  <c r="U314" i="17"/>
  <c r="L314" i="17"/>
  <c r="Q314" i="17" s="1"/>
  <c r="V313" i="17"/>
  <c r="U313" i="17"/>
  <c r="L313" i="17"/>
  <c r="Q313" i="17" s="1"/>
  <c r="V312" i="17"/>
  <c r="U312" i="17"/>
  <c r="L312" i="17"/>
  <c r="Q312" i="17" s="1"/>
  <c r="V311" i="17"/>
  <c r="U311" i="17"/>
  <c r="L311" i="17"/>
  <c r="Q311" i="17" s="1"/>
  <c r="V310" i="17"/>
  <c r="U310" i="17"/>
  <c r="L310" i="17"/>
  <c r="Q310" i="17" s="1"/>
  <c r="V309" i="17"/>
  <c r="U309" i="17"/>
  <c r="L309" i="17"/>
  <c r="Q309" i="17" s="1"/>
  <c r="V308" i="17"/>
  <c r="U308" i="17"/>
  <c r="L308" i="17"/>
  <c r="Q308" i="17" s="1"/>
  <c r="V307" i="17"/>
  <c r="U307" i="17"/>
  <c r="L307" i="17"/>
  <c r="R307" i="17" s="1"/>
  <c r="V306" i="17"/>
  <c r="U306" i="17"/>
  <c r="L306" i="17"/>
  <c r="Q306" i="17" s="1"/>
  <c r="V305" i="17"/>
  <c r="U305" i="17"/>
  <c r="L305" i="17"/>
  <c r="Q305" i="17" s="1"/>
  <c r="V304" i="17"/>
  <c r="U304" i="17"/>
  <c r="L304" i="17"/>
  <c r="Q304" i="17" s="1"/>
  <c r="V303" i="17"/>
  <c r="U303" i="17"/>
  <c r="L303" i="17"/>
  <c r="Q303" i="17" s="1"/>
  <c r="V302" i="17"/>
  <c r="U302" i="17"/>
  <c r="L302" i="17"/>
  <c r="Q302" i="17" s="1"/>
  <c r="V301" i="17"/>
  <c r="U301" i="17"/>
  <c r="L301" i="17"/>
  <c r="Q301" i="17" s="1"/>
  <c r="V300" i="17"/>
  <c r="U300" i="17"/>
  <c r="L300" i="17"/>
  <c r="Q300" i="17" s="1"/>
  <c r="V299" i="17"/>
  <c r="U299" i="17"/>
  <c r="L299" i="17"/>
  <c r="Q299" i="17" s="1"/>
  <c r="V298" i="17"/>
  <c r="U298" i="17"/>
  <c r="L298" i="17"/>
  <c r="Q298" i="17" s="1"/>
  <c r="V297" i="17"/>
  <c r="U297" i="17"/>
  <c r="L297" i="17"/>
  <c r="Q297" i="17" s="1"/>
  <c r="V296" i="17"/>
  <c r="U296" i="17"/>
  <c r="L296" i="17"/>
  <c r="Q296" i="17" s="1"/>
  <c r="V295" i="17"/>
  <c r="U295" i="17"/>
  <c r="L295" i="17"/>
  <c r="R295" i="17" s="1"/>
  <c r="V294" i="17"/>
  <c r="U294" i="17"/>
  <c r="L294" i="17"/>
  <c r="Q294" i="17" s="1"/>
  <c r="V293" i="17"/>
  <c r="U293" i="17"/>
  <c r="L293" i="17"/>
  <c r="Q293" i="17" s="1"/>
  <c r="V292" i="17"/>
  <c r="U292" i="17"/>
  <c r="L292" i="17"/>
  <c r="Q292" i="17" s="1"/>
  <c r="V291" i="17"/>
  <c r="U291" i="17"/>
  <c r="L291" i="17"/>
  <c r="Q291" i="17" s="1"/>
  <c r="V290" i="17"/>
  <c r="U290" i="17"/>
  <c r="L290" i="17"/>
  <c r="Q290" i="17" s="1"/>
  <c r="V289" i="17"/>
  <c r="U289" i="17"/>
  <c r="L289" i="17"/>
  <c r="Q289" i="17" s="1"/>
  <c r="V288" i="17"/>
  <c r="U288" i="17"/>
  <c r="L288" i="17"/>
  <c r="Q288" i="17" s="1"/>
  <c r="V287" i="17"/>
  <c r="U287" i="17"/>
  <c r="L287" i="17"/>
  <c r="Q287" i="17" s="1"/>
  <c r="V286" i="17"/>
  <c r="U286" i="17"/>
  <c r="L286" i="17"/>
  <c r="Q286" i="17" s="1"/>
  <c r="V285" i="17"/>
  <c r="U285" i="17"/>
  <c r="L285" i="17"/>
  <c r="Q285" i="17" s="1"/>
  <c r="V284" i="17"/>
  <c r="U284" i="17"/>
  <c r="L284" i="17"/>
  <c r="Q284" i="17" s="1"/>
  <c r="V283" i="17"/>
  <c r="U283" i="17"/>
  <c r="L283" i="17"/>
  <c r="Q283" i="17" s="1"/>
  <c r="V282" i="17"/>
  <c r="U282" i="17"/>
  <c r="L282" i="17"/>
  <c r="Q282" i="17" s="1"/>
  <c r="V281" i="17"/>
  <c r="U281" i="17"/>
  <c r="L281" i="17"/>
  <c r="Q281" i="17" s="1"/>
  <c r="V280" i="17"/>
  <c r="U280" i="17"/>
  <c r="L280" i="17"/>
  <c r="Q280" i="17" s="1"/>
  <c r="V279" i="17"/>
  <c r="U279" i="17"/>
  <c r="L279" i="17"/>
  <c r="Q279" i="17" s="1"/>
  <c r="V266" i="17"/>
  <c r="U266" i="17"/>
  <c r="L266" i="17"/>
  <c r="C265" i="17"/>
  <c r="C264" i="17"/>
  <c r="C262" i="17"/>
  <c r="U261" i="17"/>
  <c r="J261" i="17"/>
  <c r="U260" i="17"/>
  <c r="J260" i="17"/>
  <c r="U259" i="17"/>
  <c r="J259" i="17"/>
  <c r="U258" i="17"/>
  <c r="J258" i="17"/>
  <c r="U257" i="17"/>
  <c r="J257" i="17"/>
  <c r="U256" i="17"/>
  <c r="J256" i="17"/>
  <c r="U255" i="17"/>
  <c r="J255" i="17"/>
  <c r="U254" i="17"/>
  <c r="J254" i="17"/>
  <c r="U253" i="17"/>
  <c r="J253" i="17"/>
  <c r="U252" i="17"/>
  <c r="J252" i="17"/>
  <c r="U251" i="17"/>
  <c r="J251" i="17"/>
  <c r="U250" i="17"/>
  <c r="J250" i="17"/>
  <c r="U249" i="17"/>
  <c r="J249" i="17"/>
  <c r="U248" i="17"/>
  <c r="J248" i="17"/>
  <c r="U247" i="17"/>
  <c r="J247" i="17"/>
  <c r="U246" i="17"/>
  <c r="J246" i="17"/>
  <c r="U245" i="17"/>
  <c r="J245" i="17"/>
  <c r="U244" i="17"/>
  <c r="J244" i="17"/>
  <c r="U243" i="17"/>
  <c r="J243" i="17"/>
  <c r="U242" i="17"/>
  <c r="J242" i="17"/>
  <c r="U241" i="17"/>
  <c r="J241" i="17"/>
  <c r="U240" i="17"/>
  <c r="J240" i="17"/>
  <c r="U239" i="17"/>
  <c r="J239" i="17"/>
  <c r="U238" i="17"/>
  <c r="J238" i="17"/>
  <c r="U237" i="17"/>
  <c r="J237" i="17"/>
  <c r="U236" i="17"/>
  <c r="J236" i="17"/>
  <c r="U235" i="17"/>
  <c r="J235" i="17"/>
  <c r="U234" i="17"/>
  <c r="J234" i="17"/>
  <c r="U233" i="17"/>
  <c r="J233" i="17"/>
  <c r="U232" i="17"/>
  <c r="J232" i="17"/>
  <c r="V231" i="17"/>
  <c r="U231" i="17"/>
  <c r="J231" i="17"/>
  <c r="U230" i="17"/>
  <c r="J230" i="17"/>
  <c r="U229" i="17"/>
  <c r="J229" i="17"/>
  <c r="U228" i="17"/>
  <c r="J228" i="17"/>
  <c r="U227" i="17"/>
  <c r="J227" i="17"/>
  <c r="U226" i="17"/>
  <c r="J226" i="17"/>
  <c r="U225" i="17"/>
  <c r="J225" i="17"/>
  <c r="V224" i="17"/>
  <c r="U224" i="17"/>
  <c r="J224" i="17"/>
  <c r="U223" i="17"/>
  <c r="J223" i="17"/>
  <c r="V222" i="17"/>
  <c r="U222" i="17"/>
  <c r="J222" i="17"/>
  <c r="U221" i="17"/>
  <c r="J221" i="17"/>
  <c r="U220" i="17"/>
  <c r="J220" i="17"/>
  <c r="U219" i="17"/>
  <c r="J219" i="17"/>
  <c r="U218" i="17"/>
  <c r="J218" i="17"/>
  <c r="U217" i="17"/>
  <c r="J217" i="17"/>
  <c r="U216" i="17"/>
  <c r="J216" i="17"/>
  <c r="V215" i="17"/>
  <c r="U215" i="17"/>
  <c r="J215" i="17"/>
  <c r="U214" i="17"/>
  <c r="J214" i="17"/>
  <c r="V213" i="17"/>
  <c r="U213" i="17"/>
  <c r="J213" i="17"/>
  <c r="U212" i="17"/>
  <c r="J212" i="17"/>
  <c r="V211" i="17"/>
  <c r="U211" i="17"/>
  <c r="J211" i="17"/>
  <c r="U210" i="17"/>
  <c r="J210" i="17"/>
  <c r="V209" i="17"/>
  <c r="U209" i="17"/>
  <c r="J209" i="17"/>
  <c r="U208" i="17"/>
  <c r="J208" i="17"/>
  <c r="U207" i="17"/>
  <c r="J207" i="17"/>
  <c r="U206" i="17"/>
  <c r="J206" i="17"/>
  <c r="U205" i="17"/>
  <c r="J205" i="17"/>
  <c r="U204" i="17"/>
  <c r="J204" i="17"/>
  <c r="U203" i="17"/>
  <c r="J203" i="17"/>
  <c r="U202" i="17"/>
  <c r="J202" i="17"/>
  <c r="U201" i="17"/>
  <c r="J201" i="17"/>
  <c r="U200" i="17"/>
  <c r="J200" i="17"/>
  <c r="U199" i="17"/>
  <c r="J199" i="17"/>
  <c r="U198" i="17"/>
  <c r="J198" i="17"/>
  <c r="V197" i="17"/>
  <c r="U197" i="17"/>
  <c r="J197" i="17"/>
  <c r="U196" i="17"/>
  <c r="J196" i="17"/>
  <c r="W195" i="17"/>
  <c r="V195" i="17"/>
  <c r="U195" i="17"/>
  <c r="J195" i="17"/>
  <c r="U194" i="17"/>
  <c r="J194" i="17"/>
  <c r="U193" i="17"/>
  <c r="J193" i="17"/>
  <c r="U192" i="17"/>
  <c r="J192" i="17"/>
  <c r="U191" i="17"/>
  <c r="J191" i="17"/>
  <c r="U190" i="17"/>
  <c r="J190" i="17"/>
  <c r="U189" i="17"/>
  <c r="J189" i="17"/>
  <c r="W188" i="17"/>
  <c r="V188" i="17"/>
  <c r="U188" i="17"/>
  <c r="J188" i="17"/>
  <c r="U187" i="17"/>
  <c r="J187" i="17"/>
  <c r="W186" i="17"/>
  <c r="V186" i="17"/>
  <c r="U186" i="17"/>
  <c r="J186" i="17"/>
  <c r="U185" i="17"/>
  <c r="J185" i="17"/>
  <c r="W184" i="17"/>
  <c r="V184" i="17"/>
  <c r="U184" i="17"/>
  <c r="J184" i="17"/>
  <c r="U183" i="17"/>
  <c r="J183" i="17"/>
  <c r="U182" i="17"/>
  <c r="J182" i="17"/>
  <c r="U181" i="17"/>
  <c r="J181" i="17"/>
  <c r="U180" i="17"/>
  <c r="J180" i="17"/>
  <c r="U179" i="17"/>
  <c r="J179" i="17"/>
  <c r="U178" i="17"/>
  <c r="J178" i="17"/>
  <c r="U177" i="17"/>
  <c r="J177" i="17"/>
  <c r="U176" i="17"/>
  <c r="J176" i="17"/>
  <c r="U175" i="17"/>
  <c r="J175" i="17"/>
  <c r="U174" i="17"/>
  <c r="J174" i="17"/>
  <c r="U173" i="17"/>
  <c r="J173" i="17"/>
  <c r="U172" i="17"/>
  <c r="J172" i="17"/>
  <c r="U171" i="17"/>
  <c r="J171" i="17"/>
  <c r="U170" i="17"/>
  <c r="J170" i="17"/>
  <c r="U169" i="17"/>
  <c r="J169" i="17"/>
  <c r="U168" i="17"/>
  <c r="J168" i="17"/>
  <c r="U167" i="17"/>
  <c r="J167" i="17"/>
  <c r="U166" i="17"/>
  <c r="J166" i="17"/>
  <c r="U165" i="17"/>
  <c r="J165" i="17"/>
  <c r="U164" i="17"/>
  <c r="J164" i="17"/>
  <c r="U163" i="17"/>
  <c r="J163" i="17"/>
  <c r="U162" i="17"/>
  <c r="J162" i="17"/>
  <c r="U161" i="17"/>
  <c r="J161" i="17"/>
  <c r="U160" i="17"/>
  <c r="J160" i="17"/>
  <c r="U159" i="17"/>
  <c r="J159" i="17"/>
  <c r="U158" i="17"/>
  <c r="J158" i="17"/>
  <c r="U157" i="17"/>
  <c r="J157" i="17"/>
  <c r="U156" i="17"/>
  <c r="J156" i="17"/>
  <c r="U155" i="17"/>
  <c r="J155" i="17"/>
  <c r="U154" i="17"/>
  <c r="J154" i="17"/>
  <c r="U153" i="17"/>
  <c r="J153" i="17"/>
  <c r="U152" i="17"/>
  <c r="J152" i="17"/>
  <c r="C151" i="17"/>
  <c r="C150" i="17"/>
  <c r="V147" i="17"/>
  <c r="V146" i="17"/>
  <c r="V145" i="17"/>
  <c r="V144" i="17"/>
  <c r="V143" i="17"/>
  <c r="V142" i="17"/>
  <c r="V141" i="17"/>
  <c r="V140" i="17"/>
  <c r="V139" i="17"/>
  <c r="V138" i="17"/>
  <c r="V137" i="17"/>
  <c r="V136" i="17"/>
  <c r="V135" i="17"/>
  <c r="V134" i="17"/>
  <c r="V133" i="17"/>
  <c r="V132" i="17"/>
  <c r="V131" i="17"/>
  <c r="V130" i="17"/>
  <c r="V129" i="17"/>
  <c r="V128" i="17"/>
  <c r="V127" i="17"/>
  <c r="V126" i="17"/>
  <c r="V125" i="17"/>
  <c r="V124" i="17"/>
  <c r="V123" i="17"/>
  <c r="V122" i="17"/>
  <c r="V121" i="17"/>
  <c r="V120" i="17"/>
  <c r="V119" i="17"/>
  <c r="V118" i="17"/>
  <c r="V117" i="17"/>
  <c r="V116" i="17"/>
  <c r="V115" i="17"/>
  <c r="W114" i="17"/>
  <c r="V114" i="17"/>
  <c r="W113" i="17"/>
  <c r="V113" i="17"/>
  <c r="W112" i="17"/>
  <c r="V112" i="17"/>
  <c r="W111" i="17"/>
  <c r="V111" i="17"/>
  <c r="V110" i="17"/>
  <c r="V109" i="17"/>
  <c r="V108" i="17"/>
  <c r="V107" i="17"/>
  <c r="V106" i="17"/>
  <c r="V105" i="17"/>
  <c r="W104" i="17"/>
  <c r="V104" i="17"/>
  <c r="W103" i="17"/>
  <c r="V103" i="17"/>
  <c r="W102" i="17"/>
  <c r="V102" i="17"/>
  <c r="W101" i="17"/>
  <c r="V101" i="17"/>
  <c r="V100" i="17"/>
  <c r="V99" i="17"/>
  <c r="V98" i="17"/>
  <c r="V97" i="17"/>
  <c r="V96" i="17"/>
  <c r="V95" i="17"/>
  <c r="W94" i="17"/>
  <c r="V94" i="17"/>
  <c r="W93" i="17"/>
  <c r="V93" i="17"/>
  <c r="W92" i="17"/>
  <c r="V92" i="17"/>
  <c r="W91" i="17"/>
  <c r="V91" i="17"/>
  <c r="W90" i="17"/>
  <c r="V90" i="17"/>
  <c r="W89" i="17"/>
  <c r="V89" i="17"/>
  <c r="V88" i="17"/>
  <c r="V87" i="17"/>
  <c r="V86" i="17"/>
  <c r="V85" i="17"/>
  <c r="V84" i="17"/>
  <c r="V83" i="17"/>
  <c r="W82" i="17"/>
  <c r="V82" i="17"/>
  <c r="W81" i="17"/>
  <c r="V81" i="17"/>
  <c r="W80" i="17"/>
  <c r="V80" i="17"/>
  <c r="W79" i="17"/>
  <c r="V79" i="17"/>
  <c r="V78" i="17"/>
  <c r="V77" i="17"/>
  <c r="V76" i="17"/>
  <c r="V75" i="17"/>
  <c r="V74" i="17"/>
  <c r="V73" i="17"/>
  <c r="W72" i="17"/>
  <c r="V72" i="17"/>
  <c r="W71" i="17"/>
  <c r="V71" i="17"/>
  <c r="W70" i="17"/>
  <c r="V70" i="17"/>
  <c r="W69" i="17"/>
  <c r="V69" i="17"/>
  <c r="W68" i="17"/>
  <c r="V68" i="17"/>
  <c r="W67" i="17"/>
  <c r="V67" i="17"/>
  <c r="V66" i="17"/>
  <c r="V65" i="17"/>
  <c r="V64" i="17"/>
  <c r="W61" i="17"/>
  <c r="V61" i="17"/>
  <c r="W60" i="17"/>
  <c r="V60" i="17"/>
  <c r="W59" i="17"/>
  <c r="V59" i="17"/>
  <c r="V58" i="17"/>
  <c r="V57" i="17"/>
  <c r="V56" i="17"/>
  <c r="V55" i="17"/>
  <c r="V54" i="17"/>
  <c r="W53" i="17"/>
  <c r="V53" i="17"/>
  <c r="W52" i="17"/>
  <c r="V52" i="17"/>
  <c r="V51" i="17"/>
  <c r="V50" i="17"/>
  <c r="V49" i="17"/>
  <c r="V48" i="17"/>
  <c r="V47" i="17"/>
  <c r="V46" i="17"/>
  <c r="W45" i="17"/>
  <c r="V45" i="17"/>
  <c r="W44" i="17"/>
  <c r="V44" i="17"/>
  <c r="W43" i="17"/>
  <c r="V43" i="17"/>
  <c r="W42" i="17"/>
  <c r="V42" i="17"/>
  <c r="W41" i="17"/>
  <c r="V41" i="17"/>
  <c r="W40" i="17"/>
  <c r="V40" i="17"/>
  <c r="V39" i="17"/>
  <c r="V38" i="17"/>
  <c r="V37" i="17"/>
  <c r="V36" i="17"/>
  <c r="V35" i="17"/>
  <c r="V34" i="17"/>
  <c r="W33" i="17"/>
  <c r="V33" i="17"/>
  <c r="W32" i="17"/>
  <c r="V32" i="17"/>
  <c r="W31" i="17"/>
  <c r="V31" i="17"/>
  <c r="W30" i="17"/>
  <c r="V30" i="17"/>
  <c r="G30" i="17"/>
  <c r="V29" i="17"/>
  <c r="V28" i="17"/>
  <c r="V27" i="17"/>
  <c r="V26" i="17"/>
  <c r="V25" i="17"/>
  <c r="V24" i="17"/>
  <c r="V23" i="17"/>
  <c r="C22" i="17"/>
  <c r="C21" i="17"/>
  <c r="U17" i="17"/>
  <c r="U16" i="17"/>
  <c r="U15" i="17"/>
  <c r="U13" i="17"/>
  <c r="U12" i="17"/>
  <c r="U11" i="17"/>
  <c r="U9" i="17"/>
  <c r="U8" i="17"/>
  <c r="U7" i="17"/>
  <c r="U5" i="17"/>
  <c r="U4" i="17"/>
  <c r="U3" i="17"/>
  <c r="E1" i="17"/>
  <c r="A153" i="17"/>
  <c r="A259" i="17"/>
  <c r="A47" i="17"/>
  <c r="A438" i="17"/>
  <c r="A354" i="17"/>
  <c r="A222" i="17"/>
  <c r="A571" i="17"/>
  <c r="A224" i="17"/>
  <c r="A653" i="17"/>
  <c r="A679" i="17"/>
  <c r="A628" i="17"/>
  <c r="A431" i="17"/>
  <c r="A507" i="17"/>
  <c r="A235" i="17"/>
  <c r="A255" i="17"/>
  <c r="A515" i="17"/>
  <c r="A23" i="17"/>
  <c r="A93" i="17"/>
  <c r="A631" i="17"/>
  <c r="A295" i="17"/>
  <c r="A657" i="17"/>
  <c r="A31" i="17"/>
  <c r="A102" i="17"/>
  <c r="A579" i="17"/>
  <c r="A514" i="17"/>
  <c r="A141" i="17"/>
  <c r="A142" i="17"/>
  <c r="A534" i="17"/>
  <c r="A383" i="17"/>
  <c r="A394" i="17"/>
  <c r="A466" i="17"/>
  <c r="A396" i="17"/>
  <c r="A643" i="17"/>
  <c r="A473" i="17"/>
  <c r="A205" i="17"/>
  <c r="A609" i="17"/>
  <c r="A517" i="17"/>
  <c r="A505" i="17"/>
  <c r="A207" i="17"/>
  <c r="A365" i="17"/>
  <c r="A544" i="17"/>
  <c r="A583" i="17"/>
  <c r="A124" i="17"/>
  <c r="A206" i="17"/>
  <c r="A448" i="17"/>
  <c r="A145" i="17"/>
  <c r="A281" i="17"/>
  <c r="A580" i="17"/>
  <c r="A211" i="17"/>
  <c r="A55" i="17"/>
  <c r="A243" i="17"/>
  <c r="A445" i="17"/>
  <c r="A645" i="17"/>
  <c r="A500" i="17"/>
  <c r="A612" i="17"/>
  <c r="A309" i="17"/>
  <c r="A77" i="17"/>
  <c r="A344" i="17"/>
  <c r="A254" i="17"/>
  <c r="A575" i="17"/>
  <c r="A104" i="17"/>
  <c r="A349" i="17"/>
  <c r="A447" i="17"/>
  <c r="A188" i="17"/>
  <c r="A329" i="17"/>
  <c r="A356" i="17"/>
  <c r="A629" i="17"/>
  <c r="A479" i="17"/>
  <c r="A351" i="17"/>
  <c r="A144" i="17"/>
  <c r="A533" i="17"/>
  <c r="A103" i="17"/>
  <c r="A286" i="17"/>
  <c r="A520" i="17"/>
  <c r="A465" i="17"/>
  <c r="A462" i="17"/>
  <c r="A220" i="17"/>
  <c r="A187" i="17"/>
  <c r="A450" i="17"/>
  <c r="A634" i="17"/>
  <c r="A604" i="17"/>
  <c r="A300" i="17"/>
  <c r="A119" i="17"/>
  <c r="A59" i="17"/>
  <c r="A230" i="17"/>
  <c r="A217" i="17"/>
  <c r="A114" i="17"/>
  <c r="A125" i="17"/>
  <c r="A285" i="17"/>
  <c r="A406" i="17"/>
  <c r="A554" i="17"/>
  <c r="A399" i="17"/>
  <c r="A529" i="17"/>
  <c r="A461" i="17"/>
  <c r="A681" i="17"/>
  <c r="A576" i="17"/>
  <c r="A452" i="17"/>
  <c r="A81" i="17"/>
  <c r="A417" i="17"/>
  <c r="A675" i="17"/>
  <c r="A648" i="17"/>
  <c r="A687" i="17"/>
  <c r="A116" i="17"/>
  <c r="A527" i="17"/>
  <c r="A173" i="17"/>
  <c r="A623" i="17"/>
  <c r="A283" i="17"/>
  <c r="A654" i="17"/>
  <c r="A543" i="17"/>
  <c r="A522" i="17"/>
  <c r="A501" i="17"/>
  <c r="A494" i="17"/>
  <c r="A164" i="17"/>
  <c r="A350" i="17"/>
  <c r="A168" i="17"/>
  <c r="A97" i="17"/>
  <c r="A137" i="17"/>
  <c r="A582" i="17"/>
  <c r="A478" i="17"/>
  <c r="A676" i="17"/>
  <c r="A546" i="17"/>
  <c r="A670" i="17"/>
  <c r="A556" i="17"/>
  <c r="A603" i="17"/>
  <c r="A659" i="17"/>
  <c r="A682" i="17"/>
  <c r="A232" i="17"/>
  <c r="A548" i="17"/>
  <c r="A183" i="17"/>
  <c r="A303" i="17"/>
  <c r="A229" i="17"/>
  <c r="A669" i="17"/>
  <c r="A686" i="17"/>
  <c r="A539" i="17"/>
  <c r="A475" i="17"/>
  <c r="A564" i="17"/>
  <c r="A472" i="17"/>
  <c r="A238" i="17"/>
  <c r="A269" i="17"/>
  <c r="A562" i="17"/>
  <c r="A276" i="17"/>
  <c r="A182" i="17"/>
  <c r="A555" i="17"/>
  <c r="A453" i="17"/>
  <c r="A87" i="17"/>
  <c r="A334" i="17"/>
  <c r="A418" i="17"/>
  <c r="A95" i="17"/>
  <c r="A101" i="17"/>
  <c r="A293" i="17"/>
  <c r="A430" i="17"/>
  <c r="A685" i="17"/>
  <c r="A535" i="17"/>
  <c r="A99" i="17"/>
  <c r="A278" i="17"/>
  <c r="A129" i="17"/>
  <c r="A306" i="17"/>
  <c r="A67" i="17"/>
  <c r="A624" i="17"/>
  <c r="A39" i="17"/>
  <c r="A287" i="17"/>
  <c r="A393" i="17"/>
  <c r="A272" i="17"/>
  <c r="A358" i="17"/>
  <c r="A132" i="17"/>
  <c r="A218" i="17"/>
  <c r="A223" i="17"/>
  <c r="A50" i="17"/>
  <c r="A86" i="17"/>
  <c r="A189" i="17"/>
  <c r="A316" i="17"/>
  <c r="A486" i="17"/>
  <c r="A252" i="17"/>
  <c r="A560" i="17"/>
  <c r="A85" i="17"/>
  <c r="A474" i="17"/>
  <c r="A595" i="17"/>
  <c r="A58" i="17"/>
  <c r="A185" i="17"/>
  <c r="A304" i="17"/>
  <c r="A343" i="17"/>
  <c r="A480" i="17"/>
  <c r="A600" i="17"/>
  <c r="A199" i="17"/>
  <c r="A348" i="17"/>
  <c r="A28" i="17"/>
  <c r="A415" i="17"/>
  <c r="A385" i="17"/>
  <c r="A552" i="17"/>
  <c r="A567" i="17"/>
  <c r="A338" i="17"/>
  <c r="A420" i="17"/>
  <c r="A380" i="17"/>
  <c r="A641" i="17"/>
  <c r="A423" i="17"/>
  <c r="A658" i="17"/>
  <c r="A78" i="17"/>
  <c r="A90" i="17"/>
  <c r="A134" i="17"/>
  <c r="A270" i="17"/>
  <c r="A33" i="17"/>
  <c r="A594" i="17"/>
  <c r="A411" i="17"/>
  <c r="A549" i="17"/>
  <c r="A433" i="17"/>
  <c r="A74" i="17"/>
  <c r="A592" i="17"/>
  <c r="A405" i="17"/>
  <c r="A397" i="17"/>
  <c r="A665" i="17"/>
  <c r="A469" i="17"/>
  <c r="A503" i="17"/>
  <c r="A440" i="17"/>
  <c r="A24" i="17"/>
  <c r="A121" i="17"/>
  <c r="A210" i="17"/>
  <c r="A496" i="17"/>
  <c r="A301" i="17"/>
  <c r="A277" i="17"/>
  <c r="A566" i="17"/>
  <c r="A633" i="17"/>
  <c r="A490" i="17"/>
  <c r="A310" i="17"/>
  <c r="A485" i="17"/>
  <c r="A426" i="17"/>
  <c r="A307" i="17"/>
  <c r="A384" i="17"/>
  <c r="A524" i="17"/>
  <c r="A308" i="17"/>
  <c r="A177" i="17"/>
  <c r="A111" i="17"/>
  <c r="A421" i="17"/>
  <c r="A428" i="17"/>
  <c r="A642" i="17"/>
  <c r="A172" i="17"/>
  <c r="A441" i="17"/>
  <c r="A317" i="17"/>
  <c r="A236" i="17"/>
  <c r="A569" i="17"/>
  <c r="A610" i="17"/>
  <c r="A340" i="17"/>
  <c r="A400" i="17"/>
  <c r="A427" i="17"/>
  <c r="A57" i="17"/>
  <c r="A61" i="17"/>
  <c r="A296" i="17"/>
  <c r="A635" i="17"/>
  <c r="A518" i="17"/>
  <c r="A288" i="17"/>
  <c r="A565" i="17"/>
  <c r="A113" i="17"/>
  <c r="A196" i="17"/>
  <c r="A155" i="17"/>
  <c r="A27" i="17"/>
  <c r="A611" i="17"/>
  <c r="A347" i="17"/>
  <c r="A667" i="17"/>
  <c r="A551" i="17"/>
  <c r="A180" i="17"/>
  <c r="A26" i="17"/>
  <c r="A526" i="17"/>
  <c r="A327" i="17"/>
  <c r="A169" i="17"/>
  <c r="A586" i="17"/>
  <c r="A359" i="17"/>
  <c r="A212" i="17"/>
  <c r="A41" i="17"/>
  <c r="A422" i="17"/>
  <c r="A225" i="17"/>
  <c r="A275" i="17"/>
  <c r="A298" i="17"/>
  <c r="A573" i="17"/>
  <c r="A128" i="17"/>
  <c r="A208" i="17"/>
  <c r="A382" i="17"/>
  <c r="A32" i="17"/>
  <c r="A267" i="17"/>
  <c r="A435" i="17"/>
  <c r="A502" i="17"/>
  <c r="A274" i="17"/>
  <c r="A608" i="17"/>
  <c r="A193" i="17"/>
  <c r="A590" i="17"/>
  <c r="A425" i="17"/>
  <c r="A297" i="17"/>
  <c r="A219" i="17"/>
  <c r="A247" i="17"/>
  <c r="A339" i="17"/>
  <c r="A620" i="17"/>
  <c r="A120" i="17"/>
  <c r="A412" i="17"/>
  <c r="A584" i="17"/>
  <c r="A112" i="17"/>
  <c r="A362" i="17"/>
  <c r="A553" i="17"/>
  <c r="A284" i="17"/>
  <c r="A650" i="17"/>
  <c r="A251" i="17"/>
  <c r="A468" i="17"/>
  <c r="A545" i="17"/>
  <c r="A376" i="17"/>
  <c r="A159" i="17"/>
  <c r="A68" i="17"/>
  <c r="A330" i="17"/>
  <c r="A83" i="17"/>
  <c r="A378" i="17"/>
  <c r="A602" i="17"/>
  <c r="A237" i="17"/>
  <c r="A404" i="17"/>
  <c r="A200" i="17"/>
  <c r="A201" i="17"/>
  <c r="A671" i="17"/>
  <c r="A140" i="17"/>
  <c r="A360" i="17"/>
  <c r="A408" i="17"/>
  <c r="A163" i="17"/>
  <c r="A279" i="17"/>
  <c r="A444" i="17"/>
  <c r="A213" i="17"/>
  <c r="A48" i="17"/>
  <c r="A118" i="17"/>
  <c r="A52" i="17"/>
  <c r="A146" i="17"/>
  <c r="A156" i="17"/>
  <c r="A282" i="17"/>
  <c r="A29" i="17"/>
  <c r="A439" i="17"/>
  <c r="A457" i="17"/>
  <c r="A162" i="17"/>
  <c r="A605" i="17"/>
  <c r="A531" i="17"/>
  <c r="A108" i="17"/>
  <c r="A563" i="17"/>
  <c r="A392" i="17"/>
  <c r="A668" i="17"/>
  <c r="A314" i="17"/>
  <c r="A613" i="17"/>
  <c r="A123" i="17"/>
  <c r="A110" i="17"/>
  <c r="A558" i="17"/>
  <c r="A647" i="17"/>
  <c r="A481" i="17"/>
  <c r="A442" i="17"/>
  <c r="A492" i="17"/>
  <c r="A143" i="17"/>
  <c r="A352" i="17"/>
  <c r="A72" i="17"/>
  <c r="A677" i="17"/>
  <c r="A335" i="17"/>
  <c r="A470" i="17"/>
  <c r="A559" i="17"/>
  <c r="A42" i="17"/>
  <c r="A326" i="17"/>
  <c r="A305" i="17"/>
  <c r="A228" i="17"/>
  <c r="A471" i="17"/>
  <c r="A98" i="17"/>
  <c r="A596" i="17"/>
  <c r="A550" i="17"/>
  <c r="A599" i="17"/>
  <c r="A615" i="17"/>
  <c r="A361" i="17"/>
  <c r="A525" i="17"/>
  <c r="A489" i="17"/>
  <c r="A203" i="17"/>
  <c r="A387" i="17"/>
  <c r="A662" i="17"/>
  <c r="A523" i="17"/>
  <c r="A324" i="17"/>
  <c r="A43" i="17"/>
  <c r="A289" i="17"/>
  <c r="A618" i="17"/>
  <c r="A541" i="17"/>
  <c r="A152" i="17"/>
  <c r="A181" i="17"/>
  <c r="A313" i="17"/>
  <c r="A257" i="17"/>
  <c r="A410" i="17"/>
  <c r="A234" i="17"/>
  <c r="A221" i="17"/>
  <c r="A477" i="17"/>
  <c r="A519" i="17"/>
  <c r="A511" i="17"/>
  <c r="A656" i="17"/>
  <c r="A82" i="17"/>
  <c r="A299" i="17"/>
  <c r="A366" i="17"/>
  <c r="A521" i="17"/>
  <c r="A437" i="17"/>
  <c r="A291" i="17"/>
  <c r="A336" i="17"/>
  <c r="A266" i="17"/>
  <c r="A443" i="17"/>
  <c r="A424" i="17"/>
  <c r="A51" i="17"/>
  <c r="A258" i="17"/>
  <c r="A463" i="17"/>
  <c r="A91" i="17"/>
  <c r="A547" i="17"/>
  <c r="A239" i="17"/>
  <c r="A322" i="17"/>
  <c r="A570" i="17"/>
  <c r="A246" i="17"/>
  <c r="A337" i="17"/>
  <c r="A416" i="17"/>
  <c r="A364" i="17"/>
  <c r="A202" i="17"/>
  <c r="A491" i="17"/>
  <c r="A601" i="17"/>
  <c r="A591" i="17"/>
  <c r="A127" i="17"/>
  <c r="A530" i="17"/>
  <c r="A165" i="17"/>
  <c r="A292" i="17"/>
  <c r="A240" i="17"/>
  <c r="A508" i="17"/>
  <c r="A160" i="17"/>
  <c r="A139" i="17"/>
  <c r="A652" i="17"/>
  <c r="A184" i="17"/>
  <c r="A572" i="17"/>
  <c r="A332" i="17"/>
  <c r="A249" i="17"/>
  <c r="A568" i="17"/>
  <c r="A606" i="17"/>
  <c r="A80" i="17"/>
  <c r="A92" i="17"/>
  <c r="A638" i="17"/>
  <c r="A513" i="17"/>
  <c r="A36" i="17"/>
  <c r="A171" i="17"/>
  <c r="A632" i="17"/>
  <c r="A250" i="17"/>
  <c r="A436" i="17"/>
  <c r="A105" i="17"/>
  <c r="A672" i="17"/>
  <c r="A398" i="17"/>
  <c r="A493" i="17"/>
  <c r="A64" i="17"/>
  <c r="A630" i="17"/>
  <c r="A363" i="17"/>
  <c r="A126" i="17"/>
  <c r="A683" i="17"/>
  <c r="A504" i="17"/>
  <c r="A578" i="17"/>
  <c r="A581" i="17"/>
  <c r="A94" i="17"/>
  <c r="A40" i="17"/>
  <c r="A131" i="17"/>
  <c r="A655" i="17"/>
  <c r="A66" i="17"/>
  <c r="A640" i="17"/>
  <c r="A192" i="17"/>
  <c r="A391" i="17"/>
  <c r="A476" i="17"/>
  <c r="A341" i="17"/>
  <c r="A616" i="17"/>
  <c r="A409" i="17"/>
  <c r="A660" i="17"/>
  <c r="A167" i="17"/>
  <c r="A328" i="17"/>
  <c r="A482" i="17"/>
  <c r="A30" i="17"/>
  <c r="A179" i="17"/>
  <c r="A319" i="17"/>
  <c r="A456" i="17"/>
  <c r="A516" i="17"/>
  <c r="A117" i="17"/>
  <c r="A204" i="17"/>
  <c r="A35" i="17"/>
  <c r="A664" i="17"/>
  <c r="A614" i="17"/>
  <c r="A487" i="17"/>
  <c r="A216" i="17"/>
  <c r="A186" i="17"/>
  <c r="A509" i="17"/>
  <c r="A538" i="17"/>
  <c r="A449" i="17"/>
  <c r="A241" i="17"/>
  <c r="A302" i="17"/>
  <c r="A389" i="17"/>
  <c r="A495" i="17"/>
  <c r="A414" i="17"/>
  <c r="A25" i="17"/>
  <c r="A323" i="17"/>
  <c r="A512" i="17"/>
  <c r="A253" i="17"/>
  <c r="A135" i="17"/>
  <c r="A46" i="17"/>
  <c r="A537" i="17"/>
  <c r="A402" i="17"/>
  <c r="A446" i="17"/>
  <c r="A345" i="17"/>
  <c r="A318" i="17"/>
  <c r="A621" i="17"/>
  <c r="A231" i="17"/>
  <c r="A174" i="17"/>
  <c r="A607" i="17"/>
  <c r="A429" i="17"/>
  <c r="A598" i="17"/>
  <c r="A311" i="17"/>
  <c r="A60" i="17"/>
  <c r="A637" i="17"/>
  <c r="A666" i="17"/>
  <c r="A215" i="17"/>
  <c r="A54" i="17"/>
  <c r="A70" i="17"/>
  <c r="A37" i="17"/>
  <c r="A71" i="17"/>
  <c r="A65" i="17"/>
  <c r="A678" i="17"/>
  <c r="A84" i="17"/>
  <c r="A197" i="17"/>
  <c r="A312" i="17"/>
  <c r="A191" i="17"/>
  <c r="A76" i="17"/>
  <c r="A342" i="17"/>
  <c r="A56" i="17"/>
  <c r="A248" i="17"/>
  <c r="A639" i="17"/>
  <c r="A73" i="17"/>
  <c r="A45" i="17"/>
  <c r="A195" i="17"/>
  <c r="A190" i="17"/>
  <c r="A44" i="17"/>
  <c r="A451" i="17"/>
  <c r="A372" i="17"/>
  <c r="A346" i="17"/>
  <c r="A498" i="17"/>
  <c r="A69" i="17"/>
  <c r="A381" i="17"/>
  <c r="A619" i="17"/>
  <c r="A646" i="17"/>
  <c r="A459" i="17"/>
  <c r="A194" i="17"/>
  <c r="A49" i="17"/>
  <c r="A577" i="17"/>
  <c r="A649" i="17"/>
  <c r="A377" i="17"/>
  <c r="A198" i="17"/>
  <c r="A374" i="17"/>
  <c r="A403" i="17"/>
  <c r="A464" i="17"/>
  <c r="A557" i="17"/>
  <c r="A175" i="17"/>
  <c r="A242" i="17"/>
  <c r="A320" i="17"/>
  <c r="A271" i="17"/>
  <c r="A483" i="17"/>
  <c r="A209" i="17"/>
  <c r="A147" i="17"/>
  <c r="A528" i="17"/>
  <c r="A588" i="17"/>
  <c r="A130" i="17"/>
  <c r="A379" i="17"/>
  <c r="A176" i="17"/>
  <c r="A499" i="17"/>
  <c r="A454" i="17"/>
  <c r="A401" i="17"/>
  <c r="A434" i="17"/>
  <c r="A353" i="17"/>
  <c r="A574" i="17"/>
  <c r="A321" i="17"/>
  <c r="A214" i="17"/>
  <c r="A458" i="17"/>
  <c r="A290" i="17"/>
  <c r="A106" i="17"/>
  <c r="A333" i="17"/>
  <c r="A597" i="17"/>
  <c r="A244" i="17"/>
  <c r="A233" i="17"/>
  <c r="A325" i="17"/>
  <c r="A136" i="17"/>
  <c r="A674" i="17"/>
  <c r="A589" i="17"/>
  <c r="A455" i="17"/>
  <c r="A680" i="17"/>
  <c r="A626" i="17"/>
  <c r="A226" i="17"/>
  <c r="A390" i="17"/>
  <c r="A506" i="17"/>
  <c r="A561" i="17"/>
  <c r="A673" i="17"/>
  <c r="A395" i="17"/>
  <c r="A375" i="17"/>
  <c r="A413" i="17"/>
  <c r="A79" i="17"/>
  <c r="A133" i="17"/>
  <c r="A115" i="17"/>
  <c r="A158" i="17"/>
  <c r="A625" i="17"/>
  <c r="A260" i="17"/>
  <c r="A138" i="17"/>
  <c r="A663" i="17"/>
  <c r="A651" i="17"/>
  <c r="A532" i="17"/>
  <c r="A280" i="17"/>
  <c r="A170" i="17"/>
  <c r="A419" i="17"/>
  <c r="A109" i="17"/>
  <c r="A540" i="17"/>
  <c r="A386" i="17"/>
  <c r="A89" i="17"/>
  <c r="A357" i="17"/>
  <c r="A510" i="17"/>
  <c r="A294" i="17"/>
  <c r="A166" i="17"/>
  <c r="A148" i="17"/>
  <c r="A373" i="17"/>
  <c r="A122" i="17"/>
  <c r="A245" i="17"/>
  <c r="A593" i="17"/>
  <c r="A154" i="17"/>
  <c r="A407" i="17"/>
  <c r="A661" i="17"/>
  <c r="A617" i="17"/>
  <c r="A273" i="17"/>
  <c r="A75" i="17"/>
  <c r="A178" i="17"/>
  <c r="A622" i="17"/>
  <c r="A484" i="17"/>
  <c r="A315" i="17"/>
  <c r="A256" i="17"/>
  <c r="A467" i="17"/>
  <c r="A157" i="17"/>
  <c r="A488" i="17"/>
  <c r="A38" i="17"/>
  <c r="A460" i="17"/>
  <c r="A227" i="17"/>
  <c r="A536" i="17"/>
  <c r="A107" i="17"/>
  <c r="A684" i="17"/>
  <c r="A161" i="17"/>
  <c r="A331" i="17"/>
  <c r="A268" i="17"/>
  <c r="A587" i="17"/>
  <c r="A96" i="17"/>
  <c r="A355" i="17"/>
  <c r="A585" i="17"/>
  <c r="A53" i="17"/>
  <c r="A542" i="17"/>
  <c r="A100" i="17"/>
  <c r="A34" i="17"/>
  <c r="A627" i="17"/>
  <c r="A88" i="17"/>
  <c r="W58" i="17" l="1"/>
  <c r="W50" i="17"/>
  <c r="W49" i="17"/>
  <c r="W48" i="17"/>
  <c r="W51" i="17"/>
  <c r="W34" i="17"/>
  <c r="Q270" i="17"/>
  <c r="S270" i="17" s="1"/>
  <c r="Q363" i="17"/>
  <c r="S363" i="17" s="1"/>
  <c r="R273" i="17"/>
  <c r="Q361" i="17"/>
  <c r="S361" i="17" s="1"/>
  <c r="Q267" i="17"/>
  <c r="S267" i="17" s="1"/>
  <c r="Q359" i="17"/>
  <c r="S359" i="17" s="1"/>
  <c r="Q327" i="17"/>
  <c r="S327" i="17" s="1"/>
  <c r="Q319" i="17"/>
  <c r="S319" i="17" s="1"/>
  <c r="Q295" i="17"/>
  <c r="S295" i="17" s="1"/>
  <c r="Q278" i="17"/>
  <c r="S278" i="17" s="1"/>
  <c r="R272" i="17"/>
  <c r="Q365" i="17"/>
  <c r="S365" i="17" s="1"/>
  <c r="Q276" i="17"/>
  <c r="S276" i="17" s="1"/>
  <c r="Q271" i="17"/>
  <c r="S271" i="17" s="1"/>
  <c r="Q323" i="17"/>
  <c r="S323" i="17" s="1"/>
  <c r="Q307" i="17"/>
  <c r="S307" i="17" s="1"/>
  <c r="Q269" i="17"/>
  <c r="S269" i="17" s="1"/>
  <c r="Q277" i="17"/>
  <c r="S277" i="17" s="1"/>
  <c r="Q275" i="17"/>
  <c r="S275" i="17" s="1"/>
  <c r="Q274" i="17"/>
  <c r="S274" i="17" s="1"/>
  <c r="R274" i="17"/>
  <c r="Q268" i="17"/>
  <c r="S268" i="17" s="1"/>
  <c r="S299" i="17"/>
  <c r="S321" i="17"/>
  <c r="S273" i="17"/>
  <c r="S331" i="17"/>
  <c r="S335" i="17"/>
  <c r="S333" i="17"/>
  <c r="S337" i="17"/>
  <c r="S341" i="17"/>
  <c r="S339" i="17"/>
  <c r="R308" i="17"/>
  <c r="R310" i="17"/>
  <c r="R316" i="17"/>
  <c r="R318" i="17"/>
  <c r="S344" i="17"/>
  <c r="S288" i="17"/>
  <c r="S290" i="17"/>
  <c r="S292" i="17"/>
  <c r="S294" i="17"/>
  <c r="S300" i="17"/>
  <c r="S302" i="17"/>
  <c r="R282" i="17"/>
  <c r="S328" i="17"/>
  <c r="S332" i="17"/>
  <c r="S334" i="17"/>
  <c r="S336" i="17"/>
  <c r="S338" i="17"/>
  <c r="S340" i="17"/>
  <c r="R342" i="17"/>
  <c r="R281" i="17"/>
  <c r="R287" i="17"/>
  <c r="R303" i="17"/>
  <c r="R309" i="17"/>
  <c r="R315" i="17"/>
  <c r="R301" i="17"/>
  <c r="S305" i="17"/>
  <c r="R324" i="17"/>
  <c r="R326" i="17"/>
  <c r="R346" i="17"/>
  <c r="R350" i="17"/>
  <c r="R352" i="17"/>
  <c r="R362" i="17"/>
  <c r="S280" i="17"/>
  <c r="S282" i="17"/>
  <c r="S311" i="17"/>
  <c r="S313" i="17"/>
  <c r="R317" i="17"/>
  <c r="R298" i="17"/>
  <c r="S304" i="17"/>
  <c r="S306" i="17"/>
  <c r="R325" i="17"/>
  <c r="S343" i="17"/>
  <c r="R345" i="17"/>
  <c r="R302" i="17"/>
  <c r="S312" i="17"/>
  <c r="S314" i="17"/>
  <c r="S291" i="17"/>
  <c r="S320" i="17"/>
  <c r="S322" i="17"/>
  <c r="R279" i="17"/>
  <c r="R299" i="17"/>
  <c r="S301" i="17"/>
  <c r="R304" i="17"/>
  <c r="R311" i="17"/>
  <c r="R313" i="17"/>
  <c r="S315" i="17"/>
  <c r="R320" i="17"/>
  <c r="R329" i="17"/>
  <c r="R331" i="17"/>
  <c r="R333" i="17"/>
  <c r="R335" i="17"/>
  <c r="R337" i="17"/>
  <c r="R339" i="17"/>
  <c r="S350" i="17"/>
  <c r="S287" i="17"/>
  <c r="R294" i="17"/>
  <c r="S296" i="17"/>
  <c r="S298" i="17"/>
  <c r="S303" i="17"/>
  <c r="R306" i="17"/>
  <c r="S308" i="17"/>
  <c r="S310" i="17"/>
  <c r="S317" i="17"/>
  <c r="R322" i="17"/>
  <c r="S324" i="17"/>
  <c r="S326" i="17"/>
  <c r="S352" i="17"/>
  <c r="S349" i="17"/>
  <c r="S347" i="17"/>
  <c r="R291" i="17"/>
  <c r="R305" i="17"/>
  <c r="R312" i="17"/>
  <c r="R319" i="17"/>
  <c r="R321" i="17"/>
  <c r="R328" i="17"/>
  <c r="R330" i="17"/>
  <c r="R332" i="17"/>
  <c r="R334" i="17"/>
  <c r="R336" i="17"/>
  <c r="R338" i="17"/>
  <c r="R340" i="17"/>
  <c r="S351" i="17"/>
  <c r="R280" i="17"/>
  <c r="S284" i="17"/>
  <c r="R300" i="17"/>
  <c r="S309" i="17"/>
  <c r="R314" i="17"/>
  <c r="S316" i="17"/>
  <c r="S318" i="17"/>
  <c r="S325" i="17"/>
  <c r="S342" i="17"/>
  <c r="R344" i="17"/>
  <c r="U39" i="17"/>
  <c r="W39" i="17"/>
  <c r="U51" i="17"/>
  <c r="U27" i="17"/>
  <c r="W27" i="17"/>
  <c r="W46" i="17"/>
  <c r="U46" i="17"/>
  <c r="W47" i="17"/>
  <c r="U47" i="17"/>
  <c r="U41" i="17"/>
  <c r="W26" i="17"/>
  <c r="U26" i="17"/>
  <c r="U32" i="17"/>
  <c r="W36" i="17"/>
  <c r="U36" i="17"/>
  <c r="U30" i="17"/>
  <c r="U33" i="17"/>
  <c r="W25" i="17"/>
  <c r="U25" i="17"/>
  <c r="U40" i="17"/>
  <c r="U42" i="17"/>
  <c r="U44" i="17"/>
  <c r="U48" i="17"/>
  <c r="U67" i="17"/>
  <c r="U31" i="17"/>
  <c r="W37" i="17"/>
  <c r="U37" i="17"/>
  <c r="W23" i="17"/>
  <c r="U23" i="17"/>
  <c r="U28" i="17"/>
  <c r="W28" i="17"/>
  <c r="U34" i="17"/>
  <c r="W35" i="17"/>
  <c r="U35" i="17"/>
  <c r="U24" i="17"/>
  <c r="W24" i="17"/>
  <c r="W38" i="17"/>
  <c r="U38" i="17"/>
  <c r="U50" i="17"/>
  <c r="U49" i="17"/>
  <c r="U60" i="17"/>
  <c r="W64" i="17"/>
  <c r="U64" i="17"/>
  <c r="U52" i="17"/>
  <c r="U54" i="17"/>
  <c r="U61" i="17"/>
  <c r="U65" i="17"/>
  <c r="W65" i="17"/>
  <c r="W66" i="17"/>
  <c r="U66" i="17"/>
  <c r="U73" i="17"/>
  <c r="W73" i="17"/>
  <c r="W29" i="17"/>
  <c r="U29" i="17"/>
  <c r="U43" i="17"/>
  <c r="U55" i="17"/>
  <c r="W78" i="17"/>
  <c r="U78" i="17"/>
  <c r="U80" i="17"/>
  <c r="U82" i="17"/>
  <c r="W107" i="17"/>
  <c r="U107" i="17"/>
  <c r="U45" i="17"/>
  <c r="U53" i="17"/>
  <c r="U59" i="17"/>
  <c r="U72" i="17"/>
  <c r="U76" i="17"/>
  <c r="W76" i="17"/>
  <c r="U79" i="17"/>
  <c r="U57" i="17"/>
  <c r="W57" i="17"/>
  <c r="U58" i="17"/>
  <c r="U70" i="17"/>
  <c r="U83" i="17"/>
  <c r="W83" i="17"/>
  <c r="W86" i="17"/>
  <c r="U86" i="17"/>
  <c r="U71" i="17"/>
  <c r="W77" i="17"/>
  <c r="U77" i="17"/>
  <c r="U87" i="17"/>
  <c r="W87" i="17"/>
  <c r="W99" i="17"/>
  <c r="U99" i="17"/>
  <c r="U103" i="17"/>
  <c r="U108" i="17"/>
  <c r="W108" i="17"/>
  <c r="U111" i="17"/>
  <c r="W128" i="17"/>
  <c r="U128" i="17"/>
  <c r="U89" i="17"/>
  <c r="U93" i="17"/>
  <c r="W97" i="17"/>
  <c r="U97" i="17"/>
  <c r="U100" i="17"/>
  <c r="W100" i="17"/>
  <c r="U69" i="17"/>
  <c r="W75" i="17"/>
  <c r="U75" i="17"/>
  <c r="W56" i="17"/>
  <c r="U56" i="17"/>
  <c r="U68" i="17"/>
  <c r="U74" i="17"/>
  <c r="W74" i="17"/>
  <c r="U84" i="17"/>
  <c r="W84" i="17"/>
  <c r="U94" i="17"/>
  <c r="U98" i="17"/>
  <c r="W98" i="17"/>
  <c r="U104" i="17"/>
  <c r="W106" i="17"/>
  <c r="U106" i="17"/>
  <c r="U113" i="17"/>
  <c r="U90" i="17"/>
  <c r="U92" i="17"/>
  <c r="U112" i="17"/>
  <c r="U119" i="17"/>
  <c r="W119" i="17"/>
  <c r="W85" i="17"/>
  <c r="U85" i="17"/>
  <c r="U91" i="17"/>
  <c r="W105" i="17"/>
  <c r="U105" i="17"/>
  <c r="U114" i="17"/>
  <c r="W118" i="17"/>
  <c r="U118" i="17"/>
  <c r="U129" i="17"/>
  <c r="W129" i="17"/>
  <c r="U110" i="17"/>
  <c r="W110" i="17"/>
  <c r="U115" i="17"/>
  <c r="W115" i="17"/>
  <c r="W117" i="17"/>
  <c r="U117" i="17"/>
  <c r="W121" i="17"/>
  <c r="U121" i="17"/>
  <c r="W88" i="17"/>
  <c r="U88" i="17"/>
  <c r="W96" i="17"/>
  <c r="U96" i="17"/>
  <c r="U102" i="17"/>
  <c r="W109" i="17"/>
  <c r="U109" i="17"/>
  <c r="W125" i="17"/>
  <c r="U125" i="17"/>
  <c r="W134" i="17"/>
  <c r="U134" i="17"/>
  <c r="U81" i="17"/>
  <c r="U95" i="17"/>
  <c r="W95" i="17"/>
  <c r="U101" i="17"/>
  <c r="U122" i="17"/>
  <c r="W122" i="17"/>
  <c r="U131" i="17"/>
  <c r="W131" i="17"/>
  <c r="U123" i="17"/>
  <c r="W123" i="17"/>
  <c r="W136" i="17"/>
  <c r="U136" i="17"/>
  <c r="W138" i="17"/>
  <c r="U138" i="17"/>
  <c r="U146" i="17"/>
  <c r="W146" i="17"/>
  <c r="U120" i="17"/>
  <c r="W120" i="17"/>
  <c r="U126" i="17"/>
  <c r="W126" i="17"/>
  <c r="U141" i="17"/>
  <c r="W141" i="17"/>
  <c r="W116" i="17"/>
  <c r="U116" i="17"/>
  <c r="U130" i="17"/>
  <c r="W130" i="17"/>
  <c r="W137" i="17"/>
  <c r="U137" i="17"/>
  <c r="W145" i="17"/>
  <c r="U145" i="17"/>
  <c r="W127" i="17"/>
  <c r="U127" i="17"/>
  <c r="U534" i="17"/>
  <c r="W133" i="17"/>
  <c r="U133" i="17"/>
  <c r="W124" i="17"/>
  <c r="U124" i="17"/>
  <c r="U132" i="17"/>
  <c r="W132" i="17"/>
  <c r="U139" i="17"/>
  <c r="W139" i="17"/>
  <c r="U147" i="17"/>
  <c r="W147" i="17"/>
  <c r="W140" i="17"/>
  <c r="U140" i="17"/>
  <c r="W144" i="17"/>
  <c r="U144" i="17"/>
  <c r="U479" i="17"/>
  <c r="W135" i="17"/>
  <c r="U135" i="17"/>
  <c r="W143" i="17"/>
  <c r="U143" i="17"/>
  <c r="U142" i="17"/>
  <c r="W142" i="17"/>
  <c r="U656" i="17"/>
  <c r="U441" i="17"/>
  <c r="U538" i="17"/>
  <c r="U660" i="17"/>
  <c r="U446" i="17"/>
  <c r="U556" i="17"/>
  <c r="U664" i="17"/>
  <c r="U464" i="17"/>
  <c r="U505" i="17"/>
  <c r="U523" i="17"/>
  <c r="U560" i="17"/>
  <c r="U668" i="17"/>
  <c r="U468" i="17"/>
  <c r="U486" i="17"/>
  <c r="U527" i="17"/>
  <c r="U672" i="17"/>
  <c r="U435" i="17"/>
  <c r="U490" i="17"/>
  <c r="U545" i="17"/>
  <c r="U676" i="17"/>
  <c r="U453" i="17"/>
  <c r="U549" i="17"/>
  <c r="U648" i="17"/>
  <c r="U680" i="17"/>
  <c r="U457" i="17"/>
  <c r="U516" i="17"/>
  <c r="U652" i="17"/>
  <c r="U684" i="17"/>
  <c r="U375" i="17"/>
  <c r="U379" i="17"/>
  <c r="U383" i="17"/>
  <c r="U387" i="17"/>
  <c r="U391" i="17"/>
  <c r="U395" i="17"/>
  <c r="U399" i="17"/>
  <c r="U403" i="17"/>
  <c r="U407" i="17"/>
  <c r="U411" i="17"/>
  <c r="U415" i="17"/>
  <c r="U419" i="17"/>
  <c r="U423" i="17"/>
  <c r="U427" i="17"/>
  <c r="U431" i="17"/>
  <c r="U439" i="17"/>
  <c r="U450" i="17"/>
  <c r="U461" i="17"/>
  <c r="U472" i="17"/>
  <c r="U483" i="17"/>
  <c r="U494" i="17"/>
  <c r="U498" i="17"/>
  <c r="U509" i="17"/>
  <c r="U520" i="17"/>
  <c r="U531" i="17"/>
  <c r="U542" i="17"/>
  <c r="U553" i="17"/>
  <c r="U640" i="17"/>
  <c r="U436" i="17"/>
  <c r="U443" i="17"/>
  <c r="U447" i="17"/>
  <c r="U454" i="17"/>
  <c r="U458" i="17"/>
  <c r="U465" i="17"/>
  <c r="U476" i="17"/>
  <c r="U480" i="17"/>
  <c r="U487" i="17"/>
  <c r="U502" i="17"/>
  <c r="U507" i="17"/>
  <c r="U513" i="17"/>
  <c r="U517" i="17"/>
  <c r="U524" i="17"/>
  <c r="U535" i="17"/>
  <c r="U546" i="17"/>
  <c r="U557" i="17"/>
  <c r="U645" i="17"/>
  <c r="U649" i="17"/>
  <c r="U653" i="17"/>
  <c r="U657" i="17"/>
  <c r="U661" i="17"/>
  <c r="U665" i="17"/>
  <c r="U669" i="17"/>
  <c r="U673" i="17"/>
  <c r="U677" i="17"/>
  <c r="U681" i="17"/>
  <c r="U685" i="17"/>
  <c r="U372" i="17"/>
  <c r="U376" i="17"/>
  <c r="U380" i="17"/>
  <c r="U384" i="17"/>
  <c r="U388" i="17"/>
  <c r="U392" i="17"/>
  <c r="U396" i="17"/>
  <c r="U400" i="17"/>
  <c r="U404" i="17"/>
  <c r="U408" i="17"/>
  <c r="U412" i="17"/>
  <c r="U416" i="17"/>
  <c r="U420" i="17"/>
  <c r="U424" i="17"/>
  <c r="U428" i="17"/>
  <c r="U440" i="17"/>
  <c r="U451" i="17"/>
  <c r="U462" i="17"/>
  <c r="U469" i="17"/>
  <c r="U473" i="17"/>
  <c r="U484" i="17"/>
  <c r="U491" i="17"/>
  <c r="U495" i="17"/>
  <c r="U499" i="17"/>
  <c r="U510" i="17"/>
  <c r="U521" i="17"/>
  <c r="U528" i="17"/>
  <c r="U532" i="17"/>
  <c r="U539" i="17"/>
  <c r="U543" i="17"/>
  <c r="U550" i="17"/>
  <c r="U554" i="17"/>
  <c r="U637" i="17"/>
  <c r="U641" i="17"/>
  <c r="U433" i="17"/>
  <c r="U444" i="17"/>
  <c r="U455" i="17"/>
  <c r="U466" i="17"/>
  <c r="U477" i="17"/>
  <c r="U488" i="17"/>
  <c r="U503" i="17"/>
  <c r="U514" i="17"/>
  <c r="U525" i="17"/>
  <c r="U536" i="17"/>
  <c r="U547" i="17"/>
  <c r="U558" i="17"/>
  <c r="U646" i="17"/>
  <c r="U650" i="17"/>
  <c r="U654" i="17"/>
  <c r="U658" i="17"/>
  <c r="U662" i="17"/>
  <c r="U666" i="17"/>
  <c r="U670" i="17"/>
  <c r="U674" i="17"/>
  <c r="U678" i="17"/>
  <c r="U682" i="17"/>
  <c r="U686" i="17"/>
  <c r="U373" i="17"/>
  <c r="U377" i="17"/>
  <c r="U381" i="17"/>
  <c r="U385" i="17"/>
  <c r="U389" i="17"/>
  <c r="U393" i="17"/>
  <c r="U397" i="17"/>
  <c r="U401" i="17"/>
  <c r="U405" i="17"/>
  <c r="U409" i="17"/>
  <c r="U413" i="17"/>
  <c r="U417" i="17"/>
  <c r="U421" i="17"/>
  <c r="U425" i="17"/>
  <c r="U429" i="17"/>
  <c r="U437" i="17"/>
  <c r="U442" i="17"/>
  <c r="U448" i="17"/>
  <c r="U452" i="17"/>
  <c r="U459" i="17"/>
  <c r="U463" i="17"/>
  <c r="U470" i="17"/>
  <c r="U474" i="17"/>
  <c r="U481" i="17"/>
  <c r="U485" i="17"/>
  <c r="U492" i="17"/>
  <c r="U496" i="17"/>
  <c r="U500" i="17"/>
  <c r="U506" i="17"/>
  <c r="U511" i="17"/>
  <c r="U518" i="17"/>
  <c r="U522" i="17"/>
  <c r="U529" i="17"/>
  <c r="U533" i="17"/>
  <c r="U540" i="17"/>
  <c r="U551" i="17"/>
  <c r="U638" i="17"/>
  <c r="U642" i="17"/>
  <c r="U434" i="17"/>
  <c r="U445" i="17"/>
  <c r="U456" i="17"/>
  <c r="U467" i="17"/>
  <c r="U478" i="17"/>
  <c r="U489" i="17"/>
  <c r="U504" i="17"/>
  <c r="U515" i="17"/>
  <c r="U526" i="17"/>
  <c r="U537" i="17"/>
  <c r="U544" i="17"/>
  <c r="U548" i="17"/>
  <c r="U555" i="17"/>
  <c r="U559" i="17"/>
  <c r="U647" i="17"/>
  <c r="U651" i="17"/>
  <c r="U655" i="17"/>
  <c r="U659" i="17"/>
  <c r="U663" i="17"/>
  <c r="U667" i="17"/>
  <c r="U671" i="17"/>
  <c r="U675" i="17"/>
  <c r="U679" i="17"/>
  <c r="U683" i="17"/>
  <c r="U687" i="17"/>
  <c r="U374" i="17"/>
  <c r="U378" i="17"/>
  <c r="U382" i="17"/>
  <c r="U386" i="17"/>
  <c r="U390" i="17"/>
  <c r="U394" i="17"/>
  <c r="U398" i="17"/>
  <c r="U402" i="17"/>
  <c r="U406" i="17"/>
  <c r="U410" i="17"/>
  <c r="U414" i="17"/>
  <c r="U418" i="17"/>
  <c r="U422" i="17"/>
  <c r="U426" i="17"/>
  <c r="U430" i="17"/>
  <c r="U438" i="17"/>
  <c r="U449" i="17"/>
  <c r="U460" i="17"/>
  <c r="U471" i="17"/>
  <c r="U475" i="17"/>
  <c r="U482" i="17"/>
  <c r="U493" i="17"/>
  <c r="U501" i="17"/>
  <c r="U508" i="17"/>
  <c r="U512" i="17"/>
  <c r="U519" i="17"/>
  <c r="U530" i="17"/>
  <c r="U541" i="17"/>
  <c r="U552" i="17"/>
  <c r="U639" i="17"/>
  <c r="U643" i="17"/>
  <c r="N30" i="17"/>
  <c r="L30" i="17"/>
  <c r="S30" i="17"/>
  <c r="S286" i="17"/>
  <c r="R286" i="17"/>
  <c r="S289" i="17"/>
  <c r="R289" i="17"/>
  <c r="S293" i="17"/>
  <c r="R293" i="17"/>
  <c r="S297" i="17"/>
  <c r="R297" i="17"/>
  <c r="S266" i="17"/>
  <c r="R266" i="17"/>
  <c r="S285" i="17"/>
  <c r="R285" i="17"/>
  <c r="R290" i="17"/>
  <c r="S279" i="17"/>
  <c r="S329" i="17"/>
  <c r="R348" i="17"/>
  <c r="S348" i="17"/>
  <c r="S283" i="17"/>
  <c r="R284" i="17"/>
  <c r="R288" i="17"/>
  <c r="R292" i="17"/>
  <c r="R296" i="17"/>
  <c r="S330" i="17"/>
  <c r="S281" i="17"/>
  <c r="R283" i="17"/>
  <c r="R347" i="17"/>
  <c r="R354" i="17"/>
  <c r="S354" i="17"/>
  <c r="R360" i="17"/>
  <c r="R357" i="17"/>
  <c r="S357" i="17"/>
  <c r="R353" i="17"/>
  <c r="S353" i="17"/>
  <c r="S346" i="17"/>
  <c r="R343" i="17"/>
  <c r="S345" i="17"/>
  <c r="R351" i="17"/>
  <c r="R356" i="17"/>
  <c r="S356" i="17"/>
  <c r="R364" i="17"/>
  <c r="R341" i="17"/>
  <c r="R349" i="17"/>
  <c r="R355" i="17"/>
  <c r="S355" i="17"/>
  <c r="R358" i="17"/>
  <c r="S358" i="17"/>
  <c r="R366" i="17"/>
  <c r="S360" i="17"/>
  <c r="S362" i="17"/>
  <c r="S364" i="17"/>
  <c r="S366" i="17"/>
  <c r="G46" i="1"/>
  <c r="H46" i="1" s="1"/>
  <c r="J46" i="1" s="1"/>
  <c r="D46" i="1"/>
  <c r="C46" i="1"/>
  <c r="G45" i="1"/>
  <c r="H45" i="1" s="1"/>
  <c r="J45" i="1" s="1"/>
  <c r="D45" i="1"/>
  <c r="C45" i="1"/>
  <c r="G44" i="1"/>
  <c r="H44" i="1" s="1"/>
  <c r="J44" i="1" s="1"/>
  <c r="D44" i="1"/>
  <c r="C44" i="1"/>
  <c r="G43" i="1"/>
  <c r="H43" i="1" s="1"/>
  <c r="J43" i="1" s="1"/>
  <c r="D43" i="1"/>
  <c r="C43" i="1"/>
  <c r="G42" i="1"/>
  <c r="H42" i="1" s="1"/>
  <c r="J42" i="1" s="1"/>
  <c r="D42" i="1"/>
  <c r="C42" i="1"/>
  <c r="G34" i="1"/>
  <c r="H34" i="1" s="1"/>
  <c r="J34" i="1" s="1"/>
  <c r="D34" i="1"/>
  <c r="C34" i="1"/>
  <c r="I25" i="15"/>
  <c r="I24" i="15"/>
  <c r="E62" i="17" l="1"/>
  <c r="G62" i="17" s="1"/>
  <c r="E63" i="17"/>
  <c r="E34" i="17"/>
  <c r="E112" i="17"/>
  <c r="G112" i="17" s="1"/>
  <c r="L112" i="17" s="1"/>
  <c r="E94" i="17"/>
  <c r="G94" i="17" s="1"/>
  <c r="S94" i="17" s="1"/>
  <c r="K9" i="17"/>
  <c r="E114" i="17"/>
  <c r="G114" i="17" s="1"/>
  <c r="L114" i="17" s="1"/>
  <c r="E111" i="17"/>
  <c r="G111" i="17" s="1"/>
  <c r="L111" i="17" s="1"/>
  <c r="K17" i="17"/>
  <c r="K15" i="17"/>
  <c r="K13" i="17"/>
  <c r="K16" i="17"/>
  <c r="K12" i="17"/>
  <c r="K11" i="17"/>
  <c r="E60" i="17"/>
  <c r="G60" i="17" s="1"/>
  <c r="S60" i="17" s="1"/>
  <c r="E69" i="17"/>
  <c r="G69" i="17" s="1"/>
  <c r="N69" i="17" s="1"/>
  <c r="E59" i="17"/>
  <c r="G59" i="17" s="1"/>
  <c r="L59" i="17" s="1"/>
  <c r="E72" i="17"/>
  <c r="G72" i="17" s="1"/>
  <c r="L72" i="17" s="1"/>
  <c r="E104" i="17"/>
  <c r="G104" i="17" s="1"/>
  <c r="N104" i="17" s="1"/>
  <c r="E80" i="17"/>
  <c r="G80" i="17" s="1"/>
  <c r="N80" i="17" s="1"/>
  <c r="E79" i="17"/>
  <c r="G79" i="17" s="1"/>
  <c r="L79" i="17" s="1"/>
  <c r="E68" i="17"/>
  <c r="G68" i="17" s="1"/>
  <c r="L68" i="17" s="1"/>
  <c r="E50" i="17"/>
  <c r="G50" i="17" s="1"/>
  <c r="L50" i="17" s="1"/>
  <c r="E42" i="17"/>
  <c r="G42" i="17" s="1"/>
  <c r="S42" i="17" s="1"/>
  <c r="Q9" i="17"/>
  <c r="E31" i="17"/>
  <c r="G31" i="17" s="1"/>
  <c r="P13" i="17"/>
  <c r="E45" i="17"/>
  <c r="G45" i="17" s="1"/>
  <c r="S45" i="17" s="1"/>
  <c r="R15" i="17"/>
  <c r="H13" i="17"/>
  <c r="P12" i="17"/>
  <c r="S15" i="17"/>
  <c r="R12" i="17"/>
  <c r="O13" i="17"/>
  <c r="E12" i="17"/>
  <c r="Q12" i="17"/>
  <c r="M12" i="17"/>
  <c r="S16" i="17"/>
  <c r="I12" i="17"/>
  <c r="H12" i="17"/>
  <c r="Q15" i="17"/>
  <c r="P15" i="17"/>
  <c r="O3" i="17"/>
  <c r="I15" i="17"/>
  <c r="H15" i="17"/>
  <c r="O12" i="17"/>
  <c r="Q16" i="17"/>
  <c r="N16" i="17"/>
  <c r="O5" i="17"/>
  <c r="J15" i="17"/>
  <c r="L12" i="17"/>
  <c r="E133" i="17"/>
  <c r="G133" i="17" s="1"/>
  <c r="E130" i="17"/>
  <c r="G130" i="17" s="1"/>
  <c r="E120" i="17"/>
  <c r="G120" i="17" s="1"/>
  <c r="E123" i="17"/>
  <c r="G123" i="17" s="1"/>
  <c r="E117" i="17"/>
  <c r="G117" i="17" s="1"/>
  <c r="E118" i="17"/>
  <c r="G118" i="17" s="1"/>
  <c r="E98" i="17"/>
  <c r="G98" i="17" s="1"/>
  <c r="E128" i="17"/>
  <c r="G128" i="17" s="1"/>
  <c r="E78" i="17"/>
  <c r="G78" i="17" s="1"/>
  <c r="E36" i="17"/>
  <c r="E47" i="17"/>
  <c r="G47" i="17" s="1"/>
  <c r="J9" i="17"/>
  <c r="E44" i="17"/>
  <c r="G44" i="17" s="1"/>
  <c r="E135" i="17"/>
  <c r="G135" i="17" s="1"/>
  <c r="E139" i="17"/>
  <c r="G139" i="17" s="1"/>
  <c r="E115" i="17"/>
  <c r="G115" i="17" s="1"/>
  <c r="E100" i="17"/>
  <c r="G100" i="17" s="1"/>
  <c r="E55" i="17"/>
  <c r="G55" i="17" s="1"/>
  <c r="E38" i="17"/>
  <c r="M17" i="17"/>
  <c r="M11" i="17"/>
  <c r="Q17" i="17"/>
  <c r="I17" i="17"/>
  <c r="L15" i="17"/>
  <c r="M13" i="17"/>
  <c r="O11" i="17"/>
  <c r="E11" i="17"/>
  <c r="P9" i="17"/>
  <c r="H9" i="17"/>
  <c r="M9" i="17"/>
  <c r="P16" i="17"/>
  <c r="N15" i="17"/>
  <c r="Q11" i="17"/>
  <c r="S9" i="17"/>
  <c r="O7" i="17"/>
  <c r="J17" i="17"/>
  <c r="M15" i="17"/>
  <c r="H11" i="17"/>
  <c r="P17" i="17"/>
  <c r="H17" i="17"/>
  <c r="L13" i="17"/>
  <c r="O9" i="17"/>
  <c r="E9" i="17"/>
  <c r="O17" i="17"/>
  <c r="M16" i="17"/>
  <c r="S13" i="17"/>
  <c r="N17" i="17"/>
  <c r="J16" i="17"/>
  <c r="E15" i="17"/>
  <c r="S11" i="17"/>
  <c r="S17" i="17"/>
  <c r="H16" i="17"/>
  <c r="P11" i="17"/>
  <c r="E17" i="17"/>
  <c r="N11" i="17"/>
  <c r="O4" i="17"/>
  <c r="I13" i="17"/>
  <c r="E16" i="17"/>
  <c r="S12" i="17"/>
  <c r="R9" i="17"/>
  <c r="R13" i="17"/>
  <c r="J13" i="17"/>
  <c r="L11" i="17"/>
  <c r="N9" i="17"/>
  <c r="R16" i="17"/>
  <c r="O15" i="17"/>
  <c r="Q13" i="17"/>
  <c r="I11" i="17"/>
  <c r="R17" i="17"/>
  <c r="J12" i="17"/>
  <c r="O8" i="17"/>
  <c r="L17" i="17"/>
  <c r="R11" i="17"/>
  <c r="J11" i="17"/>
  <c r="L9" i="17"/>
  <c r="O16" i="17"/>
  <c r="N13" i="17"/>
  <c r="I9" i="17"/>
  <c r="E61" i="17"/>
  <c r="G61" i="17" s="1"/>
  <c r="E146" i="17"/>
  <c r="G146" i="17" s="1"/>
  <c r="E131" i="17"/>
  <c r="G131" i="17" s="1"/>
  <c r="E96" i="17"/>
  <c r="G96" i="17" s="1"/>
  <c r="E108" i="17"/>
  <c r="G108" i="17" s="1"/>
  <c r="E77" i="17"/>
  <c r="G77" i="17" s="1"/>
  <c r="E57" i="17"/>
  <c r="G57" i="17" s="1"/>
  <c r="E66" i="17"/>
  <c r="G66" i="17" s="1"/>
  <c r="E64" i="17"/>
  <c r="G64" i="17" s="1"/>
  <c r="E24" i="17"/>
  <c r="E23" i="17"/>
  <c r="G23" i="17" s="1"/>
  <c r="E46" i="17"/>
  <c r="G46" i="17" s="1"/>
  <c r="E58" i="17"/>
  <c r="G58" i="17" s="1"/>
  <c r="E132" i="17"/>
  <c r="G132" i="17" s="1"/>
  <c r="E127" i="17"/>
  <c r="G127" i="17" s="1"/>
  <c r="E116" i="17"/>
  <c r="G116" i="17" s="1"/>
  <c r="E134" i="17"/>
  <c r="G134" i="17" s="1"/>
  <c r="E110" i="17"/>
  <c r="G110" i="17" s="1"/>
  <c r="E105" i="17"/>
  <c r="G105" i="17" s="1"/>
  <c r="E84" i="17"/>
  <c r="G84" i="17" s="1"/>
  <c r="E56" i="17"/>
  <c r="G56" i="17" s="1"/>
  <c r="E65" i="17"/>
  <c r="G65" i="17" s="1"/>
  <c r="E26" i="17"/>
  <c r="G26" i="17" s="1"/>
  <c r="E27" i="17"/>
  <c r="G27" i="17" s="1"/>
  <c r="E142" i="17"/>
  <c r="G142" i="17" s="1"/>
  <c r="E144" i="17"/>
  <c r="G144" i="17" s="1"/>
  <c r="E141" i="17"/>
  <c r="G141" i="17" s="1"/>
  <c r="E122" i="17"/>
  <c r="G122" i="17" s="1"/>
  <c r="E88" i="17"/>
  <c r="G88" i="17" s="1"/>
  <c r="E97" i="17"/>
  <c r="G97" i="17" s="1"/>
  <c r="E107" i="17"/>
  <c r="G107" i="17" s="1"/>
  <c r="E37" i="17"/>
  <c r="E25" i="17"/>
  <c r="L16" i="17"/>
  <c r="E40" i="17"/>
  <c r="G40" i="17" s="1"/>
  <c r="I16" i="17"/>
  <c r="E49" i="17"/>
  <c r="G49" i="17" s="1"/>
  <c r="E145" i="17"/>
  <c r="G145" i="17" s="1"/>
  <c r="E138" i="17"/>
  <c r="G138" i="17" s="1"/>
  <c r="E125" i="17"/>
  <c r="G125" i="17" s="1"/>
  <c r="E129" i="17"/>
  <c r="G129" i="17" s="1"/>
  <c r="E74" i="17"/>
  <c r="G74" i="17" s="1"/>
  <c r="E75" i="17"/>
  <c r="G75" i="17" s="1"/>
  <c r="E86" i="17"/>
  <c r="G86" i="17" s="1"/>
  <c r="E76" i="17"/>
  <c r="G76" i="17" s="1"/>
  <c r="E35" i="17"/>
  <c r="G35" i="17" s="1"/>
  <c r="E140" i="17"/>
  <c r="G140" i="17" s="1"/>
  <c r="E124" i="17"/>
  <c r="G124" i="17" s="1"/>
  <c r="E126" i="17"/>
  <c r="G126" i="17" s="1"/>
  <c r="E121" i="17"/>
  <c r="G121" i="17" s="1"/>
  <c r="E85" i="17"/>
  <c r="G85" i="17" s="1"/>
  <c r="E106" i="17"/>
  <c r="G106" i="17" s="1"/>
  <c r="E99" i="17"/>
  <c r="G99" i="17" s="1"/>
  <c r="E83" i="17"/>
  <c r="G83" i="17" s="1"/>
  <c r="E29" i="17"/>
  <c r="G29" i="17" s="1"/>
  <c r="E39" i="17"/>
  <c r="E13" i="17"/>
  <c r="E102" i="17"/>
  <c r="G102" i="17" s="1"/>
  <c r="E82" i="17"/>
  <c r="G82" i="17" s="1"/>
  <c r="E103" i="17"/>
  <c r="G103" i="17" s="1"/>
  <c r="E89" i="17"/>
  <c r="G89" i="17" s="1"/>
  <c r="E92" i="17"/>
  <c r="G92" i="17" s="1"/>
  <c r="E101" i="17"/>
  <c r="G101" i="17" s="1"/>
  <c r="E113" i="17"/>
  <c r="G113" i="17" s="1"/>
  <c r="E91" i="17"/>
  <c r="G91" i="17" s="1"/>
  <c r="E90" i="17"/>
  <c r="G90" i="17" s="1"/>
  <c r="E93" i="17"/>
  <c r="G93" i="17" s="1"/>
  <c r="E70" i="17"/>
  <c r="G70" i="17" s="1"/>
  <c r="E81" i="17"/>
  <c r="G81" i="17" s="1"/>
  <c r="E67" i="17"/>
  <c r="G67" i="17" s="1"/>
  <c r="E71" i="17"/>
  <c r="G71" i="17" s="1"/>
  <c r="E32" i="17"/>
  <c r="G32" i="17" s="1"/>
  <c r="E53" i="17"/>
  <c r="G53" i="17" s="1"/>
  <c r="E48" i="17"/>
  <c r="G48" i="17" s="1"/>
  <c r="E43" i="17"/>
  <c r="E41" i="17"/>
  <c r="G41" i="17" s="1"/>
  <c r="E52" i="17"/>
  <c r="G52" i="17" s="1"/>
  <c r="E33" i="17"/>
  <c r="G33" i="17" s="1"/>
  <c r="E51" i="17"/>
  <c r="G51" i="17" s="1"/>
  <c r="E143" i="17"/>
  <c r="G143" i="17" s="1"/>
  <c r="E147" i="17"/>
  <c r="G147" i="17" s="1"/>
  <c r="E137" i="17"/>
  <c r="G137" i="17" s="1"/>
  <c r="E136" i="17"/>
  <c r="G136" i="17" s="1"/>
  <c r="E95" i="17"/>
  <c r="G95" i="17" s="1"/>
  <c r="E109" i="17"/>
  <c r="G109" i="17" s="1"/>
  <c r="E119" i="17"/>
  <c r="G119" i="17" s="1"/>
  <c r="E87" i="17"/>
  <c r="G87" i="17" s="1"/>
  <c r="E73" i="17"/>
  <c r="G73" i="17" s="1"/>
  <c r="E54" i="17"/>
  <c r="G54" i="17" s="1"/>
  <c r="E28" i="17"/>
  <c r="G30" i="1"/>
  <c r="H30" i="1" s="1"/>
  <c r="J30" i="1" s="1"/>
  <c r="D30" i="1"/>
  <c r="C30" i="1"/>
  <c r="G29" i="1"/>
  <c r="H29" i="1" s="1"/>
  <c r="J29" i="1" s="1"/>
  <c r="D29" i="1"/>
  <c r="C29" i="1"/>
  <c r="G32" i="1"/>
  <c r="H32" i="1" s="1"/>
  <c r="J32" i="1" s="1"/>
  <c r="D32" i="1"/>
  <c r="C32" i="1"/>
  <c r="G31" i="1"/>
  <c r="H31" i="1" s="1"/>
  <c r="J31" i="1" s="1"/>
  <c r="D31" i="1"/>
  <c r="C31" i="1"/>
  <c r="C53" i="2"/>
  <c r="C52" i="2"/>
  <c r="C51" i="2"/>
  <c r="C50" i="2"/>
  <c r="C56" i="2"/>
  <c r="C55" i="2"/>
  <c r="C54" i="2"/>
  <c r="H62" i="17" l="1"/>
  <c r="I62" i="17" s="1"/>
  <c r="J62" i="17"/>
  <c r="K62" i="17" s="1"/>
  <c r="G63" i="17"/>
  <c r="J63" i="17"/>
  <c r="H63" i="17"/>
  <c r="I63" i="17" s="1"/>
  <c r="S62" i="17"/>
  <c r="L62" i="17"/>
  <c r="N62" i="17"/>
  <c r="E8" i="17"/>
  <c r="N114" i="17"/>
  <c r="S114" i="17"/>
  <c r="E7" i="17"/>
  <c r="L94" i="17"/>
  <c r="N112" i="17"/>
  <c r="S112" i="17"/>
  <c r="N111" i="17"/>
  <c r="L80" i="17"/>
  <c r="S111" i="17"/>
  <c r="S80" i="17"/>
  <c r="N94" i="17"/>
  <c r="N60" i="17"/>
  <c r="L60" i="17"/>
  <c r="S69" i="17"/>
  <c r="L69" i="17"/>
  <c r="S59" i="17"/>
  <c r="L42" i="17"/>
  <c r="N59" i="17"/>
  <c r="N50" i="17"/>
  <c r="S50" i="17"/>
  <c r="S104" i="17"/>
  <c r="N72" i="17"/>
  <c r="S72" i="17"/>
  <c r="K14" i="17"/>
  <c r="K18" i="17"/>
  <c r="Q18" i="17"/>
  <c r="N79" i="17"/>
  <c r="P18" i="17"/>
  <c r="S79" i="17"/>
  <c r="H14" i="17"/>
  <c r="J18" i="17"/>
  <c r="S68" i="17"/>
  <c r="N68" i="17"/>
  <c r="L45" i="17"/>
  <c r="N45" i="17"/>
  <c r="O14" i="17"/>
  <c r="E5" i="17"/>
  <c r="H18" i="17"/>
  <c r="L14" i="17"/>
  <c r="N42" i="17"/>
  <c r="L104" i="17"/>
  <c r="S18" i="17"/>
  <c r="P14" i="17"/>
  <c r="O6" i="17"/>
  <c r="I18" i="17"/>
  <c r="R18" i="17"/>
  <c r="M18" i="17"/>
  <c r="O18" i="17"/>
  <c r="R14" i="17"/>
  <c r="I14" i="17"/>
  <c r="N18" i="17"/>
  <c r="L113" i="17"/>
  <c r="S113" i="17"/>
  <c r="N113" i="17"/>
  <c r="S109" i="17"/>
  <c r="L109" i="17"/>
  <c r="N109" i="17"/>
  <c r="S52" i="17"/>
  <c r="L52" i="17"/>
  <c r="N52" i="17"/>
  <c r="N67" i="17"/>
  <c r="L67" i="17"/>
  <c r="S67" i="17"/>
  <c r="N92" i="17"/>
  <c r="S92" i="17"/>
  <c r="L92" i="17"/>
  <c r="N29" i="17"/>
  <c r="L29" i="17"/>
  <c r="S29" i="17"/>
  <c r="S140" i="17"/>
  <c r="N140" i="17"/>
  <c r="L140" i="17"/>
  <c r="L74" i="17"/>
  <c r="S74" i="17"/>
  <c r="N74" i="17"/>
  <c r="N107" i="17"/>
  <c r="S107" i="17"/>
  <c r="L107" i="17"/>
  <c r="N110" i="17"/>
  <c r="S110" i="17"/>
  <c r="L110" i="17"/>
  <c r="L64" i="17"/>
  <c r="N64" i="17"/>
  <c r="S64" i="17"/>
  <c r="N61" i="17"/>
  <c r="L61" i="17"/>
  <c r="S61" i="17"/>
  <c r="Q14" i="17"/>
  <c r="S115" i="17"/>
  <c r="N115" i="17"/>
  <c r="L115" i="17"/>
  <c r="G36" i="17"/>
  <c r="S123" i="17"/>
  <c r="N123" i="17"/>
  <c r="L123" i="17"/>
  <c r="L95" i="17"/>
  <c r="N95" i="17"/>
  <c r="S95" i="17"/>
  <c r="L41" i="17"/>
  <c r="S41" i="17"/>
  <c r="N41" i="17"/>
  <c r="N81" i="17"/>
  <c r="L81" i="17"/>
  <c r="S81" i="17"/>
  <c r="L89" i="17"/>
  <c r="S89" i="17"/>
  <c r="N89" i="17"/>
  <c r="L83" i="17"/>
  <c r="S83" i="17"/>
  <c r="N83" i="17"/>
  <c r="L129" i="17"/>
  <c r="N129" i="17"/>
  <c r="S129" i="17"/>
  <c r="S40" i="17"/>
  <c r="L40" i="17"/>
  <c r="N40" i="17"/>
  <c r="L97" i="17"/>
  <c r="N97" i="17"/>
  <c r="S97" i="17"/>
  <c r="S134" i="17"/>
  <c r="L134" i="17"/>
  <c r="N134" i="17"/>
  <c r="L66" i="17"/>
  <c r="S66" i="17"/>
  <c r="N66" i="17"/>
  <c r="N14" i="17"/>
  <c r="S139" i="17"/>
  <c r="L139" i="17"/>
  <c r="N139" i="17"/>
  <c r="S78" i="17"/>
  <c r="N78" i="17"/>
  <c r="L78" i="17"/>
  <c r="S120" i="17"/>
  <c r="N120" i="17"/>
  <c r="L120" i="17"/>
  <c r="N147" i="17"/>
  <c r="S147" i="17"/>
  <c r="L147" i="17"/>
  <c r="L136" i="17"/>
  <c r="S136" i="17"/>
  <c r="N136" i="17"/>
  <c r="G43" i="17"/>
  <c r="L70" i="17"/>
  <c r="S70" i="17"/>
  <c r="N70" i="17"/>
  <c r="L103" i="17"/>
  <c r="S103" i="17"/>
  <c r="N103" i="17"/>
  <c r="L99" i="17"/>
  <c r="S99" i="17"/>
  <c r="N99" i="17"/>
  <c r="N125" i="17"/>
  <c r="S125" i="17"/>
  <c r="L125" i="17"/>
  <c r="S88" i="17"/>
  <c r="L88" i="17"/>
  <c r="N88" i="17"/>
  <c r="L27" i="17"/>
  <c r="N27" i="17"/>
  <c r="S27" i="17"/>
  <c r="L116" i="17"/>
  <c r="S116" i="17"/>
  <c r="N116" i="17"/>
  <c r="S57" i="17"/>
  <c r="L57" i="17"/>
  <c r="N57" i="17"/>
  <c r="L135" i="17"/>
  <c r="S135" i="17"/>
  <c r="N135" i="17"/>
  <c r="L128" i="17"/>
  <c r="N128" i="17"/>
  <c r="S128" i="17"/>
  <c r="L130" i="17"/>
  <c r="N130" i="17"/>
  <c r="S130" i="17"/>
  <c r="E3" i="17"/>
  <c r="G28" i="17"/>
  <c r="N137" i="17"/>
  <c r="S137" i="17"/>
  <c r="L137" i="17"/>
  <c r="N48" i="17"/>
  <c r="L48" i="17"/>
  <c r="S48" i="17"/>
  <c r="L93" i="17"/>
  <c r="N93" i="17"/>
  <c r="S93" i="17"/>
  <c r="S82" i="17"/>
  <c r="L82" i="17"/>
  <c r="N82" i="17"/>
  <c r="N106" i="17"/>
  <c r="L106" i="17"/>
  <c r="S106" i="17"/>
  <c r="L138" i="17"/>
  <c r="N138" i="17"/>
  <c r="S138" i="17"/>
  <c r="N122" i="17"/>
  <c r="L122" i="17"/>
  <c r="S122" i="17"/>
  <c r="L26" i="17"/>
  <c r="S26" i="17"/>
  <c r="N26" i="17"/>
  <c r="S127" i="17"/>
  <c r="L127" i="17"/>
  <c r="N127" i="17"/>
  <c r="S77" i="17"/>
  <c r="N77" i="17"/>
  <c r="L77" i="17"/>
  <c r="J14" i="17"/>
  <c r="M14" i="17"/>
  <c r="L44" i="17"/>
  <c r="S44" i="17"/>
  <c r="N44" i="17"/>
  <c r="L133" i="17"/>
  <c r="S133" i="17"/>
  <c r="N133" i="17"/>
  <c r="N53" i="17"/>
  <c r="S53" i="17"/>
  <c r="L53" i="17"/>
  <c r="S102" i="17"/>
  <c r="L102" i="17"/>
  <c r="N102" i="17"/>
  <c r="L145" i="17"/>
  <c r="S145" i="17"/>
  <c r="N145" i="17"/>
  <c r="L141" i="17"/>
  <c r="S141" i="17"/>
  <c r="N141" i="17"/>
  <c r="N65" i="17"/>
  <c r="L65" i="17"/>
  <c r="S65" i="17"/>
  <c r="L132" i="17"/>
  <c r="S132" i="17"/>
  <c r="N132" i="17"/>
  <c r="L108" i="17"/>
  <c r="N108" i="17"/>
  <c r="S108" i="17"/>
  <c r="E4" i="17"/>
  <c r="E14" i="17"/>
  <c r="S31" i="17"/>
  <c r="L31" i="17"/>
  <c r="N31" i="17"/>
  <c r="S54" i="17"/>
  <c r="L54" i="17"/>
  <c r="N54" i="17"/>
  <c r="S90" i="17"/>
  <c r="L90" i="17"/>
  <c r="N90" i="17"/>
  <c r="S85" i="17"/>
  <c r="L85" i="17"/>
  <c r="N85" i="17"/>
  <c r="L35" i="17"/>
  <c r="S35" i="17"/>
  <c r="N35" i="17"/>
  <c r="N73" i="17"/>
  <c r="L73" i="17"/>
  <c r="S73" i="17"/>
  <c r="L143" i="17"/>
  <c r="S143" i="17"/>
  <c r="N143" i="17"/>
  <c r="N32" i="17"/>
  <c r="L32" i="17"/>
  <c r="S32" i="17"/>
  <c r="L91" i="17"/>
  <c r="S91" i="17"/>
  <c r="N91" i="17"/>
  <c r="L121" i="17"/>
  <c r="S121" i="17"/>
  <c r="N121" i="17"/>
  <c r="S76" i="17"/>
  <c r="L76" i="17"/>
  <c r="N76" i="17"/>
  <c r="G25" i="17"/>
  <c r="S144" i="17"/>
  <c r="L144" i="17"/>
  <c r="N144" i="17"/>
  <c r="S56" i="17"/>
  <c r="N56" i="17"/>
  <c r="L56" i="17"/>
  <c r="S46" i="17"/>
  <c r="N46" i="17"/>
  <c r="L46" i="17"/>
  <c r="S96" i="17"/>
  <c r="L96" i="17"/>
  <c r="N96" i="17"/>
  <c r="S14" i="17"/>
  <c r="G38" i="17"/>
  <c r="L98" i="17"/>
  <c r="S98" i="17"/>
  <c r="N98" i="17"/>
  <c r="L51" i="17"/>
  <c r="N51" i="17"/>
  <c r="S51" i="17"/>
  <c r="G34" i="17"/>
  <c r="S126" i="17"/>
  <c r="L126" i="17"/>
  <c r="N126" i="17"/>
  <c r="L86" i="17"/>
  <c r="S86" i="17"/>
  <c r="N86" i="17"/>
  <c r="S49" i="17"/>
  <c r="N49" i="17"/>
  <c r="L49" i="17"/>
  <c r="G37" i="17"/>
  <c r="L142" i="17"/>
  <c r="S142" i="17"/>
  <c r="N142" i="17"/>
  <c r="S84" i="17"/>
  <c r="N84" i="17"/>
  <c r="L84" i="17"/>
  <c r="L23" i="17"/>
  <c r="N23" i="17"/>
  <c r="S23" i="17"/>
  <c r="L131" i="17"/>
  <c r="S131" i="17"/>
  <c r="N131" i="17"/>
  <c r="E18" i="17"/>
  <c r="O10" i="17"/>
  <c r="L55" i="17"/>
  <c r="N55" i="17"/>
  <c r="S55" i="17"/>
  <c r="L118" i="17"/>
  <c r="N118" i="17"/>
  <c r="S118" i="17"/>
  <c r="L87" i="17"/>
  <c r="S87" i="17"/>
  <c r="N87" i="17"/>
  <c r="N119" i="17"/>
  <c r="S119" i="17"/>
  <c r="L119" i="17"/>
  <c r="N33" i="17"/>
  <c r="S33" i="17"/>
  <c r="L33" i="17"/>
  <c r="S71" i="17"/>
  <c r="N71" i="17"/>
  <c r="L71" i="17"/>
  <c r="L101" i="17"/>
  <c r="N101" i="17"/>
  <c r="S101" i="17"/>
  <c r="G39" i="17"/>
  <c r="L124" i="17"/>
  <c r="S124" i="17"/>
  <c r="N124" i="17"/>
  <c r="L75" i="17"/>
  <c r="S75" i="17"/>
  <c r="N75" i="17"/>
  <c r="N105" i="17"/>
  <c r="L105" i="17"/>
  <c r="S105" i="17"/>
  <c r="N58" i="17"/>
  <c r="S58" i="17"/>
  <c r="L58" i="17"/>
  <c r="G24" i="17"/>
  <c r="N146" i="17"/>
  <c r="L146" i="17"/>
  <c r="S146" i="17"/>
  <c r="L18" i="17"/>
  <c r="N100" i="17"/>
  <c r="L100" i="17"/>
  <c r="S100" i="17"/>
  <c r="L47" i="17"/>
  <c r="N47" i="17"/>
  <c r="S47" i="17"/>
  <c r="L117" i="17"/>
  <c r="N117" i="17"/>
  <c r="S117" i="17"/>
  <c r="C42" i="2"/>
  <c r="D20" i="4"/>
  <c r="D19" i="4"/>
  <c r="D18" i="4"/>
  <c r="D17" i="4"/>
  <c r="D16" i="4"/>
  <c r="D15" i="4"/>
  <c r="D14" i="4"/>
  <c r="D13" i="4"/>
  <c r="M62" i="17"/>
  <c r="M63" i="17"/>
  <c r="P62" i="17" l="1"/>
  <c r="K63" i="17"/>
  <c r="L63" i="17"/>
  <c r="L7" i="17" s="1"/>
  <c r="S63" i="17"/>
  <c r="S7" i="17" s="1"/>
  <c r="N63" i="17"/>
  <c r="N7" i="17" s="1"/>
  <c r="L8" i="17"/>
  <c r="N8" i="17"/>
  <c r="E10" i="17"/>
  <c r="S8" i="17"/>
  <c r="S5" i="17"/>
  <c r="N5" i="17"/>
  <c r="L5" i="17"/>
  <c r="O19" i="17"/>
  <c r="S34" i="17"/>
  <c r="N34" i="17"/>
  <c r="L34" i="17"/>
  <c r="N38" i="17"/>
  <c r="S38" i="17"/>
  <c r="L38" i="17"/>
  <c r="L39" i="17"/>
  <c r="N39" i="17"/>
  <c r="S39" i="17"/>
  <c r="S25" i="17"/>
  <c r="L25" i="17"/>
  <c r="N25" i="17"/>
  <c r="L24" i="17"/>
  <c r="N24" i="17"/>
  <c r="S24" i="17"/>
  <c r="S28" i="17"/>
  <c r="N28" i="17"/>
  <c r="L28" i="17"/>
  <c r="S43" i="17"/>
  <c r="L43" i="17"/>
  <c r="N43" i="17"/>
  <c r="L36" i="17"/>
  <c r="N36" i="17"/>
  <c r="S36" i="17"/>
  <c r="E6" i="17"/>
  <c r="S37" i="17"/>
  <c r="L37" i="17"/>
  <c r="N37" i="17"/>
  <c r="D12" i="4"/>
  <c r="X35" i="14"/>
  <c r="X34" i="14"/>
  <c r="W34" i="14"/>
  <c r="X46" i="14"/>
  <c r="X44" i="14"/>
  <c r="X42" i="14"/>
  <c r="W333" i="14"/>
  <c r="V333" i="14"/>
  <c r="L333" i="14"/>
  <c r="K333" i="14"/>
  <c r="W332" i="14"/>
  <c r="V332" i="14"/>
  <c r="L332" i="14"/>
  <c r="K332" i="14"/>
  <c r="W331" i="14"/>
  <c r="V331" i="14"/>
  <c r="L331" i="14"/>
  <c r="K331" i="14"/>
  <c r="W330" i="14"/>
  <c r="V330" i="14"/>
  <c r="L330" i="14"/>
  <c r="K330" i="14"/>
  <c r="W321" i="14"/>
  <c r="V321" i="14"/>
  <c r="L321" i="14"/>
  <c r="K321" i="14"/>
  <c r="W320" i="14"/>
  <c r="V320" i="14"/>
  <c r="L320" i="14"/>
  <c r="K320" i="14"/>
  <c r="W319" i="14"/>
  <c r="V319" i="14"/>
  <c r="L319" i="14"/>
  <c r="K319" i="14"/>
  <c r="W318" i="14"/>
  <c r="V318" i="14"/>
  <c r="L318" i="14"/>
  <c r="K318" i="14"/>
  <c r="X45" i="14"/>
  <c r="X43" i="14"/>
  <c r="X41" i="14"/>
  <c r="I17" i="15"/>
  <c r="I16" i="15"/>
  <c r="I15" i="15"/>
  <c r="I14" i="15"/>
  <c r="G26" i="1"/>
  <c r="H26" i="1" s="1"/>
  <c r="J26" i="1" s="1"/>
  <c r="D26" i="1"/>
  <c r="C26" i="1"/>
  <c r="G25" i="1"/>
  <c r="H25" i="1" s="1"/>
  <c r="J25" i="1" s="1"/>
  <c r="D25" i="1"/>
  <c r="C25" i="1"/>
  <c r="G24" i="1"/>
  <c r="H24" i="1" s="1"/>
  <c r="J24" i="1" s="1"/>
  <c r="D24" i="1"/>
  <c r="C24" i="1"/>
  <c r="G23" i="1"/>
  <c r="H23" i="1" s="1"/>
  <c r="J23" i="1" s="1"/>
  <c r="D23" i="1"/>
  <c r="C23" i="1"/>
  <c r="A377" i="14"/>
  <c r="A376" i="14"/>
  <c r="A331" i="14"/>
  <c r="A378" i="14"/>
  <c r="A368" i="14"/>
  <c r="A333" i="14"/>
  <c r="A319" i="14"/>
  <c r="A320" i="14"/>
  <c r="A369" i="14"/>
  <c r="A332" i="14"/>
  <c r="A318" i="14"/>
  <c r="A367" i="14"/>
  <c r="A366" i="14"/>
  <c r="A375" i="14"/>
  <c r="A34" i="14"/>
  <c r="A330" i="14"/>
  <c r="A374" i="14"/>
  <c r="A321" i="14"/>
  <c r="Q62" i="17"/>
  <c r="E19" i="17" l="1"/>
  <c r="P63" i="17"/>
  <c r="R62" i="17"/>
  <c r="N10" i="17"/>
  <c r="L10" i="17"/>
  <c r="S10" i="17"/>
  <c r="N3" i="17"/>
  <c r="L3" i="17"/>
  <c r="S3" i="17"/>
  <c r="N4" i="17"/>
  <c r="S4" i="17"/>
  <c r="L4" i="17"/>
  <c r="R319" i="14"/>
  <c r="T319" i="14" s="1"/>
  <c r="R321" i="14"/>
  <c r="T321" i="14" s="1"/>
  <c r="S333" i="14"/>
  <c r="S332" i="14"/>
  <c r="V375" i="14"/>
  <c r="V374" i="14"/>
  <c r="V376" i="14"/>
  <c r="V378" i="14"/>
  <c r="V377" i="14"/>
  <c r="V366" i="14"/>
  <c r="V368" i="14"/>
  <c r="V367" i="14"/>
  <c r="V369" i="14"/>
  <c r="V34" i="14"/>
  <c r="S321" i="14"/>
  <c r="S331" i="14"/>
  <c r="S319" i="14"/>
  <c r="S320" i="14"/>
  <c r="R333" i="14"/>
  <c r="T333" i="14" s="1"/>
  <c r="R331" i="14"/>
  <c r="T331" i="14" s="1"/>
  <c r="S330" i="14"/>
  <c r="S318" i="14"/>
  <c r="R318" i="14"/>
  <c r="T318" i="14" s="1"/>
  <c r="R320" i="14"/>
  <c r="T320" i="14" s="1"/>
  <c r="R330" i="14"/>
  <c r="T330" i="14" s="1"/>
  <c r="R332" i="14"/>
  <c r="T332" i="14" s="1"/>
  <c r="I21" i="16"/>
  <c r="I22" i="16"/>
  <c r="H21" i="16"/>
  <c r="H22" i="16"/>
  <c r="Q63" i="17"/>
  <c r="R63" i="17" l="1"/>
  <c r="N6" i="17"/>
  <c r="N19" i="17" s="1"/>
  <c r="N262" i="17" s="1"/>
  <c r="S6" i="17"/>
  <c r="S19" i="17" s="1"/>
  <c r="S262" i="17" s="1"/>
  <c r="L6" i="17" l="1"/>
  <c r="L19" i="17" s="1"/>
  <c r="G15" i="1"/>
  <c r="H15" i="1" s="1"/>
  <c r="J15" i="1" s="1"/>
  <c r="D15" i="1"/>
  <c r="C15" i="1"/>
  <c r="G14" i="1"/>
  <c r="H14" i="1" s="1"/>
  <c r="J14" i="1" s="1"/>
  <c r="D14" i="1"/>
  <c r="C14" i="1"/>
  <c r="X33" i="14"/>
  <c r="X32" i="14"/>
  <c r="D125" i="7" l="1"/>
  <c r="I28" i="16"/>
  <c r="I27" i="16"/>
  <c r="H27" i="16"/>
  <c r="H28" i="16"/>
  <c r="G28" i="16"/>
  <c r="G27" i="16"/>
  <c r="A28" i="16"/>
  <c r="A27" i="16"/>
  <c r="G13" i="1"/>
  <c r="H13" i="1" s="1"/>
  <c r="J13" i="1" s="1"/>
  <c r="D13" i="1"/>
  <c r="C13" i="1"/>
  <c r="G12" i="1"/>
  <c r="H12" i="1" s="1"/>
  <c r="J12" i="1" s="1"/>
  <c r="D12" i="1"/>
  <c r="C12" i="1"/>
  <c r="C25" i="2"/>
  <c r="C28" i="2" l="1"/>
  <c r="C27" i="2"/>
  <c r="C26" i="2"/>
  <c r="C32" i="2"/>
  <c r="C31" i="2"/>
  <c r="C30" i="2"/>
  <c r="C29" i="2"/>
  <c r="M9" i="15" l="1"/>
  <c r="I9" i="15"/>
  <c r="M8" i="15"/>
  <c r="I8" i="15"/>
  <c r="D9" i="4" l="1"/>
  <c r="D7" i="4"/>
  <c r="D8" i="4"/>
  <c r="D10" i="4"/>
  <c r="D6" i="4"/>
  <c r="D5" i="4"/>
  <c r="D4" i="4"/>
  <c r="D3" i="4"/>
  <c r="X31" i="14"/>
  <c r="X30" i="14"/>
  <c r="V625" i="14"/>
  <c r="V624" i="14"/>
  <c r="V622" i="14"/>
  <c r="V621" i="14"/>
  <c r="V619" i="14"/>
  <c r="V618" i="14"/>
  <c r="V616" i="14"/>
  <c r="V615" i="14"/>
  <c r="V613" i="14"/>
  <c r="V612" i="14"/>
  <c r="V610" i="14"/>
  <c r="V609" i="14"/>
  <c r="V607" i="14"/>
  <c r="V606" i="14"/>
  <c r="V604" i="14"/>
  <c r="V603" i="14"/>
  <c r="V601" i="14"/>
  <c r="V600" i="14"/>
  <c r="V598" i="14"/>
  <c r="V597" i="14"/>
  <c r="V595" i="14"/>
  <c r="V594" i="14"/>
  <c r="V592" i="14"/>
  <c r="V591" i="14"/>
  <c r="V589" i="14"/>
  <c r="V588" i="14"/>
  <c r="V586" i="14"/>
  <c r="V585" i="14"/>
  <c r="V583" i="14"/>
  <c r="V582" i="14"/>
  <c r="V580" i="14"/>
  <c r="V579" i="14"/>
  <c r="V577" i="14"/>
  <c r="V576" i="14"/>
  <c r="V574" i="14"/>
  <c r="V573" i="14"/>
  <c r="V571" i="14"/>
  <c r="V570" i="14"/>
  <c r="V568" i="14"/>
  <c r="V567" i="14"/>
  <c r="V565" i="14"/>
  <c r="V564" i="14"/>
  <c r="V562" i="14"/>
  <c r="V561" i="14"/>
  <c r="V559" i="14"/>
  <c r="V558" i="14"/>
  <c r="V556" i="14"/>
  <c r="V555" i="14"/>
  <c r="V552" i="14"/>
  <c r="D2" i="4" l="1"/>
  <c r="E2" i="4" s="1"/>
  <c r="G9" i="1" l="1"/>
  <c r="H9" i="1" s="1"/>
  <c r="J9" i="1" s="1"/>
  <c r="D9" i="1"/>
  <c r="C9" i="1"/>
  <c r="G8" i="1"/>
  <c r="H8" i="1" s="1"/>
  <c r="J8" i="1" s="1"/>
  <c r="D8" i="1"/>
  <c r="C8" i="1"/>
  <c r="G11" i="1"/>
  <c r="H11" i="1" s="1"/>
  <c r="J11" i="1" s="1"/>
  <c r="D11" i="1"/>
  <c r="C11" i="1"/>
  <c r="G10" i="1"/>
  <c r="H10" i="1" s="1"/>
  <c r="J10" i="1" s="1"/>
  <c r="D10" i="1"/>
  <c r="C10" i="1"/>
  <c r="G16" i="1"/>
  <c r="H16" i="1" s="1"/>
  <c r="J16" i="1" s="1"/>
  <c r="D16" i="1"/>
  <c r="C16" i="1"/>
  <c r="E581" i="14" l="1"/>
  <c r="V575" i="14" l="1"/>
  <c r="E575" i="14"/>
  <c r="V572" i="14"/>
  <c r="E572" i="14"/>
  <c r="V563" i="14"/>
  <c r="E563" i="14"/>
  <c r="V560" i="14"/>
  <c r="E560" i="14"/>
  <c r="V557" i="14"/>
  <c r="E557" i="14"/>
  <c r="V554" i="14"/>
  <c r="E554" i="14"/>
  <c r="V553" i="14"/>
  <c r="V569" i="14"/>
  <c r="E569" i="14"/>
  <c r="V566" i="14"/>
  <c r="E566" i="14"/>
  <c r="E587" i="14"/>
  <c r="E497" i="14"/>
  <c r="E492" i="14"/>
  <c r="V488" i="14"/>
  <c r="A548" i="14"/>
  <c r="A570" i="14"/>
  <c r="A535" i="14"/>
  <c r="A557" i="14"/>
  <c r="A536" i="14"/>
  <c r="A492" i="14"/>
  <c r="A547" i="14"/>
  <c r="A567" i="14"/>
  <c r="A534" i="14"/>
  <c r="A543" i="14"/>
  <c r="A563" i="14"/>
  <c r="A496" i="14"/>
  <c r="A559" i="14"/>
  <c r="A540" i="14"/>
  <c r="A572" i="14"/>
  <c r="A553" i="14"/>
  <c r="A564" i="14"/>
  <c r="A497" i="14"/>
  <c r="A566" i="14"/>
  <c r="A490" i="14"/>
  <c r="A542" i="14"/>
  <c r="A561" i="14"/>
  <c r="A573" i="14"/>
  <c r="A533" i="14"/>
  <c r="A545" i="14"/>
  <c r="A560" i="14"/>
  <c r="A565" i="14"/>
  <c r="A574" i="14"/>
  <c r="A554" i="14"/>
  <c r="A491" i="14"/>
  <c r="A568" i="14"/>
  <c r="A537" i="14"/>
  <c r="A556" i="14"/>
  <c r="A494" i="14"/>
  <c r="A531" i="14"/>
  <c r="A552" i="14"/>
  <c r="A549" i="14"/>
  <c r="A541" i="14"/>
  <c r="A538" i="14"/>
  <c r="A530" i="14"/>
  <c r="A539" i="14"/>
  <c r="A532" i="14"/>
  <c r="A495" i="14"/>
  <c r="A558" i="14"/>
  <c r="A575" i="14"/>
  <c r="A514" i="14"/>
  <c r="A493" i="14"/>
  <c r="A546" i="14"/>
  <c r="A569" i="14"/>
  <c r="A555" i="14"/>
  <c r="A519" i="14"/>
  <c r="A550" i="14"/>
  <c r="A489" i="14"/>
  <c r="A544" i="14"/>
  <c r="A551" i="14"/>
  <c r="A562" i="14"/>
  <c r="A571" i="14"/>
  <c r="V493" i="14" l="1"/>
  <c r="V497" i="14"/>
  <c r="V491" i="14"/>
  <c r="V496" i="14"/>
  <c r="V490" i="14"/>
  <c r="V495" i="14"/>
  <c r="V492" i="14"/>
  <c r="V489" i="14"/>
  <c r="V494" i="14"/>
  <c r="C300" i="2"/>
  <c r="A79" i="14"/>
  <c r="A77" i="14"/>
  <c r="A76" i="14"/>
  <c r="A71" i="14"/>
  <c r="A78" i="14"/>
  <c r="A80" i="14"/>
  <c r="A69" i="14"/>
  <c r="A75" i="14"/>
  <c r="A72" i="14"/>
  <c r="A70" i="14"/>
  <c r="A74" i="14"/>
  <c r="A73" i="14"/>
  <c r="V578" i="14" l="1"/>
  <c r="E578" i="14"/>
  <c r="V626" i="14"/>
  <c r="E626" i="14"/>
  <c r="X117" i="14"/>
  <c r="X116" i="14"/>
  <c r="A625" i="14"/>
  <c r="A580" i="14"/>
  <c r="A578" i="14"/>
  <c r="A579" i="14"/>
  <c r="A576" i="14"/>
  <c r="A624" i="14"/>
  <c r="A626" i="14"/>
  <c r="A577" i="14"/>
  <c r="C299" i="2" l="1"/>
  <c r="C297" i="2"/>
  <c r="C296" i="2"/>
  <c r="V255" i="14" l="1"/>
  <c r="K255" i="14"/>
  <c r="J255" i="14" s="1"/>
  <c r="V254" i="14"/>
  <c r="K254" i="14"/>
  <c r="J254" i="14" s="1"/>
  <c r="V253" i="14"/>
  <c r="K253" i="14"/>
  <c r="J253" i="14" s="1"/>
  <c r="V252" i="14"/>
  <c r="K252" i="14"/>
  <c r="J252" i="14" s="1"/>
  <c r="V259" i="14"/>
  <c r="K259" i="14"/>
  <c r="J259" i="14" s="1"/>
  <c r="V258" i="14"/>
  <c r="K258" i="14"/>
  <c r="J258" i="14" s="1"/>
  <c r="V257" i="14"/>
  <c r="K257" i="14"/>
  <c r="J257" i="14" s="1"/>
  <c r="V256" i="14"/>
  <c r="K256" i="14"/>
  <c r="J256" i="14" s="1"/>
  <c r="V261" i="14"/>
  <c r="K261" i="14"/>
  <c r="J261" i="14" s="1"/>
  <c r="V260" i="14"/>
  <c r="K260" i="14"/>
  <c r="J260" i="14" s="1"/>
  <c r="G161" i="1"/>
  <c r="H161" i="1" s="1"/>
  <c r="J161" i="1" s="1"/>
  <c r="D161" i="1"/>
  <c r="C161" i="1"/>
  <c r="G160" i="1"/>
  <c r="H160" i="1" s="1"/>
  <c r="J160" i="1" s="1"/>
  <c r="D160" i="1"/>
  <c r="C160" i="1"/>
  <c r="G163" i="1"/>
  <c r="H163" i="1" s="1"/>
  <c r="J163" i="1" s="1"/>
  <c r="D163" i="1"/>
  <c r="C163" i="1"/>
  <c r="G162" i="1"/>
  <c r="H162" i="1" s="1"/>
  <c r="J162" i="1" s="1"/>
  <c r="D162" i="1"/>
  <c r="C162" i="1"/>
  <c r="A259" i="14"/>
  <c r="A257" i="14"/>
  <c r="A252" i="14"/>
  <c r="A255" i="14"/>
  <c r="A258" i="14"/>
  <c r="A260" i="14"/>
  <c r="A254" i="14"/>
  <c r="A253" i="14"/>
  <c r="A261" i="14"/>
  <c r="A256" i="14"/>
  <c r="C284" i="2" l="1"/>
  <c r="C285" i="2"/>
  <c r="C286" i="2"/>
  <c r="C287" i="2"/>
  <c r="C288" i="2"/>
  <c r="G157" i="1" l="1"/>
  <c r="H157" i="1" s="1"/>
  <c r="J157" i="1" s="1"/>
  <c r="D157" i="1"/>
  <c r="C157" i="1"/>
  <c r="G156" i="1"/>
  <c r="H156" i="1" s="1"/>
  <c r="J156" i="1" s="1"/>
  <c r="D156" i="1"/>
  <c r="C156" i="1"/>
  <c r="G159" i="1"/>
  <c r="H159" i="1" s="1"/>
  <c r="J159" i="1" s="1"/>
  <c r="D159" i="1"/>
  <c r="C159" i="1"/>
  <c r="G158" i="1"/>
  <c r="H158" i="1" s="1"/>
  <c r="J158" i="1" s="1"/>
  <c r="D158" i="1"/>
  <c r="C158" i="1"/>
  <c r="X115" i="14"/>
  <c r="X114" i="14"/>
  <c r="X107" i="14"/>
  <c r="X106" i="14"/>
  <c r="G148" i="1" l="1"/>
  <c r="H148" i="1" s="1"/>
  <c r="J148" i="1" s="1"/>
  <c r="D148" i="1"/>
  <c r="C148" i="1"/>
  <c r="C268" i="2" l="1"/>
  <c r="X105" i="14" l="1"/>
  <c r="X104" i="14"/>
  <c r="V245" i="14"/>
  <c r="K245" i="14"/>
  <c r="J245" i="14" s="1"/>
  <c r="V244" i="14"/>
  <c r="K244" i="14"/>
  <c r="J244" i="14" s="1"/>
  <c r="V243" i="14"/>
  <c r="K243" i="14"/>
  <c r="J243" i="14" s="1"/>
  <c r="V242" i="14"/>
  <c r="K242" i="14"/>
  <c r="J242" i="14" s="1"/>
  <c r="V241" i="14"/>
  <c r="K241" i="14"/>
  <c r="J241" i="14" s="1"/>
  <c r="V240" i="14"/>
  <c r="K240" i="14"/>
  <c r="J240" i="14" s="1"/>
  <c r="V239" i="14"/>
  <c r="K239" i="14"/>
  <c r="J239" i="14" s="1"/>
  <c r="V238" i="14"/>
  <c r="K238" i="14"/>
  <c r="J238" i="14" s="1"/>
  <c r="V249" i="14"/>
  <c r="K249" i="14"/>
  <c r="J249" i="14" s="1"/>
  <c r="V248" i="14"/>
  <c r="K248" i="14"/>
  <c r="J248" i="14" s="1"/>
  <c r="V247" i="14"/>
  <c r="K247" i="14"/>
  <c r="J247" i="14" s="1"/>
  <c r="V246" i="14"/>
  <c r="K246" i="14"/>
  <c r="J246" i="14" s="1"/>
  <c r="B371" i="11"/>
  <c r="E371" i="11" s="1"/>
  <c r="B336" i="11"/>
  <c r="B296" i="11"/>
  <c r="B268" i="11"/>
  <c r="B227" i="11"/>
  <c r="B190" i="11"/>
  <c r="B155" i="11"/>
  <c r="B128" i="11"/>
  <c r="B93" i="11"/>
  <c r="B64" i="11"/>
  <c r="B32" i="11"/>
  <c r="B3" i="11"/>
  <c r="A238" i="14"/>
  <c r="A240" i="14"/>
  <c r="A243" i="14"/>
  <c r="A239" i="14"/>
  <c r="A245" i="14"/>
  <c r="A249" i="14"/>
  <c r="A246" i="14"/>
  <c r="A248" i="14"/>
  <c r="A244" i="14"/>
  <c r="A247" i="14"/>
  <c r="A241" i="14"/>
  <c r="A242" i="14"/>
  <c r="E336" i="11" l="1"/>
  <c r="E296" i="11" s="1"/>
  <c r="E268" i="11" s="1"/>
  <c r="E227" i="11" s="1"/>
  <c r="E190" i="11" s="1"/>
  <c r="E155" i="11" s="1"/>
  <c r="E128" i="11" s="1"/>
  <c r="E93" i="11" s="1"/>
  <c r="E64" i="11" s="1"/>
  <c r="E32" i="11" s="1"/>
  <c r="E3" i="11" s="1"/>
  <c r="E2" i="11" s="1"/>
  <c r="G146" i="1"/>
  <c r="H146" i="1" s="1"/>
  <c r="J146" i="1" s="1"/>
  <c r="D146" i="1"/>
  <c r="C146" i="1"/>
  <c r="G145" i="1"/>
  <c r="H145" i="1" s="1"/>
  <c r="J145" i="1" s="1"/>
  <c r="D145" i="1"/>
  <c r="C145" i="1"/>
  <c r="G144" i="1"/>
  <c r="H144" i="1" s="1"/>
  <c r="J144" i="1" s="1"/>
  <c r="D144" i="1"/>
  <c r="C144" i="1"/>
  <c r="G78" i="4" l="1"/>
  <c r="H78" i="4"/>
  <c r="I78" i="4"/>
  <c r="F78" i="4"/>
  <c r="C22" i="14" l="1"/>
  <c r="X97" i="14"/>
  <c r="W234" i="14"/>
  <c r="W227" i="14"/>
  <c r="W225" i="14"/>
  <c r="W218" i="14"/>
  <c r="X96" i="14"/>
  <c r="I79" i="15"/>
  <c r="I78" i="15"/>
  <c r="G142" i="1"/>
  <c r="H142" i="1" s="1"/>
  <c r="J142" i="1" s="1"/>
  <c r="D142" i="1"/>
  <c r="C142" i="1"/>
  <c r="G141" i="1"/>
  <c r="H141" i="1" s="1"/>
  <c r="J141" i="1" s="1"/>
  <c r="D141" i="1"/>
  <c r="C141" i="1"/>
  <c r="G140" i="1"/>
  <c r="H140" i="1" s="1"/>
  <c r="J140" i="1" s="1"/>
  <c r="D140" i="1"/>
  <c r="C140" i="1"/>
  <c r="G134" i="1" l="1"/>
  <c r="H134" i="1" s="1"/>
  <c r="J134" i="1" s="1"/>
  <c r="D134" i="1"/>
  <c r="C134" i="1"/>
  <c r="X95" i="14" l="1"/>
  <c r="X94" i="14"/>
  <c r="C245" i="2"/>
  <c r="C243" i="2"/>
  <c r="G130" i="1" l="1"/>
  <c r="H130" i="1" s="1"/>
  <c r="J130" i="1" s="1"/>
  <c r="D130" i="1"/>
  <c r="C130" i="1"/>
  <c r="G129" i="1"/>
  <c r="H129" i="1" s="1"/>
  <c r="J129" i="1" s="1"/>
  <c r="D129" i="1"/>
  <c r="C129" i="1"/>
  <c r="G132" i="1"/>
  <c r="H132" i="1" s="1"/>
  <c r="J132" i="1" s="1"/>
  <c r="D132" i="1"/>
  <c r="C132" i="1"/>
  <c r="G131" i="1"/>
  <c r="H131" i="1" s="1"/>
  <c r="J131" i="1" s="1"/>
  <c r="D131" i="1"/>
  <c r="C131" i="1"/>
  <c r="G64" i="4" l="1"/>
  <c r="I64" i="4"/>
  <c r="J64" i="4"/>
  <c r="K64" i="4"/>
  <c r="F64" i="4"/>
  <c r="H58" i="4"/>
  <c r="I58" i="4"/>
  <c r="J58" i="4"/>
  <c r="K58" i="4"/>
  <c r="G58" i="4"/>
  <c r="F58" i="4"/>
  <c r="V536" i="14" l="1"/>
  <c r="I71" i="15"/>
  <c r="I70" i="15"/>
  <c r="G123" i="1"/>
  <c r="H123" i="1" s="1"/>
  <c r="J123" i="1" s="1"/>
  <c r="D123" i="1"/>
  <c r="C123" i="1"/>
  <c r="G128" i="1"/>
  <c r="H128" i="1" s="1"/>
  <c r="J128" i="1" s="1"/>
  <c r="D128" i="1"/>
  <c r="C128" i="1"/>
  <c r="G127" i="1"/>
  <c r="H127" i="1" s="1"/>
  <c r="J127" i="1" s="1"/>
  <c r="D127" i="1"/>
  <c r="C127" i="1"/>
  <c r="G125" i="1" l="1"/>
  <c r="H125" i="1" s="1"/>
  <c r="J125" i="1" s="1"/>
  <c r="D125" i="1"/>
  <c r="C125" i="1"/>
  <c r="G124" i="1"/>
  <c r="H124" i="1" s="1"/>
  <c r="J124" i="1" s="1"/>
  <c r="D124" i="1"/>
  <c r="C124" i="1"/>
  <c r="X92" i="14" l="1"/>
  <c r="X93" i="14"/>
  <c r="C224" i="2"/>
  <c r="C221" i="2" l="1"/>
  <c r="C222" i="2"/>
  <c r="C217" i="2"/>
  <c r="F51" i="4"/>
  <c r="K51" i="4"/>
  <c r="I51" i="4"/>
  <c r="H51" i="4"/>
  <c r="G51" i="4"/>
  <c r="X85" i="14"/>
  <c r="X84" i="14"/>
  <c r="G119" i="1"/>
  <c r="H119" i="1" s="1"/>
  <c r="J119" i="1" s="1"/>
  <c r="D119" i="1"/>
  <c r="C119" i="1"/>
  <c r="E534" i="14" l="1"/>
  <c r="E529" i="14"/>
  <c r="X83" i="14" l="1"/>
  <c r="I63" i="15"/>
  <c r="I62" i="15"/>
  <c r="X82" i="14"/>
  <c r="W216" i="14"/>
  <c r="W214" i="14"/>
  <c r="W212" i="14"/>
  <c r="W200" i="14"/>
  <c r="G115" i="1"/>
  <c r="H115" i="1" s="1"/>
  <c r="J115" i="1" s="1"/>
  <c r="D115" i="1"/>
  <c r="C115" i="1"/>
  <c r="G114" i="1"/>
  <c r="H114" i="1" s="1"/>
  <c r="J114" i="1" s="1"/>
  <c r="D114" i="1"/>
  <c r="C114" i="1"/>
  <c r="G113" i="1"/>
  <c r="H113" i="1" s="1"/>
  <c r="J113" i="1" s="1"/>
  <c r="D113" i="1"/>
  <c r="C113" i="1"/>
  <c r="G112" i="1"/>
  <c r="H112" i="1" s="1"/>
  <c r="J112" i="1" s="1"/>
  <c r="D112" i="1"/>
  <c r="C112" i="1"/>
  <c r="A529" i="14"/>
  <c r="V529" i="14" l="1"/>
  <c r="C198" i="2"/>
  <c r="C197" i="2"/>
  <c r="C200" i="2"/>
  <c r="C199" i="2"/>
  <c r="G108" i="1" l="1"/>
  <c r="H108" i="1" s="1"/>
  <c r="J108" i="1" s="1"/>
  <c r="D108" i="1"/>
  <c r="C108" i="1"/>
  <c r="G105" i="1"/>
  <c r="H105" i="1" s="1"/>
  <c r="J105" i="1" s="1"/>
  <c r="D105" i="1"/>
  <c r="C105" i="1"/>
  <c r="V596" i="14"/>
  <c r="E596" i="14"/>
  <c r="X75" i="14"/>
  <c r="W75" i="14"/>
  <c r="X73" i="14"/>
  <c r="W73" i="14"/>
  <c r="X74" i="14"/>
  <c r="X72" i="14"/>
  <c r="A461" i="14"/>
  <c r="A594" i="14"/>
  <c r="A595" i="14"/>
  <c r="A596" i="14"/>
  <c r="V461" i="14" l="1"/>
  <c r="V75" i="14"/>
  <c r="V73" i="14"/>
  <c r="C194" i="2"/>
  <c r="C193" i="2"/>
  <c r="C192" i="2"/>
  <c r="C191" i="2"/>
  <c r="C196" i="2"/>
  <c r="C195" i="2"/>
  <c r="E524" i="14" l="1"/>
  <c r="E518" i="14"/>
  <c r="I20" i="16" l="1"/>
  <c r="I19" i="16"/>
  <c r="G22" i="16"/>
  <c r="G21" i="16"/>
  <c r="H20" i="16"/>
  <c r="G20" i="16"/>
  <c r="A20" i="16"/>
  <c r="H19" i="16"/>
  <c r="G19" i="16"/>
  <c r="A19" i="16"/>
  <c r="A22" i="16"/>
  <c r="A21" i="16"/>
  <c r="G98" i="1"/>
  <c r="H98" i="1" s="1"/>
  <c r="J98" i="1" s="1"/>
  <c r="D98" i="1"/>
  <c r="C98" i="1"/>
  <c r="C181" i="2"/>
  <c r="G102" i="1"/>
  <c r="H102" i="1" s="1"/>
  <c r="J102" i="1" s="1"/>
  <c r="D102" i="1"/>
  <c r="C102" i="1"/>
  <c r="G101" i="1"/>
  <c r="H101" i="1" s="1"/>
  <c r="J101" i="1" s="1"/>
  <c r="D101" i="1"/>
  <c r="C101" i="1"/>
  <c r="G100" i="1"/>
  <c r="H100" i="1" s="1"/>
  <c r="J100" i="1" s="1"/>
  <c r="D100" i="1"/>
  <c r="C100" i="1"/>
  <c r="G99" i="1"/>
  <c r="H99" i="1" s="1"/>
  <c r="J99" i="1" s="1"/>
  <c r="D99" i="1"/>
  <c r="C99" i="1"/>
  <c r="G107" i="1"/>
  <c r="H107" i="1" s="1"/>
  <c r="J107" i="1" s="1"/>
  <c r="D107" i="1"/>
  <c r="C107" i="1"/>
  <c r="G103" i="1"/>
  <c r="H103" i="1" s="1"/>
  <c r="J103" i="1" s="1"/>
  <c r="D103" i="1"/>
  <c r="C103" i="1"/>
  <c r="X71" i="14" l="1"/>
  <c r="X70" i="14"/>
  <c r="X198" i="14"/>
  <c r="X191" i="14"/>
  <c r="X189" i="14"/>
  <c r="X187" i="14"/>
  <c r="X180" i="14"/>
  <c r="W198" i="14"/>
  <c r="W191" i="14"/>
  <c r="W189" i="14"/>
  <c r="W187" i="14"/>
  <c r="W180" i="14"/>
  <c r="X64" i="14" l="1"/>
  <c r="X63" i="14"/>
  <c r="C166" i="2" l="1"/>
  <c r="C168" i="2"/>
  <c r="C167" i="2"/>
  <c r="C161" i="2" l="1"/>
  <c r="C165" i="2"/>
  <c r="I96" i="16" l="1"/>
  <c r="H96" i="16"/>
  <c r="G96" i="16"/>
  <c r="I95" i="16"/>
  <c r="H95" i="16"/>
  <c r="G95" i="16"/>
  <c r="A96" i="16"/>
  <c r="A95" i="16"/>
  <c r="X62" i="14" l="1"/>
  <c r="X61" i="14"/>
  <c r="K45" i="4" l="1"/>
  <c r="G89" i="1"/>
  <c r="H89" i="1" s="1"/>
  <c r="J89" i="1" s="1"/>
  <c r="D89" i="1"/>
  <c r="C89" i="1"/>
  <c r="G88" i="1"/>
  <c r="H88" i="1" s="1"/>
  <c r="J88" i="1" s="1"/>
  <c r="D88" i="1"/>
  <c r="C88" i="1"/>
  <c r="G87" i="1"/>
  <c r="H87" i="1" s="1"/>
  <c r="J87" i="1" s="1"/>
  <c r="D87" i="1"/>
  <c r="C87" i="1"/>
  <c r="G86" i="1"/>
  <c r="H86" i="1" s="1"/>
  <c r="J86" i="1" s="1"/>
  <c r="D86" i="1"/>
  <c r="C86" i="1"/>
  <c r="G91" i="1"/>
  <c r="H91" i="1" s="1"/>
  <c r="J91" i="1" s="1"/>
  <c r="D91" i="1"/>
  <c r="C91" i="1"/>
  <c r="G90" i="1"/>
  <c r="H90" i="1" s="1"/>
  <c r="J90" i="1" s="1"/>
  <c r="D90" i="1"/>
  <c r="C90" i="1"/>
  <c r="G79" i="1"/>
  <c r="H79" i="1" s="1"/>
  <c r="J79" i="1" s="1"/>
  <c r="D79" i="1"/>
  <c r="C79" i="1"/>
  <c r="C141" i="2"/>
  <c r="G78" i="1" l="1"/>
  <c r="H78" i="1" s="1"/>
  <c r="J78" i="1" s="1"/>
  <c r="D78" i="1"/>
  <c r="C78" i="1"/>
  <c r="G77" i="1"/>
  <c r="H77" i="1" s="1"/>
  <c r="J77" i="1" s="1"/>
  <c r="D77" i="1"/>
  <c r="C77" i="1"/>
  <c r="I49" i="15"/>
  <c r="I48" i="15"/>
  <c r="V51" i="6" l="1"/>
  <c r="U51" i="6"/>
  <c r="P51" i="6"/>
  <c r="Q51" i="6" s="1"/>
  <c r="I51" i="6"/>
  <c r="J51" i="6" s="1"/>
  <c r="C138" i="2"/>
  <c r="C137" i="2"/>
  <c r="C136" i="2"/>
  <c r="C134" i="2"/>
  <c r="C133" i="2"/>
  <c r="X51" i="6"/>
  <c r="W51" i="6"/>
  <c r="T51" i="6" l="1"/>
  <c r="L51" i="6"/>
  <c r="N51" i="6" s="1"/>
  <c r="O51" i="6" s="1"/>
  <c r="R51" i="6"/>
  <c r="S51" i="6" s="1"/>
  <c r="C128" i="2"/>
  <c r="C127" i="2"/>
  <c r="C126" i="2"/>
  <c r="C125" i="2"/>
  <c r="X54" i="14"/>
  <c r="X53" i="14"/>
  <c r="E623" i="14" l="1"/>
  <c r="E620" i="14"/>
  <c r="E617" i="14"/>
  <c r="E614" i="14"/>
  <c r="E611" i="14"/>
  <c r="E608" i="14"/>
  <c r="E605" i="14"/>
  <c r="E602" i="14"/>
  <c r="E599" i="14"/>
  <c r="E593" i="14"/>
  <c r="E590" i="14"/>
  <c r="E584" i="14"/>
  <c r="V581" i="14"/>
  <c r="V584" i="14"/>
  <c r="V587" i="14"/>
  <c r="V590" i="14"/>
  <c r="V593" i="14"/>
  <c r="V599" i="14"/>
  <c r="V602" i="14"/>
  <c r="V605" i="14"/>
  <c r="V608" i="14"/>
  <c r="V611" i="14"/>
  <c r="V614" i="14"/>
  <c r="V617" i="14"/>
  <c r="V620" i="14"/>
  <c r="V623" i="14"/>
  <c r="X52" i="14"/>
  <c r="X51" i="14"/>
  <c r="X50" i="14"/>
  <c r="X49" i="14"/>
  <c r="A605" i="14"/>
  <c r="A599" i="14"/>
  <c r="A616" i="14"/>
  <c r="A619" i="14"/>
  <c r="A623" i="14"/>
  <c r="A606" i="14"/>
  <c r="A592" i="14"/>
  <c r="A610" i="14"/>
  <c r="A620" i="14"/>
  <c r="A590" i="14"/>
  <c r="A582" i="14"/>
  <c r="A603" i="14"/>
  <c r="A598" i="14"/>
  <c r="A617" i="14"/>
  <c r="A583" i="14"/>
  <c r="A608" i="14"/>
  <c r="A614" i="14"/>
  <c r="A613" i="14"/>
  <c r="A591" i="14"/>
  <c r="A593" i="14"/>
  <c r="A587" i="14"/>
  <c r="A612" i="14"/>
  <c r="A611" i="14"/>
  <c r="A601" i="14"/>
  <c r="A586" i="14"/>
  <c r="A621" i="14"/>
  <c r="A622" i="14"/>
  <c r="A581" i="14"/>
  <c r="A448" i="14"/>
  <c r="A609" i="14"/>
  <c r="A615" i="14"/>
  <c r="A600" i="14"/>
  <c r="A607" i="14"/>
  <c r="A589" i="14"/>
  <c r="A618" i="14"/>
  <c r="A597" i="14"/>
  <c r="A604" i="14"/>
  <c r="A602" i="14"/>
  <c r="A584" i="14"/>
  <c r="A588" i="14"/>
  <c r="A585" i="14"/>
  <c r="E449" i="14" l="1"/>
  <c r="E454" i="14"/>
  <c r="C132" i="2"/>
  <c r="G73" i="1" l="1"/>
  <c r="H73" i="1" s="1"/>
  <c r="J73" i="1" s="1"/>
  <c r="D73" i="1"/>
  <c r="C73" i="1"/>
  <c r="G71" i="1"/>
  <c r="H71" i="1" s="1"/>
  <c r="J71" i="1" s="1"/>
  <c r="D71" i="1"/>
  <c r="C71" i="1"/>
  <c r="G72" i="1"/>
  <c r="H72" i="1" s="1"/>
  <c r="J72" i="1" s="1"/>
  <c r="D72" i="1"/>
  <c r="C72" i="1"/>
  <c r="G24" i="4" l="1"/>
  <c r="H24" i="4"/>
  <c r="I24" i="4"/>
  <c r="F24" i="4"/>
  <c r="I34" i="4"/>
  <c r="H34" i="4"/>
  <c r="G34" i="4"/>
  <c r="F34" i="4"/>
  <c r="I41" i="15" l="1"/>
  <c r="I40" i="15"/>
  <c r="X323" i="2" l="1"/>
  <c r="W323" i="2"/>
  <c r="X301" i="2"/>
  <c r="W301" i="2"/>
  <c r="X276" i="2"/>
  <c r="W276" i="2"/>
  <c r="X252" i="2"/>
  <c r="W252" i="2"/>
  <c r="X226" i="2"/>
  <c r="W226" i="2"/>
  <c r="X204" i="2"/>
  <c r="W204" i="2"/>
  <c r="X173" i="2"/>
  <c r="W173" i="2"/>
  <c r="X143" i="2"/>
  <c r="W143" i="2"/>
  <c r="X111" i="2"/>
  <c r="W111" i="2"/>
  <c r="X89" i="2"/>
  <c r="W89" i="2"/>
  <c r="X34" i="2"/>
  <c r="X58" i="2" s="1"/>
  <c r="W34" i="2"/>
  <c r="W58" i="2" s="1"/>
  <c r="AJ323" i="2"/>
  <c r="AI323" i="2"/>
  <c r="AJ301" i="2"/>
  <c r="AI301" i="2"/>
  <c r="AJ276" i="2"/>
  <c r="AI276" i="2"/>
  <c r="AJ252" i="2"/>
  <c r="AI252" i="2"/>
  <c r="AJ226" i="2"/>
  <c r="AI226" i="2"/>
  <c r="AJ204" i="2"/>
  <c r="AI204" i="2"/>
  <c r="AJ173" i="2"/>
  <c r="AI173" i="2"/>
  <c r="AJ143" i="2"/>
  <c r="AI143" i="2"/>
  <c r="AJ111" i="2"/>
  <c r="AI111" i="2"/>
  <c r="AJ89" i="2"/>
  <c r="AI89" i="2"/>
  <c r="AJ34" i="2"/>
  <c r="AI34" i="2"/>
  <c r="AI58" i="2" s="1"/>
  <c r="C109" i="2"/>
  <c r="G63" i="1"/>
  <c r="H63" i="1" s="1"/>
  <c r="J63" i="1" s="1"/>
  <c r="D63" i="1"/>
  <c r="C63" i="1"/>
  <c r="AJ174" i="2" l="1"/>
  <c r="AJ324" i="2"/>
  <c r="X324" i="2"/>
  <c r="AI253" i="2"/>
  <c r="W90" i="2"/>
  <c r="X174" i="2"/>
  <c r="AI174" i="2"/>
  <c r="W253" i="2"/>
  <c r="W324" i="2"/>
  <c r="AI324" i="2"/>
  <c r="AI90" i="2"/>
  <c r="AJ253" i="2"/>
  <c r="X253" i="2"/>
  <c r="W174" i="2"/>
  <c r="X90" i="2"/>
  <c r="AJ58" i="2"/>
  <c r="AJ90" i="2" s="1"/>
  <c r="F12" i="4"/>
  <c r="G12" i="4"/>
  <c r="H12" i="4"/>
  <c r="I12" i="4"/>
  <c r="W325" i="2" l="1"/>
  <c r="AI325" i="2"/>
  <c r="X325" i="2"/>
  <c r="AJ325" i="2"/>
  <c r="I26" i="16"/>
  <c r="I25" i="16"/>
  <c r="I94" i="16"/>
  <c r="I93" i="16"/>
  <c r="H94" i="16"/>
  <c r="G94" i="16"/>
  <c r="A94" i="16"/>
  <c r="H93" i="16"/>
  <c r="G93" i="16"/>
  <c r="A93" i="16"/>
  <c r="E53" i="1" l="1"/>
  <c r="G60" i="1"/>
  <c r="H60" i="1" s="1"/>
  <c r="J60" i="1" s="1"/>
  <c r="D60" i="1"/>
  <c r="C60" i="1"/>
  <c r="G61" i="1"/>
  <c r="H61" i="1" s="1"/>
  <c r="J61" i="1" s="1"/>
  <c r="D61" i="1"/>
  <c r="C61" i="1"/>
  <c r="G62" i="1"/>
  <c r="H62" i="1" s="1"/>
  <c r="J62" i="1" s="1"/>
  <c r="D62" i="1"/>
  <c r="C62" i="1"/>
  <c r="G59" i="1"/>
  <c r="H59" i="1" s="1"/>
  <c r="J59" i="1" s="1"/>
  <c r="D59" i="1"/>
  <c r="C59" i="1"/>
  <c r="E551" i="14" l="1"/>
  <c r="E545" i="14"/>
  <c r="E540" i="14"/>
  <c r="E513" i="14"/>
  <c r="W317" i="14"/>
  <c r="V317" i="14"/>
  <c r="L317" i="14"/>
  <c r="K317" i="14"/>
  <c r="W316" i="14"/>
  <c r="V316" i="14"/>
  <c r="L316" i="14"/>
  <c r="K316" i="14"/>
  <c r="W315" i="14"/>
  <c r="V315" i="14"/>
  <c r="L315" i="14"/>
  <c r="K315" i="14"/>
  <c r="W314" i="14"/>
  <c r="V314" i="14"/>
  <c r="L314" i="14"/>
  <c r="K314" i="14"/>
  <c r="W313" i="14"/>
  <c r="V313" i="14"/>
  <c r="L313" i="14"/>
  <c r="K313" i="14"/>
  <c r="W312" i="14"/>
  <c r="V312" i="14"/>
  <c r="L312" i="14"/>
  <c r="K312" i="14"/>
  <c r="W311" i="14"/>
  <c r="V311" i="14"/>
  <c r="L311" i="14"/>
  <c r="K311" i="14"/>
  <c r="W310" i="14"/>
  <c r="V310" i="14"/>
  <c r="L310" i="14"/>
  <c r="K310" i="14"/>
  <c r="W309" i="14"/>
  <c r="V309" i="14"/>
  <c r="L309" i="14"/>
  <c r="K309" i="14"/>
  <c r="W308" i="14"/>
  <c r="V308" i="14"/>
  <c r="L308" i="14"/>
  <c r="K308" i="14"/>
  <c r="W307" i="14"/>
  <c r="V307" i="14"/>
  <c r="L307" i="14"/>
  <c r="K307" i="14"/>
  <c r="W306" i="14"/>
  <c r="V306" i="14"/>
  <c r="L306" i="14"/>
  <c r="K306" i="14"/>
  <c r="W305" i="14"/>
  <c r="V305" i="14"/>
  <c r="L305" i="14"/>
  <c r="K305" i="14"/>
  <c r="W304" i="14"/>
  <c r="V304" i="14"/>
  <c r="L304" i="14"/>
  <c r="K304" i="14"/>
  <c r="W303" i="14"/>
  <c r="V303" i="14"/>
  <c r="L303" i="14"/>
  <c r="K303" i="14"/>
  <c r="W302" i="14"/>
  <c r="V302" i="14"/>
  <c r="L302" i="14"/>
  <c r="K302" i="14"/>
  <c r="W301" i="14"/>
  <c r="V301" i="14"/>
  <c r="L301" i="14"/>
  <c r="K301" i="14"/>
  <c r="W300" i="14"/>
  <c r="V300" i="14"/>
  <c r="L300" i="14"/>
  <c r="K300" i="14"/>
  <c r="W299" i="14"/>
  <c r="V299" i="14"/>
  <c r="L299" i="14"/>
  <c r="K299" i="14"/>
  <c r="W298" i="14"/>
  <c r="V298" i="14"/>
  <c r="L298" i="14"/>
  <c r="K298" i="14"/>
  <c r="I102" i="16"/>
  <c r="I101" i="16"/>
  <c r="H102" i="16"/>
  <c r="H101" i="16"/>
  <c r="G102" i="16"/>
  <c r="G101" i="16"/>
  <c r="I100" i="16"/>
  <c r="H100" i="16"/>
  <c r="G100" i="16"/>
  <c r="A100" i="16"/>
  <c r="I99" i="16"/>
  <c r="H99" i="16"/>
  <c r="G99" i="16"/>
  <c r="A99" i="16"/>
  <c r="A307" i="14"/>
  <c r="A526" i="14"/>
  <c r="A301" i="14"/>
  <c r="A510" i="14"/>
  <c r="A298" i="14"/>
  <c r="A311" i="14"/>
  <c r="A309" i="14"/>
  <c r="A515" i="14"/>
  <c r="A524" i="14"/>
  <c r="A509" i="14"/>
  <c r="A317" i="14"/>
  <c r="A310" i="14"/>
  <c r="A315" i="14"/>
  <c r="A305" i="14"/>
  <c r="A521" i="14"/>
  <c r="A300" i="14"/>
  <c r="A513" i="14"/>
  <c r="A523" i="14"/>
  <c r="A525" i="14"/>
  <c r="A522" i="14"/>
  <c r="A314" i="14"/>
  <c r="A304" i="14"/>
  <c r="A527" i="14"/>
  <c r="A303" i="14"/>
  <c r="A518" i="14"/>
  <c r="A313" i="14"/>
  <c r="A512" i="14"/>
  <c r="A316" i="14"/>
  <c r="A302" i="14"/>
  <c r="A528" i="14"/>
  <c r="A306" i="14"/>
  <c r="A308" i="14"/>
  <c r="A517" i="14"/>
  <c r="A312" i="14"/>
  <c r="A299" i="14"/>
  <c r="A511" i="14"/>
  <c r="A520" i="14"/>
  <c r="A516" i="14"/>
  <c r="S308" i="14" l="1"/>
  <c r="S299" i="14"/>
  <c r="S301" i="14"/>
  <c r="S303" i="14"/>
  <c r="S305" i="14"/>
  <c r="S307" i="14"/>
  <c r="S309" i="14"/>
  <c r="S311" i="14"/>
  <c r="S313" i="14"/>
  <c r="S315" i="14"/>
  <c r="S317" i="14"/>
  <c r="V512" i="14"/>
  <c r="V523" i="14"/>
  <c r="V541" i="14"/>
  <c r="V545" i="14"/>
  <c r="V516" i="14"/>
  <c r="V527" i="14"/>
  <c r="V538" i="14"/>
  <c r="V549" i="14"/>
  <c r="V525" i="14"/>
  <c r="V509" i="14"/>
  <c r="V513" i="14"/>
  <c r="V520" i="14"/>
  <c r="V524" i="14"/>
  <c r="V531" i="14"/>
  <c r="V534" i="14"/>
  <c r="V542" i="14"/>
  <c r="V517" i="14"/>
  <c r="V528" i="14"/>
  <c r="V539" i="14"/>
  <c r="V546" i="14"/>
  <c r="V550" i="14"/>
  <c r="V510" i="14"/>
  <c r="V521" i="14"/>
  <c r="V532" i="14"/>
  <c r="V543" i="14"/>
  <c r="V530" i="14"/>
  <c r="V535" i="14"/>
  <c r="V540" i="14"/>
  <c r="V547" i="14"/>
  <c r="V551" i="14"/>
  <c r="V514" i="14"/>
  <c r="V533" i="14"/>
  <c r="V544" i="14"/>
  <c r="V519" i="14"/>
  <c r="V511" i="14"/>
  <c r="V522" i="14"/>
  <c r="V515" i="14"/>
  <c r="V518" i="14"/>
  <c r="V526" i="14"/>
  <c r="V537" i="14"/>
  <c r="V548" i="14"/>
  <c r="S298" i="14"/>
  <c r="S300" i="14"/>
  <c r="S302" i="14"/>
  <c r="S304" i="14"/>
  <c r="S306" i="14"/>
  <c r="S310" i="14"/>
  <c r="S312" i="14"/>
  <c r="S314" i="14"/>
  <c r="S316" i="14"/>
  <c r="R298" i="14"/>
  <c r="T298" i="14" s="1"/>
  <c r="R299" i="14"/>
  <c r="T299" i="14" s="1"/>
  <c r="R300" i="14"/>
  <c r="T300" i="14" s="1"/>
  <c r="R301" i="14"/>
  <c r="T301" i="14" s="1"/>
  <c r="R302" i="14"/>
  <c r="T302" i="14" s="1"/>
  <c r="R303" i="14"/>
  <c r="T303" i="14" s="1"/>
  <c r="R304" i="14"/>
  <c r="T304" i="14" s="1"/>
  <c r="R305" i="14"/>
  <c r="T305" i="14" s="1"/>
  <c r="R306" i="14"/>
  <c r="T306" i="14" s="1"/>
  <c r="R307" i="14"/>
  <c r="T307" i="14" s="1"/>
  <c r="R308" i="14"/>
  <c r="T308" i="14" s="1"/>
  <c r="R309" i="14"/>
  <c r="T309" i="14" s="1"/>
  <c r="R310" i="14"/>
  <c r="T310" i="14" s="1"/>
  <c r="R311" i="14"/>
  <c r="T311" i="14" s="1"/>
  <c r="R312" i="14"/>
  <c r="T312" i="14" s="1"/>
  <c r="R313" i="14"/>
  <c r="T313" i="14" s="1"/>
  <c r="R314" i="14"/>
  <c r="T314" i="14" s="1"/>
  <c r="R315" i="14"/>
  <c r="T315" i="14" s="1"/>
  <c r="R316" i="14"/>
  <c r="T316" i="14" s="1"/>
  <c r="R317" i="14"/>
  <c r="T317" i="14" s="1"/>
  <c r="G49" i="1"/>
  <c r="H49" i="1" s="1"/>
  <c r="J49" i="1" s="1"/>
  <c r="D49" i="1"/>
  <c r="C49" i="1"/>
  <c r="C82" i="2"/>
  <c r="C81" i="2"/>
  <c r="C84" i="2"/>
  <c r="C83" i="2"/>
  <c r="C87" i="2"/>
  <c r="C86" i="2"/>
  <c r="Z323" i="2"/>
  <c r="Z301" i="2"/>
  <c r="Z276" i="2"/>
  <c r="Z252" i="2"/>
  <c r="Z226" i="2"/>
  <c r="Z204" i="2"/>
  <c r="Z173" i="2"/>
  <c r="Z143" i="2"/>
  <c r="Z111" i="2"/>
  <c r="Z89" i="2"/>
  <c r="Z34" i="2"/>
  <c r="V323" i="2"/>
  <c r="V301" i="2"/>
  <c r="V276" i="2"/>
  <c r="V252" i="2"/>
  <c r="V226" i="2"/>
  <c r="V204" i="2"/>
  <c r="V173" i="2"/>
  <c r="V143" i="2"/>
  <c r="V111" i="2"/>
  <c r="V89" i="2"/>
  <c r="V34" i="2"/>
  <c r="V58" i="2" s="1"/>
  <c r="V174" i="2" l="1"/>
  <c r="Z324" i="2"/>
  <c r="V90" i="2"/>
  <c r="V324" i="2"/>
  <c r="Z253" i="2"/>
  <c r="V253" i="2"/>
  <c r="Z174" i="2"/>
  <c r="Z58" i="2"/>
  <c r="Z90" i="2" s="1"/>
  <c r="I24" i="16"/>
  <c r="H24" i="16"/>
  <c r="G24" i="16"/>
  <c r="I23" i="16"/>
  <c r="H23" i="16"/>
  <c r="G23" i="16"/>
  <c r="A24" i="16"/>
  <c r="A23" i="16"/>
  <c r="A502" i="14"/>
  <c r="V325" i="2" l="1"/>
  <c r="Z325" i="2"/>
  <c r="G33" i="1"/>
  <c r="H33" i="1" s="1"/>
  <c r="J33" i="1" s="1"/>
  <c r="D33" i="1"/>
  <c r="C33" i="1"/>
  <c r="C48" i="2" l="1"/>
  <c r="C46" i="2"/>
  <c r="C45" i="2" l="1"/>
  <c r="C44" i="2"/>
  <c r="I92" i="16" l="1"/>
  <c r="H92" i="16"/>
  <c r="G92" i="16"/>
  <c r="I91" i="16"/>
  <c r="H91" i="16"/>
  <c r="G91" i="16"/>
  <c r="C40" i="2"/>
  <c r="C39" i="2" l="1"/>
  <c r="M85" i="15" l="1"/>
  <c r="I85" i="15"/>
  <c r="M84" i="15"/>
  <c r="I84" i="15"/>
  <c r="M77" i="15"/>
  <c r="I77" i="15"/>
  <c r="M76" i="15"/>
  <c r="I76" i="15"/>
  <c r="M69" i="15"/>
  <c r="I69" i="15"/>
  <c r="M68" i="15"/>
  <c r="I68" i="15"/>
  <c r="M61" i="15"/>
  <c r="I61" i="15"/>
  <c r="M60" i="15"/>
  <c r="I60" i="15"/>
  <c r="M55" i="15"/>
  <c r="I55" i="15"/>
  <c r="M54" i="15"/>
  <c r="I54" i="15"/>
  <c r="M47" i="15"/>
  <c r="I47" i="15"/>
  <c r="M46" i="15"/>
  <c r="I46" i="15"/>
  <c r="M39" i="15"/>
  <c r="I39" i="15"/>
  <c r="M38" i="15"/>
  <c r="I38" i="15"/>
  <c r="M31" i="15"/>
  <c r="I31" i="15"/>
  <c r="M30" i="15"/>
  <c r="I30" i="15"/>
  <c r="M23" i="15"/>
  <c r="I23" i="15"/>
  <c r="M22" i="15"/>
  <c r="I22" i="15"/>
  <c r="E508" i="14"/>
  <c r="E503" i="14"/>
  <c r="W341" i="14"/>
  <c r="V341" i="14"/>
  <c r="L341" i="14"/>
  <c r="K341" i="14"/>
  <c r="W340" i="14"/>
  <c r="V340" i="14"/>
  <c r="L340" i="14"/>
  <c r="K340" i="14"/>
  <c r="W339" i="14"/>
  <c r="V339" i="14"/>
  <c r="L339" i="14"/>
  <c r="K339" i="14"/>
  <c r="W338" i="14"/>
  <c r="V338" i="14"/>
  <c r="L338" i="14"/>
  <c r="K338" i="14"/>
  <c r="W337" i="14"/>
  <c r="V337" i="14"/>
  <c r="L337" i="14"/>
  <c r="K337" i="14"/>
  <c r="W336" i="14"/>
  <c r="V336" i="14"/>
  <c r="L336" i="14"/>
  <c r="K336" i="14"/>
  <c r="W335" i="14"/>
  <c r="V335" i="14"/>
  <c r="L335" i="14"/>
  <c r="K335" i="14"/>
  <c r="W334" i="14"/>
  <c r="V334" i="14"/>
  <c r="L334" i="14"/>
  <c r="K334" i="14"/>
  <c r="W329" i="14"/>
  <c r="V329" i="14"/>
  <c r="L329" i="14"/>
  <c r="K329" i="14"/>
  <c r="W328" i="14"/>
  <c r="V328" i="14"/>
  <c r="L328" i="14"/>
  <c r="K328" i="14"/>
  <c r="W327" i="14"/>
  <c r="V327" i="14"/>
  <c r="L327" i="14"/>
  <c r="K327" i="14"/>
  <c r="W326" i="14"/>
  <c r="V326" i="14"/>
  <c r="L326" i="14"/>
  <c r="K326" i="14"/>
  <c r="W325" i="14"/>
  <c r="V325" i="14"/>
  <c r="L325" i="14"/>
  <c r="K325" i="14"/>
  <c r="W324" i="14"/>
  <c r="V324" i="14"/>
  <c r="L324" i="14"/>
  <c r="K324" i="14"/>
  <c r="W323" i="14"/>
  <c r="V323" i="14"/>
  <c r="L323" i="14"/>
  <c r="K323" i="14"/>
  <c r="W322" i="14"/>
  <c r="V322" i="14"/>
  <c r="L322" i="14"/>
  <c r="K322" i="14"/>
  <c r="W297" i="14"/>
  <c r="V297" i="14"/>
  <c r="L297" i="14"/>
  <c r="K297" i="14"/>
  <c r="W296" i="14"/>
  <c r="V296" i="14"/>
  <c r="L296" i="14"/>
  <c r="K296" i="14"/>
  <c r="W295" i="14"/>
  <c r="V295" i="14"/>
  <c r="L295" i="14"/>
  <c r="K295" i="14"/>
  <c r="W294" i="14"/>
  <c r="V294" i="14"/>
  <c r="L294" i="14"/>
  <c r="K294" i="14"/>
  <c r="W27" i="14"/>
  <c r="W29" i="14"/>
  <c r="W26" i="14"/>
  <c r="W25" i="14"/>
  <c r="H26" i="16"/>
  <c r="H25" i="16"/>
  <c r="G26" i="16"/>
  <c r="G25" i="16"/>
  <c r="A26" i="16"/>
  <c r="A25" i="16"/>
  <c r="A48" i="16"/>
  <c r="A505" i="14"/>
  <c r="A498" i="14"/>
  <c r="A335" i="14"/>
  <c r="A25" i="14"/>
  <c r="A500" i="14"/>
  <c r="A296" i="14"/>
  <c r="A327" i="14"/>
  <c r="A503" i="14"/>
  <c r="A336" i="14"/>
  <c r="A338" i="14"/>
  <c r="A324" i="14"/>
  <c r="A499" i="14"/>
  <c r="A326" i="14"/>
  <c r="A328" i="14"/>
  <c r="A325" i="14"/>
  <c r="A507" i="14"/>
  <c r="A322" i="14"/>
  <c r="A26" i="14"/>
  <c r="A323" i="14"/>
  <c r="A297" i="14"/>
  <c r="A341" i="14"/>
  <c r="A501" i="14"/>
  <c r="A340" i="14"/>
  <c r="A295" i="14"/>
  <c r="A329" i="14"/>
  <c r="A339" i="14"/>
  <c r="A506" i="14"/>
  <c r="A508" i="14"/>
  <c r="A504" i="14"/>
  <c r="A29" i="14"/>
  <c r="A294" i="14"/>
  <c r="A334" i="14"/>
  <c r="A27" i="14"/>
  <c r="A337" i="14"/>
  <c r="S295" i="14" l="1"/>
  <c r="S296" i="14"/>
  <c r="R297" i="14"/>
  <c r="T297" i="14" s="1"/>
  <c r="S325" i="14"/>
  <c r="S334" i="14"/>
  <c r="R336" i="14"/>
  <c r="T336" i="14" s="1"/>
  <c r="R337" i="14"/>
  <c r="T337" i="14" s="1"/>
  <c r="S338" i="14"/>
  <c r="R340" i="14"/>
  <c r="T340" i="14" s="1"/>
  <c r="R341" i="14"/>
  <c r="T341" i="14" s="1"/>
  <c r="R295" i="14"/>
  <c r="T295" i="14" s="1"/>
  <c r="S322" i="14"/>
  <c r="S326" i="14"/>
  <c r="S329" i="14"/>
  <c r="R323" i="14"/>
  <c r="T323" i="14" s="1"/>
  <c r="R324" i="14"/>
  <c r="T324" i="14" s="1"/>
  <c r="R325" i="14"/>
  <c r="T325" i="14" s="1"/>
  <c r="S335" i="14"/>
  <c r="S297" i="14"/>
  <c r="R327" i="14"/>
  <c r="T327" i="14" s="1"/>
  <c r="R328" i="14"/>
  <c r="T328" i="14" s="1"/>
  <c r="R329" i="14"/>
  <c r="T329" i="14" s="1"/>
  <c r="S339" i="14"/>
  <c r="R296" i="14"/>
  <c r="T296" i="14" s="1"/>
  <c r="S323" i="14"/>
  <c r="S327" i="14"/>
  <c r="R334" i="14"/>
  <c r="T334" i="14" s="1"/>
  <c r="S336" i="14"/>
  <c r="R338" i="14"/>
  <c r="T338" i="14" s="1"/>
  <c r="S340" i="14"/>
  <c r="R294" i="14"/>
  <c r="T294" i="14" s="1"/>
  <c r="R322" i="14"/>
  <c r="T322" i="14" s="1"/>
  <c r="S324" i="14"/>
  <c r="R326" i="14"/>
  <c r="T326" i="14" s="1"/>
  <c r="S328" i="14"/>
  <c r="R335" i="14"/>
  <c r="T335" i="14" s="1"/>
  <c r="S337" i="14"/>
  <c r="R339" i="14"/>
  <c r="T339" i="14" s="1"/>
  <c r="S341" i="14"/>
  <c r="V501" i="14"/>
  <c r="V505" i="14"/>
  <c r="V507" i="14"/>
  <c r="V498" i="14"/>
  <c r="V500" i="14"/>
  <c r="V502" i="14"/>
  <c r="V499" i="14"/>
  <c r="V503" i="14"/>
  <c r="V504" i="14"/>
  <c r="V506" i="14"/>
  <c r="V508" i="14"/>
  <c r="S294" i="14"/>
  <c r="X27" i="14"/>
  <c r="V27" i="14"/>
  <c r="V25" i="14"/>
  <c r="X25" i="14"/>
  <c r="X29" i="14"/>
  <c r="V29" i="14"/>
  <c r="X26" i="14"/>
  <c r="V26" i="14"/>
  <c r="G2" i="4"/>
  <c r="H2" i="4"/>
  <c r="I2" i="4"/>
  <c r="F2" i="4"/>
  <c r="C24" i="2" l="1"/>
  <c r="C23" i="2"/>
  <c r="C22" i="2"/>
  <c r="I98" i="16" l="1"/>
  <c r="H98" i="16"/>
  <c r="G98" i="16"/>
  <c r="I97" i="16"/>
  <c r="H97" i="16"/>
  <c r="G97" i="16"/>
  <c r="A92" i="16"/>
  <c r="A91" i="16"/>
  <c r="C8" i="2" l="1"/>
  <c r="E466" i="14" l="1"/>
  <c r="E459" i="14"/>
  <c r="V627" i="14"/>
  <c r="M35" i="15"/>
  <c r="M36" i="15"/>
  <c r="M37" i="15"/>
  <c r="M42" i="15"/>
  <c r="M43" i="15"/>
  <c r="M44" i="15"/>
  <c r="A661" i="14"/>
  <c r="A666" i="14"/>
  <c r="A667" i="14"/>
  <c r="A654" i="14"/>
  <c r="A478" i="14"/>
  <c r="A634" i="14"/>
  <c r="A652" i="14"/>
  <c r="A676" i="14"/>
  <c r="A632" i="14"/>
  <c r="A670" i="14"/>
  <c r="A646" i="14"/>
  <c r="A645" i="14"/>
  <c r="A653" i="14"/>
  <c r="A656" i="14"/>
  <c r="A659" i="14"/>
  <c r="A648" i="14"/>
  <c r="A665" i="14"/>
  <c r="A658" i="14"/>
  <c r="A636" i="14"/>
  <c r="A631" i="14"/>
  <c r="A677" i="14"/>
  <c r="A673" i="14"/>
  <c r="A643" i="14"/>
  <c r="A674" i="14"/>
  <c r="A453" i="14"/>
  <c r="A650" i="14"/>
  <c r="A668" i="14"/>
  <c r="A639" i="14"/>
  <c r="A657" i="14"/>
  <c r="A651" i="14"/>
  <c r="A669" i="14"/>
  <c r="A633" i="14"/>
  <c r="A660" i="14"/>
  <c r="A672" i="14"/>
  <c r="A662" i="14"/>
  <c r="A629" i="14"/>
  <c r="A663" i="14"/>
  <c r="A644" i="14"/>
  <c r="A641" i="14"/>
  <c r="A475" i="14"/>
  <c r="A678" i="14"/>
  <c r="A628" i="14"/>
  <c r="A647" i="14"/>
  <c r="A655" i="14"/>
  <c r="A664" i="14"/>
  <c r="A638" i="14"/>
  <c r="A649" i="14"/>
  <c r="A675" i="14"/>
  <c r="A630" i="14"/>
  <c r="A637" i="14"/>
  <c r="A671" i="14"/>
  <c r="A640" i="14"/>
  <c r="A642" i="14"/>
  <c r="V478" i="14" l="1"/>
  <c r="V629" i="14"/>
  <c r="V631" i="14"/>
  <c r="V633" i="14"/>
  <c r="V635" i="14"/>
  <c r="V637" i="14"/>
  <c r="V639" i="14"/>
  <c r="V641" i="14"/>
  <c r="V643" i="14"/>
  <c r="V645" i="14"/>
  <c r="V647" i="14"/>
  <c r="V649" i="14"/>
  <c r="V651" i="14"/>
  <c r="V653" i="14"/>
  <c r="V655" i="14"/>
  <c r="V657" i="14"/>
  <c r="V659" i="14"/>
  <c r="V661" i="14"/>
  <c r="V663" i="14"/>
  <c r="V665" i="14"/>
  <c r="V667" i="14"/>
  <c r="V669" i="14"/>
  <c r="V671" i="14"/>
  <c r="V673" i="14"/>
  <c r="V675" i="14"/>
  <c r="V677" i="14"/>
  <c r="V628" i="14"/>
  <c r="V630" i="14"/>
  <c r="V632" i="14"/>
  <c r="V634" i="14"/>
  <c r="V636" i="14"/>
  <c r="V638" i="14"/>
  <c r="V640" i="14"/>
  <c r="V642" i="14"/>
  <c r="V644" i="14"/>
  <c r="V646" i="14"/>
  <c r="V648" i="14"/>
  <c r="V650" i="14"/>
  <c r="V652" i="14"/>
  <c r="V654" i="14"/>
  <c r="V656" i="14"/>
  <c r="V658" i="14"/>
  <c r="V660" i="14"/>
  <c r="V662" i="14"/>
  <c r="V664" i="14"/>
  <c r="V666" i="14"/>
  <c r="V668" i="14"/>
  <c r="V670" i="14"/>
  <c r="V672" i="14"/>
  <c r="V674" i="14"/>
  <c r="V676" i="14"/>
  <c r="V678" i="14"/>
  <c r="G52" i="1" l="1"/>
  <c r="E82" i="1"/>
  <c r="E95" i="1"/>
  <c r="E110" i="1"/>
  <c r="E121" i="1"/>
  <c r="E137" i="1"/>
  <c r="E151" i="1"/>
  <c r="E166" i="1"/>
  <c r="E138" i="1" l="1"/>
  <c r="C298" i="2" l="1"/>
  <c r="C294" i="2"/>
  <c r="C289" i="2" l="1"/>
  <c r="C279" i="2" l="1"/>
  <c r="D150" i="4"/>
  <c r="D152" i="4"/>
  <c r="D151" i="4"/>
  <c r="D154" i="4"/>
  <c r="D153" i="4"/>
  <c r="D155" i="4"/>
  <c r="D149" i="4"/>
  <c r="D136" i="4"/>
  <c r="D148" i="4" l="1"/>
  <c r="D147" i="4"/>
  <c r="D146" i="4"/>
  <c r="D145" i="4"/>
  <c r="D144" i="4"/>
  <c r="K135" i="4"/>
  <c r="D141" i="4"/>
  <c r="D140" i="4"/>
  <c r="D139" i="4"/>
  <c r="D138" i="4"/>
  <c r="D137" i="4"/>
  <c r="C274" i="2"/>
  <c r="C273" i="2"/>
  <c r="D135" i="4" l="1"/>
  <c r="C272" i="2"/>
  <c r="C270" i="2"/>
  <c r="C271" i="2"/>
  <c r="C269" i="2"/>
  <c r="C248" i="2" l="1"/>
  <c r="C246" i="2"/>
  <c r="C247" i="2"/>
  <c r="E476" i="14" l="1"/>
  <c r="A476" i="14"/>
  <c r="V476" i="14" l="1"/>
  <c r="D133" i="4"/>
  <c r="D132" i="4"/>
  <c r="D131" i="4"/>
  <c r="D130" i="4"/>
  <c r="E471" i="14" l="1"/>
  <c r="A102" i="16"/>
  <c r="A101" i="16"/>
  <c r="A468" i="14"/>
  <c r="V468" i="14" l="1"/>
  <c r="D112" i="4"/>
  <c r="D113" i="4"/>
  <c r="D114" i="4"/>
  <c r="D115" i="4"/>
  <c r="D116" i="4"/>
  <c r="D117" i="4"/>
  <c r="C209" i="2"/>
  <c r="C211" i="2"/>
  <c r="D124" i="4"/>
  <c r="D123" i="4"/>
  <c r="D121" i="4"/>
  <c r="D122" i="4"/>
  <c r="D125" i="4"/>
  <c r="D126" i="4"/>
  <c r="D127" i="4"/>
  <c r="D120" i="4"/>
  <c r="G117" i="1"/>
  <c r="H117" i="1" s="1"/>
  <c r="J117" i="1" s="1"/>
  <c r="D117" i="1"/>
  <c r="C117" i="1"/>
  <c r="G118" i="1"/>
  <c r="H118" i="1" s="1"/>
  <c r="J118" i="1" s="1"/>
  <c r="D118" i="1"/>
  <c r="C118" i="1"/>
  <c r="V7" i="6" l="1"/>
  <c r="V8" i="6"/>
  <c r="V9" i="6"/>
  <c r="V10" i="6"/>
  <c r="V11" i="6"/>
  <c r="V12" i="6"/>
  <c r="V13" i="6"/>
  <c r="V14" i="6"/>
  <c r="V15" i="6"/>
  <c r="V16" i="6"/>
  <c r="V17" i="6"/>
  <c r="V21" i="6"/>
  <c r="V18" i="6"/>
  <c r="V19" i="6"/>
  <c r="V20" i="6"/>
  <c r="V22" i="6"/>
  <c r="V23" i="6"/>
  <c r="V24" i="6"/>
  <c r="V25" i="6"/>
  <c r="V26" i="6"/>
  <c r="V27" i="6"/>
  <c r="V28" i="6"/>
  <c r="V29" i="6"/>
  <c r="V30" i="6"/>
  <c r="V32" i="6"/>
  <c r="V33" i="6"/>
  <c r="V31" i="6"/>
  <c r="V34" i="6"/>
  <c r="V35" i="6"/>
  <c r="V37" i="6"/>
  <c r="V36" i="6"/>
  <c r="V38" i="6"/>
  <c r="V39" i="6"/>
  <c r="V40" i="6"/>
  <c r="V41" i="6"/>
  <c r="V42" i="6"/>
  <c r="V43" i="6"/>
  <c r="V44" i="6"/>
  <c r="V45" i="6"/>
  <c r="V46" i="6"/>
  <c r="V47" i="6"/>
  <c r="V48" i="6"/>
  <c r="V49" i="6"/>
  <c r="V50" i="6"/>
  <c r="V52" i="6"/>
  <c r="V53" i="6"/>
  <c r="V54" i="6"/>
  <c r="V55" i="6"/>
  <c r="V56" i="6"/>
  <c r="V57" i="6"/>
  <c r="V58" i="6"/>
  <c r="V60" i="6"/>
  <c r="V59" i="6"/>
  <c r="V61" i="6"/>
  <c r="V65" i="6"/>
  <c r="V62" i="6"/>
  <c r="V63" i="6"/>
  <c r="V64" i="6"/>
  <c r="V66" i="6"/>
  <c r="V67" i="6"/>
  <c r="V68" i="6"/>
  <c r="V69" i="6"/>
  <c r="V70" i="6"/>
  <c r="V71" i="6"/>
  <c r="V72" i="6"/>
  <c r="V75" i="6"/>
  <c r="V73" i="6"/>
  <c r="V80" i="6"/>
  <c r="V76" i="6"/>
  <c r="V78" i="6"/>
  <c r="V77" i="6"/>
  <c r="V79" i="6"/>
  <c r="V81" i="6"/>
  <c r="V74" i="6"/>
  <c r="V82" i="6"/>
  <c r="V84" i="6"/>
  <c r="V85" i="6"/>
  <c r="V86" i="6"/>
  <c r="V83" i="6"/>
  <c r="V87" i="6"/>
  <c r="V88" i="6"/>
  <c r="V89" i="6"/>
  <c r="V90" i="6"/>
  <c r="V91" i="6"/>
  <c r="V92" i="6"/>
  <c r="V93" i="6"/>
  <c r="V94" i="6"/>
  <c r="V95" i="6"/>
  <c r="V96" i="6"/>
  <c r="V97" i="6"/>
  <c r="V98" i="6"/>
  <c r="V99" i="6"/>
  <c r="V100" i="6"/>
  <c r="V101" i="6"/>
  <c r="V102" i="6"/>
  <c r="V103" i="6"/>
  <c r="V104" i="6"/>
  <c r="V105" i="6"/>
  <c r="V106" i="6"/>
  <c r="V107" i="6"/>
  <c r="V108" i="6"/>
  <c r="V109" i="6"/>
  <c r="V110" i="6"/>
  <c r="V111" i="6"/>
  <c r="V112" i="6"/>
  <c r="V115" i="6"/>
  <c r="V113" i="6"/>
  <c r="V114" i="6"/>
  <c r="V116" i="6"/>
  <c r="V117" i="6"/>
  <c r="V118" i="6"/>
  <c r="V119" i="6"/>
  <c r="V120" i="6"/>
  <c r="V121" i="6"/>
  <c r="V122" i="6"/>
  <c r="V123" i="6"/>
  <c r="V124" i="6"/>
  <c r="V125" i="6"/>
  <c r="V126" i="6"/>
  <c r="V127" i="6"/>
  <c r="V128" i="6"/>
  <c r="V129" i="6"/>
  <c r="V130" i="6"/>
  <c r="V131" i="6"/>
  <c r="V132" i="6"/>
  <c r="V133" i="6"/>
  <c r="V134" i="6"/>
  <c r="V135" i="6"/>
  <c r="V136" i="6"/>
  <c r="V137" i="6"/>
  <c r="V138" i="6"/>
  <c r="V139" i="6"/>
  <c r="V140" i="6"/>
  <c r="V6" i="6"/>
  <c r="V5" i="6"/>
  <c r="U6" i="6"/>
  <c r="U7" i="6"/>
  <c r="U8" i="6"/>
  <c r="U9" i="6"/>
  <c r="U10" i="6"/>
  <c r="U11" i="6"/>
  <c r="U12" i="6"/>
  <c r="U13" i="6"/>
  <c r="U14" i="6"/>
  <c r="U15" i="6"/>
  <c r="U16" i="6"/>
  <c r="U17" i="6"/>
  <c r="U21" i="6"/>
  <c r="U18" i="6"/>
  <c r="U19" i="6"/>
  <c r="U20" i="6"/>
  <c r="U22" i="6"/>
  <c r="U23" i="6"/>
  <c r="U24" i="6"/>
  <c r="U25" i="6"/>
  <c r="U26" i="6"/>
  <c r="U27" i="6"/>
  <c r="U28" i="6"/>
  <c r="U29" i="6"/>
  <c r="U30" i="6"/>
  <c r="U32" i="6"/>
  <c r="U33" i="6"/>
  <c r="U31" i="6"/>
  <c r="U34" i="6"/>
  <c r="U35" i="6"/>
  <c r="U37" i="6"/>
  <c r="U36" i="6"/>
  <c r="U38" i="6"/>
  <c r="U39" i="6"/>
  <c r="U40" i="6"/>
  <c r="U41" i="6"/>
  <c r="U42" i="6"/>
  <c r="U43" i="6"/>
  <c r="U44" i="6"/>
  <c r="U45" i="6"/>
  <c r="U46" i="6"/>
  <c r="U47" i="6"/>
  <c r="U48" i="6"/>
  <c r="U49" i="6"/>
  <c r="U50" i="6"/>
  <c r="U52" i="6"/>
  <c r="U53" i="6"/>
  <c r="U54" i="6"/>
  <c r="U55" i="6"/>
  <c r="U56" i="6"/>
  <c r="U57" i="6"/>
  <c r="U58" i="6"/>
  <c r="U60" i="6"/>
  <c r="U59" i="6"/>
  <c r="U61" i="6"/>
  <c r="U65" i="6"/>
  <c r="U62" i="6"/>
  <c r="U63" i="6"/>
  <c r="U64" i="6"/>
  <c r="U66" i="6"/>
  <c r="U67" i="6"/>
  <c r="U68" i="6"/>
  <c r="U69" i="6"/>
  <c r="U70" i="6"/>
  <c r="U71" i="6"/>
  <c r="U72" i="6"/>
  <c r="U75" i="6"/>
  <c r="U73" i="6"/>
  <c r="U80" i="6"/>
  <c r="U76" i="6"/>
  <c r="U78" i="6"/>
  <c r="U77" i="6"/>
  <c r="U79" i="6"/>
  <c r="U81" i="6"/>
  <c r="U74" i="6"/>
  <c r="U82" i="6"/>
  <c r="U84" i="6"/>
  <c r="U85" i="6"/>
  <c r="U86" i="6"/>
  <c r="U83" i="6"/>
  <c r="U87" i="6"/>
  <c r="U88" i="6"/>
  <c r="U89" i="6"/>
  <c r="U90" i="6"/>
  <c r="U91" i="6"/>
  <c r="U92" i="6"/>
  <c r="U93" i="6"/>
  <c r="U94" i="6"/>
  <c r="U95" i="6"/>
  <c r="U96" i="6"/>
  <c r="U97" i="6"/>
  <c r="U98" i="6"/>
  <c r="U99" i="6"/>
  <c r="U100" i="6"/>
  <c r="U101" i="6"/>
  <c r="U102" i="6"/>
  <c r="U103" i="6"/>
  <c r="U104" i="6"/>
  <c r="U105" i="6"/>
  <c r="U106" i="6"/>
  <c r="U107" i="6"/>
  <c r="U108" i="6"/>
  <c r="U109" i="6"/>
  <c r="U110" i="6"/>
  <c r="U111" i="6"/>
  <c r="U112" i="6"/>
  <c r="U115" i="6"/>
  <c r="U113" i="6"/>
  <c r="U114" i="6"/>
  <c r="U116" i="6"/>
  <c r="U117" i="6"/>
  <c r="U118" i="6"/>
  <c r="U119" i="6"/>
  <c r="U120" i="6"/>
  <c r="U121" i="6"/>
  <c r="U122" i="6"/>
  <c r="U123" i="6"/>
  <c r="U124" i="6"/>
  <c r="U125" i="6"/>
  <c r="U126" i="6"/>
  <c r="U127" i="6"/>
  <c r="U128" i="6"/>
  <c r="U129" i="6"/>
  <c r="U130" i="6"/>
  <c r="U131" i="6"/>
  <c r="U132" i="6"/>
  <c r="U133" i="6"/>
  <c r="U134" i="6"/>
  <c r="U135" i="6"/>
  <c r="U136" i="6"/>
  <c r="U137" i="6"/>
  <c r="U138" i="6"/>
  <c r="U139" i="6"/>
  <c r="U140" i="6"/>
  <c r="U5" i="6"/>
  <c r="A98" i="16"/>
  <c r="A97" i="16"/>
  <c r="D104" i="1"/>
  <c r="C169" i="2" l="1"/>
  <c r="C164" i="2" l="1"/>
  <c r="C162" i="2" l="1"/>
  <c r="C160" i="2" l="1"/>
  <c r="C159" i="2"/>
  <c r="C158" i="2"/>
  <c r="C155" i="2"/>
  <c r="C156" i="2"/>
  <c r="C157" i="2"/>
  <c r="M75" i="15" l="1"/>
  <c r="I75" i="15"/>
  <c r="M67" i="15"/>
  <c r="I67" i="15"/>
  <c r="M59" i="15"/>
  <c r="I59" i="15"/>
  <c r="M53" i="15"/>
  <c r="I53" i="15"/>
  <c r="M45" i="15"/>
  <c r="I45" i="15"/>
  <c r="D98" i="4" l="1"/>
  <c r="D99" i="4"/>
  <c r="D100" i="4"/>
  <c r="D101" i="4"/>
  <c r="D102" i="4"/>
  <c r="D103" i="4"/>
  <c r="D104" i="4"/>
  <c r="D105" i="4"/>
  <c r="D106" i="4"/>
  <c r="G96" i="4"/>
  <c r="D97" i="4"/>
  <c r="I96" i="4"/>
  <c r="H96" i="4"/>
  <c r="F96" i="4"/>
  <c r="A454" i="14"/>
  <c r="D96" i="4" l="1"/>
  <c r="E96" i="4" s="1"/>
  <c r="C140" i="2"/>
  <c r="C139" i="2"/>
  <c r="C129" i="2" l="1"/>
  <c r="C131" i="2" l="1"/>
  <c r="I37" i="15" l="1"/>
  <c r="D93" i="4" l="1"/>
  <c r="D87" i="4"/>
  <c r="D88" i="4"/>
  <c r="D89" i="4"/>
  <c r="D90" i="4"/>
  <c r="D91" i="4"/>
  <c r="D92" i="4"/>
  <c r="D86" i="4"/>
  <c r="D85" i="4" l="1"/>
  <c r="D81" i="4" l="1"/>
  <c r="D77" i="4"/>
  <c r="D83" i="4"/>
  <c r="D82" i="4"/>
  <c r="D78" i="4" l="1"/>
  <c r="E78" i="4" s="1"/>
  <c r="M29" i="15"/>
  <c r="I29" i="15"/>
  <c r="I87" i="16"/>
  <c r="I89" i="16"/>
  <c r="I88" i="16"/>
  <c r="H88" i="16"/>
  <c r="H87" i="16"/>
  <c r="G88" i="16"/>
  <c r="G87" i="16"/>
  <c r="I86" i="16"/>
  <c r="H86" i="16"/>
  <c r="G86" i="16"/>
  <c r="A86" i="16"/>
  <c r="I85" i="16"/>
  <c r="H85" i="16"/>
  <c r="G85" i="16"/>
  <c r="A85" i="16"/>
  <c r="C79" i="2" l="1"/>
  <c r="C78" i="2"/>
  <c r="C80" i="2"/>
  <c r="L284" i="14" l="1"/>
  <c r="I139" i="16" l="1"/>
  <c r="H139" i="16"/>
  <c r="G139" i="16"/>
  <c r="I138" i="16"/>
  <c r="H138" i="16"/>
  <c r="G138" i="16"/>
  <c r="A138" i="16"/>
  <c r="I137" i="16"/>
  <c r="H137" i="16"/>
  <c r="G137" i="16"/>
  <c r="A137" i="16"/>
  <c r="I135" i="16"/>
  <c r="H135" i="16"/>
  <c r="G135" i="16"/>
  <c r="A135" i="16"/>
  <c r="C77" i="2" l="1"/>
  <c r="D57" i="4" l="1"/>
  <c r="D62" i="4"/>
  <c r="D63" i="4"/>
  <c r="I45" i="4"/>
  <c r="H45" i="4"/>
  <c r="G45" i="4"/>
  <c r="F45" i="4"/>
  <c r="D58" i="4" l="1"/>
  <c r="D51" i="4"/>
  <c r="E51" i="4" s="1"/>
  <c r="D32" i="4"/>
  <c r="D33" i="4"/>
  <c r="E438" i="14"/>
  <c r="P19" i="6"/>
  <c r="Q19" i="6" s="1"/>
  <c r="I19" i="6"/>
  <c r="J19" i="6" s="1"/>
  <c r="L19" i="6" s="1"/>
  <c r="N19" i="6" s="1"/>
  <c r="O19" i="6" s="1"/>
  <c r="X19" i="6"/>
  <c r="A433" i="14"/>
  <c r="W19" i="6"/>
  <c r="D45" i="4" l="1"/>
  <c r="E45" i="4" s="1"/>
  <c r="V433" i="14"/>
  <c r="R19" i="6"/>
  <c r="S19" i="6" s="1"/>
  <c r="T19" i="6"/>
  <c r="C41" i="2"/>
  <c r="C43" i="2"/>
  <c r="M13" i="15" l="1"/>
  <c r="C21" i="2" l="1"/>
  <c r="D11" i="4" l="1"/>
  <c r="D22" i="4"/>
  <c r="D23" i="4"/>
  <c r="I136" i="16" l="1"/>
  <c r="H136" i="16"/>
  <c r="G136" i="16"/>
  <c r="H134" i="16"/>
  <c r="I134" i="16"/>
  <c r="G134" i="16"/>
  <c r="A139" i="16"/>
  <c r="A136" i="16"/>
  <c r="C6" i="2" l="1"/>
  <c r="I7" i="6" l="1"/>
  <c r="J7" i="6" s="1"/>
  <c r="P7" i="6"/>
  <c r="Q7" i="6" s="1"/>
  <c r="R7" i="6" s="1"/>
  <c r="I6" i="6"/>
  <c r="J6" i="6" s="1"/>
  <c r="L6" i="6" s="1"/>
  <c r="P6" i="6"/>
  <c r="Q6" i="6" s="1"/>
  <c r="I10" i="6"/>
  <c r="J10" i="6" s="1"/>
  <c r="L10" i="6" s="1"/>
  <c r="P10" i="6"/>
  <c r="Q10" i="6" s="1"/>
  <c r="I11" i="6"/>
  <c r="J11" i="6" s="1"/>
  <c r="P11" i="6"/>
  <c r="Q11" i="6" s="1"/>
  <c r="I8" i="6"/>
  <c r="J8" i="6" s="1"/>
  <c r="P8" i="6"/>
  <c r="Q8" i="6" s="1"/>
  <c r="R8" i="6" s="1"/>
  <c r="I9" i="6"/>
  <c r="J9" i="6" s="1"/>
  <c r="P9" i="6"/>
  <c r="Q9" i="6" s="1"/>
  <c r="R9" i="6" s="1"/>
  <c r="I12" i="6"/>
  <c r="J12" i="6" s="1"/>
  <c r="L12" i="6" s="1"/>
  <c r="P12" i="6"/>
  <c r="Q12" i="6" s="1"/>
  <c r="I13" i="6"/>
  <c r="J13" i="6" s="1"/>
  <c r="P13" i="6"/>
  <c r="Q13" i="6" s="1"/>
  <c r="I14" i="6"/>
  <c r="J14" i="6" s="1"/>
  <c r="P14" i="6"/>
  <c r="Q14" i="6" s="1"/>
  <c r="R14" i="6" s="1"/>
  <c r="I15" i="6"/>
  <c r="J15" i="6" s="1"/>
  <c r="L15" i="6" s="1"/>
  <c r="N15" i="6" s="1"/>
  <c r="O15" i="6" s="1"/>
  <c r="P15" i="6"/>
  <c r="Q15" i="6" s="1"/>
  <c r="R15" i="6" s="1"/>
  <c r="I16" i="6"/>
  <c r="J16" i="6" s="1"/>
  <c r="L16" i="6" s="1"/>
  <c r="P16" i="6"/>
  <c r="Q16" i="6" s="1"/>
  <c r="I17" i="6"/>
  <c r="J17" i="6" s="1"/>
  <c r="P17" i="6"/>
  <c r="Q17" i="6" s="1"/>
  <c r="I18" i="6"/>
  <c r="J18" i="6" s="1"/>
  <c r="P18" i="6"/>
  <c r="Q18" i="6" s="1"/>
  <c r="R18" i="6" s="1"/>
  <c r="I22" i="6"/>
  <c r="J22" i="6" s="1"/>
  <c r="L22" i="6" s="1"/>
  <c r="N22" i="6" s="1"/>
  <c r="O22" i="6" s="1"/>
  <c r="P22" i="6"/>
  <c r="Q22" i="6" s="1"/>
  <c r="R22" i="6" s="1"/>
  <c r="I21" i="6"/>
  <c r="J21" i="6" s="1"/>
  <c r="L21" i="6" s="1"/>
  <c r="P21" i="6"/>
  <c r="Q21" i="6" s="1"/>
  <c r="I20" i="6"/>
  <c r="J20" i="6" s="1"/>
  <c r="P20" i="6"/>
  <c r="Q20" i="6" s="1"/>
  <c r="I23" i="6"/>
  <c r="J23" i="6" s="1"/>
  <c r="P23" i="6"/>
  <c r="Q23" i="6" s="1"/>
  <c r="R23" i="6" s="1"/>
  <c r="I24" i="6"/>
  <c r="J24" i="6" s="1"/>
  <c r="L24" i="6" s="1"/>
  <c r="N24" i="6" s="1"/>
  <c r="O24" i="6" s="1"/>
  <c r="P24" i="6"/>
  <c r="Q24" i="6" s="1"/>
  <c r="R24" i="6" s="1"/>
  <c r="I25" i="6"/>
  <c r="J25" i="6" s="1"/>
  <c r="P25" i="6"/>
  <c r="Q25" i="6" s="1"/>
  <c r="I26" i="6"/>
  <c r="J26" i="6" s="1"/>
  <c r="P26" i="6"/>
  <c r="Q26" i="6" s="1"/>
  <c r="I27" i="6"/>
  <c r="J27" i="6" s="1"/>
  <c r="P27" i="6"/>
  <c r="Q27" i="6" s="1"/>
  <c r="R27" i="6" s="1"/>
  <c r="I28" i="6"/>
  <c r="J28" i="6" s="1"/>
  <c r="L28" i="6" s="1"/>
  <c r="P28" i="6"/>
  <c r="Q28" i="6" s="1"/>
  <c r="R28" i="6" s="1"/>
  <c r="I29" i="6"/>
  <c r="J29" i="6" s="1"/>
  <c r="L29" i="6" s="1"/>
  <c r="P29" i="6"/>
  <c r="Q29" i="6" s="1"/>
  <c r="I30" i="6"/>
  <c r="J30" i="6" s="1"/>
  <c r="P30" i="6"/>
  <c r="Q30" i="6" s="1"/>
  <c r="I32" i="6"/>
  <c r="J32" i="6" s="1"/>
  <c r="P32" i="6"/>
  <c r="Q32" i="6" s="1"/>
  <c r="R32" i="6" s="1"/>
  <c r="I33" i="6"/>
  <c r="P33" i="6"/>
  <c r="Q33" i="6" s="1"/>
  <c r="R33" i="6" s="1"/>
  <c r="I31" i="6"/>
  <c r="J31" i="6" s="1"/>
  <c r="P31" i="6"/>
  <c r="Q31" i="6" s="1"/>
  <c r="I34" i="6"/>
  <c r="J34" i="6" s="1"/>
  <c r="P34" i="6"/>
  <c r="Q34" i="6" s="1"/>
  <c r="R34" i="6" s="1"/>
  <c r="I35" i="6"/>
  <c r="J35" i="6" s="1"/>
  <c r="P35" i="6"/>
  <c r="Q35" i="6" s="1"/>
  <c r="R35" i="6" s="1"/>
  <c r="I37" i="6"/>
  <c r="J37" i="6" s="1"/>
  <c r="P37" i="6"/>
  <c r="Q37" i="6" s="1"/>
  <c r="I36" i="6"/>
  <c r="J36" i="6" s="1"/>
  <c r="P36" i="6"/>
  <c r="Q36" i="6" s="1"/>
  <c r="I38" i="6"/>
  <c r="J38" i="6" s="1"/>
  <c r="P38" i="6"/>
  <c r="Q38" i="6" s="1"/>
  <c r="I39" i="6"/>
  <c r="J39" i="6" s="1"/>
  <c r="P39" i="6"/>
  <c r="Q39" i="6" s="1"/>
  <c r="I40" i="6"/>
  <c r="J40" i="6" s="1"/>
  <c r="P40" i="6"/>
  <c r="Q40" i="6" s="1"/>
  <c r="I41" i="6"/>
  <c r="J41" i="6" s="1"/>
  <c r="L41" i="6" s="1"/>
  <c r="P41" i="6"/>
  <c r="Q41" i="6" s="1"/>
  <c r="I42" i="6"/>
  <c r="J42" i="6" s="1"/>
  <c r="L42" i="6" s="1"/>
  <c r="P42" i="6"/>
  <c r="Q42" i="6" s="1"/>
  <c r="R42" i="6" s="1"/>
  <c r="I43" i="6"/>
  <c r="J43" i="6" s="1"/>
  <c r="L43" i="6" s="1"/>
  <c r="P43" i="6"/>
  <c r="Q43" i="6" s="1"/>
  <c r="I44" i="6"/>
  <c r="J44" i="6" s="1"/>
  <c r="P44" i="6"/>
  <c r="Q44" i="6" s="1"/>
  <c r="I45" i="6"/>
  <c r="J45" i="6" s="1"/>
  <c r="P45" i="6"/>
  <c r="Q45" i="6" s="1"/>
  <c r="I46" i="6"/>
  <c r="J46" i="6" s="1"/>
  <c r="L46" i="6" s="1"/>
  <c r="N46" i="6" s="1"/>
  <c r="O46" i="6" s="1"/>
  <c r="P46" i="6"/>
  <c r="Q46" i="6" s="1"/>
  <c r="R46" i="6" s="1"/>
  <c r="I47" i="6"/>
  <c r="J47" i="6" s="1"/>
  <c r="P47" i="6"/>
  <c r="Q47" i="6" s="1"/>
  <c r="I48" i="6"/>
  <c r="J48" i="6" s="1"/>
  <c r="P48" i="6"/>
  <c r="Q48" i="6" s="1"/>
  <c r="I49" i="6"/>
  <c r="J49" i="6" s="1"/>
  <c r="L49" i="6" s="1"/>
  <c r="P49" i="6"/>
  <c r="Q49" i="6" s="1"/>
  <c r="I50" i="6"/>
  <c r="J50" i="6" s="1"/>
  <c r="L50" i="6" s="1"/>
  <c r="P50" i="6"/>
  <c r="Q50" i="6" s="1"/>
  <c r="R50" i="6" s="1"/>
  <c r="I52" i="6"/>
  <c r="J52" i="6" s="1"/>
  <c r="L52" i="6" s="1"/>
  <c r="P52" i="6"/>
  <c r="Q52" i="6" s="1"/>
  <c r="I53" i="6"/>
  <c r="J53" i="6" s="1"/>
  <c r="P53" i="6"/>
  <c r="Q53" i="6" s="1"/>
  <c r="I54" i="6"/>
  <c r="J54" i="6" s="1"/>
  <c r="P54" i="6"/>
  <c r="Q54" i="6" s="1"/>
  <c r="I55" i="6"/>
  <c r="J55" i="6" s="1"/>
  <c r="L55" i="6" s="1"/>
  <c r="N55" i="6" s="1"/>
  <c r="O55" i="6" s="1"/>
  <c r="P55" i="6"/>
  <c r="Q55" i="6" s="1"/>
  <c r="R55" i="6" s="1"/>
  <c r="I56" i="6"/>
  <c r="J56" i="6" s="1"/>
  <c r="P56" i="6"/>
  <c r="Q56" i="6" s="1"/>
  <c r="I57" i="6"/>
  <c r="J57" i="6" s="1"/>
  <c r="L57" i="6" s="1"/>
  <c r="P57" i="6"/>
  <c r="Q57" i="6" s="1"/>
  <c r="I58" i="6"/>
  <c r="J58" i="6" s="1"/>
  <c r="P58" i="6"/>
  <c r="Q58" i="6" s="1"/>
  <c r="R58" i="6" s="1"/>
  <c r="I60" i="6"/>
  <c r="J60" i="6" s="1"/>
  <c r="L60" i="6" s="1"/>
  <c r="P60" i="6"/>
  <c r="Q60" i="6" s="1"/>
  <c r="R60" i="6" s="1"/>
  <c r="I59" i="6"/>
  <c r="J59" i="6" s="1"/>
  <c r="P59" i="6"/>
  <c r="Q59" i="6" s="1"/>
  <c r="I61" i="6"/>
  <c r="J61" i="6" s="1"/>
  <c r="P61" i="6"/>
  <c r="Q61" i="6" s="1"/>
  <c r="I65" i="6"/>
  <c r="J65" i="6" s="1"/>
  <c r="L65" i="6" s="1"/>
  <c r="P65" i="6"/>
  <c r="Q65" i="6" s="1"/>
  <c r="R65" i="6" s="1"/>
  <c r="I62" i="6"/>
  <c r="J62" i="6" s="1"/>
  <c r="L62" i="6" s="1"/>
  <c r="P62" i="6"/>
  <c r="Q62" i="6" s="1"/>
  <c r="I63" i="6"/>
  <c r="J63" i="6" s="1"/>
  <c r="P63" i="6"/>
  <c r="Q63" i="6" s="1"/>
  <c r="I64" i="6"/>
  <c r="J64" i="6" s="1"/>
  <c r="L64" i="6" s="1"/>
  <c r="P64" i="6"/>
  <c r="Q64" i="6" s="1"/>
  <c r="I66" i="6"/>
  <c r="J66" i="6" s="1"/>
  <c r="P66" i="6"/>
  <c r="Q66" i="6" s="1"/>
  <c r="R66" i="6" s="1"/>
  <c r="I67" i="6"/>
  <c r="J67" i="6" s="1"/>
  <c r="P67" i="6"/>
  <c r="Q67" i="6" s="1"/>
  <c r="I68" i="6"/>
  <c r="J68" i="6" s="1"/>
  <c r="L68" i="6" s="1"/>
  <c r="P68" i="6"/>
  <c r="Q68" i="6" s="1"/>
  <c r="I69" i="6"/>
  <c r="J69" i="6" s="1"/>
  <c r="P69" i="6"/>
  <c r="Q69" i="6" s="1"/>
  <c r="I70" i="6"/>
  <c r="J70" i="6" s="1"/>
  <c r="P70" i="6"/>
  <c r="Q70" i="6" s="1"/>
  <c r="R70" i="6" s="1"/>
  <c r="S70" i="6" s="1"/>
  <c r="I71" i="6"/>
  <c r="J71" i="6" s="1"/>
  <c r="P71" i="6"/>
  <c r="Q71" i="6" s="1"/>
  <c r="T71" i="6" s="1"/>
  <c r="I72" i="6"/>
  <c r="J72" i="6" s="1"/>
  <c r="P72" i="6"/>
  <c r="Q72" i="6" s="1"/>
  <c r="I75" i="6"/>
  <c r="J75" i="6" s="1"/>
  <c r="P75" i="6"/>
  <c r="Q75" i="6" s="1"/>
  <c r="I73" i="6"/>
  <c r="J73" i="6" s="1"/>
  <c r="P73" i="6"/>
  <c r="Q73" i="6" s="1"/>
  <c r="I80" i="6"/>
  <c r="J80" i="6" s="1"/>
  <c r="L80" i="6" s="1"/>
  <c r="N80" i="6" s="1"/>
  <c r="O80" i="6" s="1"/>
  <c r="P80" i="6"/>
  <c r="Q80" i="6" s="1"/>
  <c r="I76" i="6"/>
  <c r="J76" i="6" s="1"/>
  <c r="L76" i="6" s="1"/>
  <c r="P76" i="6"/>
  <c r="Q76" i="6" s="1"/>
  <c r="I78" i="6"/>
  <c r="J78" i="6" s="1"/>
  <c r="P78" i="6"/>
  <c r="Q78" i="6" s="1"/>
  <c r="I77" i="6"/>
  <c r="J77" i="6" s="1"/>
  <c r="L77" i="6" s="1"/>
  <c r="P77" i="6"/>
  <c r="Q77" i="6" s="1"/>
  <c r="I79" i="6"/>
  <c r="J79" i="6" s="1"/>
  <c r="L79" i="6" s="1"/>
  <c r="P79" i="6"/>
  <c r="Q79" i="6" s="1"/>
  <c r="R79" i="6" s="1"/>
  <c r="I81" i="6"/>
  <c r="J81" i="6" s="1"/>
  <c r="P81" i="6"/>
  <c r="Q81" i="6" s="1"/>
  <c r="I74" i="6"/>
  <c r="J74" i="6" s="1"/>
  <c r="P74" i="6"/>
  <c r="Q74" i="6" s="1"/>
  <c r="T74" i="6" s="1"/>
  <c r="I82" i="6"/>
  <c r="J82" i="6" s="1"/>
  <c r="L82" i="6" s="1"/>
  <c r="N82" i="6" s="1"/>
  <c r="O82" i="6" s="1"/>
  <c r="P82" i="6"/>
  <c r="Q82" i="6" s="1"/>
  <c r="I84" i="6"/>
  <c r="J84" i="6" s="1"/>
  <c r="L84" i="6" s="1"/>
  <c r="P84" i="6"/>
  <c r="Q84" i="6" s="1"/>
  <c r="I85" i="6"/>
  <c r="J85" i="6" s="1"/>
  <c r="P85" i="6"/>
  <c r="Q85" i="6" s="1"/>
  <c r="I86" i="6"/>
  <c r="J86" i="6" s="1"/>
  <c r="L86" i="6" s="1"/>
  <c r="P86" i="6"/>
  <c r="Q86" i="6" s="1"/>
  <c r="I83" i="6"/>
  <c r="J83" i="6" s="1"/>
  <c r="P83" i="6"/>
  <c r="Q83" i="6" s="1"/>
  <c r="I87" i="6"/>
  <c r="J87" i="6" s="1"/>
  <c r="L87" i="6" s="1"/>
  <c r="P87" i="6"/>
  <c r="Q87" i="6" s="1"/>
  <c r="I88" i="6"/>
  <c r="J88" i="6" s="1"/>
  <c r="P88" i="6"/>
  <c r="Q88" i="6" s="1"/>
  <c r="I89" i="6"/>
  <c r="J89" i="6" s="1"/>
  <c r="P89" i="6"/>
  <c r="Q89" i="6" s="1"/>
  <c r="T89" i="6" s="1"/>
  <c r="I90" i="6"/>
  <c r="J90" i="6" s="1"/>
  <c r="P90" i="6"/>
  <c r="Q90" i="6" s="1"/>
  <c r="I91" i="6"/>
  <c r="J91" i="6" s="1"/>
  <c r="L91" i="6" s="1"/>
  <c r="P91" i="6"/>
  <c r="Q91" i="6" s="1"/>
  <c r="I92" i="6"/>
  <c r="J92" i="6" s="1"/>
  <c r="P92" i="6"/>
  <c r="Q92" i="6" s="1"/>
  <c r="R92" i="6" s="1"/>
  <c r="I93" i="6"/>
  <c r="J93" i="6" s="1"/>
  <c r="L93" i="6" s="1"/>
  <c r="P93" i="6"/>
  <c r="Q93" i="6" s="1"/>
  <c r="I94" i="6"/>
  <c r="J94" i="6" s="1"/>
  <c r="P94" i="6"/>
  <c r="Q94" i="6" s="1"/>
  <c r="I95" i="6"/>
  <c r="J95" i="6" s="1"/>
  <c r="L95" i="6" s="1"/>
  <c r="P95" i="6"/>
  <c r="Q95" i="6" s="1"/>
  <c r="I96" i="6"/>
  <c r="J96" i="6" s="1"/>
  <c r="P96" i="6"/>
  <c r="Q96" i="6" s="1"/>
  <c r="T96" i="6" s="1"/>
  <c r="I97" i="6"/>
  <c r="J97" i="6" s="1"/>
  <c r="P97" i="6"/>
  <c r="Q97" i="6" s="1"/>
  <c r="T97" i="6" s="1"/>
  <c r="I98" i="6"/>
  <c r="J98" i="6" s="1"/>
  <c r="P98" i="6"/>
  <c r="Q98" i="6" s="1"/>
  <c r="I99" i="6"/>
  <c r="J99" i="6" s="1"/>
  <c r="L99" i="6" s="1"/>
  <c r="P99" i="6"/>
  <c r="Q99" i="6" s="1"/>
  <c r="I100" i="6"/>
  <c r="J100" i="6" s="1"/>
  <c r="P100" i="6"/>
  <c r="Q100" i="6" s="1"/>
  <c r="R100" i="6" s="1"/>
  <c r="I101" i="6"/>
  <c r="J101" i="6" s="1"/>
  <c r="L101" i="6" s="1"/>
  <c r="P101" i="6"/>
  <c r="Q101" i="6" s="1"/>
  <c r="I102" i="6"/>
  <c r="J102" i="6" s="1"/>
  <c r="P102" i="6"/>
  <c r="Q102" i="6" s="1"/>
  <c r="I103" i="6"/>
  <c r="J103" i="6" s="1"/>
  <c r="L103" i="6" s="1"/>
  <c r="P103" i="6"/>
  <c r="Q103" i="6" s="1"/>
  <c r="I104" i="6"/>
  <c r="J104" i="6" s="1"/>
  <c r="P104" i="6"/>
  <c r="Q104" i="6" s="1"/>
  <c r="I105" i="6"/>
  <c r="J105" i="6" s="1"/>
  <c r="P105" i="6"/>
  <c r="Q105" i="6" s="1"/>
  <c r="T105" i="6" s="1"/>
  <c r="I106" i="6"/>
  <c r="J106" i="6" s="1"/>
  <c r="P106" i="6"/>
  <c r="Q106" i="6" s="1"/>
  <c r="I107" i="6"/>
  <c r="J107" i="6" s="1"/>
  <c r="L107" i="6" s="1"/>
  <c r="P107" i="6"/>
  <c r="Q107" i="6" s="1"/>
  <c r="I108" i="6"/>
  <c r="J108" i="6" s="1"/>
  <c r="P108" i="6"/>
  <c r="Q108" i="6" s="1"/>
  <c r="R108" i="6" s="1"/>
  <c r="I109" i="6"/>
  <c r="J109" i="6" s="1"/>
  <c r="L109" i="6" s="1"/>
  <c r="P109" i="6"/>
  <c r="Q109" i="6" s="1"/>
  <c r="I110" i="6"/>
  <c r="J110" i="6" s="1"/>
  <c r="P110" i="6"/>
  <c r="Q110" i="6" s="1"/>
  <c r="I111" i="6"/>
  <c r="J111" i="6" s="1"/>
  <c r="L111" i="6" s="1"/>
  <c r="P111" i="6"/>
  <c r="Q111" i="6" s="1"/>
  <c r="I112" i="6"/>
  <c r="J112" i="6" s="1"/>
  <c r="P112" i="6"/>
  <c r="Q112" i="6" s="1"/>
  <c r="T112" i="6" s="1"/>
  <c r="I115" i="6"/>
  <c r="J115" i="6" s="1"/>
  <c r="P115" i="6"/>
  <c r="Q115" i="6" s="1"/>
  <c r="I113" i="6"/>
  <c r="J113" i="6" s="1"/>
  <c r="P113" i="6"/>
  <c r="Q113" i="6" s="1"/>
  <c r="I114" i="6"/>
  <c r="J114" i="6" s="1"/>
  <c r="P114" i="6"/>
  <c r="Q114" i="6" s="1"/>
  <c r="I116" i="6"/>
  <c r="J116" i="6" s="1"/>
  <c r="P116" i="6"/>
  <c r="Q116" i="6" s="1"/>
  <c r="I117" i="6"/>
  <c r="J117" i="6" s="1"/>
  <c r="L117" i="6" s="1"/>
  <c r="P117" i="6"/>
  <c r="Q117" i="6" s="1"/>
  <c r="R117" i="6" s="1"/>
  <c r="I118" i="6"/>
  <c r="J118" i="6" s="1"/>
  <c r="L118" i="6" s="1"/>
  <c r="P118" i="6"/>
  <c r="Q118" i="6" s="1"/>
  <c r="I119" i="6"/>
  <c r="J119" i="6" s="1"/>
  <c r="L119" i="6" s="1"/>
  <c r="P119" i="6"/>
  <c r="Q119" i="6" s="1"/>
  <c r="I120" i="6"/>
  <c r="J120" i="6" s="1"/>
  <c r="L120" i="6" s="1"/>
  <c r="P120" i="6"/>
  <c r="Q120" i="6" s="1"/>
  <c r="I121" i="6"/>
  <c r="J121" i="6" s="1"/>
  <c r="P121" i="6"/>
  <c r="Q121" i="6" s="1"/>
  <c r="I122" i="6"/>
  <c r="J122" i="6" s="1"/>
  <c r="L122" i="6" s="1"/>
  <c r="P122" i="6"/>
  <c r="Q122" i="6" s="1"/>
  <c r="I123" i="6"/>
  <c r="J123" i="6" s="1"/>
  <c r="L123" i="6" s="1"/>
  <c r="P123" i="6"/>
  <c r="Q123" i="6" s="1"/>
  <c r="I124" i="6"/>
  <c r="J124" i="6" s="1"/>
  <c r="P124" i="6"/>
  <c r="Q124" i="6" s="1"/>
  <c r="I125" i="6"/>
  <c r="J125" i="6" s="1"/>
  <c r="P125" i="6"/>
  <c r="Q125" i="6" s="1"/>
  <c r="I126" i="6"/>
  <c r="J126" i="6" s="1"/>
  <c r="L126" i="6" s="1"/>
  <c r="P126" i="6"/>
  <c r="Q126" i="6" s="1"/>
  <c r="R126" i="6" s="1"/>
  <c r="I127" i="6"/>
  <c r="J127" i="6" s="1"/>
  <c r="L127" i="6" s="1"/>
  <c r="P127" i="6"/>
  <c r="Q127" i="6" s="1"/>
  <c r="I128" i="6"/>
  <c r="J128" i="6" s="1"/>
  <c r="L128" i="6" s="1"/>
  <c r="P128" i="6"/>
  <c r="Q128" i="6" s="1"/>
  <c r="R128" i="6" s="1"/>
  <c r="I129" i="6"/>
  <c r="J129" i="6" s="1"/>
  <c r="P129" i="6"/>
  <c r="Q129" i="6" s="1"/>
  <c r="I130" i="6"/>
  <c r="J130" i="6" s="1"/>
  <c r="L130" i="6" s="1"/>
  <c r="P130" i="6"/>
  <c r="Q130" i="6" s="1"/>
  <c r="I131" i="6"/>
  <c r="J131" i="6" s="1"/>
  <c r="L131" i="6" s="1"/>
  <c r="P131" i="6"/>
  <c r="Q131" i="6" s="1"/>
  <c r="I132" i="6"/>
  <c r="J132" i="6" s="1"/>
  <c r="P132" i="6"/>
  <c r="Q132" i="6" s="1"/>
  <c r="I133" i="6"/>
  <c r="J133" i="6" s="1"/>
  <c r="P133" i="6"/>
  <c r="Q133" i="6" s="1"/>
  <c r="I134" i="6"/>
  <c r="J134" i="6" s="1"/>
  <c r="L134" i="6" s="1"/>
  <c r="N134" i="6" s="1"/>
  <c r="O134" i="6" s="1"/>
  <c r="P134" i="6"/>
  <c r="Q134" i="6" s="1"/>
  <c r="T134" i="6" s="1"/>
  <c r="I135" i="6"/>
  <c r="J135" i="6" s="1"/>
  <c r="L135" i="6" s="1"/>
  <c r="P135" i="6"/>
  <c r="Q135" i="6" s="1"/>
  <c r="I136" i="6"/>
  <c r="J136" i="6" s="1"/>
  <c r="L136" i="6" s="1"/>
  <c r="P136" i="6"/>
  <c r="Q136" i="6" s="1"/>
  <c r="R136" i="6" s="1"/>
  <c r="I137" i="6"/>
  <c r="J137" i="6" s="1"/>
  <c r="L137" i="6" s="1"/>
  <c r="P137" i="6"/>
  <c r="Q137" i="6" s="1"/>
  <c r="I138" i="6"/>
  <c r="J138" i="6" s="1"/>
  <c r="P138" i="6"/>
  <c r="Q138" i="6" s="1"/>
  <c r="T138" i="6" s="1"/>
  <c r="I139" i="6"/>
  <c r="J139" i="6" s="1"/>
  <c r="P139" i="6"/>
  <c r="Q139" i="6" s="1"/>
  <c r="I140" i="6"/>
  <c r="J140" i="6" s="1"/>
  <c r="L140" i="6" s="1"/>
  <c r="N140" i="6" s="1"/>
  <c r="O140" i="6" s="1"/>
  <c r="P140" i="6"/>
  <c r="Q140" i="6" s="1"/>
  <c r="T140" i="6" s="1"/>
  <c r="P5" i="6"/>
  <c r="Q5" i="6" s="1"/>
  <c r="R5" i="6" s="1"/>
  <c r="I5" i="6"/>
  <c r="J5" i="6" s="1"/>
  <c r="W10" i="6"/>
  <c r="T125" i="6" l="1"/>
  <c r="T123" i="6"/>
  <c r="T114" i="6"/>
  <c r="T133" i="6"/>
  <c r="T115" i="6"/>
  <c r="T88" i="6"/>
  <c r="T81" i="6"/>
  <c r="T72" i="6"/>
  <c r="T69" i="6"/>
  <c r="T39" i="6"/>
  <c r="L37" i="6"/>
  <c r="T63" i="6"/>
  <c r="T61" i="6"/>
  <c r="T52" i="6"/>
  <c r="T43" i="6"/>
  <c r="T47" i="6"/>
  <c r="J33" i="6"/>
  <c r="L33" i="6" s="1"/>
  <c r="N33" i="6" s="1"/>
  <c r="O33" i="6" s="1"/>
  <c r="L25" i="6"/>
  <c r="T65" i="6"/>
  <c r="R133" i="6"/>
  <c r="S133" i="6" s="1"/>
  <c r="T70" i="6"/>
  <c r="T92" i="6"/>
  <c r="R115" i="6"/>
  <c r="N93" i="6"/>
  <c r="O93" i="6" s="1"/>
  <c r="S92" i="6"/>
  <c r="N41" i="6"/>
  <c r="O41" i="6" s="1"/>
  <c r="S65" i="6"/>
  <c r="R120" i="6"/>
  <c r="S120" i="6" s="1"/>
  <c r="R80" i="6"/>
  <c r="T80" i="6"/>
  <c r="R68" i="6"/>
  <c r="T68" i="6"/>
  <c r="L133" i="6"/>
  <c r="N133" i="6" s="1"/>
  <c r="O133" i="6" s="1"/>
  <c r="N119" i="6"/>
  <c r="O119" i="6" s="1"/>
  <c r="N109" i="6"/>
  <c r="O109" i="6" s="1"/>
  <c r="R97" i="6"/>
  <c r="S97" i="6" s="1"/>
  <c r="N84" i="6"/>
  <c r="O84" i="6" s="1"/>
  <c r="R74" i="6"/>
  <c r="S74" i="6" s="1"/>
  <c r="R134" i="6"/>
  <c r="S134" i="6" s="1"/>
  <c r="N127" i="6"/>
  <c r="O127" i="6" s="1"/>
  <c r="N126" i="6"/>
  <c r="O126" i="6" s="1"/>
  <c r="R114" i="6"/>
  <c r="R89" i="6"/>
  <c r="S89" i="6" s="1"/>
  <c r="R71" i="6"/>
  <c r="S71" i="6" s="1"/>
  <c r="T58" i="6"/>
  <c r="R140" i="6"/>
  <c r="S128" i="6"/>
  <c r="R125" i="6"/>
  <c r="R123" i="6"/>
  <c r="N117" i="6"/>
  <c r="O117" i="6" s="1"/>
  <c r="S108" i="6"/>
  <c r="N86" i="6"/>
  <c r="O86" i="6" s="1"/>
  <c r="N50" i="6"/>
  <c r="O50" i="6" s="1"/>
  <c r="N49" i="6"/>
  <c r="O49" i="6" s="1"/>
  <c r="N28" i="6"/>
  <c r="O28" i="6" s="1"/>
  <c r="R59" i="6" l="1"/>
  <c r="T59" i="6"/>
  <c r="L74" i="6"/>
  <c r="N74" i="6" s="1"/>
  <c r="O74" i="6" s="1"/>
  <c r="R104" i="6"/>
  <c r="S104" i="6" s="1"/>
  <c r="L97" i="6"/>
  <c r="N97" i="6" s="1"/>
  <c r="O97" i="6" s="1"/>
  <c r="T62" i="6"/>
  <c r="R57" i="6"/>
  <c r="S57" i="6" s="1"/>
  <c r="T57" i="6"/>
  <c r="T139" i="6"/>
  <c r="R139" i="6"/>
  <c r="S139" i="6" s="1"/>
  <c r="T117" i="6"/>
  <c r="S117" i="6"/>
  <c r="R112" i="6"/>
  <c r="S112" i="6" s="1"/>
  <c r="L105" i="6"/>
  <c r="N105" i="6" s="1"/>
  <c r="O105" i="6" s="1"/>
  <c r="L59" i="6"/>
  <c r="N59" i="6" s="1"/>
  <c r="O59" i="6" s="1"/>
  <c r="N135" i="6"/>
  <c r="O135" i="6" s="1"/>
  <c r="N118" i="6"/>
  <c r="O118" i="6" s="1"/>
  <c r="L115" i="6"/>
  <c r="N115" i="6" s="1"/>
  <c r="O115" i="6" s="1"/>
  <c r="T101" i="6"/>
  <c r="R101" i="6"/>
  <c r="S101" i="6" s="1"/>
  <c r="R88" i="6"/>
  <c r="S88" i="6" s="1"/>
  <c r="S125" i="6"/>
  <c r="N123" i="6"/>
  <c r="O123" i="6" s="1"/>
  <c r="L114" i="6"/>
  <c r="N114" i="6" s="1"/>
  <c r="O114" i="6" s="1"/>
  <c r="S115" i="6"/>
  <c r="T109" i="6"/>
  <c r="R109" i="6"/>
  <c r="S109" i="6" s="1"/>
  <c r="T108" i="6"/>
  <c r="R105" i="6"/>
  <c r="S105" i="6" s="1"/>
  <c r="T104" i="6"/>
  <c r="N101" i="6"/>
  <c r="O101" i="6" s="1"/>
  <c r="S100" i="6"/>
  <c r="R96" i="6"/>
  <c r="S96" i="6" s="1"/>
  <c r="L89" i="6"/>
  <c r="N89" i="6" s="1"/>
  <c r="O89" i="6" s="1"/>
  <c r="N68" i="6"/>
  <c r="O68" i="6" s="1"/>
  <c r="R62" i="6"/>
  <c r="S62" i="6" s="1"/>
  <c r="L45" i="6"/>
  <c r="N45" i="6" s="1"/>
  <c r="O45" i="6" s="1"/>
  <c r="N42" i="6"/>
  <c r="O42" i="6" s="1"/>
  <c r="T131" i="6"/>
  <c r="R131" i="6"/>
  <c r="T86" i="6"/>
  <c r="R86" i="6"/>
  <c r="S86" i="6" s="1"/>
  <c r="L71" i="6"/>
  <c r="N71" i="6" s="1"/>
  <c r="O71" i="6" s="1"/>
  <c r="L63" i="6"/>
  <c r="N63" i="6" s="1"/>
  <c r="O63" i="6" s="1"/>
  <c r="L54" i="6"/>
  <c r="N54" i="6" s="1"/>
  <c r="O54" i="6" s="1"/>
  <c r="T126" i="6"/>
  <c r="S126" i="6"/>
  <c r="T93" i="6"/>
  <c r="R93" i="6"/>
  <c r="S93" i="6" s="1"/>
  <c r="L35" i="6"/>
  <c r="N35" i="6" s="1"/>
  <c r="O35" i="6" s="1"/>
  <c r="L125" i="6"/>
  <c r="N125" i="6" s="1"/>
  <c r="O125" i="6" s="1"/>
  <c r="T118" i="6"/>
  <c r="R118" i="6"/>
  <c r="S118" i="6" s="1"/>
  <c r="T100" i="6"/>
  <c r="T82" i="6"/>
  <c r="R82" i="6"/>
  <c r="S82" i="6" s="1"/>
  <c r="L9" i="6"/>
  <c r="N9" i="6" s="1"/>
  <c r="O9" i="6" s="1"/>
  <c r="L7" i="6"/>
  <c r="N7" i="6" s="1"/>
  <c r="O7" i="6" s="1"/>
  <c r="L132" i="6" l="1"/>
  <c r="N132" i="6" s="1"/>
  <c r="O132" i="6" s="1"/>
  <c r="R124" i="6"/>
  <c r="S124" i="6" s="1"/>
  <c r="T124" i="6"/>
  <c r="T121" i="6"/>
  <c r="R121" i="6"/>
  <c r="S121" i="6" s="1"/>
  <c r="L110" i="6"/>
  <c r="N110" i="6" s="1"/>
  <c r="O110" i="6" s="1"/>
  <c r="L102" i="6"/>
  <c r="N102" i="6" s="1"/>
  <c r="O102" i="6" s="1"/>
  <c r="T98" i="6"/>
  <c r="R98" i="6"/>
  <c r="S98" i="6" s="1"/>
  <c r="R95" i="6"/>
  <c r="S95" i="6" s="1"/>
  <c r="T95" i="6"/>
  <c r="L83" i="6"/>
  <c r="N83" i="6" s="1"/>
  <c r="O83" i="6" s="1"/>
  <c r="R78" i="6"/>
  <c r="S78" i="6" s="1"/>
  <c r="T78" i="6"/>
  <c r="N137" i="6"/>
  <c r="O137" i="6" s="1"/>
  <c r="N130" i="6"/>
  <c r="O130" i="6" s="1"/>
  <c r="T127" i="6"/>
  <c r="R127" i="6"/>
  <c r="S127" i="6" s="1"/>
  <c r="L124" i="6"/>
  <c r="N124" i="6" s="1"/>
  <c r="O124" i="6" s="1"/>
  <c r="L121" i="6"/>
  <c r="N121" i="6" s="1"/>
  <c r="O121" i="6" s="1"/>
  <c r="R116" i="6"/>
  <c r="S116" i="6" s="1"/>
  <c r="T116" i="6"/>
  <c r="L112" i="6"/>
  <c r="N112" i="6" s="1"/>
  <c r="O112" i="6" s="1"/>
  <c r="L104" i="6"/>
  <c r="N104" i="6" s="1"/>
  <c r="O104" i="6" s="1"/>
  <c r="L96" i="6"/>
  <c r="N96" i="6" s="1"/>
  <c r="O96" i="6" s="1"/>
  <c r="L88" i="6"/>
  <c r="N88" i="6" s="1"/>
  <c r="O88" i="6" s="1"/>
  <c r="R138" i="6"/>
  <c r="S138" i="6" s="1"/>
  <c r="R137" i="6"/>
  <c r="S137" i="6" s="1"/>
  <c r="T137" i="6"/>
  <c r="S136" i="6"/>
  <c r="N131" i="6"/>
  <c r="O131" i="6" s="1"/>
  <c r="T130" i="6"/>
  <c r="R130" i="6"/>
  <c r="S130" i="6" s="1"/>
  <c r="N122" i="6"/>
  <c r="O122" i="6" s="1"/>
  <c r="R119" i="6"/>
  <c r="S119" i="6" s="1"/>
  <c r="T119" i="6"/>
  <c r="L116" i="6"/>
  <c r="N116" i="6" s="1"/>
  <c r="O116" i="6" s="1"/>
  <c r="L113" i="6"/>
  <c r="N113" i="6" s="1"/>
  <c r="O113" i="6" s="1"/>
  <c r="T110" i="6"/>
  <c r="R110" i="6"/>
  <c r="S110" i="6" s="1"/>
  <c r="R107" i="6"/>
  <c r="S107" i="6" s="1"/>
  <c r="T107" i="6"/>
  <c r="L106" i="6"/>
  <c r="N106" i="6" s="1"/>
  <c r="O106" i="6" s="1"/>
  <c r="T102" i="6"/>
  <c r="R102" i="6"/>
  <c r="S102" i="6" s="1"/>
  <c r="R99" i="6"/>
  <c r="S99" i="6" s="1"/>
  <c r="T99" i="6"/>
  <c r="L98" i="6"/>
  <c r="N98" i="6" s="1"/>
  <c r="O98" i="6" s="1"/>
  <c r="T94" i="6"/>
  <c r="R94" i="6"/>
  <c r="S94" i="6" s="1"/>
  <c r="R91" i="6"/>
  <c r="S91" i="6" s="1"/>
  <c r="T91" i="6"/>
  <c r="L90" i="6"/>
  <c r="N90" i="6" s="1"/>
  <c r="O90" i="6" s="1"/>
  <c r="T83" i="6"/>
  <c r="R83" i="6"/>
  <c r="S83" i="6" s="1"/>
  <c r="R84" i="6"/>
  <c r="S84" i="6" s="1"/>
  <c r="T84" i="6"/>
  <c r="R135" i="6"/>
  <c r="S135" i="6" s="1"/>
  <c r="T135" i="6"/>
  <c r="L129" i="6"/>
  <c r="N129" i="6" s="1"/>
  <c r="O129" i="6" s="1"/>
  <c r="T113" i="6"/>
  <c r="R113" i="6"/>
  <c r="S113" i="6" s="1"/>
  <c r="R111" i="6"/>
  <c r="S111" i="6" s="1"/>
  <c r="T111" i="6"/>
  <c r="T106" i="6"/>
  <c r="R106" i="6"/>
  <c r="S106" i="6" s="1"/>
  <c r="R103" i="6"/>
  <c r="S103" i="6" s="1"/>
  <c r="T103" i="6"/>
  <c r="L94" i="6"/>
  <c r="N94" i="6" s="1"/>
  <c r="O94" i="6" s="1"/>
  <c r="T90" i="6"/>
  <c r="R90" i="6"/>
  <c r="S90" i="6" s="1"/>
  <c r="R87" i="6"/>
  <c r="S87" i="6" s="1"/>
  <c r="T87" i="6"/>
  <c r="L139" i="6"/>
  <c r="N139" i="6" s="1"/>
  <c r="O139" i="6" s="1"/>
  <c r="L138" i="6"/>
  <c r="N138" i="6" s="1"/>
  <c r="O138" i="6" s="1"/>
  <c r="R132" i="6"/>
  <c r="S132" i="6" s="1"/>
  <c r="T132" i="6"/>
  <c r="R129" i="6"/>
  <c r="S129" i="6" s="1"/>
  <c r="T129" i="6"/>
  <c r="T122" i="6"/>
  <c r="R122" i="6"/>
  <c r="S122" i="6" s="1"/>
  <c r="L108" i="6"/>
  <c r="N108" i="6" s="1"/>
  <c r="O108" i="6" s="1"/>
  <c r="L100" i="6"/>
  <c r="N100" i="6" s="1"/>
  <c r="O100" i="6" s="1"/>
  <c r="L92" i="6"/>
  <c r="N92" i="6" s="1"/>
  <c r="O92" i="6" s="1"/>
  <c r="L85" i="6"/>
  <c r="N85" i="6" s="1"/>
  <c r="O85" i="6" s="1"/>
  <c r="L72" i="6"/>
  <c r="N72" i="6" s="1"/>
  <c r="O72" i="6" s="1"/>
  <c r="L56" i="6"/>
  <c r="N56" i="6" s="1"/>
  <c r="O56" i="6" s="1"/>
  <c r="N136" i="6"/>
  <c r="O136" i="6" s="1"/>
  <c r="N120" i="6"/>
  <c r="O120" i="6" s="1"/>
  <c r="R85" i="6"/>
  <c r="S85" i="6" s="1"/>
  <c r="T85" i="6"/>
  <c r="N76" i="6"/>
  <c r="O76" i="6" s="1"/>
  <c r="L67" i="6"/>
  <c r="N67" i="6" s="1"/>
  <c r="O67" i="6" s="1"/>
  <c r="N64" i="6"/>
  <c r="O64" i="6" s="1"/>
  <c r="N60" i="6"/>
  <c r="O60" i="6" s="1"/>
  <c r="T49" i="6"/>
  <c r="R49" i="6"/>
  <c r="S49" i="6" s="1"/>
  <c r="R26" i="6"/>
  <c r="S26" i="6" s="1"/>
  <c r="T26" i="6"/>
  <c r="L18" i="6"/>
  <c r="N18" i="6" s="1"/>
  <c r="O18" i="6" s="1"/>
  <c r="L17" i="6"/>
  <c r="N17" i="6" s="1"/>
  <c r="O17" i="6" s="1"/>
  <c r="T14" i="6"/>
  <c r="S14" i="6"/>
  <c r="T136" i="6"/>
  <c r="S140" i="6"/>
  <c r="T128" i="6"/>
  <c r="T120" i="6"/>
  <c r="N111" i="6"/>
  <c r="O111" i="6" s="1"/>
  <c r="N107" i="6"/>
  <c r="O107" i="6" s="1"/>
  <c r="N103" i="6"/>
  <c r="O103" i="6" s="1"/>
  <c r="N99" i="6"/>
  <c r="O99" i="6" s="1"/>
  <c r="N95" i="6"/>
  <c r="O95" i="6" s="1"/>
  <c r="N91" i="6"/>
  <c r="O91" i="6" s="1"/>
  <c r="N87" i="6"/>
  <c r="O87" i="6" s="1"/>
  <c r="L81" i="6"/>
  <c r="N81" i="6" s="1"/>
  <c r="O81" i="6" s="1"/>
  <c r="S79" i="6"/>
  <c r="T79" i="6"/>
  <c r="R73" i="6"/>
  <c r="S73" i="6" s="1"/>
  <c r="T73" i="6"/>
  <c r="L70" i="6"/>
  <c r="N70" i="6" s="1"/>
  <c r="O70" i="6" s="1"/>
  <c r="R69" i="6"/>
  <c r="S69" i="6" s="1"/>
  <c r="T67" i="6"/>
  <c r="R67" i="6"/>
  <c r="S67" i="6" s="1"/>
  <c r="N65" i="6"/>
  <c r="O65" i="6" s="1"/>
  <c r="T56" i="6"/>
  <c r="R56" i="6"/>
  <c r="S56" i="6" s="1"/>
  <c r="R53" i="6"/>
  <c r="S53" i="6" s="1"/>
  <c r="T53" i="6"/>
  <c r="L47" i="6"/>
  <c r="N47" i="6" s="1"/>
  <c r="O47" i="6" s="1"/>
  <c r="L34" i="6"/>
  <c r="N34" i="6" s="1"/>
  <c r="O34" i="6" s="1"/>
  <c r="L31" i="6"/>
  <c r="N31" i="6" s="1"/>
  <c r="O31" i="6" s="1"/>
  <c r="T32" i="6"/>
  <c r="S32" i="6"/>
  <c r="R11" i="6"/>
  <c r="S11" i="6" s="1"/>
  <c r="T11" i="6"/>
  <c r="R75" i="6"/>
  <c r="S75" i="6" s="1"/>
  <c r="T75" i="6"/>
  <c r="R61" i="6"/>
  <c r="S61" i="6" s="1"/>
  <c r="T41" i="6"/>
  <c r="R41" i="6"/>
  <c r="S41" i="6" s="1"/>
  <c r="R12" i="6"/>
  <c r="S12" i="6" s="1"/>
  <c r="T12" i="6"/>
  <c r="S131" i="6"/>
  <c r="N128" i="6"/>
  <c r="O128" i="6" s="1"/>
  <c r="S123" i="6"/>
  <c r="S114" i="6"/>
  <c r="R81" i="6"/>
  <c r="S81" i="6" s="1"/>
  <c r="N77" i="6"/>
  <c r="O77" i="6" s="1"/>
  <c r="L73" i="6"/>
  <c r="N73" i="6" s="1"/>
  <c r="O73" i="6" s="1"/>
  <c r="L69" i="6"/>
  <c r="N69" i="6" s="1"/>
  <c r="O69" i="6" s="1"/>
  <c r="S66" i="6"/>
  <c r="T66" i="6"/>
  <c r="R63" i="6"/>
  <c r="S63" i="6" s="1"/>
  <c r="N79" i="6"/>
  <c r="O79" i="6" s="1"/>
  <c r="T77" i="6"/>
  <c r="R77" i="6"/>
  <c r="S77" i="6" s="1"/>
  <c r="L78" i="6"/>
  <c r="N78" i="6" s="1"/>
  <c r="O78" i="6" s="1"/>
  <c r="R76" i="6"/>
  <c r="S76" i="6" s="1"/>
  <c r="T76" i="6"/>
  <c r="L75" i="6"/>
  <c r="N75" i="6" s="1"/>
  <c r="O75" i="6" s="1"/>
  <c r="R72" i="6"/>
  <c r="S72" i="6" s="1"/>
  <c r="L66" i="6"/>
  <c r="N66" i="6" s="1"/>
  <c r="O66" i="6" s="1"/>
  <c r="R64" i="6"/>
  <c r="S64" i="6" s="1"/>
  <c r="T64" i="6"/>
  <c r="L61" i="6"/>
  <c r="N61" i="6" s="1"/>
  <c r="O61" i="6" s="1"/>
  <c r="T60" i="6"/>
  <c r="S60" i="6"/>
  <c r="L58" i="6"/>
  <c r="N58" i="6" s="1"/>
  <c r="O58" i="6" s="1"/>
  <c r="R44" i="6"/>
  <c r="S44" i="6" s="1"/>
  <c r="T44" i="6"/>
  <c r="L39" i="6"/>
  <c r="N39" i="6" s="1"/>
  <c r="O39" i="6" s="1"/>
  <c r="R29" i="6"/>
  <c r="S29" i="6" s="1"/>
  <c r="T29" i="6"/>
  <c r="S68" i="6"/>
  <c r="N62" i="6"/>
  <c r="O62" i="6" s="1"/>
  <c r="S58" i="6"/>
  <c r="N52" i="6"/>
  <c r="O52" i="6" s="1"/>
  <c r="N43" i="6"/>
  <c r="O43" i="6" s="1"/>
  <c r="R38" i="6"/>
  <c r="S38" i="6" s="1"/>
  <c r="T38" i="6"/>
  <c r="R37" i="6"/>
  <c r="S37" i="6" s="1"/>
  <c r="T37" i="6"/>
  <c r="L27" i="6"/>
  <c r="N27" i="6" s="1"/>
  <c r="O27" i="6" s="1"/>
  <c r="L26" i="6"/>
  <c r="N26" i="6" s="1"/>
  <c r="O26" i="6" s="1"/>
  <c r="R21" i="6"/>
  <c r="S21" i="6" s="1"/>
  <c r="T21" i="6"/>
  <c r="L8" i="6"/>
  <c r="N8" i="6" s="1"/>
  <c r="O8" i="6" s="1"/>
  <c r="L11" i="6"/>
  <c r="N11" i="6" s="1"/>
  <c r="O11" i="6" s="1"/>
  <c r="R6" i="6"/>
  <c r="S6" i="6" s="1"/>
  <c r="T6" i="6"/>
  <c r="S80" i="6"/>
  <c r="S59" i="6"/>
  <c r="T54" i="6"/>
  <c r="R54" i="6"/>
  <c r="S54" i="6" s="1"/>
  <c r="R48" i="6"/>
  <c r="S48" i="6" s="1"/>
  <c r="T48" i="6"/>
  <c r="T45" i="6"/>
  <c r="R45" i="6"/>
  <c r="S45" i="6" s="1"/>
  <c r="R40" i="6"/>
  <c r="S40" i="6" s="1"/>
  <c r="T40" i="6"/>
  <c r="R31" i="6"/>
  <c r="S31" i="6" s="1"/>
  <c r="T31" i="6"/>
  <c r="T23" i="6"/>
  <c r="S23" i="6"/>
  <c r="R17" i="6"/>
  <c r="S17" i="6" s="1"/>
  <c r="T17" i="6"/>
  <c r="L36" i="6"/>
  <c r="N36" i="6" s="1"/>
  <c r="O36" i="6" s="1"/>
  <c r="T34" i="6"/>
  <c r="S34" i="6"/>
  <c r="L30" i="6"/>
  <c r="N30" i="6" s="1"/>
  <c r="O30" i="6" s="1"/>
  <c r="T27" i="6"/>
  <c r="S27" i="6"/>
  <c r="R25" i="6"/>
  <c r="S25" i="6" s="1"/>
  <c r="T25" i="6"/>
  <c r="L20" i="6"/>
  <c r="N20" i="6" s="1"/>
  <c r="O20" i="6" s="1"/>
  <c r="T18" i="6"/>
  <c r="S18" i="6"/>
  <c r="R16" i="6"/>
  <c r="S16" i="6" s="1"/>
  <c r="T16" i="6"/>
  <c r="L13" i="6"/>
  <c r="N13" i="6" s="1"/>
  <c r="O13" i="6" s="1"/>
  <c r="T8" i="6"/>
  <c r="S8" i="6"/>
  <c r="R10" i="6"/>
  <c r="S10" i="6" s="1"/>
  <c r="T10" i="6"/>
  <c r="N57" i="6"/>
  <c r="O57" i="6" s="1"/>
  <c r="S55" i="6"/>
  <c r="T55" i="6"/>
  <c r="L53" i="6"/>
  <c r="N53" i="6" s="1"/>
  <c r="O53" i="6" s="1"/>
  <c r="R52" i="6"/>
  <c r="S52" i="6" s="1"/>
  <c r="S50" i="6"/>
  <c r="T50" i="6"/>
  <c r="L48" i="6"/>
  <c r="N48" i="6" s="1"/>
  <c r="O48" i="6" s="1"/>
  <c r="R47" i="6"/>
  <c r="S47" i="6" s="1"/>
  <c r="S46" i="6"/>
  <c r="T46" i="6"/>
  <c r="L44" i="6"/>
  <c r="N44" i="6" s="1"/>
  <c r="O44" i="6" s="1"/>
  <c r="R43" i="6"/>
  <c r="S43" i="6" s="1"/>
  <c r="S42" i="6"/>
  <c r="T42" i="6"/>
  <c r="L40" i="6"/>
  <c r="N40" i="6" s="1"/>
  <c r="O40" i="6" s="1"/>
  <c r="R39" i="6"/>
  <c r="S39" i="6" s="1"/>
  <c r="L38" i="6"/>
  <c r="N38" i="6" s="1"/>
  <c r="O38" i="6" s="1"/>
  <c r="R36" i="6"/>
  <c r="S36" i="6" s="1"/>
  <c r="T36" i="6"/>
  <c r="L32" i="6"/>
  <c r="N32" i="6" s="1"/>
  <c r="O32" i="6" s="1"/>
  <c r="R30" i="6"/>
  <c r="S30" i="6" s="1"/>
  <c r="T30" i="6"/>
  <c r="L23" i="6"/>
  <c r="N23" i="6" s="1"/>
  <c r="O23" i="6" s="1"/>
  <c r="R20" i="6"/>
  <c r="S20" i="6" s="1"/>
  <c r="T20" i="6"/>
  <c r="L14" i="6"/>
  <c r="N14" i="6" s="1"/>
  <c r="O14" i="6" s="1"/>
  <c r="R13" i="6"/>
  <c r="S13" i="6" s="1"/>
  <c r="T13" i="6"/>
  <c r="N37" i="6"/>
  <c r="O37" i="6" s="1"/>
  <c r="N29" i="6"/>
  <c r="O29" i="6" s="1"/>
  <c r="N25" i="6"/>
  <c r="O25" i="6" s="1"/>
  <c r="N21" i="6"/>
  <c r="O21" i="6" s="1"/>
  <c r="N16" i="6"/>
  <c r="O16" i="6" s="1"/>
  <c r="N12" i="6"/>
  <c r="O12" i="6" s="1"/>
  <c r="N10" i="6"/>
  <c r="O10" i="6" s="1"/>
  <c r="N6" i="6"/>
  <c r="O6" i="6" s="1"/>
  <c r="S35" i="6"/>
  <c r="T35" i="6"/>
  <c r="S33" i="6"/>
  <c r="T33" i="6"/>
  <c r="S28" i="6"/>
  <c r="T28" i="6"/>
  <c r="S24" i="6"/>
  <c r="T24" i="6"/>
  <c r="S22" i="6"/>
  <c r="T22" i="6"/>
  <c r="S15" i="6"/>
  <c r="T15" i="6"/>
  <c r="S9" i="6"/>
  <c r="T9" i="6"/>
  <c r="S7" i="6"/>
  <c r="T7" i="6"/>
  <c r="G174" i="1" l="1"/>
  <c r="H174" i="1" s="1"/>
  <c r="J174" i="1" s="1"/>
  <c r="D174" i="1"/>
  <c r="C174" i="1"/>
  <c r="G173" i="1"/>
  <c r="H173" i="1" s="1"/>
  <c r="J173" i="1" s="1"/>
  <c r="D173" i="1"/>
  <c r="C173" i="1"/>
  <c r="G176" i="1"/>
  <c r="H176" i="1" s="1"/>
  <c r="J176" i="1" s="1"/>
  <c r="D176" i="1"/>
  <c r="C176" i="1"/>
  <c r="G175" i="1"/>
  <c r="H175" i="1" s="1"/>
  <c r="J175" i="1" s="1"/>
  <c r="D175" i="1"/>
  <c r="C175" i="1"/>
  <c r="G164" i="1" l="1"/>
  <c r="H164" i="1" s="1"/>
  <c r="J164" i="1" s="1"/>
  <c r="D164" i="1"/>
  <c r="C164" i="1"/>
  <c r="I128" i="16" l="1"/>
  <c r="H128" i="16"/>
  <c r="G128" i="16"/>
  <c r="A128" i="16"/>
  <c r="C290" i="2"/>
  <c r="M82" i="15" l="1"/>
  <c r="I82" i="15"/>
  <c r="M81" i="15"/>
  <c r="I81" i="15"/>
  <c r="M3" i="6" l="1"/>
  <c r="K3" i="6"/>
  <c r="G155" i="1" l="1"/>
  <c r="H155" i="1" s="1"/>
  <c r="J155" i="1" s="1"/>
  <c r="D155" i="1"/>
  <c r="C155" i="1"/>
  <c r="C267" i="2" l="1"/>
  <c r="I144" i="16" l="1"/>
  <c r="H144" i="16"/>
  <c r="G144" i="16"/>
  <c r="I143" i="16"/>
  <c r="H143" i="16"/>
  <c r="G143" i="16"/>
  <c r="A143" i="16"/>
  <c r="I129" i="16"/>
  <c r="H129" i="16"/>
  <c r="G129" i="16"/>
  <c r="A129" i="16"/>
  <c r="M74" i="15" l="1"/>
  <c r="I74" i="15"/>
  <c r="M73" i="15"/>
  <c r="I73" i="15"/>
  <c r="I133" i="16" l="1"/>
  <c r="H133" i="16"/>
  <c r="G133" i="16"/>
  <c r="A133" i="16"/>
  <c r="W353" i="14"/>
  <c r="V353" i="14"/>
  <c r="L353" i="14"/>
  <c r="K353" i="14"/>
  <c r="W352" i="14"/>
  <c r="V352" i="14"/>
  <c r="L352" i="14"/>
  <c r="K352" i="14"/>
  <c r="W351" i="14"/>
  <c r="V351" i="14"/>
  <c r="L351" i="14"/>
  <c r="K351" i="14"/>
  <c r="I107" i="16"/>
  <c r="A107" i="16"/>
  <c r="C238" i="2"/>
  <c r="I65" i="15"/>
  <c r="M66" i="15"/>
  <c r="I66" i="15"/>
  <c r="M65" i="15"/>
  <c r="G126" i="1"/>
  <c r="H126" i="1" s="1"/>
  <c r="J126" i="1" s="1"/>
  <c r="D126" i="1"/>
  <c r="C126" i="1"/>
  <c r="I147" i="16"/>
  <c r="H147" i="16"/>
  <c r="G147" i="16"/>
  <c r="A147" i="16"/>
  <c r="I146" i="16"/>
  <c r="H146" i="16"/>
  <c r="G146" i="16"/>
  <c r="A146" i="16"/>
  <c r="I145" i="16"/>
  <c r="H145" i="16"/>
  <c r="G145" i="16"/>
  <c r="A145" i="16"/>
  <c r="A144" i="16"/>
  <c r="I142" i="16"/>
  <c r="H142" i="16"/>
  <c r="G142" i="16"/>
  <c r="A142" i="16"/>
  <c r="I141" i="16"/>
  <c r="H141" i="16"/>
  <c r="G141" i="16"/>
  <c r="A141" i="16"/>
  <c r="I140" i="16"/>
  <c r="H140" i="16"/>
  <c r="G140" i="16"/>
  <c r="A140" i="16"/>
  <c r="A134" i="16"/>
  <c r="I132" i="16"/>
  <c r="H132" i="16"/>
  <c r="G132" i="16"/>
  <c r="A132" i="16"/>
  <c r="I131" i="16"/>
  <c r="H131" i="16"/>
  <c r="G131" i="16"/>
  <c r="A131" i="16"/>
  <c r="I130" i="16"/>
  <c r="H130" i="16"/>
  <c r="G130" i="16"/>
  <c r="A130" i="16"/>
  <c r="I127" i="16"/>
  <c r="H127" i="16"/>
  <c r="G127" i="16"/>
  <c r="A127" i="16"/>
  <c r="I126" i="16"/>
  <c r="H126" i="16"/>
  <c r="G126" i="16"/>
  <c r="A126" i="16"/>
  <c r="I125" i="16"/>
  <c r="H125" i="16"/>
  <c r="G125" i="16"/>
  <c r="A125" i="16"/>
  <c r="I124" i="16"/>
  <c r="H124" i="16"/>
  <c r="G124" i="16"/>
  <c r="A124" i="16"/>
  <c r="I123" i="16"/>
  <c r="H123" i="16"/>
  <c r="G123" i="16"/>
  <c r="A123" i="16"/>
  <c r="I122" i="16"/>
  <c r="H122" i="16"/>
  <c r="G122" i="16"/>
  <c r="A122" i="16"/>
  <c r="I121" i="16"/>
  <c r="H121" i="16"/>
  <c r="G121" i="16"/>
  <c r="A121" i="16"/>
  <c r="I120" i="16"/>
  <c r="H120" i="16"/>
  <c r="G120" i="16"/>
  <c r="A120" i="16"/>
  <c r="I119" i="16"/>
  <c r="H119" i="16"/>
  <c r="G119" i="16"/>
  <c r="A119" i="16"/>
  <c r="I118" i="16"/>
  <c r="H118" i="16"/>
  <c r="G118" i="16"/>
  <c r="A118" i="16"/>
  <c r="I117" i="16"/>
  <c r="H117" i="16"/>
  <c r="G117" i="16"/>
  <c r="A117" i="16"/>
  <c r="I116" i="16"/>
  <c r="A116" i="16"/>
  <c r="G115" i="16"/>
  <c r="I115" i="16" s="1"/>
  <c r="A115" i="16"/>
  <c r="A114" i="16"/>
  <c r="A113" i="16"/>
  <c r="A112" i="16"/>
  <c r="A111" i="16"/>
  <c r="I110" i="16"/>
  <c r="A110" i="16"/>
  <c r="I109" i="16"/>
  <c r="A109" i="16"/>
  <c r="A108" i="16"/>
  <c r="J106" i="16"/>
  <c r="A106" i="16"/>
  <c r="J105" i="16"/>
  <c r="A105" i="16"/>
  <c r="A104" i="16"/>
  <c r="I103" i="16"/>
  <c r="A103" i="16"/>
  <c r="I90" i="16"/>
  <c r="H90" i="16"/>
  <c r="G90" i="16"/>
  <c r="A90" i="16"/>
  <c r="H89" i="16"/>
  <c r="G89" i="16"/>
  <c r="A89" i="16"/>
  <c r="A88" i="16"/>
  <c r="A87" i="16"/>
  <c r="I84" i="16"/>
  <c r="A84" i="16"/>
  <c r="I83" i="16"/>
  <c r="A83" i="16"/>
  <c r="I82" i="16"/>
  <c r="A82" i="16"/>
  <c r="I81" i="16"/>
  <c r="A81" i="16"/>
  <c r="I80" i="16"/>
  <c r="A80" i="16"/>
  <c r="I79" i="16"/>
  <c r="A79" i="16"/>
  <c r="I78" i="16"/>
  <c r="A78" i="16"/>
  <c r="I77" i="16"/>
  <c r="A77" i="16"/>
  <c r="I76" i="16"/>
  <c r="A76" i="16"/>
  <c r="I75" i="16"/>
  <c r="A75" i="16"/>
  <c r="I74" i="16"/>
  <c r="A74" i="16"/>
  <c r="I73" i="16"/>
  <c r="A73" i="16"/>
  <c r="I72" i="16"/>
  <c r="A72" i="16"/>
  <c r="I71" i="16"/>
  <c r="A71" i="16"/>
  <c r="A70" i="16"/>
  <c r="A69" i="16"/>
  <c r="J68" i="16"/>
  <c r="A68" i="16"/>
  <c r="A67" i="16"/>
  <c r="I66" i="16"/>
  <c r="A66" i="16"/>
  <c r="J65" i="16"/>
  <c r="A65" i="16"/>
  <c r="J64" i="16"/>
  <c r="A64" i="16"/>
  <c r="J63" i="16"/>
  <c r="A63" i="16"/>
  <c r="J62" i="16"/>
  <c r="A62" i="16"/>
  <c r="I61" i="16"/>
  <c r="A61" i="16"/>
  <c r="I60" i="16"/>
  <c r="A60" i="16"/>
  <c r="A59" i="16"/>
  <c r="A58" i="16"/>
  <c r="A57" i="16"/>
  <c r="A56" i="16"/>
  <c r="A55" i="16"/>
  <c r="I54" i="16"/>
  <c r="A54" i="16"/>
  <c r="I53" i="16"/>
  <c r="A53" i="16"/>
  <c r="A52" i="16"/>
  <c r="A51" i="16"/>
  <c r="I50" i="16"/>
  <c r="A50" i="16"/>
  <c r="A49" i="16"/>
  <c r="A47" i="16"/>
  <c r="A46" i="16"/>
  <c r="A45" i="16"/>
  <c r="A44" i="16"/>
  <c r="A43" i="16"/>
  <c r="A42" i="16"/>
  <c r="A41" i="16"/>
  <c r="A40" i="16"/>
  <c r="I39" i="16"/>
  <c r="A39" i="16"/>
  <c r="I38" i="16"/>
  <c r="A38" i="16"/>
  <c r="A37" i="16"/>
  <c r="A36" i="16"/>
  <c r="A35" i="16"/>
  <c r="A34" i="16"/>
  <c r="A33" i="16"/>
  <c r="A32" i="16"/>
  <c r="I31" i="16"/>
  <c r="A31" i="16"/>
  <c r="I30" i="16"/>
  <c r="A30" i="16"/>
  <c r="I29" i="16"/>
  <c r="A29" i="16"/>
  <c r="I18" i="16"/>
  <c r="A18" i="16"/>
  <c r="I17" i="16"/>
  <c r="A17" i="16"/>
  <c r="I16" i="16"/>
  <c r="A16" i="16"/>
  <c r="I15" i="16"/>
  <c r="A15" i="16"/>
  <c r="I14" i="16"/>
  <c r="A14" i="16"/>
  <c r="I13" i="16"/>
  <c r="A13" i="16"/>
  <c r="I12" i="16"/>
  <c r="A12" i="16"/>
  <c r="A11" i="16"/>
  <c r="I10" i="16"/>
  <c r="A10" i="16"/>
  <c r="I9" i="16"/>
  <c r="A9" i="16"/>
  <c r="I8" i="16"/>
  <c r="A8" i="16"/>
  <c r="A7" i="16"/>
  <c r="I6" i="16"/>
  <c r="A6" i="16"/>
  <c r="A3" i="16"/>
  <c r="A4" i="16"/>
  <c r="A5" i="16"/>
  <c r="I4" i="16"/>
  <c r="I3" i="16"/>
  <c r="M226" i="15"/>
  <c r="I226" i="15"/>
  <c r="M225" i="15"/>
  <c r="I225" i="15"/>
  <c r="M224" i="15"/>
  <c r="I224" i="15"/>
  <c r="M223" i="15"/>
  <c r="I223" i="15"/>
  <c r="M222" i="15"/>
  <c r="I222" i="15"/>
  <c r="M221" i="15"/>
  <c r="I221" i="15"/>
  <c r="M220" i="15"/>
  <c r="I220" i="15"/>
  <c r="M219" i="15"/>
  <c r="I219" i="15"/>
  <c r="M218" i="15"/>
  <c r="I218" i="15"/>
  <c r="M217" i="15"/>
  <c r="I217" i="15"/>
  <c r="M216" i="15"/>
  <c r="I216" i="15"/>
  <c r="M215" i="15"/>
  <c r="I215" i="15"/>
  <c r="M214" i="15"/>
  <c r="I214" i="15"/>
  <c r="M213" i="15"/>
  <c r="I213" i="15"/>
  <c r="M212" i="15"/>
  <c r="I212" i="15"/>
  <c r="M211" i="15"/>
  <c r="I211" i="15"/>
  <c r="M210" i="15"/>
  <c r="I210" i="15"/>
  <c r="M209" i="15"/>
  <c r="I209" i="15"/>
  <c r="M208" i="15"/>
  <c r="I208" i="15"/>
  <c r="M207" i="15"/>
  <c r="I207" i="15"/>
  <c r="M206" i="15"/>
  <c r="I206" i="15"/>
  <c r="M205" i="15"/>
  <c r="I205" i="15"/>
  <c r="M204" i="15"/>
  <c r="I204" i="15"/>
  <c r="M203" i="15"/>
  <c r="I203" i="15"/>
  <c r="M202" i="15"/>
  <c r="I202" i="15"/>
  <c r="M201" i="15"/>
  <c r="I201" i="15"/>
  <c r="M200" i="15"/>
  <c r="I200" i="15"/>
  <c r="M199" i="15"/>
  <c r="I199" i="15"/>
  <c r="M198" i="15"/>
  <c r="I198" i="15"/>
  <c r="M197" i="15"/>
  <c r="I197" i="15"/>
  <c r="M196" i="15"/>
  <c r="I196" i="15"/>
  <c r="M195" i="15"/>
  <c r="I195" i="15"/>
  <c r="M194" i="15"/>
  <c r="I194" i="15"/>
  <c r="M193" i="15"/>
  <c r="I193" i="15"/>
  <c r="M192" i="15"/>
  <c r="I192" i="15"/>
  <c r="M191" i="15"/>
  <c r="I191" i="15"/>
  <c r="M190" i="15"/>
  <c r="I190" i="15"/>
  <c r="M189" i="15"/>
  <c r="I189" i="15"/>
  <c r="M188" i="15"/>
  <c r="I188" i="15"/>
  <c r="M187" i="15"/>
  <c r="I187" i="15"/>
  <c r="M186" i="15"/>
  <c r="I186" i="15"/>
  <c r="M185" i="15"/>
  <c r="I185" i="15"/>
  <c r="M184" i="15"/>
  <c r="I184" i="15"/>
  <c r="M183" i="15"/>
  <c r="I183" i="15"/>
  <c r="M182" i="15"/>
  <c r="I182" i="15"/>
  <c r="M181" i="15"/>
  <c r="I181" i="15"/>
  <c r="M180" i="15"/>
  <c r="I180" i="15"/>
  <c r="M179" i="15"/>
  <c r="I179" i="15"/>
  <c r="M178" i="15"/>
  <c r="I178" i="15"/>
  <c r="M177" i="15"/>
  <c r="I177" i="15"/>
  <c r="M176" i="15"/>
  <c r="I176" i="15"/>
  <c r="M175" i="15"/>
  <c r="I175" i="15"/>
  <c r="M174" i="15"/>
  <c r="I174" i="15"/>
  <c r="M173" i="15"/>
  <c r="I173" i="15"/>
  <c r="M172" i="15"/>
  <c r="I172" i="15"/>
  <c r="M171" i="15"/>
  <c r="I171" i="15"/>
  <c r="M170" i="15"/>
  <c r="I170" i="15"/>
  <c r="M169" i="15"/>
  <c r="I169" i="15"/>
  <c r="M168" i="15"/>
  <c r="I168" i="15"/>
  <c r="M167" i="15"/>
  <c r="I167" i="15"/>
  <c r="M166" i="15"/>
  <c r="I166" i="15"/>
  <c r="M165" i="15"/>
  <c r="I165" i="15"/>
  <c r="M164" i="15"/>
  <c r="I164" i="15"/>
  <c r="M163" i="15"/>
  <c r="I163" i="15"/>
  <c r="M162" i="15"/>
  <c r="I162" i="15"/>
  <c r="M161" i="15"/>
  <c r="I161" i="15"/>
  <c r="M160" i="15"/>
  <c r="I160" i="15"/>
  <c r="M159" i="15"/>
  <c r="I159" i="15"/>
  <c r="M158" i="15"/>
  <c r="I158" i="15"/>
  <c r="M157" i="15"/>
  <c r="I157" i="15"/>
  <c r="M156" i="15"/>
  <c r="I156" i="15"/>
  <c r="M155" i="15"/>
  <c r="I155" i="15"/>
  <c r="M154" i="15"/>
  <c r="I154" i="15"/>
  <c r="M153" i="15"/>
  <c r="I153" i="15"/>
  <c r="M152" i="15"/>
  <c r="I152" i="15"/>
  <c r="M151" i="15"/>
  <c r="I151" i="15"/>
  <c r="M150" i="15"/>
  <c r="I150" i="15"/>
  <c r="M149" i="15"/>
  <c r="I149" i="15"/>
  <c r="M148" i="15"/>
  <c r="I148" i="15"/>
  <c r="M147" i="15"/>
  <c r="I147" i="15"/>
  <c r="M146" i="15"/>
  <c r="I146" i="15"/>
  <c r="M145" i="15"/>
  <c r="I145" i="15"/>
  <c r="M144" i="15"/>
  <c r="I144" i="15"/>
  <c r="M143" i="15"/>
  <c r="I143" i="15"/>
  <c r="M142" i="15"/>
  <c r="I142" i="15"/>
  <c r="M141" i="15"/>
  <c r="I141" i="15"/>
  <c r="M140" i="15"/>
  <c r="I140" i="15"/>
  <c r="M139" i="15"/>
  <c r="I139" i="15"/>
  <c r="M138" i="15"/>
  <c r="I138" i="15"/>
  <c r="M137" i="15"/>
  <c r="I137" i="15"/>
  <c r="M136" i="15"/>
  <c r="I136" i="15"/>
  <c r="M135" i="15"/>
  <c r="I135" i="15"/>
  <c r="M134" i="15"/>
  <c r="I134" i="15"/>
  <c r="M133" i="15"/>
  <c r="I133" i="15"/>
  <c r="M132" i="15"/>
  <c r="I132" i="15"/>
  <c r="M131" i="15"/>
  <c r="I131" i="15"/>
  <c r="M130" i="15"/>
  <c r="I130" i="15"/>
  <c r="M129" i="15"/>
  <c r="I129" i="15"/>
  <c r="M128" i="15"/>
  <c r="I128" i="15"/>
  <c r="M127" i="15"/>
  <c r="I127" i="15"/>
  <c r="M126" i="15"/>
  <c r="I126" i="15"/>
  <c r="M125" i="15"/>
  <c r="I125" i="15"/>
  <c r="M124" i="15"/>
  <c r="I124" i="15"/>
  <c r="M123" i="15"/>
  <c r="I123" i="15"/>
  <c r="M122" i="15"/>
  <c r="I122" i="15"/>
  <c r="M121" i="15"/>
  <c r="I121" i="15"/>
  <c r="M120" i="15"/>
  <c r="I120" i="15"/>
  <c r="M119" i="15"/>
  <c r="I119" i="15"/>
  <c r="M118" i="15"/>
  <c r="I118" i="15"/>
  <c r="M117" i="15"/>
  <c r="I117" i="15"/>
  <c r="M116" i="15"/>
  <c r="I116" i="15"/>
  <c r="M115" i="15"/>
  <c r="I115" i="15"/>
  <c r="M114" i="15"/>
  <c r="I114" i="15"/>
  <c r="M113" i="15"/>
  <c r="I113" i="15"/>
  <c r="M112" i="15"/>
  <c r="I112" i="15"/>
  <c r="M111" i="15"/>
  <c r="I111" i="15"/>
  <c r="M110" i="15"/>
  <c r="I110" i="15"/>
  <c r="M109" i="15"/>
  <c r="I109" i="15"/>
  <c r="M108" i="15"/>
  <c r="I108" i="15"/>
  <c r="M107" i="15"/>
  <c r="I107" i="15"/>
  <c r="M106" i="15"/>
  <c r="I106" i="15"/>
  <c r="M105" i="15"/>
  <c r="I105" i="15"/>
  <c r="M104" i="15"/>
  <c r="I104" i="15"/>
  <c r="M103" i="15"/>
  <c r="I103" i="15"/>
  <c r="M102" i="15"/>
  <c r="I102" i="15"/>
  <c r="M101" i="15"/>
  <c r="I101" i="15"/>
  <c r="M100" i="15"/>
  <c r="I100" i="15"/>
  <c r="M99" i="15"/>
  <c r="I99" i="15"/>
  <c r="M98" i="15"/>
  <c r="I98" i="15"/>
  <c r="M97" i="15"/>
  <c r="I97" i="15"/>
  <c r="M96" i="15"/>
  <c r="I96" i="15"/>
  <c r="M95" i="15"/>
  <c r="I95" i="15"/>
  <c r="M94" i="15"/>
  <c r="I94" i="15"/>
  <c r="M93" i="15"/>
  <c r="I93" i="15"/>
  <c r="M92" i="15"/>
  <c r="I92" i="15"/>
  <c r="M91" i="15"/>
  <c r="I91" i="15"/>
  <c r="M90" i="15"/>
  <c r="I90" i="15"/>
  <c r="M89" i="15"/>
  <c r="I89" i="15"/>
  <c r="M88" i="15"/>
  <c r="I88" i="15"/>
  <c r="M87" i="15"/>
  <c r="I87" i="15"/>
  <c r="M86" i="15"/>
  <c r="I86" i="15"/>
  <c r="M83" i="15"/>
  <c r="I83" i="15"/>
  <c r="M80" i="15"/>
  <c r="I80" i="15"/>
  <c r="M72" i="15"/>
  <c r="I72" i="15"/>
  <c r="M64" i="15"/>
  <c r="I64" i="15"/>
  <c r="M58" i="15"/>
  <c r="I58" i="15"/>
  <c r="M57" i="15"/>
  <c r="I57" i="15"/>
  <c r="M56" i="15"/>
  <c r="I56" i="15"/>
  <c r="M52" i="15"/>
  <c r="I52" i="15"/>
  <c r="M51" i="15"/>
  <c r="I51" i="15"/>
  <c r="M50" i="15"/>
  <c r="I50" i="15"/>
  <c r="I44" i="15"/>
  <c r="I43" i="15"/>
  <c r="I42" i="15"/>
  <c r="I36" i="15"/>
  <c r="I35" i="15"/>
  <c r="M34" i="15"/>
  <c r="I34" i="15"/>
  <c r="M28" i="15"/>
  <c r="I28" i="15"/>
  <c r="M27" i="15"/>
  <c r="I27" i="15"/>
  <c r="M26" i="15"/>
  <c r="I26" i="15"/>
  <c r="M21" i="15"/>
  <c r="I21" i="15"/>
  <c r="M20" i="15"/>
  <c r="I20" i="15"/>
  <c r="M19" i="15"/>
  <c r="I19" i="15"/>
  <c r="M18" i="15"/>
  <c r="I18" i="15"/>
  <c r="I13" i="15"/>
  <c r="M12" i="15"/>
  <c r="I12" i="15"/>
  <c r="M11" i="15"/>
  <c r="I11" i="15"/>
  <c r="M10" i="15"/>
  <c r="I10" i="15"/>
  <c r="M7" i="15"/>
  <c r="I7" i="15"/>
  <c r="M6" i="15"/>
  <c r="I6" i="15"/>
  <c r="M5" i="15"/>
  <c r="I5" i="15"/>
  <c r="E487" i="14"/>
  <c r="E481" i="14"/>
  <c r="E443" i="14"/>
  <c r="E432" i="14"/>
  <c r="E427" i="14"/>
  <c r="C361" i="14"/>
  <c r="C360" i="14"/>
  <c r="W357" i="14"/>
  <c r="V357" i="14"/>
  <c r="L357" i="14"/>
  <c r="K357" i="14"/>
  <c r="W356" i="14"/>
  <c r="V356" i="14"/>
  <c r="L356" i="14"/>
  <c r="K356" i="14"/>
  <c r="W355" i="14"/>
  <c r="V355" i="14"/>
  <c r="L355" i="14"/>
  <c r="K355" i="14"/>
  <c r="W354" i="14"/>
  <c r="V354" i="14"/>
  <c r="L354" i="14"/>
  <c r="K354" i="14"/>
  <c r="W350" i="14"/>
  <c r="V350" i="14"/>
  <c r="L350" i="14"/>
  <c r="K350" i="14"/>
  <c r="W349" i="14"/>
  <c r="V349" i="14"/>
  <c r="L349" i="14"/>
  <c r="K349" i="14"/>
  <c r="W348" i="14"/>
  <c r="V348" i="14"/>
  <c r="L348" i="14"/>
  <c r="K348" i="14"/>
  <c r="W347" i="14"/>
  <c r="V347" i="14"/>
  <c r="L347" i="14"/>
  <c r="K347" i="14"/>
  <c r="W346" i="14"/>
  <c r="V346" i="14"/>
  <c r="L346" i="14"/>
  <c r="K346" i="14"/>
  <c r="W345" i="14"/>
  <c r="V345" i="14"/>
  <c r="L345" i="14"/>
  <c r="K345" i="14"/>
  <c r="W344" i="14"/>
  <c r="V344" i="14"/>
  <c r="L344" i="14"/>
  <c r="K344" i="14"/>
  <c r="W343" i="14"/>
  <c r="V343" i="14"/>
  <c r="L343" i="14"/>
  <c r="K343" i="14"/>
  <c r="W342" i="14"/>
  <c r="V342" i="14"/>
  <c r="L342" i="14"/>
  <c r="K342" i="14"/>
  <c r="W293" i="14"/>
  <c r="V293" i="14"/>
  <c r="L293" i="14"/>
  <c r="K293" i="14"/>
  <c r="W292" i="14"/>
  <c r="V292" i="14"/>
  <c r="L292" i="14"/>
  <c r="K292" i="14"/>
  <c r="W291" i="14"/>
  <c r="V291" i="14"/>
  <c r="L291" i="14"/>
  <c r="K291" i="14"/>
  <c r="W290" i="14"/>
  <c r="V290" i="14"/>
  <c r="L290" i="14"/>
  <c r="K290" i="14"/>
  <c r="W289" i="14"/>
  <c r="V289" i="14"/>
  <c r="L289" i="14"/>
  <c r="K289" i="14"/>
  <c r="W288" i="14"/>
  <c r="V288" i="14"/>
  <c r="L288" i="14"/>
  <c r="K288" i="14"/>
  <c r="W287" i="14"/>
  <c r="V287" i="14"/>
  <c r="L287" i="14"/>
  <c r="K287" i="14"/>
  <c r="W286" i="14"/>
  <c r="V286" i="14"/>
  <c r="L286" i="14"/>
  <c r="K286" i="14"/>
  <c r="W285" i="14"/>
  <c r="V285" i="14"/>
  <c r="L285" i="14"/>
  <c r="K285" i="14"/>
  <c r="W284" i="14"/>
  <c r="V284" i="14"/>
  <c r="K284" i="14"/>
  <c r="W283" i="14"/>
  <c r="V283" i="14"/>
  <c r="L283" i="14"/>
  <c r="K283" i="14"/>
  <c r="W282" i="14"/>
  <c r="V282" i="14"/>
  <c r="L282" i="14"/>
  <c r="K282" i="14"/>
  <c r="W281" i="14"/>
  <c r="V281" i="14"/>
  <c r="L281" i="14"/>
  <c r="K281" i="14"/>
  <c r="W280" i="14"/>
  <c r="V280" i="14"/>
  <c r="L280" i="14"/>
  <c r="K280" i="14"/>
  <c r="W279" i="14"/>
  <c r="V279" i="14"/>
  <c r="L279" i="14"/>
  <c r="K279" i="14"/>
  <c r="W278" i="14"/>
  <c r="V278" i="14"/>
  <c r="L278" i="14"/>
  <c r="K278" i="14"/>
  <c r="W277" i="14"/>
  <c r="V277" i="14"/>
  <c r="L277" i="14"/>
  <c r="K277" i="14"/>
  <c r="W276" i="14"/>
  <c r="V276" i="14"/>
  <c r="L276" i="14"/>
  <c r="K276" i="14"/>
  <c r="W275" i="14"/>
  <c r="V275" i="14"/>
  <c r="L275" i="14"/>
  <c r="K275" i="14"/>
  <c r="W274" i="14"/>
  <c r="V274" i="14"/>
  <c r="L274" i="14"/>
  <c r="K274" i="14"/>
  <c r="W273" i="14"/>
  <c r="V273" i="14"/>
  <c r="L273" i="14"/>
  <c r="K273" i="14"/>
  <c r="W272" i="14"/>
  <c r="V272" i="14"/>
  <c r="L272" i="14"/>
  <c r="K272" i="14"/>
  <c r="W271" i="14"/>
  <c r="V271" i="14"/>
  <c r="L271" i="14"/>
  <c r="K271" i="14"/>
  <c r="W270" i="14"/>
  <c r="V270" i="14"/>
  <c r="L270" i="14"/>
  <c r="K270" i="14"/>
  <c r="W269" i="14"/>
  <c r="V269" i="14"/>
  <c r="L269" i="14"/>
  <c r="K269" i="14"/>
  <c r="C268" i="14"/>
  <c r="C267" i="14"/>
  <c r="C265" i="14"/>
  <c r="V264" i="14"/>
  <c r="K264" i="14"/>
  <c r="J264" i="14" s="1"/>
  <c r="V263" i="14"/>
  <c r="K263" i="14"/>
  <c r="J263" i="14" s="1"/>
  <c r="V262" i="14"/>
  <c r="K262" i="14"/>
  <c r="J262" i="14" s="1"/>
  <c r="V251" i="14"/>
  <c r="K251" i="14"/>
  <c r="J251" i="14" s="1"/>
  <c r="V250" i="14"/>
  <c r="K250" i="14"/>
  <c r="J250" i="14" s="1"/>
  <c r="V237" i="14"/>
  <c r="K237" i="14"/>
  <c r="J237" i="14" s="1"/>
  <c r="V236" i="14"/>
  <c r="K236" i="14"/>
  <c r="J236" i="14" s="1"/>
  <c r="V235" i="14"/>
  <c r="K235" i="14"/>
  <c r="J235" i="14" s="1"/>
  <c r="V234" i="14"/>
  <c r="K234" i="14"/>
  <c r="J234" i="14" s="1"/>
  <c r="V233" i="14"/>
  <c r="K233" i="14"/>
  <c r="J233" i="14" s="1"/>
  <c r="V232" i="14"/>
  <c r="K232" i="14"/>
  <c r="J232" i="14" s="1"/>
  <c r="V231" i="14"/>
  <c r="K231" i="14"/>
  <c r="J231" i="14" s="1"/>
  <c r="V230" i="14"/>
  <c r="K230" i="14"/>
  <c r="J230" i="14" s="1"/>
  <c r="V229" i="14"/>
  <c r="K229" i="14"/>
  <c r="J229" i="14" s="1"/>
  <c r="V228" i="14"/>
  <c r="K228" i="14"/>
  <c r="J228" i="14" s="1"/>
  <c r="V227" i="14"/>
  <c r="K227" i="14"/>
  <c r="J227" i="14" s="1"/>
  <c r="V226" i="14"/>
  <c r="K226" i="14"/>
  <c r="J226" i="14" s="1"/>
  <c r="V225" i="14"/>
  <c r="K225" i="14"/>
  <c r="J225" i="14" s="1"/>
  <c r="V224" i="14"/>
  <c r="K224" i="14"/>
  <c r="J224" i="14" s="1"/>
  <c r="V223" i="14"/>
  <c r="K223" i="14"/>
  <c r="J223" i="14" s="1"/>
  <c r="V222" i="14"/>
  <c r="K222" i="14"/>
  <c r="J222" i="14" s="1"/>
  <c r="V221" i="14"/>
  <c r="K221" i="14"/>
  <c r="J221" i="14" s="1"/>
  <c r="V220" i="14"/>
  <c r="K220" i="14"/>
  <c r="J220" i="14" s="1"/>
  <c r="V219" i="14"/>
  <c r="K219" i="14"/>
  <c r="J219" i="14" s="1"/>
  <c r="V218" i="14"/>
  <c r="K218" i="14"/>
  <c r="J218" i="14" s="1"/>
  <c r="V217" i="14"/>
  <c r="K217" i="14"/>
  <c r="J217" i="14" s="1"/>
  <c r="V216" i="14"/>
  <c r="K216" i="14"/>
  <c r="J216" i="14" s="1"/>
  <c r="V215" i="14"/>
  <c r="K215" i="14"/>
  <c r="J215" i="14" s="1"/>
  <c r="V214" i="14"/>
  <c r="K214" i="14"/>
  <c r="J214" i="14" s="1"/>
  <c r="V213" i="14"/>
  <c r="K213" i="14"/>
  <c r="J213" i="14" s="1"/>
  <c r="V212" i="14"/>
  <c r="K212" i="14"/>
  <c r="J212" i="14" s="1"/>
  <c r="V211" i="14"/>
  <c r="K211" i="14"/>
  <c r="J211" i="14" s="1"/>
  <c r="V210" i="14"/>
  <c r="K210" i="14"/>
  <c r="J210" i="14" s="1"/>
  <c r="V209" i="14"/>
  <c r="K209" i="14"/>
  <c r="J209" i="14" s="1"/>
  <c r="V208" i="14"/>
  <c r="K208" i="14"/>
  <c r="J208" i="14" s="1"/>
  <c r="V207" i="14"/>
  <c r="K207" i="14"/>
  <c r="J207" i="14" s="1"/>
  <c r="V206" i="14"/>
  <c r="K206" i="14"/>
  <c r="J206" i="14" s="1"/>
  <c r="V205" i="14"/>
  <c r="K205" i="14"/>
  <c r="J205" i="14" s="1"/>
  <c r="V204" i="14"/>
  <c r="K204" i="14"/>
  <c r="J204" i="14" s="1"/>
  <c r="V203" i="14"/>
  <c r="K203" i="14"/>
  <c r="J203" i="14" s="1"/>
  <c r="V202" i="14"/>
  <c r="K202" i="14"/>
  <c r="J202" i="14" s="1"/>
  <c r="V201" i="14"/>
  <c r="K201" i="14"/>
  <c r="J201" i="14" s="1"/>
  <c r="V200" i="14"/>
  <c r="K200" i="14"/>
  <c r="J200" i="14" s="1"/>
  <c r="V199" i="14"/>
  <c r="K199" i="14"/>
  <c r="J199" i="14" s="1"/>
  <c r="V198" i="14"/>
  <c r="K198" i="14"/>
  <c r="J198" i="14" s="1"/>
  <c r="V197" i="14"/>
  <c r="K197" i="14"/>
  <c r="J197" i="14" s="1"/>
  <c r="V196" i="14"/>
  <c r="K196" i="14"/>
  <c r="J196" i="14" s="1"/>
  <c r="V195" i="14"/>
  <c r="K195" i="14"/>
  <c r="J195" i="14" s="1"/>
  <c r="V194" i="14"/>
  <c r="K194" i="14"/>
  <c r="J194" i="14" s="1"/>
  <c r="V193" i="14"/>
  <c r="K193" i="14"/>
  <c r="J193" i="14" s="1"/>
  <c r="V192" i="14"/>
  <c r="K192" i="14"/>
  <c r="J192" i="14" s="1"/>
  <c r="V191" i="14"/>
  <c r="K191" i="14"/>
  <c r="J191" i="14" s="1"/>
  <c r="V190" i="14"/>
  <c r="K190" i="14"/>
  <c r="J190" i="14" s="1"/>
  <c r="V189" i="14"/>
  <c r="K189" i="14"/>
  <c r="J189" i="14" s="1"/>
  <c r="V188" i="14"/>
  <c r="K188" i="14"/>
  <c r="J188" i="14" s="1"/>
  <c r="V187" i="14"/>
  <c r="K187" i="14"/>
  <c r="J187" i="14" s="1"/>
  <c r="V186" i="14"/>
  <c r="K186" i="14"/>
  <c r="J186" i="14" s="1"/>
  <c r="V185" i="14"/>
  <c r="K185" i="14"/>
  <c r="J185" i="14" s="1"/>
  <c r="V184" i="14"/>
  <c r="K184" i="14"/>
  <c r="J184" i="14" s="1"/>
  <c r="V183" i="14"/>
  <c r="K183" i="14"/>
  <c r="J183" i="14" s="1"/>
  <c r="V182" i="14"/>
  <c r="K182" i="14"/>
  <c r="J182" i="14" s="1"/>
  <c r="V181" i="14"/>
  <c r="K181" i="14"/>
  <c r="J181" i="14" s="1"/>
  <c r="V180" i="14"/>
  <c r="K180" i="14"/>
  <c r="J180" i="14" s="1"/>
  <c r="V179" i="14"/>
  <c r="K179" i="14"/>
  <c r="J179" i="14" s="1"/>
  <c r="V178" i="14"/>
  <c r="K178" i="14"/>
  <c r="J178" i="14" s="1"/>
  <c r="V177" i="14"/>
  <c r="K177" i="14"/>
  <c r="J177" i="14" s="1"/>
  <c r="V176" i="14"/>
  <c r="K176" i="14"/>
  <c r="J176" i="14" s="1"/>
  <c r="V175" i="14"/>
  <c r="K175" i="14"/>
  <c r="J175" i="14" s="1"/>
  <c r="V174" i="14"/>
  <c r="K174" i="14"/>
  <c r="J174" i="14" s="1"/>
  <c r="V173" i="14"/>
  <c r="K173" i="14"/>
  <c r="J173" i="14" s="1"/>
  <c r="V172" i="14"/>
  <c r="K172" i="14"/>
  <c r="J172" i="14" s="1"/>
  <c r="V171" i="14"/>
  <c r="K171" i="14"/>
  <c r="J171" i="14" s="1"/>
  <c r="V170" i="14"/>
  <c r="K170" i="14"/>
  <c r="J170" i="14" s="1"/>
  <c r="V169" i="14"/>
  <c r="K169" i="14"/>
  <c r="J169" i="14" s="1"/>
  <c r="V168" i="14"/>
  <c r="K168" i="14"/>
  <c r="J168" i="14" s="1"/>
  <c r="V167" i="14"/>
  <c r="K167" i="14"/>
  <c r="J167" i="14" s="1"/>
  <c r="V165" i="14"/>
  <c r="K165" i="14"/>
  <c r="J165" i="14" s="1"/>
  <c r="V166" i="14"/>
  <c r="K166" i="14"/>
  <c r="J166" i="14" s="1"/>
  <c r="V164" i="14"/>
  <c r="K164" i="14"/>
  <c r="J164" i="14" s="1"/>
  <c r="V163" i="14"/>
  <c r="K163" i="14"/>
  <c r="J163" i="14" s="1"/>
  <c r="V162" i="14"/>
  <c r="K162" i="14"/>
  <c r="J162" i="14" s="1"/>
  <c r="V161" i="14"/>
  <c r="K161" i="14"/>
  <c r="J161" i="14" s="1"/>
  <c r="V160" i="14"/>
  <c r="K160" i="14"/>
  <c r="J160" i="14" s="1"/>
  <c r="V159" i="14"/>
  <c r="K159" i="14"/>
  <c r="J159" i="14" s="1"/>
  <c r="V158" i="14"/>
  <c r="K158" i="14"/>
  <c r="J158" i="14" s="1"/>
  <c r="V157" i="14"/>
  <c r="K157" i="14"/>
  <c r="J157" i="14" s="1"/>
  <c r="V156" i="14"/>
  <c r="K156" i="14"/>
  <c r="J156" i="14" s="1"/>
  <c r="V155" i="14"/>
  <c r="K155" i="14"/>
  <c r="J155" i="14" s="1"/>
  <c r="C154" i="14"/>
  <c r="C153" i="14"/>
  <c r="W150" i="14"/>
  <c r="W149" i="14"/>
  <c r="W148" i="14"/>
  <c r="W147" i="14"/>
  <c r="W146" i="14"/>
  <c r="W145" i="14"/>
  <c r="W144" i="14"/>
  <c r="W143" i="14"/>
  <c r="W142" i="14"/>
  <c r="W141" i="14"/>
  <c r="W140" i="14"/>
  <c r="W139" i="14"/>
  <c r="W138" i="14"/>
  <c r="W137" i="14"/>
  <c r="W136" i="14"/>
  <c r="W135" i="14"/>
  <c r="W134" i="14"/>
  <c r="W133" i="14"/>
  <c r="W132" i="14"/>
  <c r="W131" i="14"/>
  <c r="W130" i="14"/>
  <c r="W129" i="14"/>
  <c r="W128" i="14"/>
  <c r="W127" i="14"/>
  <c r="W126" i="14"/>
  <c r="W125" i="14"/>
  <c r="W124" i="14"/>
  <c r="W123" i="14"/>
  <c r="W122" i="14"/>
  <c r="W121" i="14"/>
  <c r="W120" i="14"/>
  <c r="W119" i="14"/>
  <c r="W118" i="14"/>
  <c r="W117" i="14"/>
  <c r="W116" i="14"/>
  <c r="W115" i="14"/>
  <c r="W114" i="14"/>
  <c r="W113" i="14"/>
  <c r="W112" i="14"/>
  <c r="W111" i="14"/>
  <c r="W110" i="14"/>
  <c r="W109" i="14"/>
  <c r="W108" i="14"/>
  <c r="W107" i="14"/>
  <c r="W106" i="14"/>
  <c r="W105" i="14"/>
  <c r="W104" i="14"/>
  <c r="W103" i="14"/>
  <c r="W102" i="14"/>
  <c r="W101" i="14"/>
  <c r="W100" i="14"/>
  <c r="W99" i="14"/>
  <c r="W98" i="14"/>
  <c r="W97" i="14"/>
  <c r="W96" i="14"/>
  <c r="W95" i="14"/>
  <c r="W94" i="14"/>
  <c r="W91" i="14"/>
  <c r="W93" i="14"/>
  <c r="W92" i="14"/>
  <c r="W90" i="14"/>
  <c r="W89" i="14"/>
  <c r="W88" i="14"/>
  <c r="W87" i="14"/>
  <c r="W83" i="14"/>
  <c r="W86" i="14"/>
  <c r="W85" i="14"/>
  <c r="W84" i="14"/>
  <c r="W82" i="14"/>
  <c r="W81" i="14"/>
  <c r="W80" i="14"/>
  <c r="W79" i="14"/>
  <c r="W78" i="14"/>
  <c r="W77" i="14"/>
  <c r="W76" i="14"/>
  <c r="W74" i="14"/>
  <c r="W72" i="14"/>
  <c r="W69" i="14"/>
  <c r="W68" i="14"/>
  <c r="W67" i="14"/>
  <c r="W66" i="14"/>
  <c r="W65" i="14"/>
  <c r="W71" i="14"/>
  <c r="W70" i="14"/>
  <c r="W64" i="14"/>
  <c r="W63" i="14"/>
  <c r="W62" i="14"/>
  <c r="W61" i="14"/>
  <c r="W55" i="14"/>
  <c r="W60" i="14"/>
  <c r="W59" i="14"/>
  <c r="W58" i="14"/>
  <c r="W57" i="14"/>
  <c r="W56" i="14"/>
  <c r="W54" i="14"/>
  <c r="W53" i="14"/>
  <c r="W52" i="14"/>
  <c r="W51" i="14"/>
  <c r="W50" i="14"/>
  <c r="W49" i="14"/>
  <c r="W48" i="14"/>
  <c r="W47" i="14"/>
  <c r="W46" i="14"/>
  <c r="W45" i="14"/>
  <c r="W40" i="14"/>
  <c r="W39" i="14"/>
  <c r="W38" i="14"/>
  <c r="W37" i="14"/>
  <c r="W36" i="14"/>
  <c r="W35" i="14"/>
  <c r="W44" i="14"/>
  <c r="W43" i="14"/>
  <c r="W32" i="14"/>
  <c r="W42" i="14"/>
  <c r="W41" i="14"/>
  <c r="W33" i="14"/>
  <c r="W31" i="14"/>
  <c r="W23" i="14"/>
  <c r="W30" i="14"/>
  <c r="W24" i="14"/>
  <c r="W28" i="14"/>
  <c r="C21" i="14"/>
  <c r="V17" i="14"/>
  <c r="V16" i="14"/>
  <c r="V15" i="14"/>
  <c r="V13" i="14"/>
  <c r="V12" i="14"/>
  <c r="V11" i="14"/>
  <c r="V9" i="14"/>
  <c r="V8" i="14"/>
  <c r="V7" i="14"/>
  <c r="V5" i="14"/>
  <c r="V4" i="14"/>
  <c r="V3" i="14"/>
  <c r="E1" i="14"/>
  <c r="L5" i="6"/>
  <c r="D167" i="4"/>
  <c r="D166" i="4"/>
  <c r="D165" i="4"/>
  <c r="D164" i="4"/>
  <c r="D163" i="4"/>
  <c r="D162" i="4"/>
  <c r="D161" i="4"/>
  <c r="D160" i="4"/>
  <c r="D159" i="4"/>
  <c r="I158" i="4"/>
  <c r="H158" i="4"/>
  <c r="G158" i="4"/>
  <c r="F158" i="4"/>
  <c r="D156" i="4"/>
  <c r="D143" i="4" s="1"/>
  <c r="I143" i="4"/>
  <c r="H143" i="4"/>
  <c r="G143" i="4"/>
  <c r="F143" i="4"/>
  <c r="I135" i="4"/>
  <c r="H135" i="4"/>
  <c r="G135" i="4"/>
  <c r="F135" i="4"/>
  <c r="I129" i="4"/>
  <c r="H129" i="4"/>
  <c r="G129" i="4"/>
  <c r="F129" i="4"/>
  <c r="D119" i="4"/>
  <c r="E119" i="4" s="1"/>
  <c r="I119" i="4"/>
  <c r="H119" i="4"/>
  <c r="G119" i="4"/>
  <c r="F119" i="4"/>
  <c r="K110" i="4"/>
  <c r="I110" i="4"/>
  <c r="H110" i="4"/>
  <c r="G110" i="4"/>
  <c r="F110" i="4"/>
  <c r="I85" i="4"/>
  <c r="H85" i="4"/>
  <c r="G85" i="4"/>
  <c r="F85" i="4"/>
  <c r="E85" i="4"/>
  <c r="D64" i="4"/>
  <c r="H64" i="4"/>
  <c r="K43" i="4"/>
  <c r="L17" i="3"/>
  <c r="G15" i="3"/>
  <c r="G14" i="3"/>
  <c r="G12" i="3"/>
  <c r="G11" i="3"/>
  <c r="G9" i="3"/>
  <c r="G8" i="3"/>
  <c r="G6" i="3"/>
  <c r="G5" i="3"/>
  <c r="AS323" i="2"/>
  <c r="AR323" i="2"/>
  <c r="AQ323" i="2"/>
  <c r="AP323" i="2"/>
  <c r="AO323" i="2"/>
  <c r="AN323" i="2"/>
  <c r="AM323" i="2"/>
  <c r="AH323" i="2"/>
  <c r="AL323" i="2"/>
  <c r="AK323" i="2"/>
  <c r="AD323" i="2"/>
  <c r="AG323" i="2"/>
  <c r="AF323" i="2"/>
  <c r="AE323" i="2"/>
  <c r="AC323" i="2"/>
  <c r="AB323" i="2"/>
  <c r="AA323" i="2"/>
  <c r="Y323" i="2"/>
  <c r="U323" i="2"/>
  <c r="T323" i="2"/>
  <c r="S323" i="2"/>
  <c r="R323" i="2"/>
  <c r="Q323" i="2"/>
  <c r="P323" i="2"/>
  <c r="O323" i="2"/>
  <c r="N323" i="2"/>
  <c r="M323" i="2"/>
  <c r="L323" i="2"/>
  <c r="K323" i="2"/>
  <c r="J323" i="2"/>
  <c r="I323" i="2"/>
  <c r="H323" i="2"/>
  <c r="G323" i="2"/>
  <c r="C322" i="2"/>
  <c r="C321" i="2"/>
  <c r="C320" i="2"/>
  <c r="C319" i="2"/>
  <c r="C318" i="2"/>
  <c r="C317" i="2"/>
  <c r="C316" i="2"/>
  <c r="C315" i="2"/>
  <c r="C314" i="2"/>
  <c r="C313" i="2"/>
  <c r="C312" i="2"/>
  <c r="C311" i="2"/>
  <c r="C310" i="2"/>
  <c r="C309" i="2"/>
  <c r="C308" i="2"/>
  <c r="C307" i="2"/>
  <c r="C306" i="2"/>
  <c r="C305" i="2"/>
  <c r="C304" i="2"/>
  <c r="C303" i="2"/>
  <c r="C302" i="2"/>
  <c r="AS301" i="2"/>
  <c r="AR301" i="2"/>
  <c r="AQ301" i="2"/>
  <c r="AP301" i="2"/>
  <c r="AO301" i="2"/>
  <c r="AN301" i="2"/>
  <c r="AM301" i="2"/>
  <c r="AH301" i="2"/>
  <c r="AL301" i="2"/>
  <c r="AK301" i="2"/>
  <c r="AD301" i="2"/>
  <c r="AG301" i="2"/>
  <c r="AF301" i="2"/>
  <c r="AE301" i="2"/>
  <c r="AC301" i="2"/>
  <c r="AB301" i="2"/>
  <c r="AA301" i="2"/>
  <c r="Y301" i="2"/>
  <c r="U301" i="2"/>
  <c r="T301" i="2"/>
  <c r="S301" i="2"/>
  <c r="R301" i="2"/>
  <c r="Q301" i="2"/>
  <c r="P301" i="2"/>
  <c r="O301" i="2"/>
  <c r="N301" i="2"/>
  <c r="M301" i="2"/>
  <c r="L301" i="2"/>
  <c r="K301" i="2"/>
  <c r="J301" i="2"/>
  <c r="I301" i="2"/>
  <c r="H301" i="2"/>
  <c r="G301" i="2"/>
  <c r="C295" i="2"/>
  <c r="C293" i="2"/>
  <c r="C292" i="2"/>
  <c r="C291" i="2"/>
  <c r="C283" i="2"/>
  <c r="C282" i="2"/>
  <c r="C281" i="2"/>
  <c r="C280" i="2"/>
  <c r="C278" i="2"/>
  <c r="C277" i="2"/>
  <c r="AS276" i="2"/>
  <c r="AR276" i="2"/>
  <c r="AQ276" i="2"/>
  <c r="AP276" i="2"/>
  <c r="AO276" i="2"/>
  <c r="AN276" i="2"/>
  <c r="AM276" i="2"/>
  <c r="AH276" i="2"/>
  <c r="AL276" i="2"/>
  <c r="AK276" i="2"/>
  <c r="AD276" i="2"/>
  <c r="AG276" i="2"/>
  <c r="AF276" i="2"/>
  <c r="AE276" i="2"/>
  <c r="AC276" i="2"/>
  <c r="AB276" i="2"/>
  <c r="AA276" i="2"/>
  <c r="Y276" i="2"/>
  <c r="U276" i="2"/>
  <c r="T276" i="2"/>
  <c r="S276" i="2"/>
  <c r="R276" i="2"/>
  <c r="Q276" i="2"/>
  <c r="P276" i="2"/>
  <c r="O276" i="2"/>
  <c r="N276" i="2"/>
  <c r="M276" i="2"/>
  <c r="L276" i="2"/>
  <c r="K276" i="2"/>
  <c r="J276" i="2"/>
  <c r="I276" i="2"/>
  <c r="H276" i="2"/>
  <c r="G276" i="2"/>
  <c r="C275" i="2"/>
  <c r="C265" i="2"/>
  <c r="C264" i="2"/>
  <c r="C266" i="2"/>
  <c r="C263" i="2"/>
  <c r="C262" i="2"/>
  <c r="C261" i="2"/>
  <c r="C260" i="2"/>
  <c r="C259" i="2"/>
  <c r="C258" i="2"/>
  <c r="C257" i="2"/>
  <c r="C256" i="2"/>
  <c r="C255" i="2"/>
  <c r="C254" i="2"/>
  <c r="AS252" i="2"/>
  <c r="AR252" i="2"/>
  <c r="AQ252" i="2"/>
  <c r="AP252" i="2"/>
  <c r="AO252" i="2"/>
  <c r="AN252" i="2"/>
  <c r="AM252" i="2"/>
  <c r="AH252" i="2"/>
  <c r="AL252" i="2"/>
  <c r="AK252" i="2"/>
  <c r="AD252" i="2"/>
  <c r="AG252" i="2"/>
  <c r="AF252" i="2"/>
  <c r="AE252" i="2"/>
  <c r="AC252" i="2"/>
  <c r="AB252" i="2"/>
  <c r="AA252" i="2"/>
  <c r="Y252" i="2"/>
  <c r="U252" i="2"/>
  <c r="T252" i="2"/>
  <c r="S252" i="2"/>
  <c r="R252" i="2"/>
  <c r="Q252" i="2"/>
  <c r="P252" i="2"/>
  <c r="O252" i="2"/>
  <c r="N252" i="2"/>
  <c r="M252" i="2"/>
  <c r="L252" i="2"/>
  <c r="K252" i="2"/>
  <c r="J252" i="2"/>
  <c r="I252" i="2"/>
  <c r="H252" i="2"/>
  <c r="G252" i="2"/>
  <c r="C251" i="2"/>
  <c r="C244" i="2"/>
  <c r="C250" i="2"/>
  <c r="C249" i="2"/>
  <c r="C242" i="2"/>
  <c r="C236" i="2"/>
  <c r="C241" i="2"/>
  <c r="C240" i="2"/>
  <c r="C239" i="2"/>
  <c r="C237" i="2"/>
  <c r="C235" i="2"/>
  <c r="C234" i="2"/>
  <c r="C233" i="2"/>
  <c r="C232" i="2"/>
  <c r="C231" i="2"/>
  <c r="C230" i="2"/>
  <c r="C229" i="2"/>
  <c r="C228" i="2"/>
  <c r="C227" i="2"/>
  <c r="AS226" i="2"/>
  <c r="AR226" i="2"/>
  <c r="AQ226" i="2"/>
  <c r="AP226" i="2"/>
  <c r="AO226" i="2"/>
  <c r="AN226" i="2"/>
  <c r="AM226" i="2"/>
  <c r="AH226" i="2"/>
  <c r="AL226" i="2"/>
  <c r="AK226" i="2"/>
  <c r="AD226" i="2"/>
  <c r="AG226" i="2"/>
  <c r="AF226" i="2"/>
  <c r="AE226" i="2"/>
  <c r="AC226" i="2"/>
  <c r="AB226" i="2"/>
  <c r="AA226" i="2"/>
  <c r="Y226" i="2"/>
  <c r="U226" i="2"/>
  <c r="T226" i="2"/>
  <c r="S226" i="2"/>
  <c r="R226" i="2"/>
  <c r="Q226" i="2"/>
  <c r="P226" i="2"/>
  <c r="O226" i="2"/>
  <c r="N226" i="2"/>
  <c r="M226" i="2"/>
  <c r="L226" i="2"/>
  <c r="K226" i="2"/>
  <c r="J226" i="2"/>
  <c r="I226" i="2"/>
  <c r="H226" i="2"/>
  <c r="G226" i="2"/>
  <c r="C225" i="2"/>
  <c r="C210" i="2"/>
  <c r="C223" i="2"/>
  <c r="C220" i="2"/>
  <c r="C214" i="2"/>
  <c r="C215" i="2"/>
  <c r="C216" i="2"/>
  <c r="C219" i="2"/>
  <c r="C218" i="2"/>
  <c r="C213" i="2"/>
  <c r="C212" i="2"/>
  <c r="C208" i="2"/>
  <c r="C207" i="2"/>
  <c r="C206" i="2"/>
  <c r="C205" i="2"/>
  <c r="AS204" i="2"/>
  <c r="AR204" i="2"/>
  <c r="AQ204" i="2"/>
  <c r="AP204" i="2"/>
  <c r="AO204" i="2"/>
  <c r="AN204" i="2"/>
  <c r="AM204" i="2"/>
  <c r="AH204" i="2"/>
  <c r="AL204" i="2"/>
  <c r="AK204" i="2"/>
  <c r="AD204" i="2"/>
  <c r="AG204" i="2"/>
  <c r="AF204" i="2"/>
  <c r="AE204" i="2"/>
  <c r="AC204" i="2"/>
  <c r="AB204" i="2"/>
  <c r="AA204" i="2"/>
  <c r="Y204" i="2"/>
  <c r="U204" i="2"/>
  <c r="T204" i="2"/>
  <c r="S204" i="2"/>
  <c r="R204" i="2"/>
  <c r="Q204" i="2"/>
  <c r="P204" i="2"/>
  <c r="O204" i="2"/>
  <c r="N204" i="2"/>
  <c r="M204" i="2"/>
  <c r="L204" i="2"/>
  <c r="K204" i="2"/>
  <c r="J204" i="2"/>
  <c r="I204" i="2"/>
  <c r="H204" i="2"/>
  <c r="G204" i="2"/>
  <c r="C203" i="2"/>
  <c r="C202" i="2"/>
  <c r="C201" i="2"/>
  <c r="C190" i="2"/>
  <c r="C189" i="2"/>
  <c r="C188" i="2"/>
  <c r="C187" i="2"/>
  <c r="C186" i="2"/>
  <c r="C185" i="2"/>
  <c r="C184" i="2"/>
  <c r="C183" i="2"/>
  <c r="C182" i="2"/>
  <c r="C180" i="2"/>
  <c r="C179" i="2"/>
  <c r="C178" i="2"/>
  <c r="C177" i="2"/>
  <c r="C176" i="2"/>
  <c r="C175" i="2"/>
  <c r="AS173" i="2"/>
  <c r="AR173" i="2"/>
  <c r="AQ173" i="2"/>
  <c r="AP173" i="2"/>
  <c r="AO173" i="2"/>
  <c r="AN173" i="2"/>
  <c r="AM173" i="2"/>
  <c r="AH173" i="2"/>
  <c r="AL173" i="2"/>
  <c r="AK173" i="2"/>
  <c r="AD173" i="2"/>
  <c r="AG173" i="2"/>
  <c r="AF173" i="2"/>
  <c r="AE173" i="2"/>
  <c r="AC173" i="2"/>
  <c r="AB173" i="2"/>
  <c r="AA173" i="2"/>
  <c r="Y173" i="2"/>
  <c r="U173" i="2"/>
  <c r="T173" i="2"/>
  <c r="S173" i="2"/>
  <c r="R173" i="2"/>
  <c r="Q173" i="2"/>
  <c r="P173" i="2"/>
  <c r="O173" i="2"/>
  <c r="N173" i="2"/>
  <c r="M173" i="2"/>
  <c r="L173" i="2"/>
  <c r="K173" i="2"/>
  <c r="J173" i="2"/>
  <c r="I173" i="2"/>
  <c r="H173" i="2"/>
  <c r="G173" i="2"/>
  <c r="C172" i="2"/>
  <c r="C171" i="2"/>
  <c r="C170" i="2"/>
  <c r="C163" i="2"/>
  <c r="C154" i="2"/>
  <c r="C153" i="2"/>
  <c r="C152" i="2"/>
  <c r="C151" i="2"/>
  <c r="C150" i="2"/>
  <c r="C148" i="2"/>
  <c r="C147" i="2"/>
  <c r="C149" i="2"/>
  <c r="C146" i="2"/>
  <c r="C145" i="2"/>
  <c r="C144" i="2"/>
  <c r="AS143" i="2"/>
  <c r="AR143" i="2"/>
  <c r="AQ143" i="2"/>
  <c r="AP143" i="2"/>
  <c r="AO143" i="2"/>
  <c r="AN143" i="2"/>
  <c r="AM143" i="2"/>
  <c r="AH143" i="2"/>
  <c r="AL143" i="2"/>
  <c r="AK143" i="2"/>
  <c r="AD143" i="2"/>
  <c r="AG143" i="2"/>
  <c r="AF143" i="2"/>
  <c r="AE143" i="2"/>
  <c r="AC143" i="2"/>
  <c r="AB143" i="2"/>
  <c r="AA143" i="2"/>
  <c r="Y143" i="2"/>
  <c r="U143" i="2"/>
  <c r="T143" i="2"/>
  <c r="S143" i="2"/>
  <c r="R143" i="2"/>
  <c r="Q143" i="2"/>
  <c r="P143" i="2"/>
  <c r="O143" i="2"/>
  <c r="N143" i="2"/>
  <c r="M143" i="2"/>
  <c r="L143" i="2"/>
  <c r="K143" i="2"/>
  <c r="J143" i="2"/>
  <c r="I143" i="2"/>
  <c r="H143" i="2"/>
  <c r="G143" i="2"/>
  <c r="C142" i="2"/>
  <c r="C135" i="2"/>
  <c r="C130" i="2"/>
  <c r="C124" i="2"/>
  <c r="C123" i="2"/>
  <c r="C120" i="2"/>
  <c r="C119" i="2"/>
  <c r="C122" i="2"/>
  <c r="C121" i="2"/>
  <c r="C118" i="2"/>
  <c r="C117" i="2"/>
  <c r="C116" i="2"/>
  <c r="C115" i="2"/>
  <c r="C114" i="2"/>
  <c r="C113" i="2"/>
  <c r="C112" i="2"/>
  <c r="AS111" i="2"/>
  <c r="AR111" i="2"/>
  <c r="AQ111" i="2"/>
  <c r="AP111" i="2"/>
  <c r="AO111" i="2"/>
  <c r="AN111" i="2"/>
  <c r="AM111" i="2"/>
  <c r="AH111" i="2"/>
  <c r="AL111" i="2"/>
  <c r="AK111" i="2"/>
  <c r="AD111" i="2"/>
  <c r="AG111" i="2"/>
  <c r="AF111" i="2"/>
  <c r="AE111" i="2"/>
  <c r="AC111" i="2"/>
  <c r="AB111" i="2"/>
  <c r="AA111" i="2"/>
  <c r="Y111" i="2"/>
  <c r="U111" i="2"/>
  <c r="T111" i="2"/>
  <c r="S111" i="2"/>
  <c r="R111" i="2"/>
  <c r="Q111" i="2"/>
  <c r="P111" i="2"/>
  <c r="O111" i="2"/>
  <c r="N111" i="2"/>
  <c r="M111" i="2"/>
  <c r="L111" i="2"/>
  <c r="K111" i="2"/>
  <c r="J111" i="2"/>
  <c r="I111" i="2"/>
  <c r="H111" i="2"/>
  <c r="G111" i="2"/>
  <c r="C110" i="2"/>
  <c r="C108" i="2"/>
  <c r="C107" i="2"/>
  <c r="C106" i="2"/>
  <c r="C105" i="2"/>
  <c r="C104" i="2"/>
  <c r="C103" i="2"/>
  <c r="C102" i="2"/>
  <c r="C96" i="2"/>
  <c r="C95" i="2"/>
  <c r="C101" i="2"/>
  <c r="C100" i="2"/>
  <c r="C99" i="2"/>
  <c r="C98" i="2"/>
  <c r="C97" i="2"/>
  <c r="C94" i="2"/>
  <c r="C93" i="2"/>
  <c r="C92" i="2"/>
  <c r="C91" i="2"/>
  <c r="AS89" i="2"/>
  <c r="AR89" i="2"/>
  <c r="AQ89" i="2"/>
  <c r="AP89" i="2"/>
  <c r="AO89" i="2"/>
  <c r="AN89" i="2"/>
  <c r="AM89" i="2"/>
  <c r="AH89" i="2"/>
  <c r="AL89" i="2"/>
  <c r="AK89" i="2"/>
  <c r="AD89" i="2"/>
  <c r="AG89" i="2"/>
  <c r="AF89" i="2"/>
  <c r="AE89" i="2"/>
  <c r="AC89" i="2"/>
  <c r="AB89" i="2"/>
  <c r="AA89" i="2"/>
  <c r="Y89" i="2"/>
  <c r="U89" i="2"/>
  <c r="T89" i="2"/>
  <c r="S89" i="2"/>
  <c r="R89" i="2"/>
  <c r="Q89" i="2"/>
  <c r="P89" i="2"/>
  <c r="O89" i="2"/>
  <c r="N89" i="2"/>
  <c r="M89" i="2"/>
  <c r="L89" i="2"/>
  <c r="K89" i="2"/>
  <c r="J89" i="2"/>
  <c r="I89" i="2"/>
  <c r="H89" i="2"/>
  <c r="G89" i="2"/>
  <c r="C88" i="2"/>
  <c r="C76" i="2"/>
  <c r="C74" i="2"/>
  <c r="C68" i="2"/>
  <c r="C73" i="2"/>
  <c r="C72" i="2"/>
  <c r="C67" i="2"/>
  <c r="C71" i="2"/>
  <c r="C70" i="2"/>
  <c r="C69" i="2"/>
  <c r="C66" i="2"/>
  <c r="C65" i="2"/>
  <c r="C64" i="2"/>
  <c r="C63" i="2"/>
  <c r="C62" i="2"/>
  <c r="C61" i="2"/>
  <c r="C60" i="2"/>
  <c r="C59" i="2"/>
  <c r="C57" i="2"/>
  <c r="C49" i="2"/>
  <c r="C47" i="2"/>
  <c r="C38" i="2"/>
  <c r="C37" i="2"/>
  <c r="C36" i="2"/>
  <c r="C35" i="2"/>
  <c r="AS34" i="2"/>
  <c r="AR34" i="2"/>
  <c r="AR58" i="2" s="1"/>
  <c r="AQ34" i="2"/>
  <c r="AQ58" i="2" s="1"/>
  <c r="AP34" i="2"/>
  <c r="AP58" i="2" s="1"/>
  <c r="AO34" i="2"/>
  <c r="AO58" i="2" s="1"/>
  <c r="AN34" i="2"/>
  <c r="AN58" i="2" s="1"/>
  <c r="AM34" i="2"/>
  <c r="AM58" i="2" s="1"/>
  <c r="AH34" i="2"/>
  <c r="AH58" i="2" s="1"/>
  <c r="AL34" i="2"/>
  <c r="AL58" i="2" s="1"/>
  <c r="AK34" i="2"/>
  <c r="AD34" i="2"/>
  <c r="AD58" i="2" s="1"/>
  <c r="AG34" i="2"/>
  <c r="AG58" i="2" s="1"/>
  <c r="AF34" i="2"/>
  <c r="AF58" i="2" s="1"/>
  <c r="AE34" i="2"/>
  <c r="AE58" i="2" s="1"/>
  <c r="AC34" i="2"/>
  <c r="AC58" i="2" s="1"/>
  <c r="AB34" i="2"/>
  <c r="AA34" i="2"/>
  <c r="AA58" i="2" s="1"/>
  <c r="Y34" i="2"/>
  <c r="Y58" i="2" s="1"/>
  <c r="U34" i="2"/>
  <c r="U58" i="2" s="1"/>
  <c r="T34" i="2"/>
  <c r="T58" i="2" s="1"/>
  <c r="R34" i="2"/>
  <c r="R58" i="2" s="1"/>
  <c r="Q34" i="2"/>
  <c r="Q58" i="2" s="1"/>
  <c r="P34" i="2"/>
  <c r="P58" i="2" s="1"/>
  <c r="O34" i="2"/>
  <c r="N34" i="2"/>
  <c r="N58" i="2" s="1"/>
  <c r="M34" i="2"/>
  <c r="M58" i="2" s="1"/>
  <c r="L34" i="2"/>
  <c r="L58" i="2" s="1"/>
  <c r="K34" i="2"/>
  <c r="J34" i="2"/>
  <c r="J58" i="2" s="1"/>
  <c r="I34" i="2"/>
  <c r="I58" i="2" s="1"/>
  <c r="G34" i="2"/>
  <c r="G58" i="2" s="1"/>
  <c r="C33" i="2"/>
  <c r="C20" i="2"/>
  <c r="C19" i="2"/>
  <c r="C18" i="2"/>
  <c r="C17" i="2"/>
  <c r="C16" i="2"/>
  <c r="C15" i="2"/>
  <c r="C14" i="2"/>
  <c r="C12" i="2"/>
  <c r="C11" i="2"/>
  <c r="C10" i="2"/>
  <c r="C9" i="2"/>
  <c r="C7" i="2"/>
  <c r="C5" i="2"/>
  <c r="I180" i="1"/>
  <c r="F180" i="1"/>
  <c r="E180" i="1"/>
  <c r="G179" i="1"/>
  <c r="H179" i="1" s="1"/>
  <c r="J179" i="1" s="1"/>
  <c r="D179" i="1"/>
  <c r="C179" i="1"/>
  <c r="G178" i="1"/>
  <c r="H178" i="1" s="1"/>
  <c r="J178" i="1" s="1"/>
  <c r="D178" i="1"/>
  <c r="C178" i="1"/>
  <c r="G177" i="1"/>
  <c r="H177" i="1" s="1"/>
  <c r="J177" i="1" s="1"/>
  <c r="D177" i="1"/>
  <c r="C177" i="1"/>
  <c r="G172" i="1"/>
  <c r="H172" i="1" s="1"/>
  <c r="J172" i="1" s="1"/>
  <c r="D172" i="1"/>
  <c r="C172" i="1"/>
  <c r="G171" i="1"/>
  <c r="H171" i="1" s="1"/>
  <c r="J171" i="1" s="1"/>
  <c r="D171" i="1"/>
  <c r="C171" i="1"/>
  <c r="G170" i="1"/>
  <c r="H170" i="1" s="1"/>
  <c r="D170" i="1"/>
  <c r="C170" i="1"/>
  <c r="G168" i="1"/>
  <c r="H168" i="1" s="1"/>
  <c r="J168" i="1" s="1"/>
  <c r="D168" i="1"/>
  <c r="C168" i="1"/>
  <c r="G169" i="1"/>
  <c r="H169" i="1" s="1"/>
  <c r="J169" i="1" s="1"/>
  <c r="D169" i="1"/>
  <c r="C169" i="1"/>
  <c r="G167" i="1"/>
  <c r="H167" i="1" s="1"/>
  <c r="J167" i="1" s="1"/>
  <c r="D167" i="1"/>
  <c r="C167" i="1"/>
  <c r="I166" i="1"/>
  <c r="F166" i="1"/>
  <c r="G165" i="1"/>
  <c r="H165" i="1" s="1"/>
  <c r="J165" i="1" s="1"/>
  <c r="D165" i="1"/>
  <c r="C165" i="1"/>
  <c r="G154" i="1"/>
  <c r="H154" i="1" s="1"/>
  <c r="J154" i="1" s="1"/>
  <c r="D154" i="1"/>
  <c r="C154" i="1"/>
  <c r="G153" i="1"/>
  <c r="H153" i="1" s="1"/>
  <c r="J153" i="1" s="1"/>
  <c r="D153" i="1"/>
  <c r="C153" i="1"/>
  <c r="G152" i="1"/>
  <c r="H152" i="1" s="1"/>
  <c r="D152" i="1"/>
  <c r="C152" i="1"/>
  <c r="I151" i="1"/>
  <c r="F151" i="1"/>
  <c r="G150" i="1"/>
  <c r="H150" i="1" s="1"/>
  <c r="J150" i="1" s="1"/>
  <c r="D150" i="1"/>
  <c r="C150" i="1"/>
  <c r="G147" i="1"/>
  <c r="H147" i="1" s="1"/>
  <c r="J147" i="1" s="1"/>
  <c r="D147" i="1"/>
  <c r="C147" i="1"/>
  <c r="G149" i="1"/>
  <c r="H149" i="1" s="1"/>
  <c r="J149" i="1" s="1"/>
  <c r="D149" i="1"/>
  <c r="C149" i="1"/>
  <c r="G143" i="1"/>
  <c r="H143" i="1" s="1"/>
  <c r="D143" i="1"/>
  <c r="C143" i="1"/>
  <c r="G139" i="1"/>
  <c r="H139" i="1" s="1"/>
  <c r="J139" i="1" s="1"/>
  <c r="D139" i="1"/>
  <c r="C139" i="1"/>
  <c r="I137" i="1"/>
  <c r="F137" i="1"/>
  <c r="G136" i="1"/>
  <c r="H136" i="1" s="1"/>
  <c r="J136" i="1" s="1"/>
  <c r="D136" i="1"/>
  <c r="C136" i="1"/>
  <c r="G135" i="1"/>
  <c r="H135" i="1" s="1"/>
  <c r="J135" i="1" s="1"/>
  <c r="D135" i="1"/>
  <c r="C135" i="1"/>
  <c r="G133" i="1"/>
  <c r="H133" i="1" s="1"/>
  <c r="J133" i="1" s="1"/>
  <c r="D133" i="1"/>
  <c r="C133" i="1"/>
  <c r="G122" i="1"/>
  <c r="H122" i="1" s="1"/>
  <c r="J122" i="1" s="1"/>
  <c r="D122" i="1"/>
  <c r="C122" i="1"/>
  <c r="I121" i="1"/>
  <c r="F121" i="1"/>
  <c r="G120" i="1"/>
  <c r="H120" i="1" s="1"/>
  <c r="J120" i="1" s="1"/>
  <c r="D120" i="1"/>
  <c r="C120" i="1"/>
  <c r="G116" i="1"/>
  <c r="H116" i="1" s="1"/>
  <c r="J116" i="1" s="1"/>
  <c r="D116" i="1"/>
  <c r="C116" i="1"/>
  <c r="G111" i="1"/>
  <c r="H111" i="1" s="1"/>
  <c r="J111" i="1" s="1"/>
  <c r="D111" i="1"/>
  <c r="C111" i="1"/>
  <c r="I110" i="1"/>
  <c r="F110" i="1"/>
  <c r="G109" i="1"/>
  <c r="H109" i="1" s="1"/>
  <c r="J109" i="1" s="1"/>
  <c r="D109" i="1"/>
  <c r="C109" i="1"/>
  <c r="G106" i="1"/>
  <c r="H106" i="1" s="1"/>
  <c r="J106" i="1" s="1"/>
  <c r="D106" i="1"/>
  <c r="C106" i="1"/>
  <c r="G104" i="1"/>
  <c r="H104" i="1" s="1"/>
  <c r="J104" i="1" s="1"/>
  <c r="C104" i="1"/>
  <c r="G97" i="1"/>
  <c r="D97" i="1"/>
  <c r="C97" i="1"/>
  <c r="I95" i="1"/>
  <c r="F95" i="1"/>
  <c r="G94" i="1"/>
  <c r="H94" i="1" s="1"/>
  <c r="J94" i="1" s="1"/>
  <c r="D94" i="1"/>
  <c r="C94" i="1"/>
  <c r="G93" i="1"/>
  <c r="H93" i="1" s="1"/>
  <c r="J93" i="1" s="1"/>
  <c r="D93" i="1"/>
  <c r="C93" i="1"/>
  <c r="G92" i="1"/>
  <c r="H92" i="1" s="1"/>
  <c r="J92" i="1" s="1"/>
  <c r="D92" i="1"/>
  <c r="C92" i="1"/>
  <c r="G85" i="1"/>
  <c r="H85" i="1" s="1"/>
  <c r="J85" i="1" s="1"/>
  <c r="D85" i="1"/>
  <c r="C85" i="1"/>
  <c r="G84" i="1"/>
  <c r="H84" i="1" s="1"/>
  <c r="J84" i="1" s="1"/>
  <c r="D84" i="1"/>
  <c r="C84" i="1"/>
  <c r="G83" i="1"/>
  <c r="H83" i="1" s="1"/>
  <c r="J83" i="1" s="1"/>
  <c r="D83" i="1"/>
  <c r="C83" i="1"/>
  <c r="I82" i="1"/>
  <c r="F82" i="1"/>
  <c r="G81" i="1"/>
  <c r="H81" i="1" s="1"/>
  <c r="J81" i="1" s="1"/>
  <c r="D81" i="1"/>
  <c r="C81" i="1"/>
  <c r="G80" i="1"/>
  <c r="H80" i="1" s="1"/>
  <c r="J80" i="1" s="1"/>
  <c r="D80" i="1"/>
  <c r="C80" i="1"/>
  <c r="G76" i="1"/>
  <c r="H76" i="1" s="1"/>
  <c r="J76" i="1" s="1"/>
  <c r="D76" i="1"/>
  <c r="C76" i="1"/>
  <c r="G75" i="1"/>
  <c r="H75" i="1" s="1"/>
  <c r="J75" i="1" s="1"/>
  <c r="D75" i="1"/>
  <c r="C75" i="1"/>
  <c r="G74" i="1"/>
  <c r="H74" i="1" s="1"/>
  <c r="J74" i="1" s="1"/>
  <c r="D74" i="1"/>
  <c r="C74" i="1"/>
  <c r="G70" i="1"/>
  <c r="H70" i="1" s="1"/>
  <c r="J70" i="1" s="1"/>
  <c r="D70" i="1"/>
  <c r="C70" i="1"/>
  <c r="G69" i="1"/>
  <c r="H69" i="1" s="1"/>
  <c r="J69" i="1" s="1"/>
  <c r="D69" i="1"/>
  <c r="C69" i="1"/>
  <c r="G68" i="1"/>
  <c r="H68" i="1" s="1"/>
  <c r="J68" i="1" s="1"/>
  <c r="D68" i="1"/>
  <c r="C68" i="1"/>
  <c r="G67" i="1"/>
  <c r="H67" i="1" s="1"/>
  <c r="J67" i="1" s="1"/>
  <c r="D67" i="1"/>
  <c r="C67" i="1"/>
  <c r="I66" i="1"/>
  <c r="F66" i="1"/>
  <c r="E66" i="1"/>
  <c r="E96" i="1" s="1"/>
  <c r="G65" i="1"/>
  <c r="H65" i="1" s="1"/>
  <c r="J65" i="1" s="1"/>
  <c r="D65" i="1"/>
  <c r="C65" i="1"/>
  <c r="G64" i="1"/>
  <c r="H64" i="1" s="1"/>
  <c r="J64" i="1" s="1"/>
  <c r="D64" i="1"/>
  <c r="C64" i="1"/>
  <c r="G58" i="1"/>
  <c r="H58" i="1" s="1"/>
  <c r="D58" i="1"/>
  <c r="C58" i="1"/>
  <c r="G57" i="1"/>
  <c r="H57" i="1" s="1"/>
  <c r="J57" i="1" s="1"/>
  <c r="D57" i="1"/>
  <c r="C57" i="1"/>
  <c r="G56" i="1"/>
  <c r="H56" i="1" s="1"/>
  <c r="J56" i="1" s="1"/>
  <c r="D56" i="1"/>
  <c r="C56" i="1"/>
  <c r="G55" i="1"/>
  <c r="H55" i="1" s="1"/>
  <c r="J55" i="1" s="1"/>
  <c r="D55" i="1"/>
  <c r="C55" i="1"/>
  <c r="I53" i="1"/>
  <c r="F53" i="1"/>
  <c r="H52" i="1"/>
  <c r="J52" i="1" s="1"/>
  <c r="D52" i="1"/>
  <c r="C52" i="1"/>
  <c r="G48" i="1"/>
  <c r="H48" i="1" s="1"/>
  <c r="J48" i="1" s="1"/>
  <c r="D48" i="1"/>
  <c r="C48" i="1"/>
  <c r="G47" i="1"/>
  <c r="H47" i="1" s="1"/>
  <c r="J47" i="1" s="1"/>
  <c r="D47" i="1"/>
  <c r="C47" i="1"/>
  <c r="G41" i="1"/>
  <c r="H41" i="1" s="1"/>
  <c r="J41" i="1" s="1"/>
  <c r="D41" i="1"/>
  <c r="C41" i="1"/>
  <c r="G40" i="1"/>
  <c r="H40" i="1" s="1"/>
  <c r="J40" i="1" s="1"/>
  <c r="D40" i="1"/>
  <c r="C40" i="1"/>
  <c r="G39" i="1"/>
  <c r="H39" i="1" s="1"/>
  <c r="J39" i="1" s="1"/>
  <c r="D39" i="1"/>
  <c r="C39" i="1"/>
  <c r="G38" i="1"/>
  <c r="H38" i="1" s="1"/>
  <c r="D38" i="1"/>
  <c r="C38" i="1"/>
  <c r="I37" i="1"/>
  <c r="F37" i="1"/>
  <c r="E37" i="1"/>
  <c r="G36" i="1"/>
  <c r="H36" i="1" s="1"/>
  <c r="J36" i="1" s="1"/>
  <c r="D36" i="1"/>
  <c r="C36" i="1"/>
  <c r="G35" i="1"/>
  <c r="H35" i="1" s="1"/>
  <c r="J35" i="1" s="1"/>
  <c r="D35" i="1"/>
  <c r="C35" i="1"/>
  <c r="G28" i="1"/>
  <c r="H28" i="1" s="1"/>
  <c r="J28" i="1" s="1"/>
  <c r="D28" i="1"/>
  <c r="C28" i="1"/>
  <c r="G27" i="1"/>
  <c r="H27" i="1" s="1"/>
  <c r="J27" i="1" s="1"/>
  <c r="D27" i="1"/>
  <c r="C27" i="1"/>
  <c r="G22" i="1"/>
  <c r="H22" i="1" s="1"/>
  <c r="J22" i="1" s="1"/>
  <c r="D22" i="1"/>
  <c r="C22" i="1"/>
  <c r="G21" i="1"/>
  <c r="H21" i="1" s="1"/>
  <c r="J21" i="1" s="1"/>
  <c r="D21" i="1"/>
  <c r="C21" i="1"/>
  <c r="G20" i="1"/>
  <c r="H20" i="1" s="1"/>
  <c r="J20" i="1" s="1"/>
  <c r="D20" i="1"/>
  <c r="C20" i="1"/>
  <c r="I19" i="1"/>
  <c r="F19" i="1"/>
  <c r="E19" i="1"/>
  <c r="G18" i="1"/>
  <c r="H18" i="1" s="1"/>
  <c r="J18" i="1" s="1"/>
  <c r="D18" i="1"/>
  <c r="C18" i="1"/>
  <c r="G17" i="1"/>
  <c r="H17" i="1" s="1"/>
  <c r="J17" i="1" s="1"/>
  <c r="D17" i="1"/>
  <c r="C17" i="1"/>
  <c r="G7" i="1"/>
  <c r="H7" i="1" s="1"/>
  <c r="D7" i="1"/>
  <c r="C7" i="1"/>
  <c r="G6" i="1"/>
  <c r="H6" i="1" s="1"/>
  <c r="J6" i="1" s="1"/>
  <c r="D6" i="1"/>
  <c r="C6" i="1"/>
  <c r="G5" i="1"/>
  <c r="H5" i="1" s="1"/>
  <c r="J5" i="1" s="1"/>
  <c r="D5" i="1"/>
  <c r="C5" i="1"/>
  <c r="G4" i="1"/>
  <c r="H4" i="1" s="1"/>
  <c r="J4" i="1" s="1"/>
  <c r="D4" i="1"/>
  <c r="C4" i="1"/>
  <c r="G3" i="1"/>
  <c r="H3" i="1" s="1"/>
  <c r="J3" i="1" s="1"/>
  <c r="D3" i="1"/>
  <c r="C3" i="1"/>
  <c r="D129" i="4"/>
  <c r="E129" i="4" s="1"/>
  <c r="X32" i="17" l="1" a="1"/>
  <c r="X26" i="17" a="1"/>
  <c r="X34" i="17" a="1"/>
  <c r="X25" i="17" a="1"/>
  <c r="X43" i="17" a="1"/>
  <c r="X40" i="17" a="1"/>
  <c r="X45" i="17" a="1"/>
  <c r="X36" i="17" a="1"/>
  <c r="X31" i="17" a="1"/>
  <c r="X44" i="17" a="1"/>
  <c r="X42" i="17" a="1"/>
  <c r="X28" i="17" a="1"/>
  <c r="X24" i="17" a="1"/>
  <c r="X27" i="17" a="1"/>
  <c r="X39" i="17" a="1"/>
  <c r="X35" i="17" a="1"/>
  <c r="X33" i="17" a="1"/>
  <c r="X30" i="17" a="1"/>
  <c r="X41" i="17" a="1"/>
  <c r="X38" i="17" a="1"/>
  <c r="X37" i="17" a="1"/>
  <c r="X29" i="17" a="1"/>
  <c r="X144" i="17" a="1"/>
  <c r="X145" i="17" a="1"/>
  <c r="X137" i="17" a="1"/>
  <c r="X146" i="17" a="1"/>
  <c r="X147" i="17" a="1"/>
  <c r="X142" i="17" a="1"/>
  <c r="X134" i="17" a="1"/>
  <c r="X136" i="17" a="1"/>
  <c r="X126" i="17" a="1"/>
  <c r="X141" i="17" a="1"/>
  <c r="X138" i="17" a="1"/>
  <c r="X127" i="17" a="1"/>
  <c r="X139" i="17" a="1"/>
  <c r="X129" i="17" a="1"/>
  <c r="X143" i="17" a="1"/>
  <c r="X132" i="17" a="1"/>
  <c r="X124" i="17" a="1"/>
  <c r="X135" i="17" a="1"/>
  <c r="X118" i="17" a="1"/>
  <c r="X119" i="17" a="1"/>
  <c r="X140" i="17" a="1"/>
  <c r="X125" i="17" a="1"/>
  <c r="X114" i="17" a="1"/>
  <c r="X123" i="17" a="1"/>
  <c r="X117" i="17" a="1"/>
  <c r="X128" i="17" a="1"/>
  <c r="X121" i="17" a="1"/>
  <c r="X109" i="17" a="1"/>
  <c r="X103" i="17" a="1"/>
  <c r="X97" i="17" a="1"/>
  <c r="X89" i="17" a="1"/>
  <c r="X83" i="17" a="1"/>
  <c r="X110" i="17" a="1"/>
  <c r="X104" i="17" a="1"/>
  <c r="X90" i="17" a="1"/>
  <c r="X84" i="17" a="1"/>
  <c r="X131" i="17" a="1"/>
  <c r="X130" i="17" a="1"/>
  <c r="X120" i="17" a="1"/>
  <c r="X107" i="17" a="1"/>
  <c r="X99" i="17" a="1"/>
  <c r="X93" i="17" a="1"/>
  <c r="X86" i="17" a="1"/>
  <c r="X79" i="17" a="1"/>
  <c r="X113" i="17" a="1"/>
  <c r="X100" i="17" a="1"/>
  <c r="X116" i="17" a="1"/>
  <c r="X91" i="17" a="1"/>
  <c r="X133" i="17" a="1"/>
  <c r="X105" i="17" a="1"/>
  <c r="X95" i="17" a="1"/>
  <c r="X87" i="17" a="1"/>
  <c r="X69" i="17" a="1"/>
  <c r="X64" i="17" a="1"/>
  <c r="X82" i="17" a="1"/>
  <c r="X81" i="17" a="1"/>
  <c r="X76" i="17" a="1"/>
  <c r="X70" i="17" a="1"/>
  <c r="X57" i="17" a="1"/>
  <c r="X122" i="17" a="1"/>
  <c r="X108" i="17" a="1"/>
  <c r="X101" i="17" a="1"/>
  <c r="X92" i="17" a="1"/>
  <c r="X115" i="17" a="1"/>
  <c r="X111" i="17" a="1"/>
  <c r="X98" i="17" a="1"/>
  <c r="X96" i="17" a="1"/>
  <c r="X94" i="17" a="1"/>
  <c r="X88" i="17" a="1"/>
  <c r="X78" i="17" a="1"/>
  <c r="X72" i="17" a="1"/>
  <c r="X66" i="17" a="1"/>
  <c r="X106" i="17" a="1"/>
  <c r="X67" i="17" a="1"/>
  <c r="X71" i="17" a="1"/>
  <c r="X55" i="17" a="1"/>
  <c r="X47" i="17" a="1"/>
  <c r="X85" i="17" a="1"/>
  <c r="X75" i="17" a="1"/>
  <c r="X112" i="17" a="1"/>
  <c r="X102" i="17" a="1"/>
  <c r="X74" i="17" a="1"/>
  <c r="X73" i="17" a="1"/>
  <c r="X65" i="17" a="1"/>
  <c r="X61" i="17" a="1"/>
  <c r="X77" i="17" a="1"/>
  <c r="X80" i="17" a="1"/>
  <c r="X59" i="17" a="1"/>
  <c r="X52" i="17" a="1"/>
  <c r="X68" i="17" a="1"/>
  <c r="X58" i="17" a="1"/>
  <c r="X54" i="17" a="1"/>
  <c r="X49" i="17" a="1"/>
  <c r="X60" i="17" a="1"/>
  <c r="X48" i="17" a="1"/>
  <c r="X51" i="17" a="1"/>
  <c r="X23" i="17" a="1"/>
  <c r="X46" i="17" a="1"/>
  <c r="X50" i="17" a="1"/>
  <c r="X56" i="17" a="1"/>
  <c r="X53" i="17" a="1"/>
  <c r="Y34" i="14" a="1"/>
  <c r="K34" i="14"/>
  <c r="K113" i="14"/>
  <c r="E58" i="4"/>
  <c r="E64" i="4"/>
  <c r="K93" i="14"/>
  <c r="Y75" i="14" a="1"/>
  <c r="Y73" i="14" a="1"/>
  <c r="K75" i="14"/>
  <c r="K73" i="14"/>
  <c r="K34" i="4"/>
  <c r="K24" i="4" s="1"/>
  <c r="K12" i="4" s="1"/>
  <c r="Y27" i="14" a="1"/>
  <c r="AE27" i="14" s="1"/>
  <c r="Y26" i="14" a="1"/>
  <c r="Y29" i="14" a="1"/>
  <c r="Y25" i="14" a="1"/>
  <c r="K26" i="14"/>
  <c r="K27" i="14"/>
  <c r="K25" i="14"/>
  <c r="K29" i="14"/>
  <c r="Y28" i="14" a="1"/>
  <c r="Y31" i="14" a="1"/>
  <c r="Y31" i="14" s="1"/>
  <c r="AM90" i="2"/>
  <c r="AO90" i="2"/>
  <c r="I54" i="1"/>
  <c r="AP90" i="2"/>
  <c r="F138" i="1"/>
  <c r="J174" i="2"/>
  <c r="AO174" i="2"/>
  <c r="J324" i="2"/>
  <c r="N324" i="2"/>
  <c r="AF324" i="2"/>
  <c r="AL324" i="2"/>
  <c r="AO324" i="2"/>
  <c r="E54" i="1"/>
  <c r="I96" i="1"/>
  <c r="I138" i="1"/>
  <c r="AA90" i="2"/>
  <c r="Y23" i="14" a="1"/>
  <c r="AH23" i="14" s="1"/>
  <c r="Y24" i="14" a="1"/>
  <c r="AF24" i="14" s="1"/>
  <c r="Y36" i="14" a="1"/>
  <c r="AJ36" i="14" s="1"/>
  <c r="Y37" i="14" a="1"/>
  <c r="AH37" i="14" s="1"/>
  <c r="Y38" i="14" a="1"/>
  <c r="AJ38" i="14" s="1"/>
  <c r="Y49" i="14" a="1"/>
  <c r="AJ49" i="14" s="1"/>
  <c r="Y50" i="14" a="1"/>
  <c r="AA50" i="14" s="1"/>
  <c r="Y53" i="14" a="1"/>
  <c r="AJ53" i="14" s="1"/>
  <c r="Y54" i="14" a="1"/>
  <c r="AB54" i="14" s="1"/>
  <c r="Y56" i="14" a="1"/>
  <c r="Z56" i="14" s="1"/>
  <c r="Y57" i="14" a="1"/>
  <c r="AJ57" i="14" s="1"/>
  <c r="Y61" i="14" a="1"/>
  <c r="AD61" i="14" s="1"/>
  <c r="Y62" i="14" a="1"/>
  <c r="AJ62" i="14" s="1"/>
  <c r="Y63" i="14" a="1"/>
  <c r="AJ63" i="14" s="1"/>
  <c r="Y69" i="14" a="1"/>
  <c r="AJ69" i="14" s="1"/>
  <c r="Y94" i="14" a="1"/>
  <c r="AD94" i="14" s="1"/>
  <c r="Y106" i="14" a="1"/>
  <c r="AJ106" i="14" s="1"/>
  <c r="Y39" i="14" a="1"/>
  <c r="AC39" i="14" s="1"/>
  <c r="Y46" i="14" a="1"/>
  <c r="AE46" i="14" s="1"/>
  <c r="Y101" i="14" a="1"/>
  <c r="AE101" i="14" s="1"/>
  <c r="Y97" i="14" a="1"/>
  <c r="Y97" i="14" s="1"/>
  <c r="Y65" i="14" a="1"/>
  <c r="AJ65" i="14" s="1"/>
  <c r="Y81" i="14" a="1"/>
  <c r="Y81" i="14" s="1"/>
  <c r="Y70" i="14" a="1"/>
  <c r="Z70" i="14" s="1"/>
  <c r="Y43" i="14" a="1"/>
  <c r="AJ43" i="14" s="1"/>
  <c r="Y105" i="14" a="1"/>
  <c r="AD105" i="14" s="1"/>
  <c r="Y98" i="14" a="1"/>
  <c r="AB98" i="14" s="1"/>
  <c r="Y95" i="14" a="1"/>
  <c r="AA95" i="14" s="1"/>
  <c r="Y33" i="14" a="1"/>
  <c r="AI33" i="14" s="1"/>
  <c r="Y51" i="14" a="1"/>
  <c r="Y79" i="14" a="1"/>
  <c r="Y79" i="14" s="1"/>
  <c r="Y67" i="14" a="1"/>
  <c r="Y67" i="14" s="1"/>
  <c r="Y59" i="14" a="1"/>
  <c r="AJ59" i="14" s="1"/>
  <c r="Y40" i="14" a="1"/>
  <c r="AJ40" i="14" s="1"/>
  <c r="Y42" i="14" a="1"/>
  <c r="AH42" i="14" s="1"/>
  <c r="Y103" i="14" a="1"/>
  <c r="AA103" i="14" s="1"/>
  <c r="Y99" i="14" a="1"/>
  <c r="Y96" i="14" a="1"/>
  <c r="AG96" i="14" s="1"/>
  <c r="Y102" i="14" a="1"/>
  <c r="Z102" i="14" s="1"/>
  <c r="Y100" i="14" a="1"/>
  <c r="AE100" i="14" s="1"/>
  <c r="Y104" i="14" a="1"/>
  <c r="AD104" i="14" s="1"/>
  <c r="Y83" i="14" a="1"/>
  <c r="AE83" i="14" s="1"/>
  <c r="Y52" i="14" a="1"/>
  <c r="AD52" i="14" s="1"/>
  <c r="Y77" i="14" a="1"/>
  <c r="AC77" i="14" s="1"/>
  <c r="Y86" i="14" a="1"/>
  <c r="Y93" i="14" a="1"/>
  <c r="AB93" i="14" s="1"/>
  <c r="Y80" i="14" a="1"/>
  <c r="Y78" i="14" a="1"/>
  <c r="Y68" i="14" a="1"/>
  <c r="Z68" i="14" s="1"/>
  <c r="Y71" i="14" a="1"/>
  <c r="AC71" i="14" s="1"/>
  <c r="Y60" i="14" a="1"/>
  <c r="AG60" i="14" s="1"/>
  <c r="Y47" i="14" a="1"/>
  <c r="Z47" i="14" s="1"/>
  <c r="Y45" i="14" a="1"/>
  <c r="AF45" i="14" s="1"/>
  <c r="Y44" i="14" a="1"/>
  <c r="AH44" i="14" s="1"/>
  <c r="Y32" i="14" a="1"/>
  <c r="AB32" i="14" s="1"/>
  <c r="Y92" i="14" a="1"/>
  <c r="Z92" i="14" s="1"/>
  <c r="H121" i="1"/>
  <c r="J121" i="1"/>
  <c r="B226" i="2" s="1"/>
  <c r="G121" i="1"/>
  <c r="F54" i="1"/>
  <c r="F96" i="1"/>
  <c r="Y74" i="14" a="1"/>
  <c r="AE74" i="14" s="1"/>
  <c r="Y85" i="14" a="1"/>
  <c r="AC85" i="14" s="1"/>
  <c r="Y87" i="14" a="1"/>
  <c r="AG87" i="14" s="1"/>
  <c r="Y88" i="14" a="1"/>
  <c r="AH88" i="14" s="1"/>
  <c r="Y82" i="14" a="1"/>
  <c r="AC82" i="14" s="1"/>
  <c r="C323" i="2"/>
  <c r="G180" i="1"/>
  <c r="AS324" i="2"/>
  <c r="Q174" i="2"/>
  <c r="AP174" i="2"/>
  <c r="AG253" i="2"/>
  <c r="G324" i="2"/>
  <c r="K324" i="2"/>
  <c r="O324" i="2"/>
  <c r="Q324" i="2"/>
  <c r="T324" i="2"/>
  <c r="AC324" i="2"/>
  <c r="AG324" i="2"/>
  <c r="AH324" i="2"/>
  <c r="AP324" i="2"/>
  <c r="AB324" i="2"/>
  <c r="J170" i="1"/>
  <c r="J180" i="1" s="1"/>
  <c r="B323" i="2" s="1"/>
  <c r="H180" i="1"/>
  <c r="J3" i="6"/>
  <c r="Y41" i="14" a="1"/>
  <c r="P90" i="2"/>
  <c r="AA253" i="2"/>
  <c r="AN253" i="2"/>
  <c r="E143" i="4"/>
  <c r="D158" i="4"/>
  <c r="E158" i="4" s="1"/>
  <c r="C3" i="10"/>
  <c r="Y150" i="14" a="1"/>
  <c r="Y84" i="14" a="1"/>
  <c r="AG84" i="14" s="1"/>
  <c r="K30" i="14"/>
  <c r="K84" i="14"/>
  <c r="K122" i="14"/>
  <c r="K146" i="14"/>
  <c r="K150" i="14"/>
  <c r="G137" i="1"/>
  <c r="J137" i="1"/>
  <c r="B252" i="2" s="1"/>
  <c r="G37" i="1"/>
  <c r="F181" i="1"/>
  <c r="R352" i="14"/>
  <c r="T352" i="14" s="1"/>
  <c r="E181" i="1"/>
  <c r="P324" i="2"/>
  <c r="H166" i="1"/>
  <c r="C301" i="2"/>
  <c r="AG90" i="2"/>
  <c r="C111" i="2"/>
  <c r="C173" i="2"/>
  <c r="R253" i="2"/>
  <c r="AD253" i="2"/>
  <c r="H324" i="2"/>
  <c r="E16" i="3" s="1"/>
  <c r="L324" i="2"/>
  <c r="R324" i="2"/>
  <c r="U324" i="2"/>
  <c r="Y324" i="2"/>
  <c r="AE324" i="2"/>
  <c r="AD324" i="2"/>
  <c r="AM324" i="2"/>
  <c r="AQ324" i="2"/>
  <c r="H253" i="2"/>
  <c r="E13" i="3" s="1"/>
  <c r="K174" i="2"/>
  <c r="AG174" i="2"/>
  <c r="P174" i="2"/>
  <c r="AF174" i="2"/>
  <c r="J152" i="1"/>
  <c r="J166" i="1" s="1"/>
  <c r="B301" i="2" s="1"/>
  <c r="I181" i="1"/>
  <c r="G166" i="1"/>
  <c r="J7" i="1"/>
  <c r="J19" i="1" s="1"/>
  <c r="H19" i="1"/>
  <c r="H53" i="1"/>
  <c r="J38" i="1"/>
  <c r="J53" i="1" s="1"/>
  <c r="B89" i="2" s="1"/>
  <c r="J58" i="1"/>
  <c r="J66" i="1" s="1"/>
  <c r="B111" i="2" s="1"/>
  <c r="J95" i="1"/>
  <c r="B173" i="2" s="1"/>
  <c r="H66" i="1"/>
  <c r="J37" i="1"/>
  <c r="B58" i="2" s="1"/>
  <c r="G53" i="1"/>
  <c r="H82" i="1"/>
  <c r="G19" i="1"/>
  <c r="G82" i="1"/>
  <c r="J82" i="1"/>
  <c r="G110" i="1"/>
  <c r="H37" i="1"/>
  <c r="H97" i="1"/>
  <c r="H95" i="1"/>
  <c r="G66" i="1"/>
  <c r="G95" i="1"/>
  <c r="H137" i="1"/>
  <c r="AD35" i="17" l="1"/>
  <c r="AI35" i="17"/>
  <c r="Y35" i="17"/>
  <c r="AH35" i="17"/>
  <c r="Z35" i="17"/>
  <c r="AB35" i="17"/>
  <c r="H35" i="17" s="1"/>
  <c r="AG35" i="17"/>
  <c r="AA35" i="17"/>
  <c r="AE35" i="17"/>
  <c r="X35" i="17"/>
  <c r="AC35" i="17"/>
  <c r="AF35" i="17"/>
  <c r="AE36" i="17"/>
  <c r="AD36" i="17"/>
  <c r="AF36" i="17"/>
  <c r="AC36" i="17"/>
  <c r="AG36" i="17"/>
  <c r="Z36" i="17"/>
  <c r="AI36" i="17"/>
  <c r="X36" i="17"/>
  <c r="AB36" i="17"/>
  <c r="H36" i="17" s="1"/>
  <c r="Y36" i="17"/>
  <c r="AH36" i="17"/>
  <c r="AA36" i="17"/>
  <c r="AE39" i="17"/>
  <c r="AA39" i="17"/>
  <c r="Z39" i="17"/>
  <c r="X39" i="17"/>
  <c r="AF39" i="17"/>
  <c r="AI39" i="17"/>
  <c r="AG39" i="17"/>
  <c r="Y39" i="17"/>
  <c r="AD39" i="17"/>
  <c r="AH39" i="17"/>
  <c r="AB39" i="17"/>
  <c r="H39" i="17" s="1"/>
  <c r="AC39" i="17"/>
  <c r="AE37" i="17"/>
  <c r="AF37" i="17"/>
  <c r="AA37" i="17"/>
  <c r="X37" i="17"/>
  <c r="AD37" i="17"/>
  <c r="AC37" i="17"/>
  <c r="Z37" i="17"/>
  <c r="AG37" i="17"/>
  <c r="AH37" i="17"/>
  <c r="AB37" i="17"/>
  <c r="H37" i="17" s="1"/>
  <c r="AI37" i="17"/>
  <c r="Y37" i="17"/>
  <c r="AI27" i="17"/>
  <c r="AE27" i="17"/>
  <c r="X27" i="17"/>
  <c r="AD27" i="17"/>
  <c r="AH27" i="17"/>
  <c r="Y27" i="17"/>
  <c r="AF27" i="17"/>
  <c r="AG27" i="17"/>
  <c r="Z27" i="17"/>
  <c r="AC27" i="17"/>
  <c r="AA27" i="17"/>
  <c r="AB27" i="17"/>
  <c r="H27" i="17" s="1"/>
  <c r="Z40" i="17"/>
  <c r="Y40" i="17"/>
  <c r="AI40" i="17"/>
  <c r="AA40" i="17"/>
  <c r="AE40" i="17"/>
  <c r="AF40" i="17"/>
  <c r="AC40" i="17"/>
  <c r="AD40" i="17"/>
  <c r="AG40" i="17"/>
  <c r="X40" i="17"/>
  <c r="AB40" i="17"/>
  <c r="H40" i="17" s="1"/>
  <c r="AH40" i="17"/>
  <c r="AD29" i="17"/>
  <c r="X29" i="17"/>
  <c r="AH29" i="17"/>
  <c r="AE29" i="17"/>
  <c r="Y29" i="17"/>
  <c r="AI29" i="17"/>
  <c r="AC29" i="17"/>
  <c r="AA29" i="17"/>
  <c r="AG29" i="17"/>
  <c r="Z29" i="17"/>
  <c r="AB29" i="17"/>
  <c r="H29" i="17" s="1"/>
  <c r="AF29" i="17"/>
  <c r="AI45" i="17"/>
  <c r="AE45" i="17"/>
  <c r="AF45" i="17"/>
  <c r="AG45" i="17"/>
  <c r="X45" i="17"/>
  <c r="AC45" i="17"/>
  <c r="Y45" i="17"/>
  <c r="AA45" i="17"/>
  <c r="AD45" i="17"/>
  <c r="Z45" i="17"/>
  <c r="AB45" i="17"/>
  <c r="H45" i="17" s="1"/>
  <c r="AH45" i="17"/>
  <c r="AE24" i="17"/>
  <c r="AA24" i="17"/>
  <c r="AD24" i="17"/>
  <c r="AF24" i="17"/>
  <c r="AH24" i="17"/>
  <c r="AB24" i="17"/>
  <c r="H24" i="17" s="1"/>
  <c r="AG24" i="17"/>
  <c r="Z24" i="17"/>
  <c r="X24" i="17"/>
  <c r="AI24" i="17"/>
  <c r="AC24" i="17"/>
  <c r="Y24" i="17"/>
  <c r="AG43" i="17"/>
  <c r="AD43" i="17"/>
  <c r="Y43" i="17"/>
  <c r="AI43" i="17"/>
  <c r="AC43" i="17"/>
  <c r="AH43" i="17"/>
  <c r="X43" i="17"/>
  <c r="AF43" i="17"/>
  <c r="AB43" i="17"/>
  <c r="H43" i="17" s="1"/>
  <c r="I43" i="17" s="1"/>
  <c r="AE43" i="17"/>
  <c r="Z43" i="17"/>
  <c r="AA43" i="17"/>
  <c r="AE38" i="17"/>
  <c r="AD38" i="17"/>
  <c r="X38" i="17"/>
  <c r="AC38" i="17"/>
  <c r="Z38" i="17"/>
  <c r="AB38" i="17"/>
  <c r="H38" i="17" s="1"/>
  <c r="AI38" i="17"/>
  <c r="Y38" i="17"/>
  <c r="AH38" i="17"/>
  <c r="AG38" i="17"/>
  <c r="AA38" i="17"/>
  <c r="AF38" i="17"/>
  <c r="AB28" i="17"/>
  <c r="H28" i="17" s="1"/>
  <c r="AI28" i="17"/>
  <c r="AG28" i="17"/>
  <c r="AC28" i="17"/>
  <c r="AD28" i="17"/>
  <c r="Z28" i="17"/>
  <c r="Y28" i="17"/>
  <c r="AA28" i="17"/>
  <c r="AF28" i="17"/>
  <c r="AE28" i="17"/>
  <c r="AH28" i="17"/>
  <c r="X28" i="17"/>
  <c r="AE25" i="17"/>
  <c r="Z25" i="17"/>
  <c r="AI25" i="17"/>
  <c r="AA25" i="17"/>
  <c r="AB25" i="17"/>
  <c r="H25" i="17" s="1"/>
  <c r="AF25" i="17"/>
  <c r="Y25" i="17"/>
  <c r="AD25" i="17"/>
  <c r="X25" i="17"/>
  <c r="AC25" i="17"/>
  <c r="AG25" i="17"/>
  <c r="AH25" i="17"/>
  <c r="AF41" i="17"/>
  <c r="Y41" i="17"/>
  <c r="X41" i="17"/>
  <c r="Z41" i="17"/>
  <c r="AG41" i="17"/>
  <c r="AD41" i="17"/>
  <c r="AI41" i="17"/>
  <c r="AH41" i="17"/>
  <c r="AB41" i="17"/>
  <c r="H41" i="17" s="1"/>
  <c r="AC41" i="17"/>
  <c r="AE41" i="17"/>
  <c r="AA41" i="17"/>
  <c r="Y42" i="17"/>
  <c r="AB42" i="17"/>
  <c r="H42" i="17" s="1"/>
  <c r="AE42" i="17"/>
  <c r="AG42" i="17"/>
  <c r="AD42" i="17"/>
  <c r="AH42" i="17"/>
  <c r="X42" i="17"/>
  <c r="Z42" i="17"/>
  <c r="AF42" i="17"/>
  <c r="AI42" i="17"/>
  <c r="AC42" i="17"/>
  <c r="AA42" i="17"/>
  <c r="AB34" i="17"/>
  <c r="H34" i="17" s="1"/>
  <c r="AC34" i="17"/>
  <c r="AF34" i="17"/>
  <c r="AA34" i="17"/>
  <c r="AI34" i="17"/>
  <c r="AD34" i="17"/>
  <c r="Y34" i="17"/>
  <c r="X34" i="17"/>
  <c r="AH34" i="17"/>
  <c r="AE34" i="17"/>
  <c r="AG34" i="17"/>
  <c r="Z34" i="17"/>
  <c r="AE30" i="17"/>
  <c r="Z30" i="17"/>
  <c r="AH30" i="17"/>
  <c r="Y30" i="17"/>
  <c r="AC30" i="17"/>
  <c r="AB30" i="17"/>
  <c r="H30" i="17" s="1"/>
  <c r="AD30" i="17"/>
  <c r="AF30" i="17"/>
  <c r="X30" i="17"/>
  <c r="AI30" i="17"/>
  <c r="AA30" i="17"/>
  <c r="AG30" i="17"/>
  <c r="AF44" i="17"/>
  <c r="AC44" i="17"/>
  <c r="X44" i="17"/>
  <c r="AA44" i="17"/>
  <c r="AE44" i="17"/>
  <c r="AG44" i="17"/>
  <c r="AH44" i="17"/>
  <c r="Z44" i="17"/>
  <c r="Y44" i="17"/>
  <c r="AI44" i="17"/>
  <c r="AD44" i="17"/>
  <c r="AB44" i="17"/>
  <c r="H44" i="17" s="1"/>
  <c r="AA26" i="17"/>
  <c r="Y26" i="17"/>
  <c r="AC26" i="17"/>
  <c r="AF26" i="17"/>
  <c r="X26" i="17"/>
  <c r="AB26" i="17"/>
  <c r="H26" i="17" s="1"/>
  <c r="AD26" i="17"/>
  <c r="AE26" i="17"/>
  <c r="Z26" i="17"/>
  <c r="AI26" i="17"/>
  <c r="AG26" i="17"/>
  <c r="AH26" i="17"/>
  <c r="AE33" i="17"/>
  <c r="AI33" i="17"/>
  <c r="X33" i="17"/>
  <c r="AD33" i="17"/>
  <c r="AA33" i="17"/>
  <c r="AG33" i="17"/>
  <c r="AB33" i="17"/>
  <c r="H33" i="17" s="1"/>
  <c r="AF33" i="17"/>
  <c r="AC33" i="17"/>
  <c r="Y33" i="17"/>
  <c r="AH33" i="17"/>
  <c r="Z33" i="17"/>
  <c r="AC31" i="17"/>
  <c r="AB31" i="17"/>
  <c r="H31" i="17" s="1"/>
  <c r="AD31" i="17"/>
  <c r="Z31" i="17"/>
  <c r="AA31" i="17"/>
  <c r="AE31" i="17"/>
  <c r="AI31" i="17"/>
  <c r="Y31" i="17"/>
  <c r="AH31" i="17"/>
  <c r="AF31" i="17"/>
  <c r="X31" i="17"/>
  <c r="AG31" i="17"/>
  <c r="AC32" i="17"/>
  <c r="Y32" i="17"/>
  <c r="AG32" i="17"/>
  <c r="AE32" i="17"/>
  <c r="AI32" i="17"/>
  <c r="AF32" i="17"/>
  <c r="AH32" i="17"/>
  <c r="AD32" i="17"/>
  <c r="AB32" i="17"/>
  <c r="H32" i="17" s="1"/>
  <c r="AA32" i="17"/>
  <c r="Z32" i="17"/>
  <c r="X32" i="17"/>
  <c r="AD56" i="17"/>
  <c r="AA56" i="17"/>
  <c r="AI56" i="17"/>
  <c r="Z56" i="17"/>
  <c r="Y56" i="17"/>
  <c r="X56" i="17"/>
  <c r="AG56" i="17"/>
  <c r="AF56" i="17"/>
  <c r="AH56" i="17"/>
  <c r="AE56" i="17"/>
  <c r="AC56" i="17"/>
  <c r="AB56" i="17"/>
  <c r="H56" i="17" s="1"/>
  <c r="AH59" i="17"/>
  <c r="Z59" i="17"/>
  <c r="AG59" i="17"/>
  <c r="Y59" i="17"/>
  <c r="AB59" i="17"/>
  <c r="H59" i="17" s="1"/>
  <c r="AA59" i="17"/>
  <c r="AD59" i="17"/>
  <c r="AC59" i="17"/>
  <c r="AF59" i="17"/>
  <c r="AE59" i="17"/>
  <c r="X59" i="17"/>
  <c r="AI59" i="17"/>
  <c r="AG112" i="17"/>
  <c r="Y112" i="17"/>
  <c r="AI112" i="17"/>
  <c r="Z112" i="17"/>
  <c r="AH112" i="17"/>
  <c r="X112" i="17"/>
  <c r="AE112" i="17"/>
  <c r="AD112" i="17"/>
  <c r="AF112" i="17"/>
  <c r="AC112" i="17"/>
  <c r="AB112" i="17"/>
  <c r="H112" i="17" s="1"/>
  <c r="AA112" i="17"/>
  <c r="AI66" i="17"/>
  <c r="AA66" i="17"/>
  <c r="AH66" i="17"/>
  <c r="Z66" i="17"/>
  <c r="AE66" i="17"/>
  <c r="AC66" i="17"/>
  <c r="AB66" i="17"/>
  <c r="H66" i="17" s="1"/>
  <c r="AG66" i="17"/>
  <c r="AD66" i="17"/>
  <c r="Y66" i="17"/>
  <c r="AF66" i="17"/>
  <c r="X66" i="17"/>
  <c r="AB115" i="17"/>
  <c r="H115" i="17" s="1"/>
  <c r="AF115" i="17"/>
  <c r="X115" i="17"/>
  <c r="AG115" i="17"/>
  <c r="AD115" i="17"/>
  <c r="AC115" i="17"/>
  <c r="AA115" i="17"/>
  <c r="Z115" i="17"/>
  <c r="AI115" i="17"/>
  <c r="Y115" i="17"/>
  <c r="AH115" i="17"/>
  <c r="AE115" i="17"/>
  <c r="AC81" i="17"/>
  <c r="AG81" i="17"/>
  <c r="Y81" i="17"/>
  <c r="AI81" i="17"/>
  <c r="X81" i="17"/>
  <c r="AH81" i="17"/>
  <c r="AD81" i="17"/>
  <c r="AE81" i="17"/>
  <c r="AB81" i="17"/>
  <c r="H81" i="17" s="1"/>
  <c r="AA81" i="17"/>
  <c r="AF81" i="17"/>
  <c r="Z81" i="17"/>
  <c r="AG91" i="17"/>
  <c r="Y91" i="17"/>
  <c r="AF91" i="17"/>
  <c r="X91" i="17"/>
  <c r="AC91" i="17"/>
  <c r="AI91" i="17"/>
  <c r="AH91" i="17"/>
  <c r="AD91" i="17"/>
  <c r="AB91" i="17"/>
  <c r="H91" i="17" s="1"/>
  <c r="I91" i="17" s="1"/>
  <c r="AA91" i="17"/>
  <c r="Z91" i="17"/>
  <c r="AE91" i="17"/>
  <c r="AI107" i="17"/>
  <c r="AA107" i="17"/>
  <c r="AH107" i="17"/>
  <c r="Z107" i="17"/>
  <c r="AF107" i="17"/>
  <c r="X107" i="17"/>
  <c r="AE107" i="17"/>
  <c r="AD107" i="17"/>
  <c r="AC107" i="17"/>
  <c r="AB107" i="17"/>
  <c r="H107" i="17" s="1"/>
  <c r="Y107" i="17"/>
  <c r="AG107" i="17"/>
  <c r="AE83" i="17"/>
  <c r="AI83" i="17"/>
  <c r="AA83" i="17"/>
  <c r="Y83" i="17"/>
  <c r="AH83" i="17"/>
  <c r="X83" i="17"/>
  <c r="AF83" i="17"/>
  <c r="AD83" i="17"/>
  <c r="AG83" i="17"/>
  <c r="AC83" i="17"/>
  <c r="AB83" i="17"/>
  <c r="H83" i="17" s="1"/>
  <c r="Z83" i="17"/>
  <c r="AB123" i="17"/>
  <c r="H123" i="17" s="1"/>
  <c r="AG123" i="17"/>
  <c r="Y123" i="17"/>
  <c r="AF123" i="17"/>
  <c r="AE123" i="17"/>
  <c r="AA123" i="17"/>
  <c r="AI123" i="17"/>
  <c r="AH123" i="17"/>
  <c r="AD123" i="17"/>
  <c r="AC123" i="17"/>
  <c r="Z123" i="17"/>
  <c r="X123" i="17"/>
  <c r="AC132" i="17"/>
  <c r="AB132" i="17"/>
  <c r="H132" i="17" s="1"/>
  <c r="AH132" i="17"/>
  <c r="Z132" i="17"/>
  <c r="AE132" i="17"/>
  <c r="AG132" i="17"/>
  <c r="AF132" i="17"/>
  <c r="Y132" i="17"/>
  <c r="AA132" i="17"/>
  <c r="X132" i="17"/>
  <c r="AI132" i="17"/>
  <c r="AD132" i="17"/>
  <c r="AD136" i="17"/>
  <c r="AG136" i="17"/>
  <c r="Y136" i="17"/>
  <c r="AH136" i="17"/>
  <c r="AF136" i="17"/>
  <c r="AC136" i="17"/>
  <c r="Z136" i="17"/>
  <c r="AE136" i="17"/>
  <c r="AB136" i="17"/>
  <c r="H136" i="17" s="1"/>
  <c r="AI136" i="17"/>
  <c r="AA136" i="17"/>
  <c r="X136" i="17"/>
  <c r="AH50" i="17"/>
  <c r="Z50" i="17"/>
  <c r="AG50" i="17"/>
  <c r="X50" i="17"/>
  <c r="AD50" i="17"/>
  <c r="AC50" i="17"/>
  <c r="AF50" i="17"/>
  <c r="AE50" i="17"/>
  <c r="AB50" i="17"/>
  <c r="H50" i="17" s="1"/>
  <c r="AA50" i="17"/>
  <c r="Y50" i="17"/>
  <c r="AI50" i="17"/>
  <c r="AF48" i="17"/>
  <c r="X48" i="17"/>
  <c r="AE48" i="17"/>
  <c r="AB48" i="17"/>
  <c r="H48" i="17" s="1"/>
  <c r="AA48" i="17"/>
  <c r="AI48" i="17"/>
  <c r="AH48" i="17"/>
  <c r="AG48" i="17"/>
  <c r="AD48" i="17"/>
  <c r="AC48" i="17"/>
  <c r="Z48" i="17"/>
  <c r="Y48" i="17"/>
  <c r="AD75" i="17"/>
  <c r="AC75" i="17"/>
  <c r="AH75" i="17"/>
  <c r="Z75" i="17"/>
  <c r="Y75" i="17"/>
  <c r="X75" i="17"/>
  <c r="AI75" i="17"/>
  <c r="AB75" i="17"/>
  <c r="H75" i="17" s="1"/>
  <c r="AG75" i="17"/>
  <c r="AF75" i="17"/>
  <c r="AE75" i="17"/>
  <c r="AA75" i="17"/>
  <c r="AI72" i="17"/>
  <c r="AA72" i="17"/>
  <c r="AH72" i="17"/>
  <c r="Z72" i="17"/>
  <c r="AE72" i="17"/>
  <c r="AF72" i="17"/>
  <c r="AD72" i="17"/>
  <c r="AB72" i="17"/>
  <c r="H72" i="17" s="1"/>
  <c r="X72" i="17"/>
  <c r="AG72" i="17"/>
  <c r="AC72" i="17"/>
  <c r="Y72" i="17"/>
  <c r="AH92" i="17"/>
  <c r="Z92" i="17"/>
  <c r="AG92" i="17"/>
  <c r="Y92" i="17"/>
  <c r="AD92" i="17"/>
  <c r="AC92" i="17"/>
  <c r="AB92" i="17"/>
  <c r="H92" i="17" s="1"/>
  <c r="AA92" i="17"/>
  <c r="AI92" i="17"/>
  <c r="X92" i="17"/>
  <c r="AE92" i="17"/>
  <c r="AF92" i="17"/>
  <c r="AD82" i="17"/>
  <c r="AH82" i="17"/>
  <c r="Z82" i="17"/>
  <c r="AI82" i="17"/>
  <c r="X82" i="17"/>
  <c r="AG82" i="17"/>
  <c r="AC82" i="17"/>
  <c r="AF82" i="17"/>
  <c r="AE82" i="17"/>
  <c r="AB82" i="17"/>
  <c r="H82" i="17" s="1"/>
  <c r="AA82" i="17"/>
  <c r="Y82" i="17"/>
  <c r="AC116" i="17"/>
  <c r="AG116" i="17"/>
  <c r="Y116" i="17"/>
  <c r="AF116" i="17"/>
  <c r="AE116" i="17"/>
  <c r="AD116" i="17"/>
  <c r="AB116" i="17"/>
  <c r="H116" i="17" s="1"/>
  <c r="AA116" i="17"/>
  <c r="Z116" i="17"/>
  <c r="AI116" i="17"/>
  <c r="X116" i="17"/>
  <c r="AH116" i="17"/>
  <c r="AG120" i="17"/>
  <c r="Y120" i="17"/>
  <c r="AF120" i="17"/>
  <c r="X120" i="17"/>
  <c r="AC120" i="17"/>
  <c r="AE120" i="17"/>
  <c r="AD120" i="17"/>
  <c r="AB120" i="17"/>
  <c r="H120" i="17" s="1"/>
  <c r="AA120" i="17"/>
  <c r="Z120" i="17"/>
  <c r="AI120" i="17"/>
  <c r="AH120" i="17"/>
  <c r="AE89" i="17"/>
  <c r="AD89" i="17"/>
  <c r="AI89" i="17"/>
  <c r="AA89" i="17"/>
  <c r="X89" i="17"/>
  <c r="AH89" i="17"/>
  <c r="AG89" i="17"/>
  <c r="AC89" i="17"/>
  <c r="AB89" i="17"/>
  <c r="H89" i="17" s="1"/>
  <c r="AF89" i="17"/>
  <c r="Z89" i="17"/>
  <c r="Y89" i="17"/>
  <c r="AI114" i="17"/>
  <c r="AA114" i="17"/>
  <c r="AE114" i="17"/>
  <c r="AF114" i="17"/>
  <c r="AC114" i="17"/>
  <c r="AB114" i="17"/>
  <c r="H114" i="17" s="1"/>
  <c r="Z114" i="17"/>
  <c r="Y114" i="17"/>
  <c r="AH114" i="17"/>
  <c r="X114" i="17"/>
  <c r="AG114" i="17"/>
  <c r="AD114" i="17"/>
  <c r="AD143" i="17"/>
  <c r="AC143" i="17"/>
  <c r="AB143" i="17"/>
  <c r="H143" i="17" s="1"/>
  <c r="AF143" i="17"/>
  <c r="X143" i="17"/>
  <c r="AH143" i="17"/>
  <c r="AG143" i="17"/>
  <c r="AE143" i="17"/>
  <c r="AA143" i="17"/>
  <c r="AI143" i="17"/>
  <c r="Z143" i="17"/>
  <c r="Y143" i="17"/>
  <c r="AE134" i="17"/>
  <c r="AG134" i="17"/>
  <c r="X134" i="17"/>
  <c r="AF134" i="17"/>
  <c r="AC134" i="17"/>
  <c r="AI134" i="17"/>
  <c r="Z134" i="17"/>
  <c r="AH134" i="17"/>
  <c r="AA134" i="17"/>
  <c r="AD134" i="17"/>
  <c r="AB134" i="17"/>
  <c r="H134" i="17" s="1"/>
  <c r="Y134" i="17"/>
  <c r="AI60" i="17"/>
  <c r="AA60" i="17"/>
  <c r="AH60" i="17"/>
  <c r="Z60" i="17"/>
  <c r="AC60" i="17"/>
  <c r="AB60" i="17"/>
  <c r="H60" i="17" s="1"/>
  <c r="Y60" i="17"/>
  <c r="X60" i="17"/>
  <c r="AG60" i="17"/>
  <c r="AF60" i="17"/>
  <c r="AE60" i="17"/>
  <c r="AD60" i="17"/>
  <c r="AH77" i="17"/>
  <c r="Z77" i="17"/>
  <c r="AG77" i="17"/>
  <c r="Y77" i="17"/>
  <c r="AD77" i="17"/>
  <c r="AC77" i="17"/>
  <c r="AB77" i="17"/>
  <c r="H77" i="17" s="1"/>
  <c r="AA77" i="17"/>
  <c r="AF77" i="17"/>
  <c r="AE77" i="17"/>
  <c r="X77" i="17"/>
  <c r="AI77" i="17"/>
  <c r="AG85" i="17"/>
  <c r="Y85" i="17"/>
  <c r="AF85" i="17"/>
  <c r="X85" i="17"/>
  <c r="AC85" i="17"/>
  <c r="AI85" i="17"/>
  <c r="AH85" i="17"/>
  <c r="AE85" i="17"/>
  <c r="AB85" i="17"/>
  <c r="H85" i="17" s="1"/>
  <c r="I85" i="17" s="1"/>
  <c r="AA85" i="17"/>
  <c r="AD85" i="17"/>
  <c r="Z85" i="17"/>
  <c r="AI78" i="17"/>
  <c r="AA78" i="17"/>
  <c r="AH78" i="17"/>
  <c r="Z78" i="17"/>
  <c r="AE78" i="17"/>
  <c r="X78" i="17"/>
  <c r="AG78" i="17"/>
  <c r="AB78" i="17"/>
  <c r="H78" i="17" s="1"/>
  <c r="AC78" i="17"/>
  <c r="AF78" i="17"/>
  <c r="Y78" i="17"/>
  <c r="AD78" i="17"/>
  <c r="AC101" i="17"/>
  <c r="AB101" i="17"/>
  <c r="H101" i="17" s="1"/>
  <c r="AG101" i="17"/>
  <c r="Y101" i="17"/>
  <c r="AD101" i="17"/>
  <c r="AA101" i="17"/>
  <c r="Z101" i="17"/>
  <c r="X101" i="17"/>
  <c r="AI101" i="17"/>
  <c r="AH101" i="17"/>
  <c r="AF101" i="17"/>
  <c r="AE101" i="17"/>
  <c r="AE64" i="17"/>
  <c r="AD64" i="17"/>
  <c r="AC64" i="17"/>
  <c r="AB64" i="17"/>
  <c r="H64" i="17" s="1"/>
  <c r="AG64" i="17"/>
  <c r="AA64" i="17"/>
  <c r="Z64" i="17"/>
  <c r="X64" i="17"/>
  <c r="AI64" i="17"/>
  <c r="AH64" i="17"/>
  <c r="AF64" i="17"/>
  <c r="Y64" i="17"/>
  <c r="AB100" i="17"/>
  <c r="H100" i="17" s="1"/>
  <c r="AI100" i="17"/>
  <c r="AA100" i="17"/>
  <c r="AF100" i="17"/>
  <c r="X100" i="17"/>
  <c r="AH100" i="17"/>
  <c r="AG100" i="17"/>
  <c r="AE100" i="17"/>
  <c r="AD100" i="17"/>
  <c r="AC100" i="17"/>
  <c r="Z100" i="17"/>
  <c r="Y100" i="17"/>
  <c r="AI130" i="17"/>
  <c r="AA130" i="17"/>
  <c r="AH130" i="17"/>
  <c r="Z130" i="17"/>
  <c r="AF130" i="17"/>
  <c r="X130" i="17"/>
  <c r="AC130" i="17"/>
  <c r="AG130" i="17"/>
  <c r="AE130" i="17"/>
  <c r="Y130" i="17"/>
  <c r="AD130" i="17"/>
  <c r="AB130" i="17"/>
  <c r="H130" i="17" s="1"/>
  <c r="AE97" i="17"/>
  <c r="AD97" i="17"/>
  <c r="AI97" i="17"/>
  <c r="AA97" i="17"/>
  <c r="Y97" i="17"/>
  <c r="X97" i="17"/>
  <c r="AH97" i="17"/>
  <c r="AG97" i="17"/>
  <c r="AF97" i="17"/>
  <c r="AC97" i="17"/>
  <c r="AB97" i="17"/>
  <c r="H97" i="17" s="1"/>
  <c r="Z97" i="17"/>
  <c r="AD125" i="17"/>
  <c r="AI125" i="17"/>
  <c r="AA125" i="17"/>
  <c r="AF125" i="17"/>
  <c r="X125" i="17"/>
  <c r="AC125" i="17"/>
  <c r="AB125" i="17"/>
  <c r="H125" i="17" s="1"/>
  <c r="AG125" i="17"/>
  <c r="AE125" i="17"/>
  <c r="Z125" i="17"/>
  <c r="Y125" i="17"/>
  <c r="AH125" i="17"/>
  <c r="AH129" i="17"/>
  <c r="Z129" i="17"/>
  <c r="AG129" i="17"/>
  <c r="Y129" i="17"/>
  <c r="AE129" i="17"/>
  <c r="AB129" i="17"/>
  <c r="H129" i="17" s="1"/>
  <c r="AI129" i="17"/>
  <c r="AF129" i="17"/>
  <c r="AA129" i="17"/>
  <c r="AD129" i="17"/>
  <c r="AC129" i="17"/>
  <c r="X129" i="17"/>
  <c r="AC142" i="17"/>
  <c r="AB142" i="17"/>
  <c r="H142" i="17" s="1"/>
  <c r="AI142" i="17"/>
  <c r="AA142" i="17"/>
  <c r="AE142" i="17"/>
  <c r="AH142" i="17"/>
  <c r="AG142" i="17"/>
  <c r="AF142" i="17"/>
  <c r="AD142" i="17"/>
  <c r="X142" i="17"/>
  <c r="Y142" i="17"/>
  <c r="Z142" i="17"/>
  <c r="AF80" i="17"/>
  <c r="X80" i="17"/>
  <c r="AI80" i="17"/>
  <c r="Z80" i="17"/>
  <c r="AH80" i="17"/>
  <c r="Y80" i="17"/>
  <c r="AD80" i="17"/>
  <c r="AC80" i="17"/>
  <c r="AB80" i="17"/>
  <c r="H80" i="17" s="1"/>
  <c r="AA80" i="17"/>
  <c r="AG80" i="17"/>
  <c r="AE80" i="17"/>
  <c r="AD46" i="17"/>
  <c r="AC46" i="17"/>
  <c r="AI46" i="17"/>
  <c r="Z46" i="17"/>
  <c r="AH46" i="17"/>
  <c r="Y46" i="17"/>
  <c r="AE46" i="17"/>
  <c r="AB46" i="17"/>
  <c r="H46" i="17" s="1"/>
  <c r="AA46" i="17"/>
  <c r="X46" i="17"/>
  <c r="AG46" i="17"/>
  <c r="AF46" i="17"/>
  <c r="AG49" i="17"/>
  <c r="Y49" i="17"/>
  <c r="AB49" i="17"/>
  <c r="H49" i="17" s="1"/>
  <c r="AH49" i="17"/>
  <c r="X49" i="17"/>
  <c r="AF49" i="17"/>
  <c r="AI49" i="17"/>
  <c r="AE49" i="17"/>
  <c r="AD49" i="17"/>
  <c r="AC49" i="17"/>
  <c r="AA49" i="17"/>
  <c r="Z49" i="17"/>
  <c r="AB61" i="17"/>
  <c r="H61" i="17" s="1"/>
  <c r="AI61" i="17"/>
  <c r="AA61" i="17"/>
  <c r="AD61" i="17"/>
  <c r="AC61" i="17"/>
  <c r="X61" i="17"/>
  <c r="AG61" i="17"/>
  <c r="AF61" i="17"/>
  <c r="AH61" i="17"/>
  <c r="AE61" i="17"/>
  <c r="Z61" i="17"/>
  <c r="Y61" i="17"/>
  <c r="AE47" i="17"/>
  <c r="AI47" i="17"/>
  <c r="Z47" i="17"/>
  <c r="AF47" i="17"/>
  <c r="AD47" i="17"/>
  <c r="AA47" i="17"/>
  <c r="Y47" i="17"/>
  <c r="X47" i="17"/>
  <c r="AH47" i="17"/>
  <c r="AG47" i="17"/>
  <c r="AC47" i="17"/>
  <c r="AB47" i="17"/>
  <c r="H47" i="17" s="1"/>
  <c r="AD88" i="17"/>
  <c r="AC88" i="17"/>
  <c r="AH88" i="17"/>
  <c r="Z88" i="17"/>
  <c r="AE88" i="17"/>
  <c r="AB88" i="17"/>
  <c r="H88" i="17" s="1"/>
  <c r="AA88" i="17"/>
  <c r="X88" i="17"/>
  <c r="AI88" i="17"/>
  <c r="AG88" i="17"/>
  <c r="AF88" i="17"/>
  <c r="Y88" i="17"/>
  <c r="AC108" i="17"/>
  <c r="AB108" i="17"/>
  <c r="H108" i="17" s="1"/>
  <c r="AH108" i="17"/>
  <c r="Z108" i="17"/>
  <c r="AG108" i="17"/>
  <c r="Y108" i="17"/>
  <c r="AE108" i="17"/>
  <c r="AD108" i="17"/>
  <c r="AA108" i="17"/>
  <c r="X108" i="17"/>
  <c r="AI108" i="17"/>
  <c r="AF108" i="17"/>
  <c r="AE69" i="17"/>
  <c r="AD69" i="17"/>
  <c r="AI69" i="17"/>
  <c r="AA69" i="17"/>
  <c r="X69" i="17"/>
  <c r="AH69" i="17"/>
  <c r="AF69" i="17"/>
  <c r="AC69" i="17"/>
  <c r="Z69" i="17"/>
  <c r="Y69" i="17"/>
  <c r="AB69" i="17"/>
  <c r="H69" i="17" s="1"/>
  <c r="AG69" i="17"/>
  <c r="AH113" i="17"/>
  <c r="Z113" i="17"/>
  <c r="AE113" i="17"/>
  <c r="AD113" i="17"/>
  <c r="AB113" i="17"/>
  <c r="H113" i="17" s="1"/>
  <c r="AA113" i="17"/>
  <c r="AI113" i="17"/>
  <c r="AG113" i="17"/>
  <c r="AF113" i="17"/>
  <c r="AC113" i="17"/>
  <c r="Y113" i="17"/>
  <c r="X113" i="17"/>
  <c r="AB131" i="17"/>
  <c r="H131" i="17" s="1"/>
  <c r="AI131" i="17"/>
  <c r="AA131" i="17"/>
  <c r="AG131" i="17"/>
  <c r="Y131" i="17"/>
  <c r="AD131" i="17"/>
  <c r="AH131" i="17"/>
  <c r="AF131" i="17"/>
  <c r="Z131" i="17"/>
  <c r="AE131" i="17"/>
  <c r="AC131" i="17"/>
  <c r="X131" i="17"/>
  <c r="AE103" i="17"/>
  <c r="AD103" i="17"/>
  <c r="AI103" i="17"/>
  <c r="AA103" i="17"/>
  <c r="Z103" i="17"/>
  <c r="Y103" i="17"/>
  <c r="X103" i="17"/>
  <c r="AH103" i="17"/>
  <c r="AG103" i="17"/>
  <c r="AF103" i="17"/>
  <c r="AC103" i="17"/>
  <c r="AB103" i="17"/>
  <c r="H103" i="17" s="1"/>
  <c r="AI140" i="17"/>
  <c r="AA140" i="17"/>
  <c r="AH140" i="17"/>
  <c r="Z140" i="17"/>
  <c r="AC140" i="17"/>
  <c r="AD140" i="17"/>
  <c r="AB140" i="17"/>
  <c r="H140" i="17" s="1"/>
  <c r="Y140" i="17"/>
  <c r="X140" i="17"/>
  <c r="AF140" i="17"/>
  <c r="AG140" i="17"/>
  <c r="AE140" i="17"/>
  <c r="AG139" i="17"/>
  <c r="Y139" i="17"/>
  <c r="AB139" i="17"/>
  <c r="H139" i="17" s="1"/>
  <c r="Z139" i="17"/>
  <c r="AI139" i="17"/>
  <c r="X139" i="17"/>
  <c r="AH139" i="17"/>
  <c r="AF139" i="17"/>
  <c r="AC139" i="17"/>
  <c r="AD139" i="17"/>
  <c r="AE139" i="17"/>
  <c r="AA139" i="17"/>
  <c r="AH147" i="17"/>
  <c r="Z147" i="17"/>
  <c r="AG147" i="17"/>
  <c r="Y147" i="17"/>
  <c r="AF147" i="17"/>
  <c r="X147" i="17"/>
  <c r="AE147" i="17"/>
  <c r="AB147" i="17"/>
  <c r="H147" i="17" s="1"/>
  <c r="AI147" i="17"/>
  <c r="AA147" i="17"/>
  <c r="AD147" i="17"/>
  <c r="AC147" i="17"/>
  <c r="AD54" i="17"/>
  <c r="AA54" i="17"/>
  <c r="AG54" i="17"/>
  <c r="X54" i="17"/>
  <c r="AF54" i="17"/>
  <c r="AH54" i="17"/>
  <c r="AE54" i="17"/>
  <c r="AC54" i="17"/>
  <c r="AB54" i="17"/>
  <c r="H54" i="17" s="1"/>
  <c r="Z54" i="17"/>
  <c r="Y54" i="17"/>
  <c r="AI54" i="17"/>
  <c r="AG65" i="17"/>
  <c r="Y65" i="17"/>
  <c r="AF65" i="17"/>
  <c r="X65" i="17"/>
  <c r="AC65" i="17"/>
  <c r="AH65" i="17"/>
  <c r="AE65" i="17"/>
  <c r="AB65" i="17"/>
  <c r="H65" i="17" s="1"/>
  <c r="Z65" i="17"/>
  <c r="AI65" i="17"/>
  <c r="AD65" i="17"/>
  <c r="AA65" i="17"/>
  <c r="AE55" i="17"/>
  <c r="AG55" i="17"/>
  <c r="X55" i="17"/>
  <c r="AC55" i="17"/>
  <c r="AB55" i="17"/>
  <c r="H55" i="17" s="1"/>
  <c r="AF55" i="17"/>
  <c r="AD55" i="17"/>
  <c r="AA55" i="17"/>
  <c r="Z55" i="17"/>
  <c r="Y55" i="17"/>
  <c r="AI55" i="17"/>
  <c r="AH55" i="17"/>
  <c r="AB94" i="17"/>
  <c r="H94" i="17" s="1"/>
  <c r="AI94" i="17"/>
  <c r="AA94" i="17"/>
  <c r="AF94" i="17"/>
  <c r="X94" i="17"/>
  <c r="AE94" i="17"/>
  <c r="AD94" i="17"/>
  <c r="AC94" i="17"/>
  <c r="Y94" i="17"/>
  <c r="AH94" i="17"/>
  <c r="Z94" i="17"/>
  <c r="AG94" i="17"/>
  <c r="AI122" i="17"/>
  <c r="AA122" i="17"/>
  <c r="AF122" i="17"/>
  <c r="X122" i="17"/>
  <c r="AE122" i="17"/>
  <c r="AD122" i="17"/>
  <c r="Z122" i="17"/>
  <c r="AH122" i="17"/>
  <c r="AG122" i="17"/>
  <c r="AC122" i="17"/>
  <c r="AB122" i="17"/>
  <c r="H122" i="17" s="1"/>
  <c r="Y122" i="17"/>
  <c r="AC87" i="17"/>
  <c r="AB87" i="17"/>
  <c r="H87" i="17" s="1"/>
  <c r="AG87" i="17"/>
  <c r="Y87" i="17"/>
  <c r="X87" i="17"/>
  <c r="AI87" i="17"/>
  <c r="AH87" i="17"/>
  <c r="AE87" i="17"/>
  <c r="AD87" i="17"/>
  <c r="AF87" i="17"/>
  <c r="AA87" i="17"/>
  <c r="Z87" i="17"/>
  <c r="AE79" i="17"/>
  <c r="AC79" i="17"/>
  <c r="AB79" i="17"/>
  <c r="H79" i="17" s="1"/>
  <c r="AH79" i="17"/>
  <c r="Y79" i="17"/>
  <c r="AG79" i="17"/>
  <c r="AF79" i="17"/>
  <c r="AD79" i="17"/>
  <c r="AI79" i="17"/>
  <c r="AA79" i="17"/>
  <c r="Z79" i="17"/>
  <c r="X79" i="17"/>
  <c r="AF84" i="17"/>
  <c r="X84" i="17"/>
  <c r="AE84" i="17"/>
  <c r="AB84" i="17"/>
  <c r="H84" i="17" s="1"/>
  <c r="AC84" i="17"/>
  <c r="AA84" i="17"/>
  <c r="Z84" i="17"/>
  <c r="AI84" i="17"/>
  <c r="AH84" i="17"/>
  <c r="AG84" i="17"/>
  <c r="AD84" i="17"/>
  <c r="Y84" i="17"/>
  <c r="AE109" i="17"/>
  <c r="AD109" i="17"/>
  <c r="AB109" i="17"/>
  <c r="H109" i="17" s="1"/>
  <c r="AI109" i="17"/>
  <c r="AA109" i="17"/>
  <c r="AG109" i="17"/>
  <c r="AF109" i="17"/>
  <c r="AC109" i="17"/>
  <c r="Z109" i="17"/>
  <c r="Y109" i="17"/>
  <c r="X109" i="17"/>
  <c r="AH109" i="17"/>
  <c r="AF119" i="17"/>
  <c r="X119" i="17"/>
  <c r="AE119" i="17"/>
  <c r="AB119" i="17"/>
  <c r="H119" i="17" s="1"/>
  <c r="Z119" i="17"/>
  <c r="Y119" i="17"/>
  <c r="AI119" i="17"/>
  <c r="AH119" i="17"/>
  <c r="AG119" i="17"/>
  <c r="AD119" i="17"/>
  <c r="AC119" i="17"/>
  <c r="AA119" i="17"/>
  <c r="AF127" i="17"/>
  <c r="X127" i="17"/>
  <c r="AE127" i="17"/>
  <c r="AC127" i="17"/>
  <c r="AH127" i="17"/>
  <c r="Z127" i="17"/>
  <c r="AG127" i="17"/>
  <c r="AD127" i="17"/>
  <c r="Y127" i="17"/>
  <c r="AI127" i="17"/>
  <c r="AB127" i="17"/>
  <c r="H127" i="17" s="1"/>
  <c r="AA127" i="17"/>
  <c r="AG146" i="17"/>
  <c r="Y146" i="17"/>
  <c r="AF146" i="17"/>
  <c r="X146" i="17"/>
  <c r="AE146" i="17"/>
  <c r="AI146" i="17"/>
  <c r="AA146" i="17"/>
  <c r="AH146" i="17"/>
  <c r="AD146" i="17"/>
  <c r="AC146" i="17"/>
  <c r="AB146" i="17"/>
  <c r="H146" i="17" s="1"/>
  <c r="Z146" i="17"/>
  <c r="AG58" i="17"/>
  <c r="Y58" i="17"/>
  <c r="AF58" i="17"/>
  <c r="X58" i="17"/>
  <c r="AA58" i="17"/>
  <c r="Z58" i="17"/>
  <c r="AE58" i="17"/>
  <c r="AD58" i="17"/>
  <c r="AB58" i="17"/>
  <c r="H58" i="17" s="1"/>
  <c r="I58" i="17" s="1"/>
  <c r="AI58" i="17"/>
  <c r="AH58" i="17"/>
  <c r="AC58" i="17"/>
  <c r="AB73" i="17"/>
  <c r="H73" i="17" s="1"/>
  <c r="AI73" i="17"/>
  <c r="AA73" i="17"/>
  <c r="AF73" i="17"/>
  <c r="X73" i="17"/>
  <c r="Z73" i="17"/>
  <c r="Y73" i="17"/>
  <c r="AE73" i="17"/>
  <c r="AC73" i="17"/>
  <c r="AH73" i="17"/>
  <c r="AG73" i="17"/>
  <c r="AD73" i="17"/>
  <c r="AH71" i="17"/>
  <c r="Z71" i="17"/>
  <c r="AG71" i="17"/>
  <c r="Y71" i="17"/>
  <c r="AD71" i="17"/>
  <c r="X71" i="17"/>
  <c r="AA71" i="17"/>
  <c r="AI71" i="17"/>
  <c r="AE71" i="17"/>
  <c r="AC71" i="17"/>
  <c r="AF71" i="17"/>
  <c r="AB71" i="17"/>
  <c r="H71" i="17" s="1"/>
  <c r="AD96" i="17"/>
  <c r="AC96" i="17"/>
  <c r="AH96" i="17"/>
  <c r="Z96" i="17"/>
  <c r="AE96" i="17"/>
  <c r="AB96" i="17"/>
  <c r="H96" i="17" s="1"/>
  <c r="AA96" i="17"/>
  <c r="Y96" i="17"/>
  <c r="X96" i="17"/>
  <c r="AI96" i="17"/>
  <c r="AG96" i="17"/>
  <c r="AF96" i="17"/>
  <c r="AF57" i="17"/>
  <c r="X57" i="17"/>
  <c r="AE57" i="17"/>
  <c r="Z57" i="17"/>
  <c r="AI57" i="17"/>
  <c r="Y57" i="17"/>
  <c r="AH57" i="17"/>
  <c r="AG57" i="17"/>
  <c r="AC57" i="17"/>
  <c r="AB57" i="17"/>
  <c r="H57" i="17" s="1"/>
  <c r="AD57" i="17"/>
  <c r="AA57" i="17"/>
  <c r="AC95" i="17"/>
  <c r="AB95" i="17"/>
  <c r="H95" i="17" s="1"/>
  <c r="AG95" i="17"/>
  <c r="Y95" i="17"/>
  <c r="X95" i="17"/>
  <c r="AI95" i="17"/>
  <c r="AH95" i="17"/>
  <c r="AF95" i="17"/>
  <c r="AE95" i="17"/>
  <c r="AD95" i="17"/>
  <c r="Z95" i="17"/>
  <c r="AA95" i="17"/>
  <c r="AI86" i="17"/>
  <c r="AA86" i="17"/>
  <c r="AH86" i="17"/>
  <c r="Z86" i="17"/>
  <c r="AE86" i="17"/>
  <c r="AD86" i="17"/>
  <c r="AC86" i="17"/>
  <c r="AB86" i="17"/>
  <c r="H86" i="17" s="1"/>
  <c r="X86" i="17"/>
  <c r="AG86" i="17"/>
  <c r="AF86" i="17"/>
  <c r="Y86" i="17"/>
  <c r="AF90" i="17"/>
  <c r="X90" i="17"/>
  <c r="AE90" i="17"/>
  <c r="AB90" i="17"/>
  <c r="H90" i="17" s="1"/>
  <c r="AD90" i="17"/>
  <c r="AC90" i="17"/>
  <c r="AA90" i="17"/>
  <c r="Y90" i="17"/>
  <c r="AI90" i="17"/>
  <c r="AH90" i="17"/>
  <c r="AG90" i="17"/>
  <c r="Z90" i="17"/>
  <c r="AH121" i="17"/>
  <c r="Z121" i="17"/>
  <c r="AG121" i="17"/>
  <c r="Y121" i="17"/>
  <c r="AD121" i="17"/>
  <c r="AA121" i="17"/>
  <c r="X121" i="17"/>
  <c r="AI121" i="17"/>
  <c r="AF121" i="17"/>
  <c r="AE121" i="17"/>
  <c r="AC121" i="17"/>
  <c r="AB121" i="17"/>
  <c r="H121" i="17" s="1"/>
  <c r="AE118" i="17"/>
  <c r="AI118" i="17"/>
  <c r="AA118" i="17"/>
  <c r="AH118" i="17"/>
  <c r="X118" i="17"/>
  <c r="AG118" i="17"/>
  <c r="AF118" i="17"/>
  <c r="AD118" i="17"/>
  <c r="AC118" i="17"/>
  <c r="AB118" i="17"/>
  <c r="H118" i="17" s="1"/>
  <c r="Z118" i="17"/>
  <c r="Y118" i="17"/>
  <c r="AF138" i="17"/>
  <c r="X138" i="17"/>
  <c r="AI138" i="17"/>
  <c r="AA138" i="17"/>
  <c r="Y138" i="17"/>
  <c r="AH138" i="17"/>
  <c r="AG138" i="17"/>
  <c r="AE138" i="17"/>
  <c r="AB138" i="17"/>
  <c r="H138" i="17" s="1"/>
  <c r="AD138" i="17"/>
  <c r="AC138" i="17"/>
  <c r="Z138" i="17"/>
  <c r="AE137" i="17"/>
  <c r="AH137" i="17"/>
  <c r="Z137" i="17"/>
  <c r="AI137" i="17"/>
  <c r="X137" i="17"/>
  <c r="AG137" i="17"/>
  <c r="AF137" i="17"/>
  <c r="AD137" i="17"/>
  <c r="AA137" i="17"/>
  <c r="Y137" i="17"/>
  <c r="AC137" i="17"/>
  <c r="AB137" i="17"/>
  <c r="H137" i="17" s="1"/>
  <c r="AD23" i="17"/>
  <c r="AH23" i="17"/>
  <c r="Y23" i="17"/>
  <c r="AI23" i="17"/>
  <c r="Z23" i="17"/>
  <c r="AG23" i="17"/>
  <c r="X23" i="17"/>
  <c r="AF23" i="17"/>
  <c r="AA23" i="17"/>
  <c r="AE23" i="17"/>
  <c r="AC23" i="17"/>
  <c r="AB23" i="17"/>
  <c r="H23" i="17" s="1"/>
  <c r="AC68" i="17"/>
  <c r="AB68" i="17"/>
  <c r="H68" i="17" s="1"/>
  <c r="AG68" i="17"/>
  <c r="Y68" i="17"/>
  <c r="AD68" i="17"/>
  <c r="AA68" i="17"/>
  <c r="AI68" i="17"/>
  <c r="AF68" i="17"/>
  <c r="AE68" i="17"/>
  <c r="X68" i="17"/>
  <c r="AH68" i="17"/>
  <c r="Z68" i="17"/>
  <c r="AC74" i="17"/>
  <c r="AB74" i="17"/>
  <c r="H74" i="17" s="1"/>
  <c r="AG74" i="17"/>
  <c r="Y74" i="17"/>
  <c r="AF74" i="17"/>
  <c r="AE74" i="17"/>
  <c r="AI74" i="17"/>
  <c r="AH74" i="17"/>
  <c r="AA74" i="17"/>
  <c r="Z74" i="17"/>
  <c r="AD74" i="17"/>
  <c r="X74" i="17"/>
  <c r="AB67" i="17"/>
  <c r="H67" i="17" s="1"/>
  <c r="AI67" i="17"/>
  <c r="AA67" i="17"/>
  <c r="AF67" i="17"/>
  <c r="X67" i="17"/>
  <c r="AH67" i="17"/>
  <c r="AG67" i="17"/>
  <c r="AD67" i="17"/>
  <c r="AC67" i="17"/>
  <c r="Y67" i="17"/>
  <c r="AE67" i="17"/>
  <c r="Z67" i="17"/>
  <c r="AG98" i="17"/>
  <c r="Y98" i="17"/>
  <c r="AF98" i="17"/>
  <c r="X98" i="17"/>
  <c r="AC98" i="17"/>
  <c r="AE98" i="17"/>
  <c r="AD98" i="17"/>
  <c r="AB98" i="17"/>
  <c r="H98" i="17" s="1"/>
  <c r="AA98" i="17"/>
  <c r="Z98" i="17"/>
  <c r="AH98" i="17"/>
  <c r="AI98" i="17"/>
  <c r="AF70" i="17"/>
  <c r="X70" i="17"/>
  <c r="AE70" i="17"/>
  <c r="AB70" i="17"/>
  <c r="H70" i="17" s="1"/>
  <c r="AD70" i="17"/>
  <c r="AC70" i="17"/>
  <c r="AI70" i="17"/>
  <c r="AH70" i="17"/>
  <c r="AA70" i="17"/>
  <c r="Z70" i="17"/>
  <c r="AG70" i="17"/>
  <c r="Y70" i="17"/>
  <c r="AG105" i="17"/>
  <c r="Y105" i="17"/>
  <c r="AF105" i="17"/>
  <c r="X105" i="17"/>
  <c r="AC105" i="17"/>
  <c r="AA105" i="17"/>
  <c r="Z105" i="17"/>
  <c r="AI105" i="17"/>
  <c r="AH105" i="17"/>
  <c r="AE105" i="17"/>
  <c r="AD105" i="17"/>
  <c r="AB105" i="17"/>
  <c r="H105" i="17" s="1"/>
  <c r="AI93" i="17"/>
  <c r="AA93" i="17"/>
  <c r="AH93" i="17"/>
  <c r="Z93" i="17"/>
  <c r="AE93" i="17"/>
  <c r="X93" i="17"/>
  <c r="AG93" i="17"/>
  <c r="AD93" i="17"/>
  <c r="AC93" i="17"/>
  <c r="AF93" i="17"/>
  <c r="Y93" i="17"/>
  <c r="AB93" i="17"/>
  <c r="H93" i="17" s="1"/>
  <c r="AF104" i="17"/>
  <c r="X104" i="17"/>
  <c r="AE104" i="17"/>
  <c r="AB104" i="17"/>
  <c r="H104" i="17" s="1"/>
  <c r="AH104" i="17"/>
  <c r="AG104" i="17"/>
  <c r="AD104" i="17"/>
  <c r="AC104" i="17"/>
  <c r="AA104" i="17"/>
  <c r="Z104" i="17"/>
  <c r="Y104" i="17"/>
  <c r="AI104" i="17"/>
  <c r="AG128" i="17"/>
  <c r="Y128" i="17"/>
  <c r="AF128" i="17"/>
  <c r="X128" i="17"/>
  <c r="AD128" i="17"/>
  <c r="AI128" i="17"/>
  <c r="AA128" i="17"/>
  <c r="AH128" i="17"/>
  <c r="AE128" i="17"/>
  <c r="Z128" i="17"/>
  <c r="AB128" i="17"/>
  <c r="H128" i="17" s="1"/>
  <c r="AC128" i="17"/>
  <c r="AC135" i="17"/>
  <c r="AF135" i="17"/>
  <c r="X135" i="17"/>
  <c r="AG135" i="17"/>
  <c r="AE135" i="17"/>
  <c r="AB135" i="17"/>
  <c r="H135" i="17" s="1"/>
  <c r="AI135" i="17"/>
  <c r="Y135" i="17"/>
  <c r="AH135" i="17"/>
  <c r="AD135" i="17"/>
  <c r="AA135" i="17"/>
  <c r="Z135" i="17"/>
  <c r="AB141" i="17"/>
  <c r="H141" i="17" s="1"/>
  <c r="AI141" i="17"/>
  <c r="AA141" i="17"/>
  <c r="AD141" i="17"/>
  <c r="X141" i="17"/>
  <c r="AH141" i="17"/>
  <c r="AG141" i="17"/>
  <c r="AF141" i="17"/>
  <c r="Z141" i="17"/>
  <c r="Y141" i="17"/>
  <c r="AE141" i="17"/>
  <c r="AC141" i="17"/>
  <c r="AF145" i="17"/>
  <c r="X145" i="17"/>
  <c r="AE145" i="17"/>
  <c r="AD145" i="17"/>
  <c r="AH145" i="17"/>
  <c r="Z145" i="17"/>
  <c r="AI145" i="17"/>
  <c r="AG145" i="17"/>
  <c r="AC145" i="17"/>
  <c r="AB145" i="17"/>
  <c r="H145" i="17" s="1"/>
  <c r="Y145" i="17"/>
  <c r="AA145" i="17"/>
  <c r="AC53" i="17"/>
  <c r="AE53" i="17"/>
  <c r="AA53" i="17"/>
  <c r="AI53" i="17"/>
  <c r="Z53" i="17"/>
  <c r="AH53" i="17"/>
  <c r="AG53" i="17"/>
  <c r="AF53" i="17"/>
  <c r="AD53" i="17"/>
  <c r="AB53" i="17"/>
  <c r="H53" i="17" s="1"/>
  <c r="Y53" i="17"/>
  <c r="X53" i="17"/>
  <c r="AI51" i="17"/>
  <c r="AA51" i="17"/>
  <c r="AD51" i="17"/>
  <c r="Z51" i="17"/>
  <c r="AH51" i="17"/>
  <c r="Y51" i="17"/>
  <c r="AC51" i="17"/>
  <c r="AB51" i="17"/>
  <c r="H51" i="17" s="1"/>
  <c r="X51" i="17"/>
  <c r="AG51" i="17"/>
  <c r="AF51" i="17"/>
  <c r="AE51" i="17"/>
  <c r="AB52" i="17"/>
  <c r="H52" i="17" s="1"/>
  <c r="AI52" i="17"/>
  <c r="Z52" i="17"/>
  <c r="AF52" i="17"/>
  <c r="AE52" i="17"/>
  <c r="Y52" i="17"/>
  <c r="X52" i="17"/>
  <c r="AH52" i="17"/>
  <c r="AG52" i="17"/>
  <c r="AD52" i="17"/>
  <c r="AC52" i="17"/>
  <c r="AA52" i="17"/>
  <c r="AD102" i="17"/>
  <c r="AC102" i="17"/>
  <c r="AH102" i="17"/>
  <c r="Z102" i="17"/>
  <c r="AG102" i="17"/>
  <c r="AF102" i="17"/>
  <c r="AE102" i="17"/>
  <c r="AB102" i="17"/>
  <c r="H102" i="17" s="1"/>
  <c r="AA102" i="17"/>
  <c r="Y102" i="17"/>
  <c r="X102" i="17"/>
  <c r="AI102" i="17"/>
  <c r="AH106" i="17"/>
  <c r="Z106" i="17"/>
  <c r="AG106" i="17"/>
  <c r="Y106" i="17"/>
  <c r="AD106" i="17"/>
  <c r="AI106" i="17"/>
  <c r="AF106" i="17"/>
  <c r="AE106" i="17"/>
  <c r="AC106" i="17"/>
  <c r="AB106" i="17"/>
  <c r="H106" i="17" s="1"/>
  <c r="AA106" i="17"/>
  <c r="X106" i="17"/>
  <c r="AF111" i="17"/>
  <c r="X111" i="17"/>
  <c r="AC111" i="17"/>
  <c r="AB111" i="17"/>
  <c r="H111" i="17" s="1"/>
  <c r="AI111" i="17"/>
  <c r="Z111" i="17"/>
  <c r="AH111" i="17"/>
  <c r="Y111" i="17"/>
  <c r="AG111" i="17"/>
  <c r="AE111" i="17"/>
  <c r="AD111" i="17"/>
  <c r="AA111" i="17"/>
  <c r="AF76" i="17"/>
  <c r="X76" i="17"/>
  <c r="AE76" i="17"/>
  <c r="AB76" i="17"/>
  <c r="H76" i="17" s="1"/>
  <c r="AH76" i="17"/>
  <c r="AG76" i="17"/>
  <c r="AD76" i="17"/>
  <c r="Y76" i="17"/>
  <c r="AI76" i="17"/>
  <c r="AC76" i="17"/>
  <c r="AA76" i="17"/>
  <c r="Z76" i="17"/>
  <c r="AD133" i="17"/>
  <c r="AC133" i="17"/>
  <c r="AI133" i="17"/>
  <c r="AA133" i="17"/>
  <c r="AF133" i="17"/>
  <c r="X133" i="17"/>
  <c r="AG133" i="17"/>
  <c r="AE133" i="17"/>
  <c r="Y133" i="17"/>
  <c r="AH133" i="17"/>
  <c r="AB133" i="17"/>
  <c r="H133" i="17" s="1"/>
  <c r="Z133" i="17"/>
  <c r="AI99" i="17"/>
  <c r="AA99" i="17"/>
  <c r="AH99" i="17"/>
  <c r="Z99" i="17"/>
  <c r="AE99" i="17"/>
  <c r="AC99" i="17"/>
  <c r="AB99" i="17"/>
  <c r="H99" i="17" s="1"/>
  <c r="Y99" i="17"/>
  <c r="X99" i="17"/>
  <c r="AG99" i="17"/>
  <c r="AF99" i="17"/>
  <c r="AD99" i="17"/>
  <c r="AE110" i="17"/>
  <c r="AG110" i="17"/>
  <c r="X110" i="17"/>
  <c r="AF110" i="17"/>
  <c r="AC110" i="17"/>
  <c r="AB110" i="17"/>
  <c r="H110" i="17" s="1"/>
  <c r="AH110" i="17"/>
  <c r="AD110" i="17"/>
  <c r="AA110" i="17"/>
  <c r="Z110" i="17"/>
  <c r="Y110" i="17"/>
  <c r="AI110" i="17"/>
  <c r="AD117" i="17"/>
  <c r="AH117" i="17"/>
  <c r="Z117" i="17"/>
  <c r="AG117" i="17"/>
  <c r="AF117" i="17"/>
  <c r="AE117" i="17"/>
  <c r="AC117" i="17"/>
  <c r="AB117" i="17"/>
  <c r="H117" i="17" s="1"/>
  <c r="AA117" i="17"/>
  <c r="Y117" i="17"/>
  <c r="AI117" i="17"/>
  <c r="X117" i="17"/>
  <c r="AC124" i="17"/>
  <c r="AH124" i="17"/>
  <c r="Z124" i="17"/>
  <c r="AE124" i="17"/>
  <c r="AI124" i="17"/>
  <c r="AG124" i="17"/>
  <c r="AB124" i="17"/>
  <c r="H124" i="17" s="1"/>
  <c r="X124" i="17"/>
  <c r="AF124" i="17"/>
  <c r="AD124" i="17"/>
  <c r="AA124" i="17"/>
  <c r="Y124" i="17"/>
  <c r="AE126" i="17"/>
  <c r="AB126" i="17"/>
  <c r="H126" i="17" s="1"/>
  <c r="AG126" i="17"/>
  <c r="Y126" i="17"/>
  <c r="X126" i="17"/>
  <c r="AI126" i="17"/>
  <c r="AD126" i="17"/>
  <c r="AH126" i="17"/>
  <c r="AF126" i="17"/>
  <c r="AC126" i="17"/>
  <c r="AA126" i="17"/>
  <c r="Z126" i="17"/>
  <c r="AE144" i="17"/>
  <c r="AD144" i="17"/>
  <c r="AC144" i="17"/>
  <c r="AG144" i="17"/>
  <c r="Y144" i="17"/>
  <c r="AH144" i="17"/>
  <c r="AF144" i="17"/>
  <c r="AB144" i="17"/>
  <c r="H144" i="17" s="1"/>
  <c r="AA144" i="17"/>
  <c r="AI144" i="17"/>
  <c r="Z144" i="17"/>
  <c r="X144" i="17"/>
  <c r="AJ34" i="14"/>
  <c r="AD34" i="14"/>
  <c r="AG34" i="14"/>
  <c r="AB34" i="14"/>
  <c r="AH34" i="14"/>
  <c r="AA34" i="14"/>
  <c r="AF34" i="14"/>
  <c r="Y34" i="14"/>
  <c r="AE34" i="14"/>
  <c r="Z34" i="14"/>
  <c r="AC34" i="14"/>
  <c r="AI34" i="14"/>
  <c r="AJ73" i="14"/>
  <c r="AC73" i="14"/>
  <c r="Z73" i="14"/>
  <c r="AE73" i="14"/>
  <c r="AD73" i="14"/>
  <c r="AH73" i="14"/>
  <c r="Y73" i="14"/>
  <c r="AB73" i="14"/>
  <c r="AG73" i="14"/>
  <c r="AF73" i="14"/>
  <c r="AI73" i="14"/>
  <c r="AA73" i="14"/>
  <c r="AJ75" i="14"/>
  <c r="Y75" i="14"/>
  <c r="AE75" i="14"/>
  <c r="AC75" i="14"/>
  <c r="AD75" i="14"/>
  <c r="AA75" i="14"/>
  <c r="AI75" i="14"/>
  <c r="AG75" i="14"/>
  <c r="AB75" i="14"/>
  <c r="Z75" i="14"/>
  <c r="AH75" i="14"/>
  <c r="AF75" i="14"/>
  <c r="AJ27" i="14"/>
  <c r="AC27" i="14"/>
  <c r="AD27" i="14"/>
  <c r="Y27" i="14"/>
  <c r="AG27" i="14"/>
  <c r="AF27" i="14"/>
  <c r="Z27" i="14"/>
  <c r="AI27" i="14"/>
  <c r="AB27" i="14"/>
  <c r="AH27" i="14"/>
  <c r="AA27" i="14"/>
  <c r="AG25" i="14"/>
  <c r="AH25" i="14"/>
  <c r="AA25" i="14"/>
  <c r="Z25" i="14"/>
  <c r="AE25" i="14"/>
  <c r="AB25" i="14"/>
  <c r="AD25" i="14"/>
  <c r="AI25" i="14"/>
  <c r="AF25" i="14"/>
  <c r="Y25" i="14"/>
  <c r="AJ25" i="14"/>
  <c r="AC25" i="14"/>
  <c r="AJ29" i="14"/>
  <c r="AH29" i="14"/>
  <c r="AB29" i="14"/>
  <c r="AD29" i="14"/>
  <c r="AI29" i="14"/>
  <c r="AA29" i="14"/>
  <c r="AF29" i="14"/>
  <c r="AC29" i="14"/>
  <c r="AG29" i="14"/>
  <c r="Y29" i="14"/>
  <c r="Z29" i="14"/>
  <c r="AE29" i="14"/>
  <c r="AH26" i="14"/>
  <c r="AE26" i="14"/>
  <c r="AC26" i="14"/>
  <c r="AD26" i="14"/>
  <c r="AJ26" i="14"/>
  <c r="Y26" i="14"/>
  <c r="Z26" i="14"/>
  <c r="AI26" i="14"/>
  <c r="AB26" i="14"/>
  <c r="AG26" i="14"/>
  <c r="AA26" i="14"/>
  <c r="AF26" i="14"/>
  <c r="J13" i="3"/>
  <c r="J7" i="3"/>
  <c r="J10" i="3"/>
  <c r="I184" i="1"/>
  <c r="F184" i="1"/>
  <c r="Y82" i="14"/>
  <c r="G138" i="1"/>
  <c r="C13" i="3" s="1"/>
  <c r="H96" i="1"/>
  <c r="B10" i="3" s="1"/>
  <c r="H54" i="1"/>
  <c r="B7" i="3" s="1"/>
  <c r="H110" i="1"/>
  <c r="H138" i="1" s="1"/>
  <c r="B13" i="3" s="1"/>
  <c r="J97" i="1"/>
  <c r="J110" i="1" s="1"/>
  <c r="B204" i="2" s="1"/>
  <c r="B253" i="2" s="1"/>
  <c r="G96" i="1"/>
  <c r="C10" i="3" s="1"/>
  <c r="G54" i="1"/>
  <c r="C7" i="3" s="1"/>
  <c r="K28" i="14"/>
  <c r="K24" i="14"/>
  <c r="K36" i="14"/>
  <c r="E135" i="4"/>
  <c r="AE90" i="2"/>
  <c r="AR90" i="2"/>
  <c r="G90" i="2"/>
  <c r="D7" i="3" s="1"/>
  <c r="T90" i="2"/>
  <c r="AN90" i="2"/>
  <c r="N174" i="2"/>
  <c r="AB174" i="2"/>
  <c r="AL174" i="2"/>
  <c r="AS174" i="2"/>
  <c r="J253" i="2"/>
  <c r="AO253" i="2"/>
  <c r="AO325" i="2" s="1"/>
  <c r="F16" i="3"/>
  <c r="D16" i="3"/>
  <c r="AG325" i="2"/>
  <c r="M90" i="2"/>
  <c r="AC90" i="2"/>
  <c r="I90" i="2"/>
  <c r="Q90" i="2"/>
  <c r="I324" i="2"/>
  <c r="AF90" i="2"/>
  <c r="AL90" i="2"/>
  <c r="H174" i="2"/>
  <c r="E10" i="3" s="1"/>
  <c r="L174" i="2"/>
  <c r="R174" i="2"/>
  <c r="U174" i="2"/>
  <c r="Y174" i="2"/>
  <c r="AE174" i="2"/>
  <c r="AD174" i="2"/>
  <c r="AM174" i="2"/>
  <c r="AQ174" i="2"/>
  <c r="C143" i="2"/>
  <c r="C174" i="2" s="1"/>
  <c r="C204" i="2"/>
  <c r="L253" i="2"/>
  <c r="U253" i="2"/>
  <c r="Y253" i="2"/>
  <c r="AE253" i="2"/>
  <c r="AM253" i="2"/>
  <c r="AQ253" i="2"/>
  <c r="C58" i="2"/>
  <c r="C89" i="2"/>
  <c r="AJ82" i="14"/>
  <c r="AD82" i="14"/>
  <c r="AG82" i="14"/>
  <c r="AI82" i="14"/>
  <c r="G151" i="1"/>
  <c r="G181" i="1" s="1"/>
  <c r="C16" i="3" s="1"/>
  <c r="AE82" i="14"/>
  <c r="AA82" i="14"/>
  <c r="AF82" i="14"/>
  <c r="Z82" i="14"/>
  <c r="AH82" i="14"/>
  <c r="AB82" i="14"/>
  <c r="K33" i="14"/>
  <c r="K35" i="14"/>
  <c r="K48" i="14"/>
  <c r="K52" i="14"/>
  <c r="K70" i="14"/>
  <c r="K69" i="14"/>
  <c r="K78" i="14"/>
  <c r="K82" i="14"/>
  <c r="K86" i="14"/>
  <c r="K88" i="14"/>
  <c r="K89" i="14"/>
  <c r="K92" i="14"/>
  <c r="K96" i="14"/>
  <c r="K104" i="14"/>
  <c r="K108" i="14"/>
  <c r="K125" i="14"/>
  <c r="K127" i="14"/>
  <c r="K133" i="14"/>
  <c r="K135" i="14"/>
  <c r="K139" i="14"/>
  <c r="K141" i="14"/>
  <c r="AA70" i="14"/>
  <c r="R270" i="14"/>
  <c r="T270" i="14" s="1"/>
  <c r="R272" i="14"/>
  <c r="T272" i="14" s="1"/>
  <c r="R274" i="14"/>
  <c r="T274" i="14" s="1"/>
  <c r="S275" i="14"/>
  <c r="R277" i="14"/>
  <c r="T277" i="14" s="1"/>
  <c r="R279" i="14"/>
  <c r="T279" i="14" s="1"/>
  <c r="R281" i="14"/>
  <c r="T281" i="14" s="1"/>
  <c r="R284" i="14"/>
  <c r="T284" i="14" s="1"/>
  <c r="S286" i="14"/>
  <c r="AG42" i="14"/>
  <c r="S293" i="14"/>
  <c r="Z40" i="14"/>
  <c r="AI59" i="14"/>
  <c r="M324" i="2"/>
  <c r="S324" i="2"/>
  <c r="AA324" i="2"/>
  <c r="AK324" i="2"/>
  <c r="AN324" i="2"/>
  <c r="AR324" i="2"/>
  <c r="L90" i="2"/>
  <c r="N90" i="2"/>
  <c r="U90" i="2"/>
  <c r="G174" i="2"/>
  <c r="D10" i="3" s="1"/>
  <c r="I174" i="2"/>
  <c r="M174" i="2"/>
  <c r="O174" i="2"/>
  <c r="S174" i="2"/>
  <c r="T174" i="2"/>
  <c r="AA174" i="2"/>
  <c r="AA325" i="2" s="1"/>
  <c r="AC174" i="2"/>
  <c r="AK174" i="2"/>
  <c r="AH174" i="2"/>
  <c r="AN174" i="2"/>
  <c r="AR174" i="2"/>
  <c r="C226" i="2"/>
  <c r="I253" i="2"/>
  <c r="M253" i="2"/>
  <c r="S253" i="2"/>
  <c r="AK253" i="2"/>
  <c r="AR253" i="2"/>
  <c r="C13" i="2"/>
  <c r="S34" i="2"/>
  <c r="S58" i="2" s="1"/>
  <c r="AK58" i="2"/>
  <c r="AK90" i="2" s="1"/>
  <c r="AS58" i="2"/>
  <c r="AS90" i="2" s="1"/>
  <c r="AH90" i="2"/>
  <c r="AQ90" i="2"/>
  <c r="R90" i="2"/>
  <c r="J90" i="2"/>
  <c r="K58" i="2"/>
  <c r="K90" i="2" s="1"/>
  <c r="O58" i="2"/>
  <c r="O90" i="2" s="1"/>
  <c r="Y90" i="2"/>
  <c r="AB58" i="2"/>
  <c r="AB90" i="2" s="1"/>
  <c r="AD90" i="2"/>
  <c r="C252" i="2"/>
  <c r="AG93" i="14"/>
  <c r="AF63" i="14"/>
  <c r="AI41" i="14"/>
  <c r="AD41" i="14"/>
  <c r="Y55" i="14" a="1"/>
  <c r="AJ55" i="14" s="1"/>
  <c r="Y91" i="14" a="1"/>
  <c r="AJ91" i="14" s="1"/>
  <c r="Y66" i="14" a="1"/>
  <c r="AC66" i="14" s="1"/>
  <c r="S345" i="14"/>
  <c r="R356" i="14"/>
  <c r="T356" i="14" s="1"/>
  <c r="AB53" i="14"/>
  <c r="Z36" i="14"/>
  <c r="AI63" i="14"/>
  <c r="AA53" i="14"/>
  <c r="AF57" i="14"/>
  <c r="AF56" i="14"/>
  <c r="R275" i="14"/>
  <c r="T275" i="14" s="1"/>
  <c r="AB62" i="14"/>
  <c r="AA56" i="14"/>
  <c r="AF49" i="14"/>
  <c r="AG37" i="14"/>
  <c r="AC62" i="14"/>
  <c r="AG57" i="14"/>
  <c r="AE36" i="14"/>
  <c r="Y63" i="14"/>
  <c r="AE61" i="14"/>
  <c r="Y57" i="14"/>
  <c r="AA54" i="14"/>
  <c r="AE50" i="14"/>
  <c r="Y49" i="14"/>
  <c r="AG38" i="14"/>
  <c r="AH36" i="14"/>
  <c r="AA63" i="14"/>
  <c r="AI53" i="14"/>
  <c r="AC49" i="14"/>
  <c r="AJ61" i="14"/>
  <c r="Z50" i="14"/>
  <c r="S356" i="14"/>
  <c r="AB96" i="14"/>
  <c r="R286" i="14"/>
  <c r="T286" i="14" s="1"/>
  <c r="AB63" i="14"/>
  <c r="AF62" i="14"/>
  <c r="Y62" i="14"/>
  <c r="AA61" i="14"/>
  <c r="AB57" i="14"/>
  <c r="AE56" i="14"/>
  <c r="AE54" i="14"/>
  <c r="AF53" i="14"/>
  <c r="Y53" i="14"/>
  <c r="AB49" i="14"/>
  <c r="AC38" i="14"/>
  <c r="AC37" i="14"/>
  <c r="AD36" i="14"/>
  <c r="AE63" i="14"/>
  <c r="AG62" i="14"/>
  <c r="AC57" i="14"/>
  <c r="AE53" i="14"/>
  <c r="AG49" i="14"/>
  <c r="AI36" i="14"/>
  <c r="AA36" i="14"/>
  <c r="AJ54" i="14"/>
  <c r="AH56" i="14"/>
  <c r="AH38" i="14"/>
  <c r="AD54" i="14"/>
  <c r="AB94" i="14"/>
  <c r="AA44" i="14"/>
  <c r="AJ37" i="14"/>
  <c r="AB38" i="14"/>
  <c r="AJ102" i="14"/>
  <c r="Z100" i="14"/>
  <c r="AE79" i="14"/>
  <c r="Y86" i="14"/>
  <c r="AI86" i="14"/>
  <c r="AF78" i="14"/>
  <c r="AA78" i="14"/>
  <c r="AI37" i="14"/>
  <c r="Z37" i="14"/>
  <c r="AD37" i="14"/>
  <c r="AF37" i="14"/>
  <c r="AI50" i="14"/>
  <c r="AD50" i="14"/>
  <c r="Y50" i="14"/>
  <c r="AA83" i="14"/>
  <c r="Y78" i="14"/>
  <c r="AH63" i="14"/>
  <c r="AD63" i="14"/>
  <c r="Z63" i="14"/>
  <c r="AH62" i="14"/>
  <c r="AD62" i="14"/>
  <c r="Z62" i="14"/>
  <c r="AG61" i="14"/>
  <c r="AC61" i="14"/>
  <c r="AH57" i="14"/>
  <c r="AD57" i="14"/>
  <c r="Z57" i="14"/>
  <c r="AG56" i="14"/>
  <c r="AC56" i="14"/>
  <c r="AG54" i="14"/>
  <c r="AC54" i="14"/>
  <c r="AH53" i="14"/>
  <c r="AD53" i="14"/>
  <c r="Z53" i="14"/>
  <c r="AG50" i="14"/>
  <c r="AC50" i="14"/>
  <c r="AH49" i="14"/>
  <c r="AD49" i="14"/>
  <c r="Z49" i="14"/>
  <c r="AE38" i="14"/>
  <c r="AA38" i="14"/>
  <c r="AE37" i="14"/>
  <c r="AA37" i="14"/>
  <c r="AF36" i="14"/>
  <c r="AB36" i="14"/>
  <c r="Y36" i="14"/>
  <c r="AG63" i="14"/>
  <c r="AC63" i="14"/>
  <c r="AI62" i="14"/>
  <c r="AE62" i="14"/>
  <c r="AA62" i="14"/>
  <c r="AI57" i="14"/>
  <c r="AE57" i="14"/>
  <c r="AA57" i="14"/>
  <c r="AG53" i="14"/>
  <c r="AC53" i="14"/>
  <c r="AI49" i="14"/>
  <c r="AE49" i="14"/>
  <c r="AA49" i="14"/>
  <c r="AG36" i="14"/>
  <c r="AC36" i="14"/>
  <c r="AC32" i="14"/>
  <c r="AF61" i="14"/>
  <c r="AF50" i="14"/>
  <c r="AH50" i="14"/>
  <c r="Z38" i="14"/>
  <c r="AB37" i="14"/>
  <c r="Z61" i="14"/>
  <c r="Y37" i="14"/>
  <c r="AD80" i="14"/>
  <c r="AI80" i="14"/>
  <c r="AI38" i="14"/>
  <c r="AF38" i="14"/>
  <c r="Y38" i="14"/>
  <c r="AD38" i="14"/>
  <c r="Y54" i="14"/>
  <c r="AF54" i="14"/>
  <c r="AI56" i="14"/>
  <c r="AD56" i="14"/>
  <c r="Y56" i="14"/>
  <c r="AI61" i="14"/>
  <c r="Y61" i="14"/>
  <c r="AH61" i="14"/>
  <c r="AB61" i="14"/>
  <c r="K38" i="14"/>
  <c r="K39" i="14"/>
  <c r="K50" i="14"/>
  <c r="K56" i="14"/>
  <c r="K58" i="14"/>
  <c r="K61" i="14"/>
  <c r="K63" i="14"/>
  <c r="K83" i="14"/>
  <c r="K91" i="14"/>
  <c r="K97" i="14"/>
  <c r="K101" i="14"/>
  <c r="K105" i="14"/>
  <c r="K109" i="14"/>
  <c r="K111" i="14"/>
  <c r="K112" i="14"/>
  <c r="K116" i="14"/>
  <c r="K120" i="14"/>
  <c r="K124" i="14"/>
  <c r="K128" i="14"/>
  <c r="K132" i="14"/>
  <c r="K136" i="14"/>
  <c r="K140" i="14"/>
  <c r="K144" i="14"/>
  <c r="K148" i="14"/>
  <c r="R269" i="14"/>
  <c r="T269" i="14" s="1"/>
  <c r="S270" i="14"/>
  <c r="S271" i="14"/>
  <c r="R273" i="14"/>
  <c r="T273" i="14" s="1"/>
  <c r="R276" i="14"/>
  <c r="T276" i="14" s="1"/>
  <c r="S277" i="14"/>
  <c r="R278" i="14"/>
  <c r="T278" i="14" s="1"/>
  <c r="R280" i="14"/>
  <c r="T280" i="14" s="1"/>
  <c r="S281" i="14"/>
  <c r="S282" i="14"/>
  <c r="R283" i="14"/>
  <c r="T283" i="14" s="1"/>
  <c r="R285" i="14"/>
  <c r="T285" i="14" s="1"/>
  <c r="S287" i="14"/>
  <c r="S288" i="14"/>
  <c r="S289" i="14"/>
  <c r="S292" i="14"/>
  <c r="R293" i="14"/>
  <c r="T293" i="14" s="1"/>
  <c r="Y106" i="14"/>
  <c r="AH69" i="14"/>
  <c r="Z59" i="14"/>
  <c r="AC65" i="14"/>
  <c r="AA94" i="14"/>
  <c r="Z101" i="14"/>
  <c r="AF65" i="14"/>
  <c r="AH59" i="14"/>
  <c r="AE23" i="14"/>
  <c r="AA59" i="14"/>
  <c r="AI40" i="14"/>
  <c r="AF33" i="14"/>
  <c r="AE33" i="14"/>
  <c r="AG98" i="14"/>
  <c r="Z94" i="14"/>
  <c r="AE98" i="14"/>
  <c r="AH105" i="14"/>
  <c r="AH106" i="14"/>
  <c r="Y94" i="14"/>
  <c r="AC94" i="14"/>
  <c r="AG88" i="14"/>
  <c r="AA31" i="14"/>
  <c r="AA24" i="14"/>
  <c r="AF85" i="14"/>
  <c r="Z93" i="14"/>
  <c r="AE94" i="14"/>
  <c r="AH94" i="14"/>
  <c r="AJ94" i="14"/>
  <c r="AI94" i="14"/>
  <c r="AF98" i="14"/>
  <c r="AG105" i="14"/>
  <c r="AC106" i="14"/>
  <c r="AA106" i="14"/>
  <c r="AD98" i="14"/>
  <c r="AF94" i="14"/>
  <c r="AG94" i="14"/>
  <c r="AA101" i="14"/>
  <c r="AI105" i="14"/>
  <c r="AG92" i="14"/>
  <c r="Z87" i="14"/>
  <c r="AF77" i="14"/>
  <c r="AF71" i="14"/>
  <c r="AA52" i="14"/>
  <c r="AF31" i="14"/>
  <c r="AF88" i="14"/>
  <c r="AH45" i="14"/>
  <c r="AB44" i="14"/>
  <c r="Y39" i="14"/>
  <c r="AC93" i="14"/>
  <c r="AC92" i="14"/>
  <c r="AC88" i="14"/>
  <c r="AC86" i="14"/>
  <c r="AG80" i="14"/>
  <c r="Y71" i="14"/>
  <c r="AB60" i="14"/>
  <c r="AC47" i="14"/>
  <c r="AE45" i="14"/>
  <c r="AA39" i="14"/>
  <c r="AH47" i="14"/>
  <c r="AI52" i="14"/>
  <c r="Y52" i="14"/>
  <c r="AB52" i="14"/>
  <c r="AC52" i="14"/>
  <c r="AG52" i="14"/>
  <c r="AD51" i="14"/>
  <c r="Z51" i="14"/>
  <c r="AE51" i="14"/>
  <c r="AF68" i="14"/>
  <c r="AA68" i="14"/>
  <c r="AJ68" i="14"/>
  <c r="AB45" i="14"/>
  <c r="AJ45" i="14"/>
  <c r="AI45" i="14"/>
  <c r="AD45" i="14"/>
  <c r="Y45" i="14"/>
  <c r="AC45" i="14"/>
  <c r="AG45" i="14"/>
  <c r="AI31" i="14"/>
  <c r="AE31" i="14"/>
  <c r="AH31" i="14"/>
  <c r="AD31" i="14"/>
  <c r="Z31" i="14"/>
  <c r="AC31" i="14"/>
  <c r="AH28" i="14"/>
  <c r="AB28" i="14"/>
  <c r="AE28" i="14"/>
  <c r="AI24" i="14"/>
  <c r="Y24" i="14"/>
  <c r="AJ88" i="14"/>
  <c r="AI88" i="14"/>
  <c r="AD88" i="14"/>
  <c r="Y88" i="14"/>
  <c r="AD83" i="14"/>
  <c r="AB83" i="14"/>
  <c r="AJ83" i="14"/>
  <c r="AH86" i="14"/>
  <c r="Z86" i="14"/>
  <c r="AF86" i="14"/>
  <c r="AB86" i="14"/>
  <c r="AA86" i="14"/>
  <c r="AE86" i="14"/>
  <c r="AI93" i="14"/>
  <c r="AD93" i="14"/>
  <c r="AF93" i="14"/>
  <c r="Y93" i="14"/>
  <c r="AH93" i="14"/>
  <c r="AJ93" i="14"/>
  <c r="AE78" i="14"/>
  <c r="AI78" i="14"/>
  <c r="AH78" i="14"/>
  <c r="AD78" i="14"/>
  <c r="Z78" i="14"/>
  <c r="AC78" i="14"/>
  <c r="AJ71" i="14"/>
  <c r="AA71" i="14"/>
  <c r="AE71" i="14"/>
  <c r="AI71" i="14"/>
  <c r="Z71" i="14"/>
  <c r="AD71" i="14"/>
  <c r="AH71" i="14"/>
  <c r="AI47" i="14"/>
  <c r="AB47" i="14"/>
  <c r="AJ47" i="14"/>
  <c r="AD47" i="14"/>
  <c r="AF47" i="14"/>
  <c r="AA47" i="14"/>
  <c r="AE47" i="14"/>
  <c r="AI44" i="14"/>
  <c r="AF44" i="14"/>
  <c r="AC44" i="14"/>
  <c r="AG44" i="14"/>
  <c r="AJ32" i="14"/>
  <c r="AA32" i="14"/>
  <c r="AE32" i="14"/>
  <c r="AI32" i="14"/>
  <c r="Z32" i="14"/>
  <c r="AD32" i="14"/>
  <c r="AH32" i="14"/>
  <c r="Z74" i="14"/>
  <c r="AF74" i="14"/>
  <c r="AC74" i="14"/>
  <c r="AG74" i="14"/>
  <c r="AD85" i="14"/>
  <c r="AA85" i="14"/>
  <c r="AE85" i="14"/>
  <c r="AI92" i="14"/>
  <c r="AD92" i="14"/>
  <c r="Y92" i="14"/>
  <c r="AE93" i="14"/>
  <c r="AA93" i="14"/>
  <c r="AE92" i="14"/>
  <c r="AA92" i="14"/>
  <c r="AE88" i="14"/>
  <c r="AA88" i="14"/>
  <c r="AG83" i="14"/>
  <c r="AC83" i="14"/>
  <c r="AG86" i="14"/>
  <c r="AG85" i="14"/>
  <c r="AA74" i="14"/>
  <c r="AG78" i="14"/>
  <c r="AB78" i="14"/>
  <c r="AJ78" i="14"/>
  <c r="AB71" i="14"/>
  <c r="AE52" i="14"/>
  <c r="AG47" i="14"/>
  <c r="AA45" i="14"/>
  <c r="AE39" i="14"/>
  <c r="AE44" i="14"/>
  <c r="AF32" i="14"/>
  <c r="Y32" i="14"/>
  <c r="AG71" i="14"/>
  <c r="AG32" i="14"/>
  <c r="AG31" i="14"/>
  <c r="AB31" i="14"/>
  <c r="AJ31" i="14"/>
  <c r="AF83" i="14"/>
  <c r="AF92" i="14"/>
  <c r="AH92" i="14"/>
  <c r="Z88" i="14"/>
  <c r="AJ86" i="14"/>
  <c r="AJ52" i="14"/>
  <c r="Z45" i="14"/>
  <c r="AJ39" i="14"/>
  <c r="AJ44" i="14"/>
  <c r="AB88" i="14"/>
  <c r="AD86" i="14"/>
  <c r="AI77" i="14"/>
  <c r="Y83" i="14"/>
  <c r="AD39" i="14"/>
  <c r="Y47" i="14"/>
  <c r="Z44" i="14"/>
  <c r="Y44" i="14"/>
  <c r="AD44" i="14"/>
  <c r="Z85" i="14"/>
  <c r="N5" i="6"/>
  <c r="O5" i="6" s="1"/>
  <c r="Y72" i="14" a="1"/>
  <c r="AI72" i="14" s="1"/>
  <c r="Y64" i="14" a="1"/>
  <c r="AI64" i="14" s="1"/>
  <c r="T5" i="6"/>
  <c r="S5" i="6"/>
  <c r="AJ103" i="14"/>
  <c r="AG103" i="14"/>
  <c r="AH103" i="14"/>
  <c r="AI103" i="14"/>
  <c r="AI99" i="14"/>
  <c r="Y99" i="14"/>
  <c r="Z99" i="14"/>
  <c r="AG99" i="14"/>
  <c r="AC99" i="14"/>
  <c r="AH96" i="14"/>
  <c r="AE96" i="14"/>
  <c r="AJ96" i="14"/>
  <c r="AD96" i="14"/>
  <c r="Z96" i="14"/>
  <c r="AA96" i="14"/>
  <c r="Y96" i="14"/>
  <c r="AC102" i="14"/>
  <c r="AB102" i="14"/>
  <c r="Y102" i="14"/>
  <c r="AA102" i="14"/>
  <c r="AI102" i="14"/>
  <c r="AD102" i="14"/>
  <c r="AG102" i="14"/>
  <c r="AF102" i="14"/>
  <c r="AE102" i="14"/>
  <c r="AH102" i="14"/>
  <c r="AC104" i="14"/>
  <c r="AE104" i="14"/>
  <c r="AG81" i="14"/>
  <c r="AC69" i="14"/>
  <c r="AC67" i="14"/>
  <c r="Y65" i="14"/>
  <c r="AD59" i="14"/>
  <c r="AH40" i="14"/>
  <c r="AE59" i="14"/>
  <c r="AA40" i="14"/>
  <c r="Y33" i="14"/>
  <c r="AB79" i="14"/>
  <c r="AJ67" i="14"/>
  <c r="S344" i="14"/>
  <c r="R345" i="14"/>
  <c r="T345" i="14" s="1"/>
  <c r="S348" i="14"/>
  <c r="S349" i="14"/>
  <c r="S355" i="14"/>
  <c r="AH98" i="14"/>
  <c r="AH101" i="14"/>
  <c r="AC101" i="14"/>
  <c r="AF105" i="14"/>
  <c r="AB105" i="14"/>
  <c r="Z95" i="14"/>
  <c r="AF106" i="14"/>
  <c r="AF95" i="14"/>
  <c r="AB95" i="14"/>
  <c r="Y105" i="14"/>
  <c r="AE105" i="14"/>
  <c r="AF101" i="14"/>
  <c r="AI101" i="14"/>
  <c r="AA81" i="14"/>
  <c r="AA79" i="14"/>
  <c r="AB69" i="14"/>
  <c r="AG67" i="14"/>
  <c r="AB65" i="14"/>
  <c r="AG70" i="14"/>
  <c r="AD40" i="14"/>
  <c r="AC42" i="14"/>
  <c r="AA23" i="14"/>
  <c r="AA28" i="14"/>
  <c r="AG65" i="14"/>
  <c r="AE40" i="14"/>
  <c r="AC41" i="14"/>
  <c r="AG33" i="14"/>
  <c r="AB33" i="14"/>
  <c r="AJ33" i="14"/>
  <c r="AG24" i="14"/>
  <c r="AB24" i="14"/>
  <c r="AJ24" i="14"/>
  <c r="AJ85" i="14"/>
  <c r="AB85" i="14"/>
  <c r="AJ74" i="14"/>
  <c r="AB74" i="14"/>
  <c r="AI70" i="14"/>
  <c r="AA98" i="14"/>
  <c r="Z98" i="14"/>
  <c r="AI98" i="14"/>
  <c r="AD101" i="14"/>
  <c r="AG101" i="14"/>
  <c r="AJ101" i="14"/>
  <c r="AC105" i="14"/>
  <c r="Z105" i="14"/>
  <c r="AJ105" i="14"/>
  <c r="AE95" i="14"/>
  <c r="AG106" i="14"/>
  <c r="AH95" i="14"/>
  <c r="AB106" i="14"/>
  <c r="AC95" i="14"/>
  <c r="AI106" i="14"/>
  <c r="Z106" i="14"/>
  <c r="AE106" i="14"/>
  <c r="AD106" i="14"/>
  <c r="Y98" i="14"/>
  <c r="AJ98" i="14"/>
  <c r="AE97" i="14"/>
  <c r="Z97" i="14"/>
  <c r="AB101" i="14"/>
  <c r="AC97" i="14"/>
  <c r="AC98" i="14"/>
  <c r="AA105" i="14"/>
  <c r="Y101" i="14"/>
  <c r="AH104" i="14"/>
  <c r="Y104" i="14"/>
  <c r="AH65" i="14"/>
  <c r="AD65" i="14"/>
  <c r="Z65" i="14"/>
  <c r="AI65" i="14"/>
  <c r="AE65" i="14"/>
  <c r="AA65" i="14"/>
  <c r="Z41" i="14"/>
  <c r="AH41" i="14"/>
  <c r="AC33" i="14"/>
  <c r="Z33" i="14"/>
  <c r="AD33" i="14"/>
  <c r="AH33" i="14"/>
  <c r="AE41" i="14"/>
  <c r="AA33" i="14"/>
  <c r="AJ79" i="14"/>
  <c r="AB67" i="14"/>
  <c r="AI69" i="14"/>
  <c r="Y70" i="14"/>
  <c r="AH81" i="14"/>
  <c r="AE43" i="14"/>
  <c r="Y43" i="14"/>
  <c r="AI79" i="14"/>
  <c r="Z79" i="14"/>
  <c r="AI67" i="14"/>
  <c r="Z67" i="14"/>
  <c r="AD67" i="14"/>
  <c r="Y46" i="14"/>
  <c r="AH46" i="14"/>
  <c r="Z46" i="14"/>
  <c r="AF43" i="14"/>
  <c r="Z43" i="14"/>
  <c r="AI42" i="14"/>
  <c r="Y42" i="14"/>
  <c r="AD42" i="14"/>
  <c r="AB42" i="14"/>
  <c r="AJ42" i="14"/>
  <c r="AB23" i="14"/>
  <c r="Y23" i="14"/>
  <c r="AI28" i="14"/>
  <c r="Z28" i="14"/>
  <c r="AF28" i="14"/>
  <c r="AD103" i="14"/>
  <c r="AE103" i="14"/>
  <c r="Z103" i="14"/>
  <c r="AC103" i="14"/>
  <c r="R287" i="14"/>
  <c r="T287" i="14" s="1"/>
  <c r="R282" i="14"/>
  <c r="T282" i="14" s="1"/>
  <c r="R271" i="14"/>
  <c r="T271" i="14" s="1"/>
  <c r="AF104" i="14"/>
  <c r="Z104" i="14"/>
  <c r="AC81" i="14"/>
  <c r="AG79" i="14"/>
  <c r="AC79" i="14"/>
  <c r="AG104" i="14"/>
  <c r="AG69" i="14"/>
  <c r="Z69" i="14"/>
  <c r="AD69" i="14"/>
  <c r="AE67" i="14"/>
  <c r="AA67" i="14"/>
  <c r="AE70" i="14"/>
  <c r="AF59" i="14"/>
  <c r="AB59" i="14"/>
  <c r="Y59" i="14"/>
  <c r="AG46" i="14"/>
  <c r="AA46" i="14"/>
  <c r="AF40" i="14"/>
  <c r="AB40" i="14"/>
  <c r="Y40" i="14"/>
  <c r="AG43" i="14"/>
  <c r="AA43" i="14"/>
  <c r="AE42" i="14"/>
  <c r="AA42" i="14"/>
  <c r="AC23" i="14"/>
  <c r="AG28" i="14"/>
  <c r="AC28" i="14"/>
  <c r="AG59" i="14"/>
  <c r="AC59" i="14"/>
  <c r="AG40" i="14"/>
  <c r="AC40" i="14"/>
  <c r="AG41" i="14"/>
  <c r="Y41" i="14"/>
  <c r="AB41" i="14"/>
  <c r="AF41" i="14"/>
  <c r="AJ41" i="14"/>
  <c r="AC24" i="14"/>
  <c r="Z24" i="14"/>
  <c r="AD24" i="14"/>
  <c r="AH24" i="14"/>
  <c r="AA41" i="14"/>
  <c r="AE24" i="14"/>
  <c r="AB81" i="14"/>
  <c r="AF79" i="14"/>
  <c r="AF67" i="14"/>
  <c r="AF42" i="14"/>
  <c r="AJ28" i="14"/>
  <c r="AF23" i="14"/>
  <c r="AJ46" i="14"/>
  <c r="AD28" i="14"/>
  <c r="AD79" i="14"/>
  <c r="AH67" i="14"/>
  <c r="Y28" i="14"/>
  <c r="AH79" i="14"/>
  <c r="Z42" i="14"/>
  <c r="R347" i="14"/>
  <c r="T347" i="14" s="1"/>
  <c r="AI83" i="14"/>
  <c r="AH83" i="14"/>
  <c r="Z83" i="14"/>
  <c r="AH52" i="14"/>
  <c r="Z52" i="14"/>
  <c r="AF52" i="14"/>
  <c r="AJ50" i="14"/>
  <c r="AB50" i="14"/>
  <c r="AI54" i="14"/>
  <c r="AH54" i="14"/>
  <c r="Z54" i="14"/>
  <c r="AB56" i="14"/>
  <c r="AJ56" i="14"/>
  <c r="AI74" i="14"/>
  <c r="AD74" i="14"/>
  <c r="Y74" i="14"/>
  <c r="AH74" i="14"/>
  <c r="AI85" i="14"/>
  <c r="Y85" i="14"/>
  <c r="AH85" i="14"/>
  <c r="AJ92" i="14"/>
  <c r="AB92" i="14"/>
  <c r="Y58" i="14" a="1"/>
  <c r="AD58" i="14" s="1"/>
  <c r="J143" i="1"/>
  <c r="J151" i="1" s="1"/>
  <c r="B276" i="2" s="1"/>
  <c r="B324" i="2" s="1"/>
  <c r="H151" i="1"/>
  <c r="H181" i="1" s="1"/>
  <c r="E184" i="1"/>
  <c r="J16" i="3"/>
  <c r="B34" i="2"/>
  <c r="B143" i="2"/>
  <c r="B174" i="2" s="1"/>
  <c r="J96" i="1"/>
  <c r="J54" i="1"/>
  <c r="G253" i="2"/>
  <c r="F13" i="3" s="1"/>
  <c r="Q253" i="2"/>
  <c r="T253" i="2"/>
  <c r="AH253" i="2"/>
  <c r="P253" i="2"/>
  <c r="P325" i="2" s="1"/>
  <c r="AL253" i="2"/>
  <c r="K43" i="14"/>
  <c r="Y90" i="14" a="1"/>
  <c r="Y89" i="14" a="1"/>
  <c r="Y76" i="14" a="1"/>
  <c r="Y48" i="14" a="1"/>
  <c r="AF48" i="14" s="1"/>
  <c r="S269" i="14"/>
  <c r="S272" i="14"/>
  <c r="S273" i="14"/>
  <c r="S274" i="14"/>
  <c r="S276" i="14"/>
  <c r="S278" i="14"/>
  <c r="S279" i="14"/>
  <c r="S280" i="14"/>
  <c r="S283" i="14"/>
  <c r="S284" i="14"/>
  <c r="S285" i="14"/>
  <c r="R288" i="14"/>
  <c r="T288" i="14" s="1"/>
  <c r="R289" i="14"/>
  <c r="T289" i="14" s="1"/>
  <c r="R292" i="14"/>
  <c r="T292" i="14" s="1"/>
  <c r="R344" i="14"/>
  <c r="T344" i="14" s="1"/>
  <c r="S347" i="14"/>
  <c r="R348" i="14"/>
  <c r="T348" i="14" s="1"/>
  <c r="R349" i="14"/>
  <c r="T349" i="14" s="1"/>
  <c r="R355" i="14"/>
  <c r="T355" i="14" s="1"/>
  <c r="R351" i="14"/>
  <c r="T351" i="14" s="1"/>
  <c r="S352" i="14"/>
  <c r="R353" i="14"/>
  <c r="T353" i="14" s="1"/>
  <c r="AP253" i="2"/>
  <c r="AP325" i="2" s="1"/>
  <c r="K253" i="2"/>
  <c r="AF253" i="2"/>
  <c r="AC253" i="2"/>
  <c r="O253" i="2"/>
  <c r="AS253" i="2"/>
  <c r="AB253" i="2"/>
  <c r="N253" i="2"/>
  <c r="C276" i="2"/>
  <c r="C5" i="10"/>
  <c r="C7" i="10" s="1"/>
  <c r="AD84" i="14"/>
  <c r="AA77" i="14"/>
  <c r="AJ77" i="14"/>
  <c r="AB77" i="14"/>
  <c r="AG77" i="14"/>
  <c r="AE80" i="14"/>
  <c r="AA80" i="14"/>
  <c r="AF80" i="14"/>
  <c r="Y80" i="14"/>
  <c r="AJ60" i="14"/>
  <c r="AE60" i="14"/>
  <c r="Z60" i="14"/>
  <c r="AH60" i="14"/>
  <c r="AJ87" i="14"/>
  <c r="AA87" i="14"/>
  <c r="AI87" i="14"/>
  <c r="AB87" i="14"/>
  <c r="AH87" i="14"/>
  <c r="Y87" i="14"/>
  <c r="AE87" i="14"/>
  <c r="AC80" i="14"/>
  <c r="AH80" i="14"/>
  <c r="Y77" i="14"/>
  <c r="AH77" i="14"/>
  <c r="AB68" i="14"/>
  <c r="Y60" i="14"/>
  <c r="AC51" i="14"/>
  <c r="AC60" i="14"/>
  <c r="AE77" i="14"/>
  <c r="AJ100" i="14"/>
  <c r="AH100" i="14"/>
  <c r="AI100" i="14"/>
  <c r="AF100" i="14"/>
  <c r="S351" i="14"/>
  <c r="AH99" i="14"/>
  <c r="AF99" i="14"/>
  <c r="AE99" i="14"/>
  <c r="AB99" i="14"/>
  <c r="AB103" i="14"/>
  <c r="AI95" i="14"/>
  <c r="AD95" i="14"/>
  <c r="Y95" i="14"/>
  <c r="AC100" i="14"/>
  <c r="Y100" i="14"/>
  <c r="AG95" i="14"/>
  <c r="AA100" i="14"/>
  <c r="AF87" i="14"/>
  <c r="AC87" i="14"/>
  <c r="Z80" i="14"/>
  <c r="AJ80" i="14"/>
  <c r="Z77" i="14"/>
  <c r="AG68" i="14"/>
  <c r="AF60" i="14"/>
  <c r="AA51" i="14"/>
  <c r="AA60" i="14"/>
  <c r="AJ51" i="14"/>
  <c r="AJ95" i="14"/>
  <c r="AF97" i="14"/>
  <c r="AD97" i="14"/>
  <c r="AA97" i="14"/>
  <c r="AJ104" i="14"/>
  <c r="AA104" i="14"/>
  <c r="AI104" i="14"/>
  <c r="AB104" i="14"/>
  <c r="K77" i="14"/>
  <c r="K47" i="14"/>
  <c r="K115" i="14"/>
  <c r="K94" i="14"/>
  <c r="K67" i="14"/>
  <c r="K49" i="14"/>
  <c r="R290" i="14"/>
  <c r="T290" i="14" s="1"/>
  <c r="S290" i="14"/>
  <c r="R291" i="14"/>
  <c r="T291" i="14" s="1"/>
  <c r="S291" i="14"/>
  <c r="R342" i="14"/>
  <c r="T342" i="14" s="1"/>
  <c r="S342" i="14"/>
  <c r="R343" i="14"/>
  <c r="T343" i="14" s="1"/>
  <c r="S343" i="14"/>
  <c r="R346" i="14"/>
  <c r="T346" i="14" s="1"/>
  <c r="S346" i="14"/>
  <c r="R350" i="14"/>
  <c r="T350" i="14" s="1"/>
  <c r="S350" i="14"/>
  <c r="R354" i="14"/>
  <c r="T354" i="14" s="1"/>
  <c r="S354" i="14"/>
  <c r="S357" i="14"/>
  <c r="R357" i="14"/>
  <c r="T357" i="14" s="1"/>
  <c r="AI51" i="14"/>
  <c r="Y51" i="14"/>
  <c r="AG51" i="14"/>
  <c r="AH51" i="14"/>
  <c r="AB51" i="14"/>
  <c r="AE68" i="14"/>
  <c r="AD68" i="14"/>
  <c r="AC68" i="14"/>
  <c r="AI68" i="14"/>
  <c r="AG100" i="14"/>
  <c r="AB100" i="14"/>
  <c r="AD100" i="14"/>
  <c r="AD87" i="14"/>
  <c r="AB80" i="14"/>
  <c r="AD77" i="14"/>
  <c r="Y68" i="14"/>
  <c r="AH68" i="14"/>
  <c r="AD60" i="14"/>
  <c r="AI60" i="14"/>
  <c r="AF51" i="14"/>
  <c r="Y103" i="14"/>
  <c r="AF103" i="14"/>
  <c r="AJ99" i="14"/>
  <c r="AD99" i="14"/>
  <c r="AA99" i="14"/>
  <c r="AF96" i="14"/>
  <c r="AC96" i="14"/>
  <c r="AI96" i="14"/>
  <c r="AI39" i="14"/>
  <c r="AH39" i="14"/>
  <c r="AB39" i="14"/>
  <c r="AG39" i="14"/>
  <c r="Z39" i="14"/>
  <c r="AF39" i="14"/>
  <c r="AI81" i="14"/>
  <c r="AD81" i="14"/>
  <c r="AF81" i="14"/>
  <c r="AE81" i="14"/>
  <c r="Z81" i="14"/>
  <c r="AJ81" i="14"/>
  <c r="AE69" i="14"/>
  <c r="AA69" i="14"/>
  <c r="AF69" i="14"/>
  <c r="Y69" i="14"/>
  <c r="AJ70" i="14"/>
  <c r="AB70" i="14"/>
  <c r="AH70" i="14"/>
  <c r="AF70" i="14"/>
  <c r="AC70" i="14"/>
  <c r="AD70" i="14"/>
  <c r="AI46" i="14"/>
  <c r="AB46" i="14"/>
  <c r="AC46" i="14"/>
  <c r="AF46" i="14"/>
  <c r="AD46" i="14"/>
  <c r="AI43" i="14"/>
  <c r="AD43" i="14"/>
  <c r="AC43" i="14"/>
  <c r="AB43" i="14"/>
  <c r="AH43" i="14"/>
  <c r="AI23" i="14"/>
  <c r="AJ23" i="14"/>
  <c r="Z23" i="14"/>
  <c r="AG23" i="14"/>
  <c r="AD23" i="14"/>
  <c r="K54" i="14"/>
  <c r="K87" i="14"/>
  <c r="K118" i="14"/>
  <c r="K126" i="14"/>
  <c r="K134" i="14"/>
  <c r="K80" i="14"/>
  <c r="K95" i="14"/>
  <c r="K99" i="14"/>
  <c r="K107" i="14"/>
  <c r="K119" i="14"/>
  <c r="K41" i="14"/>
  <c r="K53" i="14"/>
  <c r="K65" i="14"/>
  <c r="K72" i="14"/>
  <c r="K90" i="14"/>
  <c r="K100" i="14"/>
  <c r="K110" i="14"/>
  <c r="K114" i="14"/>
  <c r="K138" i="14"/>
  <c r="K37" i="14"/>
  <c r="K60" i="14"/>
  <c r="K64" i="14"/>
  <c r="K79" i="14"/>
  <c r="K143" i="14"/>
  <c r="K103" i="14"/>
  <c r="K117" i="14"/>
  <c r="K149" i="14"/>
  <c r="K23" i="14"/>
  <c r="K46" i="14"/>
  <c r="K129" i="14"/>
  <c r="K137" i="14"/>
  <c r="K42" i="14"/>
  <c r="K57" i="14"/>
  <c r="K66" i="14"/>
  <c r="K85" i="14"/>
  <c r="K102" i="14"/>
  <c r="K130" i="14"/>
  <c r="K45" i="14"/>
  <c r="K55" i="14"/>
  <c r="K74" i="14"/>
  <c r="K81" i="14"/>
  <c r="K145" i="14"/>
  <c r="K121" i="14"/>
  <c r="K44" i="14"/>
  <c r="K51" i="14"/>
  <c r="K123" i="14"/>
  <c r="K131" i="14"/>
  <c r="K142" i="14"/>
  <c r="K147" i="14"/>
  <c r="S353" i="14"/>
  <c r="K31" i="14"/>
  <c r="K32" i="14"/>
  <c r="K59" i="14"/>
  <c r="K71" i="14"/>
  <c r="K68" i="14"/>
  <c r="K98" i="14"/>
  <c r="K106" i="14"/>
  <c r="K40" i="14"/>
  <c r="K62" i="14"/>
  <c r="K76" i="14"/>
  <c r="Y135" i="14" a="1"/>
  <c r="AF135" i="14" s="1"/>
  <c r="Y139" i="14" a="1"/>
  <c r="AH139" i="14" s="1"/>
  <c r="Y123" i="14" a="1"/>
  <c r="AC123" i="14" s="1"/>
  <c r="Y143" i="14" a="1"/>
  <c r="Y143" i="14" s="1"/>
  <c r="Y113" i="14" a="1"/>
  <c r="AH113" i="14" s="1"/>
  <c r="Y133" i="14" a="1"/>
  <c r="Y133" i="14" s="1"/>
  <c r="Y119" i="14" a="1"/>
  <c r="AD119" i="14" s="1"/>
  <c r="Y124" i="14" a="1"/>
  <c r="AA124" i="14" s="1"/>
  <c r="Y110" i="14" a="1"/>
  <c r="AB110" i="14" s="1"/>
  <c r="Y147" i="14" a="1"/>
  <c r="AH147" i="14" s="1"/>
  <c r="Y129" i="14" a="1"/>
  <c r="AH129" i="14" s="1"/>
  <c r="Y117" i="14" a="1"/>
  <c r="AH117" i="14" s="1"/>
  <c r="Y134" i="14" a="1"/>
  <c r="AG134" i="14" s="1"/>
  <c r="Y30" i="14" a="1"/>
  <c r="Y30" i="14" s="1"/>
  <c r="Y140" i="14" a="1"/>
  <c r="AI140" i="14" s="1"/>
  <c r="Y112" i="14" a="1"/>
  <c r="AJ112" i="14" s="1"/>
  <c r="Y146" i="14" a="1"/>
  <c r="Y146" i="14" s="1"/>
  <c r="Y115" i="14" a="1"/>
  <c r="AG115" i="14" s="1"/>
  <c r="Y142" i="14" a="1"/>
  <c r="AE142" i="14" s="1"/>
  <c r="Y126" i="14" a="1"/>
  <c r="AD126" i="14" s="1"/>
  <c r="Y148" i="14" a="1"/>
  <c r="AD148" i="14" s="1"/>
  <c r="Y35" i="14" a="1"/>
  <c r="AC35" i="14" s="1"/>
  <c r="Y108" i="14" a="1"/>
  <c r="Y122" i="14" a="1"/>
  <c r="Y144" i="14" a="1"/>
  <c r="Y116" i="14" a="1"/>
  <c r="Y128" i="14" a="1"/>
  <c r="Y109" i="14" a="1"/>
  <c r="Y130" i="14" a="1"/>
  <c r="Y120" i="14" a="1"/>
  <c r="Y132" i="14" a="1"/>
  <c r="Y107" i="14" a="1"/>
  <c r="Y114" i="14" a="1"/>
  <c r="Y125" i="14" a="1"/>
  <c r="Y131" i="14" a="1"/>
  <c r="Y141" i="14" a="1"/>
  <c r="Y149" i="14" a="1"/>
  <c r="Y118" i="14" a="1"/>
  <c r="AB118" i="14" s="1"/>
  <c r="Y138" i="14" a="1"/>
  <c r="Y136" i="14" a="1"/>
  <c r="Y111" i="14" a="1"/>
  <c r="Y121" i="14" a="1"/>
  <c r="Y127" i="14" a="1"/>
  <c r="Y137" i="14" a="1"/>
  <c r="Y145" i="14" a="1"/>
  <c r="AJ150" i="14"/>
  <c r="AC150" i="14"/>
  <c r="Z150" i="14"/>
  <c r="AH150" i="14"/>
  <c r="AG150" i="14"/>
  <c r="AF150" i="14"/>
  <c r="AI150" i="14"/>
  <c r="Y150" i="14"/>
  <c r="AD150" i="14"/>
  <c r="AB150" i="14"/>
  <c r="AE150" i="14"/>
  <c r="AA150" i="14"/>
  <c r="AJ97" i="14"/>
  <c r="AG97" i="14"/>
  <c r="AB97" i="14"/>
  <c r="AH97" i="14"/>
  <c r="AI97" i="14"/>
  <c r="AI84" i="14"/>
  <c r="AE84" i="14"/>
  <c r="AH84" i="14"/>
  <c r="Z84" i="14"/>
  <c r="AA84" i="14"/>
  <c r="AF84" i="14"/>
  <c r="Y84" i="14"/>
  <c r="AC84" i="14"/>
  <c r="AJ84" i="14"/>
  <c r="AB84" i="14"/>
  <c r="H8" i="17" l="1"/>
  <c r="H7" i="17"/>
  <c r="J39" i="17"/>
  <c r="K39" i="17" s="1"/>
  <c r="H5" i="17"/>
  <c r="J37" i="17"/>
  <c r="K37" i="17" s="1"/>
  <c r="I36" i="17"/>
  <c r="J35" i="17"/>
  <c r="K35" i="17" s="1"/>
  <c r="I29" i="17"/>
  <c r="J27" i="17"/>
  <c r="K27" i="17" s="1"/>
  <c r="J32" i="17"/>
  <c r="K32" i="17" s="1"/>
  <c r="I33" i="17"/>
  <c r="J44" i="17"/>
  <c r="J30" i="17"/>
  <c r="K30" i="17" s="1"/>
  <c r="I45" i="17"/>
  <c r="I40" i="17"/>
  <c r="J36" i="17"/>
  <c r="K36" i="17" s="1"/>
  <c r="I31" i="17"/>
  <c r="I42" i="17"/>
  <c r="J43" i="17"/>
  <c r="K43" i="17" s="1"/>
  <c r="I37" i="17"/>
  <c r="I27" i="17"/>
  <c r="I30" i="17"/>
  <c r="I32" i="17"/>
  <c r="J26" i="17"/>
  <c r="J41" i="17"/>
  <c r="J25" i="17"/>
  <c r="J45" i="17"/>
  <c r="J40" i="17"/>
  <c r="I35" i="17"/>
  <c r="J31" i="17"/>
  <c r="J38" i="17"/>
  <c r="I44" i="17"/>
  <c r="J33" i="17"/>
  <c r="J28" i="17"/>
  <c r="J29" i="17"/>
  <c r="I39" i="17"/>
  <c r="I26" i="17"/>
  <c r="J42" i="17"/>
  <c r="I38" i="17"/>
  <c r="I24" i="17"/>
  <c r="H3" i="17"/>
  <c r="J34" i="17"/>
  <c r="I34" i="17"/>
  <c r="H4" i="17"/>
  <c r="I41" i="17"/>
  <c r="I25" i="17"/>
  <c r="I28" i="17"/>
  <c r="J24" i="17"/>
  <c r="I109" i="17"/>
  <c r="I79" i="17"/>
  <c r="I124" i="17"/>
  <c r="I120" i="17"/>
  <c r="I144" i="17"/>
  <c r="I102" i="17"/>
  <c r="I112" i="17"/>
  <c r="I76" i="17"/>
  <c r="I51" i="17"/>
  <c r="I93" i="17"/>
  <c r="J74" i="17"/>
  <c r="I137" i="17"/>
  <c r="J118" i="17"/>
  <c r="I86" i="17"/>
  <c r="J119" i="17"/>
  <c r="J109" i="17"/>
  <c r="J125" i="17"/>
  <c r="J79" i="17"/>
  <c r="I130" i="17"/>
  <c r="I125" i="17"/>
  <c r="I64" i="17"/>
  <c r="I128" i="17"/>
  <c r="I122" i="17"/>
  <c r="I83" i="17"/>
  <c r="J55" i="17"/>
  <c r="J134" i="17"/>
  <c r="J116" i="17"/>
  <c r="I72" i="17"/>
  <c r="I110" i="17"/>
  <c r="I118" i="17"/>
  <c r="I132" i="17"/>
  <c r="I84" i="17"/>
  <c r="I47" i="17"/>
  <c r="J135" i="17"/>
  <c r="J105" i="17"/>
  <c r="J121" i="17"/>
  <c r="J84" i="17"/>
  <c r="I94" i="17"/>
  <c r="I55" i="17"/>
  <c r="J113" i="17"/>
  <c r="I80" i="17"/>
  <c r="J114" i="17"/>
  <c r="I136" i="17"/>
  <c r="I123" i="17"/>
  <c r="I81" i="17"/>
  <c r="J111" i="17"/>
  <c r="J57" i="17"/>
  <c r="J96" i="17"/>
  <c r="I127" i="17"/>
  <c r="J139" i="17"/>
  <c r="J88" i="17"/>
  <c r="J97" i="17"/>
  <c r="I143" i="17"/>
  <c r="J48" i="17"/>
  <c r="J132" i="17"/>
  <c r="J115" i="17"/>
  <c r="I66" i="17"/>
  <c r="J146" i="17"/>
  <c r="I142" i="17"/>
  <c r="I129" i="17"/>
  <c r="I114" i="17"/>
  <c r="I65" i="17"/>
  <c r="J103" i="17"/>
  <c r="J51" i="17"/>
  <c r="J145" i="17"/>
  <c r="I141" i="17"/>
  <c r="I67" i="17"/>
  <c r="I61" i="17"/>
  <c r="J77" i="17"/>
  <c r="I89" i="17"/>
  <c r="J50" i="17"/>
  <c r="I115" i="17"/>
  <c r="I59" i="17"/>
  <c r="I98" i="17"/>
  <c r="I121" i="17"/>
  <c r="I71" i="17"/>
  <c r="I104" i="17"/>
  <c r="J68" i="17"/>
  <c r="I23" i="17"/>
  <c r="J140" i="17"/>
  <c r="I69" i="17"/>
  <c r="J85" i="17"/>
  <c r="J78" i="17"/>
  <c r="J110" i="17"/>
  <c r="J99" i="17"/>
  <c r="J87" i="17"/>
  <c r="I99" i="17"/>
  <c r="I134" i="17"/>
  <c r="J93" i="17"/>
  <c r="I70" i="17"/>
  <c r="I90" i="17"/>
  <c r="J123" i="17"/>
  <c r="J130" i="17"/>
  <c r="J75" i="17"/>
  <c r="J144" i="17"/>
  <c r="I126" i="17"/>
  <c r="J117" i="17"/>
  <c r="I106" i="17"/>
  <c r="I53" i="17"/>
  <c r="I135" i="17"/>
  <c r="I68" i="17"/>
  <c r="J137" i="17"/>
  <c r="J138" i="17"/>
  <c r="J90" i="17"/>
  <c r="I95" i="17"/>
  <c r="J73" i="17"/>
  <c r="J65" i="17"/>
  <c r="J100" i="17"/>
  <c r="J64" i="17"/>
  <c r="I60" i="17"/>
  <c r="J81" i="17"/>
  <c r="J106" i="17"/>
  <c r="I52" i="17"/>
  <c r="J104" i="17"/>
  <c r="I73" i="17"/>
  <c r="I54" i="17"/>
  <c r="J147" i="17"/>
  <c r="I131" i="17"/>
  <c r="I113" i="17"/>
  <c r="J61" i="17"/>
  <c r="J80" i="17"/>
  <c r="J92" i="17"/>
  <c r="I50" i="17"/>
  <c r="J126" i="17"/>
  <c r="I117" i="17"/>
  <c r="I111" i="17"/>
  <c r="J52" i="17"/>
  <c r="J128" i="17"/>
  <c r="I105" i="17"/>
  <c r="J70" i="17"/>
  <c r="I119" i="17"/>
  <c r="J122" i="17"/>
  <c r="I147" i="17"/>
  <c r="I103" i="17"/>
  <c r="J49" i="17"/>
  <c r="I46" i="17"/>
  <c r="I78" i="17"/>
  <c r="J120" i="17"/>
  <c r="I75" i="17"/>
  <c r="I48" i="17"/>
  <c r="J136" i="17"/>
  <c r="I56" i="17"/>
  <c r="I133" i="17"/>
  <c r="J102" i="17"/>
  <c r="J98" i="17"/>
  <c r="J86" i="17"/>
  <c r="J95" i="17"/>
  <c r="J58" i="17"/>
  <c r="I146" i="17"/>
  <c r="I139" i="17"/>
  <c r="I140" i="17"/>
  <c r="J131" i="17"/>
  <c r="J108" i="17"/>
  <c r="I49" i="17"/>
  <c r="I97" i="17"/>
  <c r="I77" i="17"/>
  <c r="J60" i="17"/>
  <c r="I116" i="17"/>
  <c r="I92" i="17"/>
  <c r="J72" i="17"/>
  <c r="J107" i="17"/>
  <c r="J91" i="17"/>
  <c r="J66" i="17"/>
  <c r="J124" i="17"/>
  <c r="J133" i="17"/>
  <c r="J53" i="17"/>
  <c r="I145" i="17"/>
  <c r="J141" i="17"/>
  <c r="J67" i="17"/>
  <c r="I74" i="17"/>
  <c r="J23" i="17"/>
  <c r="I57" i="17"/>
  <c r="I96" i="17"/>
  <c r="I87" i="17"/>
  <c r="J94" i="17"/>
  <c r="J54" i="17"/>
  <c r="J69" i="17"/>
  <c r="I108" i="17"/>
  <c r="I88" i="17"/>
  <c r="J142" i="17"/>
  <c r="J101" i="17"/>
  <c r="I101" i="17"/>
  <c r="J143" i="17"/>
  <c r="J89" i="17"/>
  <c r="I82" i="17"/>
  <c r="J82" i="17"/>
  <c r="I107" i="17"/>
  <c r="J76" i="17"/>
  <c r="I138" i="17"/>
  <c r="J71" i="17"/>
  <c r="J127" i="17"/>
  <c r="J47" i="17"/>
  <c r="J46" i="17"/>
  <c r="J129" i="17"/>
  <c r="I100" i="17"/>
  <c r="J83" i="17"/>
  <c r="J112" i="17"/>
  <c r="J59" i="17"/>
  <c r="J56" i="17"/>
  <c r="J17" i="3"/>
  <c r="AD325" i="2"/>
  <c r="S90" i="2"/>
  <c r="S325" i="2" s="1"/>
  <c r="AA91" i="14"/>
  <c r="V362" i="14"/>
  <c r="V423" i="14"/>
  <c r="J325" i="2"/>
  <c r="R325" i="2"/>
  <c r="T325" i="2"/>
  <c r="AH91" i="14"/>
  <c r="T3" i="6"/>
  <c r="O3" i="6"/>
  <c r="N3" i="6"/>
  <c r="AR325" i="2"/>
  <c r="D13" i="3"/>
  <c r="D17" i="3" s="1"/>
  <c r="C253" i="2"/>
  <c r="L3" i="6"/>
  <c r="C17" i="3"/>
  <c r="AB91" i="14"/>
  <c r="AG66" i="14"/>
  <c r="AE66" i="14"/>
  <c r="J138" i="1"/>
  <c r="AE91" i="14"/>
  <c r="AC91" i="14"/>
  <c r="Y91" i="14"/>
  <c r="Z55" i="14"/>
  <c r="AA55" i="14"/>
  <c r="Z66" i="14"/>
  <c r="AI66" i="14"/>
  <c r="AF66" i="14"/>
  <c r="AA66" i="14"/>
  <c r="Y66" i="14"/>
  <c r="AB66" i="14"/>
  <c r="AH66" i="14"/>
  <c r="AJ66" i="14"/>
  <c r="AD66" i="14"/>
  <c r="G184" i="1"/>
  <c r="G16" i="3"/>
  <c r="AQ325" i="2"/>
  <c r="AF325" i="2"/>
  <c r="AC325" i="2"/>
  <c r="AE325" i="2"/>
  <c r="Q325" i="2"/>
  <c r="AM325" i="2"/>
  <c r="AK325" i="2"/>
  <c r="AN325" i="2"/>
  <c r="N325" i="2"/>
  <c r="AL325" i="2"/>
  <c r="AH325" i="2"/>
  <c r="Y325" i="2"/>
  <c r="G325" i="2"/>
  <c r="F10" i="3"/>
  <c r="G10" i="3" s="1"/>
  <c r="I325" i="2"/>
  <c r="M325" i="2"/>
  <c r="U325" i="2"/>
  <c r="L325" i="2"/>
  <c r="AD55" i="14"/>
  <c r="AI55" i="14"/>
  <c r="Y55" i="14"/>
  <c r="AB55" i="14"/>
  <c r="AG55" i="14"/>
  <c r="AC55" i="14"/>
  <c r="AH55" i="14"/>
  <c r="AF55" i="14"/>
  <c r="AE55" i="14"/>
  <c r="AB325" i="2"/>
  <c r="O325" i="2"/>
  <c r="K325" i="2"/>
  <c r="AS325" i="2"/>
  <c r="Z91" i="14"/>
  <c r="AG91" i="14"/>
  <c r="AD91" i="14"/>
  <c r="AF91" i="14"/>
  <c r="AI91" i="14"/>
  <c r="AB64" i="14"/>
  <c r="Z64" i="14"/>
  <c r="AD72" i="14"/>
  <c r="AH72" i="14"/>
  <c r="AJ72" i="14"/>
  <c r="AG72" i="14"/>
  <c r="AC72" i="14"/>
  <c r="AA72" i="14"/>
  <c r="Y72" i="14"/>
  <c r="AF72" i="14"/>
  <c r="AA58" i="14"/>
  <c r="AB72" i="14"/>
  <c r="Z72" i="14"/>
  <c r="AE72" i="14"/>
  <c r="AC64" i="14"/>
  <c r="AD64" i="14"/>
  <c r="AF64" i="14"/>
  <c r="AH64" i="14"/>
  <c r="AJ64" i="14"/>
  <c r="AE64" i="14"/>
  <c r="AG64" i="14"/>
  <c r="Y64" i="14"/>
  <c r="AA64" i="14"/>
  <c r="AC58" i="14"/>
  <c r="AH58" i="14"/>
  <c r="AG58" i="14"/>
  <c r="Y58" i="14"/>
  <c r="Z58" i="14"/>
  <c r="AG48" i="14"/>
  <c r="AI48" i="14"/>
  <c r="AB58" i="14"/>
  <c r="AJ58" i="14"/>
  <c r="AE58" i="14"/>
  <c r="AF58" i="14"/>
  <c r="AI58" i="14"/>
  <c r="J181" i="1"/>
  <c r="B16" i="3"/>
  <c r="B17" i="3" s="1"/>
  <c r="H184" i="1"/>
  <c r="AD48" i="14"/>
  <c r="AE48" i="14"/>
  <c r="AA48" i="14"/>
  <c r="AB48" i="14"/>
  <c r="AJ123" i="14"/>
  <c r="Z48" i="14"/>
  <c r="AJ48" i="14"/>
  <c r="Y48" i="14"/>
  <c r="AC48" i="14"/>
  <c r="AH48" i="14"/>
  <c r="AJ89" i="14"/>
  <c r="AA89" i="14"/>
  <c r="AE89" i="14"/>
  <c r="AI89" i="14"/>
  <c r="Y89" i="14"/>
  <c r="AB89" i="14"/>
  <c r="AF89" i="14"/>
  <c r="AC89" i="14"/>
  <c r="AG89" i="14"/>
  <c r="Z89" i="14"/>
  <c r="AD89" i="14"/>
  <c r="AH89" i="14"/>
  <c r="B90" i="2"/>
  <c r="B325" i="2" s="1"/>
  <c r="AA76" i="14"/>
  <c r="AH76" i="14"/>
  <c r="AD76" i="14"/>
  <c r="Z76" i="14"/>
  <c r="AC76" i="14"/>
  <c r="AI76" i="14"/>
  <c r="AE76" i="14"/>
  <c r="AJ76" i="14"/>
  <c r="AF76" i="14"/>
  <c r="AB76" i="14"/>
  <c r="Y76" i="14"/>
  <c r="AG76" i="14"/>
  <c r="AJ90" i="14"/>
  <c r="AC90" i="14"/>
  <c r="AG90" i="14"/>
  <c r="Y90" i="14"/>
  <c r="AB90" i="14"/>
  <c r="AF90" i="14"/>
  <c r="AA90" i="14"/>
  <c r="AE90" i="14"/>
  <c r="AI90" i="14"/>
  <c r="Z90" i="14"/>
  <c r="AD90" i="14"/>
  <c r="AH90" i="14"/>
  <c r="G13" i="3"/>
  <c r="AA135" i="14"/>
  <c r="C324" i="2"/>
  <c r="Z126" i="14"/>
  <c r="Y135" i="14"/>
  <c r="AJ143" i="14"/>
  <c r="Z113" i="14"/>
  <c r="Z134" i="14"/>
  <c r="Y124" i="14"/>
  <c r="AB134" i="14"/>
  <c r="AD134" i="14"/>
  <c r="AI30" i="14"/>
  <c r="AA147" i="14"/>
  <c r="AJ147" i="14"/>
  <c r="AJ139" i="14"/>
  <c r="AI123" i="14"/>
  <c r="AD30" i="14"/>
  <c r="AF143" i="14"/>
  <c r="AB112" i="14"/>
  <c r="AJ129" i="14"/>
  <c r="AA139" i="14"/>
  <c r="AG143" i="14"/>
  <c r="AC139" i="14"/>
  <c r="AG139" i="14"/>
  <c r="AF139" i="14"/>
  <c r="AE143" i="14"/>
  <c r="AH123" i="14"/>
  <c r="Y112" i="14"/>
  <c r="AG112" i="14"/>
  <c r="AA35" i="14"/>
  <c r="AJ110" i="14"/>
  <c r="Z143" i="14"/>
  <c r="AE110" i="14"/>
  <c r="AD139" i="14"/>
  <c r="Y139" i="14"/>
  <c r="AH143" i="14"/>
  <c r="Y126" i="14"/>
  <c r="AE139" i="14"/>
  <c r="AH142" i="14"/>
  <c r="Z139" i="14"/>
  <c r="AB143" i="14"/>
  <c r="AD143" i="14"/>
  <c r="AI139" i="14"/>
  <c r="Z148" i="14"/>
  <c r="AE118" i="14"/>
  <c r="Y148" i="14"/>
  <c r="AE126" i="14"/>
  <c r="AF123" i="14"/>
  <c r="AJ134" i="14"/>
  <c r="AB35" i="14"/>
  <c r="AB147" i="14"/>
  <c r="Y113" i="14"/>
  <c r="AF147" i="14"/>
  <c r="AH146" i="14"/>
  <c r="Z118" i="14"/>
  <c r="AG148" i="14"/>
  <c r="AG126" i="14"/>
  <c r="AG140" i="14"/>
  <c r="Z110" i="14"/>
  <c r="AH110" i="14"/>
  <c r="AF140" i="14"/>
  <c r="AE124" i="14"/>
  <c r="AE135" i="14"/>
  <c r="AD123" i="14"/>
  <c r="AH135" i="14"/>
  <c r="AJ135" i="14"/>
  <c r="AG135" i="14"/>
  <c r="AI110" i="14"/>
  <c r="Y110" i="14"/>
  <c r="Z123" i="14"/>
  <c r="AB139" i="14"/>
  <c r="AA123" i="14"/>
  <c r="AG110" i="14"/>
  <c r="AA142" i="14"/>
  <c r="AB123" i="14"/>
  <c r="Y123" i="14"/>
  <c r="AB135" i="14"/>
  <c r="AC135" i="14"/>
  <c r="AE123" i="14"/>
  <c r="AG124" i="14"/>
  <c r="AA110" i="14"/>
  <c r="AC110" i="14"/>
  <c r="AG123" i="14"/>
  <c r="AI124" i="14"/>
  <c r="AD135" i="14"/>
  <c r="AI135" i="14"/>
  <c r="Z135" i="14"/>
  <c r="AF110" i="14"/>
  <c r="AD110" i="14"/>
  <c r="AF124" i="14"/>
  <c r="AC124" i="14"/>
  <c r="AJ126" i="14"/>
  <c r="AI126" i="14"/>
  <c r="AE146" i="14"/>
  <c r="AD147" i="14"/>
  <c r="Z124" i="14"/>
  <c r="AJ124" i="14"/>
  <c r="AH134" i="14"/>
  <c r="AC119" i="14"/>
  <c r="AA112" i="14"/>
  <c r="AI112" i="14"/>
  <c r="AG113" i="14"/>
  <c r="AH30" i="14"/>
  <c r="AF146" i="14"/>
  <c r="Z147" i="14"/>
  <c r="AB30" i="14"/>
  <c r="AH118" i="14"/>
  <c r="AC148" i="14"/>
  <c r="AI148" i="14"/>
  <c r="AB148" i="14"/>
  <c r="Z146" i="14"/>
  <c r="AB124" i="14"/>
  <c r="AF30" i="14"/>
  <c r="AB146" i="14"/>
  <c r="AC30" i="14"/>
  <c r="Y118" i="14"/>
  <c r="AF148" i="14"/>
  <c r="AJ148" i="14"/>
  <c r="AE148" i="14"/>
  <c r="AE30" i="14"/>
  <c r="Z30" i="14"/>
  <c r="AI118" i="14"/>
  <c r="AH148" i="14"/>
  <c r="AA148" i="14"/>
  <c r="AC147" i="14"/>
  <c r="AA134" i="14"/>
  <c r="AG147" i="14"/>
  <c r="AA113" i="14"/>
  <c r="AA140" i="14"/>
  <c r="AJ142" i="14"/>
  <c r="AD142" i="14"/>
  <c r="AB119" i="14"/>
  <c r="AF119" i="14"/>
  <c r="AJ113" i="14"/>
  <c r="AE113" i="14"/>
  <c r="AC140" i="14"/>
  <c r="Y142" i="14"/>
  <c r="AA115" i="14"/>
  <c r="Z119" i="14"/>
  <c r="AD113" i="14"/>
  <c r="AI113" i="14"/>
  <c r="AF113" i="14"/>
  <c r="AI143" i="14"/>
  <c r="AA143" i="14"/>
  <c r="AC143" i="14"/>
  <c r="AC113" i="14"/>
  <c r="Z140" i="14"/>
  <c r="AH35" i="14"/>
  <c r="AB142" i="14"/>
  <c r="AB113" i="14"/>
  <c r="AE117" i="14"/>
  <c r="AA117" i="14"/>
  <c r="AC117" i="14"/>
  <c r="AG117" i="14"/>
  <c r="Y117" i="14"/>
  <c r="Z117" i="14"/>
  <c r="AF117" i="14"/>
  <c r="AD117" i="14"/>
  <c r="AB117" i="14"/>
  <c r="AI117" i="14"/>
  <c r="Y35" i="14"/>
  <c r="AD35" i="14"/>
  <c r="AF115" i="14"/>
  <c r="AB115" i="14"/>
  <c r="AI146" i="14"/>
  <c r="AC146" i="14"/>
  <c r="AG146" i="14"/>
  <c r="AD146" i="14"/>
  <c r="AJ30" i="14"/>
  <c r="AG30" i="14"/>
  <c r="Z129" i="14"/>
  <c r="AB129" i="14"/>
  <c r="AI129" i="14"/>
  <c r="AD129" i="14"/>
  <c r="Y129" i="14"/>
  <c r="AE129" i="14"/>
  <c r="AG129" i="14"/>
  <c r="AA129" i="14"/>
  <c r="AC129" i="14"/>
  <c r="AF129" i="14"/>
  <c r="AJ133" i="14"/>
  <c r="AH133" i="14"/>
  <c r="AC133" i="14"/>
  <c r="AF133" i="14"/>
  <c r="AG133" i="14"/>
  <c r="AB133" i="14"/>
  <c r="AE133" i="14"/>
  <c r="AD133" i="14"/>
  <c r="AA133" i="14"/>
  <c r="AE35" i="14"/>
  <c r="AI133" i="14"/>
  <c r="AB126" i="14"/>
  <c r="AH126" i="14"/>
  <c r="AA126" i="14"/>
  <c r="AF126" i="14"/>
  <c r="AC126" i="14"/>
  <c r="Z112" i="14"/>
  <c r="AH112" i="14"/>
  <c r="AD112" i="14"/>
  <c r="AF112" i="14"/>
  <c r="AE112" i="14"/>
  <c r="AC112" i="14"/>
  <c r="Y134" i="14"/>
  <c r="AE134" i="14"/>
  <c r="AF134" i="14"/>
  <c r="AI134" i="14"/>
  <c r="AC134" i="14"/>
  <c r="AI147" i="14"/>
  <c r="AE147" i="14"/>
  <c r="Y147" i="14"/>
  <c r="AH124" i="14"/>
  <c r="AD124" i="14"/>
  <c r="Z35" i="14"/>
  <c r="AG35" i="14"/>
  <c r="Y115" i="14"/>
  <c r="AJ115" i="14"/>
  <c r="AE115" i="14"/>
  <c r="AD115" i="14"/>
  <c r="AI115" i="14"/>
  <c r="AC115" i="14"/>
  <c r="AH115" i="14"/>
  <c r="AJ117" i="14"/>
  <c r="AI35" i="14"/>
  <c r="Z133" i="14"/>
  <c r="AF35" i="14"/>
  <c r="AJ35" i="14"/>
  <c r="Z115" i="14"/>
  <c r="AA30" i="14"/>
  <c r="AA146" i="14"/>
  <c r="AJ146" i="14"/>
  <c r="Z142" i="14"/>
  <c r="AG142" i="14"/>
  <c r="AF142" i="14"/>
  <c r="AI142" i="14"/>
  <c r="AC142" i="14"/>
  <c r="AH140" i="14"/>
  <c r="AE140" i="14"/>
  <c r="AB140" i="14"/>
  <c r="AJ140" i="14"/>
  <c r="Y140" i="14"/>
  <c r="AD140" i="14"/>
  <c r="AH119" i="14"/>
  <c r="AE119" i="14"/>
  <c r="AI119" i="14"/>
  <c r="Y119" i="14"/>
  <c r="AJ119" i="14"/>
  <c r="AG119" i="14"/>
  <c r="AA119" i="14"/>
  <c r="AC111" i="14"/>
  <c r="Y111" i="14"/>
  <c r="AB111" i="14"/>
  <c r="AI111" i="14"/>
  <c r="AJ111" i="14"/>
  <c r="Z111" i="14"/>
  <c r="AG111" i="14"/>
  <c r="AF111" i="14"/>
  <c r="AA111" i="14"/>
  <c r="AD111" i="14"/>
  <c r="AH111" i="14"/>
  <c r="AE111" i="14"/>
  <c r="AD131" i="14"/>
  <c r="AH131" i="14"/>
  <c r="AB131" i="14"/>
  <c r="AC131" i="14"/>
  <c r="AE131" i="14"/>
  <c r="Y131" i="14"/>
  <c r="AJ131" i="14"/>
  <c r="AG131" i="14"/>
  <c r="Z131" i="14"/>
  <c r="AA131" i="14"/>
  <c r="AF131" i="14"/>
  <c r="AI131" i="14"/>
  <c r="AJ108" i="14"/>
  <c r="AG108" i="14"/>
  <c r="AI108" i="14"/>
  <c r="AC108" i="14"/>
  <c r="AH108" i="14"/>
  <c r="Y108" i="14"/>
  <c r="AA108" i="14"/>
  <c r="AE108" i="14"/>
  <c r="AD108" i="14"/>
  <c r="AB108" i="14"/>
  <c r="AF108" i="14"/>
  <c r="Z108" i="14"/>
  <c r="AJ137" i="14"/>
  <c r="AG137" i="14"/>
  <c r="Z137" i="14"/>
  <c r="AB137" i="14"/>
  <c r="AA137" i="14"/>
  <c r="AF137" i="14"/>
  <c r="AC137" i="14"/>
  <c r="Y137" i="14"/>
  <c r="AH137" i="14"/>
  <c r="AD137" i="14"/>
  <c r="AI137" i="14"/>
  <c r="AE137" i="14"/>
  <c r="AI136" i="14"/>
  <c r="AB136" i="14"/>
  <c r="AF136" i="14"/>
  <c r="Y136" i="14"/>
  <c r="AH136" i="14"/>
  <c r="AG136" i="14"/>
  <c r="Z136" i="14"/>
  <c r="AE136" i="14"/>
  <c r="AA136" i="14"/>
  <c r="AD136" i="14"/>
  <c r="AC136" i="14"/>
  <c r="AJ136" i="14"/>
  <c r="AJ125" i="14"/>
  <c r="AG125" i="14"/>
  <c r="AF125" i="14"/>
  <c r="AE125" i="14"/>
  <c r="AC125" i="14"/>
  <c r="AD125" i="14"/>
  <c r="AB125" i="14"/>
  <c r="AA125" i="14"/>
  <c r="AH125" i="14"/>
  <c r="Y125" i="14"/>
  <c r="AI125" i="14"/>
  <c r="Z125" i="14"/>
  <c r="AI120" i="14"/>
  <c r="Y120" i="14"/>
  <c r="AG120" i="14"/>
  <c r="AB120" i="14"/>
  <c r="AD120" i="14"/>
  <c r="AE120" i="14"/>
  <c r="AF120" i="14"/>
  <c r="AJ120" i="14"/>
  <c r="AC120" i="14"/>
  <c r="Z120" i="14"/>
  <c r="AH120" i="14"/>
  <c r="AA120" i="14"/>
  <c r="Z116" i="14"/>
  <c r="AG116" i="14"/>
  <c r="AA116" i="14"/>
  <c r="AJ116" i="14"/>
  <c r="AB116" i="14"/>
  <c r="AC116" i="14"/>
  <c r="AD116" i="14"/>
  <c r="AF116" i="14"/>
  <c r="Y116" i="14"/>
  <c r="AH116" i="14"/>
  <c r="AE116" i="14"/>
  <c r="AI116" i="14"/>
  <c r="AH145" i="14"/>
  <c r="AC145" i="14"/>
  <c r="AD145" i="14"/>
  <c r="AE145" i="14"/>
  <c r="AG145" i="14"/>
  <c r="Y145" i="14"/>
  <c r="AA145" i="14"/>
  <c r="AJ145" i="14"/>
  <c r="AF145" i="14"/>
  <c r="AI145" i="14"/>
  <c r="Z145" i="14"/>
  <c r="AB145" i="14"/>
  <c r="Z132" i="14"/>
  <c r="AE132" i="14"/>
  <c r="AA132" i="14"/>
  <c r="AB132" i="14"/>
  <c r="AJ132" i="14"/>
  <c r="AH132" i="14"/>
  <c r="AI132" i="14"/>
  <c r="AF132" i="14"/>
  <c r="AD132" i="14"/>
  <c r="AC132" i="14"/>
  <c r="AG132" i="14"/>
  <c r="Y132" i="14"/>
  <c r="AA128" i="14"/>
  <c r="AE128" i="14"/>
  <c r="AC128" i="14"/>
  <c r="AI128" i="14"/>
  <c r="AB128" i="14"/>
  <c r="AH128" i="14"/>
  <c r="Z128" i="14"/>
  <c r="Y128" i="14"/>
  <c r="AD128" i="14"/>
  <c r="AF128" i="14"/>
  <c r="AG128" i="14"/>
  <c r="AJ128" i="14"/>
  <c r="AG118" i="14"/>
  <c r="AC118" i="14"/>
  <c r="AA118" i="14"/>
  <c r="AF118" i="14"/>
  <c r="AD118" i="14"/>
  <c r="AJ118" i="14"/>
  <c r="Z127" i="14"/>
  <c r="AF127" i="14"/>
  <c r="Y127" i="14"/>
  <c r="AD127" i="14"/>
  <c r="AG127" i="14"/>
  <c r="AC127" i="14"/>
  <c r="AA127" i="14"/>
  <c r="AJ127" i="14"/>
  <c r="AH127" i="14"/>
  <c r="AE127" i="14"/>
  <c r="AI127" i="14"/>
  <c r="AB127" i="14"/>
  <c r="AD149" i="14"/>
  <c r="AI149" i="14"/>
  <c r="AA149" i="14"/>
  <c r="AH149" i="14"/>
  <c r="AE149" i="14"/>
  <c r="AG149" i="14"/>
  <c r="Z149" i="14"/>
  <c r="AC149" i="14"/>
  <c r="Y149" i="14"/>
  <c r="AF149" i="14"/>
  <c r="AJ149" i="14"/>
  <c r="AB149" i="14"/>
  <c r="AD114" i="14"/>
  <c r="Z114" i="14"/>
  <c r="AG114" i="14"/>
  <c r="AC114" i="14"/>
  <c r="AE114" i="14"/>
  <c r="AF114" i="14"/>
  <c r="AI114" i="14"/>
  <c r="AJ114" i="14"/>
  <c r="AH114" i="14"/>
  <c r="AA114" i="14"/>
  <c r="AB114" i="14"/>
  <c r="Y114" i="14"/>
  <c r="AJ130" i="14"/>
  <c r="AF130" i="14"/>
  <c r="AI130" i="14"/>
  <c r="AG130" i="14"/>
  <c r="AC130" i="14"/>
  <c r="AE130" i="14"/>
  <c r="Y130" i="14"/>
  <c r="AH130" i="14"/>
  <c r="AD130" i="14"/>
  <c r="Z130" i="14"/>
  <c r="AA130" i="14"/>
  <c r="AB130" i="14"/>
  <c r="AJ144" i="14"/>
  <c r="AF144" i="14"/>
  <c r="AA144" i="14"/>
  <c r="Z144" i="14"/>
  <c r="AC144" i="14"/>
  <c r="AE144" i="14"/>
  <c r="Y144" i="14"/>
  <c r="AH144" i="14"/>
  <c r="AG144" i="14"/>
  <c r="AB144" i="14"/>
  <c r="AD144" i="14"/>
  <c r="AI144" i="14"/>
  <c r="AJ121" i="14"/>
  <c r="Z121" i="14"/>
  <c r="AD121" i="14"/>
  <c r="AB121" i="14"/>
  <c r="AA121" i="14"/>
  <c r="AF121" i="14"/>
  <c r="AE121" i="14"/>
  <c r="AG121" i="14"/>
  <c r="AH121" i="14"/>
  <c r="AC121" i="14"/>
  <c r="Y121" i="14"/>
  <c r="AI121" i="14"/>
  <c r="AJ138" i="14"/>
  <c r="AD138" i="14"/>
  <c r="Y138" i="14"/>
  <c r="AI138" i="14"/>
  <c r="AC138" i="14"/>
  <c r="AF138" i="14"/>
  <c r="AA138" i="14"/>
  <c r="AE138" i="14"/>
  <c r="Z138" i="14"/>
  <c r="AH138" i="14"/>
  <c r="AB138" i="14"/>
  <c r="AG138" i="14"/>
  <c r="AB141" i="14"/>
  <c r="Z141" i="14"/>
  <c r="AF141" i="14"/>
  <c r="AC141" i="14"/>
  <c r="AD141" i="14"/>
  <c r="AE141" i="14"/>
  <c r="AI141" i="14"/>
  <c r="AJ141" i="14"/>
  <c r="AG141" i="14"/>
  <c r="Y141" i="14"/>
  <c r="AH141" i="14"/>
  <c r="AA141" i="14"/>
  <c r="AJ107" i="14"/>
  <c r="AH107" i="14"/>
  <c r="AE107" i="14"/>
  <c r="Y107" i="14"/>
  <c r="AG107" i="14"/>
  <c r="AA107" i="14"/>
  <c r="Z107" i="14"/>
  <c r="AC107" i="14"/>
  <c r="AD107" i="14"/>
  <c r="AF107" i="14"/>
  <c r="AI107" i="14"/>
  <c r="AB107" i="14"/>
  <c r="AE109" i="14"/>
  <c r="AJ109" i="14"/>
  <c r="AD109" i="14"/>
  <c r="Y109" i="14"/>
  <c r="AI109" i="14"/>
  <c r="AB109" i="14"/>
  <c r="AF109" i="14"/>
  <c r="AG109" i="14"/>
  <c r="AH109" i="14"/>
  <c r="AC109" i="14"/>
  <c r="Z109" i="14"/>
  <c r="AA109" i="14"/>
  <c r="AG122" i="14"/>
  <c r="AE122" i="14"/>
  <c r="AB122" i="14"/>
  <c r="AI122" i="14"/>
  <c r="AC122" i="14"/>
  <c r="AD122" i="14"/>
  <c r="Z122" i="14"/>
  <c r="Y122" i="14"/>
  <c r="AH122" i="14"/>
  <c r="AA122" i="14"/>
  <c r="AF122" i="14"/>
  <c r="AJ122" i="14"/>
  <c r="M26" i="17"/>
  <c r="M124" i="17"/>
  <c r="M95" i="17"/>
  <c r="M24" i="17"/>
  <c r="M38" i="17"/>
  <c r="M125" i="17"/>
  <c r="M52" i="17"/>
  <c r="M25" i="17"/>
  <c r="M145" i="17"/>
  <c r="M40" i="17"/>
  <c r="M33" i="17"/>
  <c r="M97" i="17"/>
  <c r="M70" i="17"/>
  <c r="M147" i="17"/>
  <c r="M87" i="17"/>
  <c r="M73" i="17"/>
  <c r="M93" i="17"/>
  <c r="M65" i="17"/>
  <c r="M44" i="17"/>
  <c r="M143" i="17"/>
  <c r="M107" i="17"/>
  <c r="M46" i="17"/>
  <c r="M82" i="17"/>
  <c r="M108" i="17"/>
  <c r="M144" i="17"/>
  <c r="M114" i="17"/>
  <c r="M103" i="17"/>
  <c r="M119" i="17"/>
  <c r="M122" i="17"/>
  <c r="M137" i="17"/>
  <c r="M141" i="17"/>
  <c r="M64" i="17"/>
  <c r="M88" i="17"/>
  <c r="M53" i="17"/>
  <c r="M120" i="17"/>
  <c r="M129" i="17"/>
  <c r="M45" i="17"/>
  <c r="M32" i="17"/>
  <c r="M43" i="17"/>
  <c r="M61" i="17"/>
  <c r="M116" i="17"/>
  <c r="M105" i="17"/>
  <c r="M101" i="17"/>
  <c r="M39" i="17"/>
  <c r="M29" i="17"/>
  <c r="M50" i="17"/>
  <c r="M74" i="17"/>
  <c r="M86" i="17"/>
  <c r="M30" i="17"/>
  <c r="M112" i="17"/>
  <c r="M71" i="17"/>
  <c r="M85" i="17"/>
  <c r="M69" i="17"/>
  <c r="M81" i="17"/>
  <c r="M132" i="17"/>
  <c r="M37" i="17"/>
  <c r="M67" i="17"/>
  <c r="M140" i="17"/>
  <c r="M84" i="17"/>
  <c r="M121" i="17"/>
  <c r="M31" i="17"/>
  <c r="M127" i="17"/>
  <c r="M117" i="17"/>
  <c r="M75" i="17"/>
  <c r="M139" i="17"/>
  <c r="M56" i="17"/>
  <c r="M36" i="17"/>
  <c r="M90" i="17"/>
  <c r="M34" i="17"/>
  <c r="M78" i="17"/>
  <c r="M80" i="17"/>
  <c r="M130" i="17"/>
  <c r="M49" i="17"/>
  <c r="M66" i="17"/>
  <c r="M109" i="17"/>
  <c r="M126" i="17"/>
  <c r="M60" i="17"/>
  <c r="M128" i="17"/>
  <c r="M35" i="17"/>
  <c r="M41" i="17"/>
  <c r="M57" i="17"/>
  <c r="M113" i="17"/>
  <c r="M133" i="17"/>
  <c r="M76" i="17"/>
  <c r="M115" i="17"/>
  <c r="M51" i="17"/>
  <c r="M68" i="17"/>
  <c r="M123" i="17"/>
  <c r="M142" i="17"/>
  <c r="M94" i="17"/>
  <c r="M47" i="17"/>
  <c r="M99" i="17"/>
  <c r="M96" i="17"/>
  <c r="M134" i="17"/>
  <c r="M89" i="17"/>
  <c r="M55" i="17"/>
  <c r="M58" i="17"/>
  <c r="M135" i="17"/>
  <c r="M59" i="17"/>
  <c r="M106" i="17"/>
  <c r="M92" i="17"/>
  <c r="M102" i="17"/>
  <c r="M110" i="17"/>
  <c r="M146" i="17"/>
  <c r="M104" i="17"/>
  <c r="M83" i="17"/>
  <c r="M54" i="17"/>
  <c r="M77" i="17"/>
  <c r="M28" i="17"/>
  <c r="M27" i="17"/>
  <c r="M48" i="17"/>
  <c r="M42" i="17"/>
  <c r="M98" i="17"/>
  <c r="M111" i="17"/>
  <c r="M79" i="17"/>
  <c r="M91" i="17"/>
  <c r="M118" i="17"/>
  <c r="M100" i="17"/>
  <c r="M138" i="17"/>
  <c r="M72" i="17"/>
  <c r="M136" i="17"/>
  <c r="M131" i="17"/>
  <c r="H10" i="17" l="1"/>
  <c r="I8" i="17"/>
  <c r="J8" i="17"/>
  <c r="M8" i="17"/>
  <c r="J7" i="17"/>
  <c r="I7" i="17"/>
  <c r="M7" i="17"/>
  <c r="P39" i="17"/>
  <c r="I5" i="17"/>
  <c r="M5" i="17"/>
  <c r="I3" i="17"/>
  <c r="K44" i="17"/>
  <c r="P44" i="17" s="1"/>
  <c r="J5" i="17"/>
  <c r="P35" i="17"/>
  <c r="P37" i="17"/>
  <c r="P27" i="17"/>
  <c r="P30" i="17"/>
  <c r="P43" i="17"/>
  <c r="H6" i="17"/>
  <c r="P32" i="17"/>
  <c r="P36" i="17"/>
  <c r="M4" i="17"/>
  <c r="M3" i="17"/>
  <c r="K42" i="17"/>
  <c r="P42" i="17" s="1"/>
  <c r="K38" i="17"/>
  <c r="P38" i="17" s="1"/>
  <c r="J4" i="17"/>
  <c r="K34" i="17"/>
  <c r="P34" i="17" s="1"/>
  <c r="K31" i="17"/>
  <c r="P31" i="17" s="1"/>
  <c r="K40" i="17"/>
  <c r="P40" i="17" s="1"/>
  <c r="K45" i="17"/>
  <c r="P45" i="17" s="1"/>
  <c r="J3" i="17"/>
  <c r="K24" i="17"/>
  <c r="K29" i="17"/>
  <c r="P29" i="17" s="1"/>
  <c r="K25" i="17"/>
  <c r="P25" i="17" s="1"/>
  <c r="K28" i="17"/>
  <c r="P28" i="17" s="1"/>
  <c r="K41" i="17"/>
  <c r="P41" i="17" s="1"/>
  <c r="I4" i="17"/>
  <c r="K33" i="17"/>
  <c r="P33" i="17" s="1"/>
  <c r="K26" i="17"/>
  <c r="P26" i="17" s="1"/>
  <c r="K87" i="17"/>
  <c r="P87" i="17" s="1"/>
  <c r="K76" i="17"/>
  <c r="K66" i="17"/>
  <c r="K86" i="17"/>
  <c r="K65" i="17"/>
  <c r="K99" i="17"/>
  <c r="P99" i="17" s="1"/>
  <c r="K77" i="17"/>
  <c r="P77" i="17" s="1"/>
  <c r="K57" i="17"/>
  <c r="P57" i="17" s="1"/>
  <c r="K109" i="17"/>
  <c r="P109" i="17" s="1"/>
  <c r="K56" i="17"/>
  <c r="K108" i="17"/>
  <c r="K98" i="17"/>
  <c r="K69" i="17"/>
  <c r="K67" i="17"/>
  <c r="K107" i="17"/>
  <c r="K70" i="17"/>
  <c r="K92" i="17"/>
  <c r="K104" i="17"/>
  <c r="K73" i="17"/>
  <c r="K110" i="17"/>
  <c r="K48" i="17"/>
  <c r="K111" i="17"/>
  <c r="K119" i="17"/>
  <c r="K89" i="17"/>
  <c r="K59" i="17"/>
  <c r="K127" i="17"/>
  <c r="K143" i="17"/>
  <c r="K54" i="17"/>
  <c r="K141" i="17"/>
  <c r="K72" i="17"/>
  <c r="K131" i="17"/>
  <c r="K102" i="17"/>
  <c r="K80" i="17"/>
  <c r="K117" i="17"/>
  <c r="K78" i="17"/>
  <c r="K84" i="17"/>
  <c r="K71" i="17"/>
  <c r="K94" i="17"/>
  <c r="K49" i="17"/>
  <c r="K128" i="17"/>
  <c r="K61" i="17"/>
  <c r="K106" i="17"/>
  <c r="K90" i="17"/>
  <c r="K93" i="17"/>
  <c r="K85" i="17"/>
  <c r="K97" i="17"/>
  <c r="K118" i="17"/>
  <c r="K112" i="17"/>
  <c r="K83" i="17"/>
  <c r="K53" i="17"/>
  <c r="K52" i="17"/>
  <c r="K81" i="17"/>
  <c r="K138" i="17"/>
  <c r="K144" i="17"/>
  <c r="K145" i="17"/>
  <c r="K146" i="17"/>
  <c r="K88" i="17"/>
  <c r="K121" i="17"/>
  <c r="K101" i="17"/>
  <c r="K133" i="17"/>
  <c r="K60" i="17"/>
  <c r="K136" i="17"/>
  <c r="K137" i="17"/>
  <c r="K75" i="17"/>
  <c r="K140" i="17"/>
  <c r="K51" i="17"/>
  <c r="K139" i="17"/>
  <c r="K114" i="17"/>
  <c r="K105" i="17"/>
  <c r="K116" i="17"/>
  <c r="K74" i="17"/>
  <c r="K142" i="17"/>
  <c r="K124" i="17"/>
  <c r="K58" i="17"/>
  <c r="K147" i="17"/>
  <c r="K64" i="17"/>
  <c r="K130" i="17"/>
  <c r="K50" i="17"/>
  <c r="K103" i="17"/>
  <c r="K135" i="17"/>
  <c r="K134" i="17"/>
  <c r="K79" i="17"/>
  <c r="K46" i="17"/>
  <c r="K95" i="17"/>
  <c r="K122" i="17"/>
  <c r="K126" i="17"/>
  <c r="K100" i="17"/>
  <c r="K68" i="17"/>
  <c r="K115" i="17"/>
  <c r="K96" i="17"/>
  <c r="K113" i="17"/>
  <c r="K55" i="17"/>
  <c r="K125" i="17"/>
  <c r="K129" i="17"/>
  <c r="K82" i="17"/>
  <c r="K47" i="17"/>
  <c r="K91" i="17"/>
  <c r="K120" i="17"/>
  <c r="K123" i="17"/>
  <c r="K132" i="17"/>
  <c r="J184" i="1"/>
  <c r="Q35" i="17"/>
  <c r="Q26" i="17"/>
  <c r="Q45" i="17"/>
  <c r="Q44" i="17"/>
  <c r="Q43" i="17"/>
  <c r="Q34" i="17"/>
  <c r="Q31" i="17"/>
  <c r="Q38" i="17"/>
  <c r="Q37" i="17"/>
  <c r="Q32" i="17"/>
  <c r="Q25" i="17"/>
  <c r="Q27" i="17"/>
  <c r="Q33" i="17"/>
  <c r="Q28" i="17"/>
  <c r="Q30" i="17"/>
  <c r="Q41" i="17"/>
  <c r="Q36" i="17"/>
  <c r="Q42" i="17"/>
  <c r="Q29" i="17"/>
  <c r="Q39" i="17"/>
  <c r="Q40" i="17"/>
  <c r="H19" i="17" l="1"/>
  <c r="I10" i="17"/>
  <c r="J10" i="17"/>
  <c r="M10" i="17"/>
  <c r="K8" i="17"/>
  <c r="K7" i="17"/>
  <c r="R39" i="17"/>
  <c r="I6" i="17"/>
  <c r="J6" i="17"/>
  <c r="K5" i="17"/>
  <c r="K3" i="17"/>
  <c r="R35" i="17"/>
  <c r="R37" i="17"/>
  <c r="R27" i="17"/>
  <c r="M6" i="17"/>
  <c r="R32" i="17"/>
  <c r="R43" i="17"/>
  <c r="R44" i="17"/>
  <c r="R30" i="17"/>
  <c r="R36" i="17"/>
  <c r="Q4" i="17"/>
  <c r="R42" i="17"/>
  <c r="R34" i="17"/>
  <c r="P4" i="17"/>
  <c r="R41" i="17"/>
  <c r="R25" i="17"/>
  <c r="R31" i="17"/>
  <c r="R38" i="17"/>
  <c r="R33" i="17"/>
  <c r="R40" i="17"/>
  <c r="R45" i="17"/>
  <c r="R29" i="17"/>
  <c r="P24" i="17"/>
  <c r="P3" i="17" s="1"/>
  <c r="K4" i="17"/>
  <c r="R26" i="17"/>
  <c r="R28" i="17"/>
  <c r="P78" i="17"/>
  <c r="P119" i="17"/>
  <c r="P96" i="17"/>
  <c r="P125" i="17"/>
  <c r="P115" i="17"/>
  <c r="P135" i="17"/>
  <c r="P103" i="17"/>
  <c r="P50" i="17"/>
  <c r="P146" i="17"/>
  <c r="P121" i="17"/>
  <c r="P118" i="17"/>
  <c r="P84" i="17"/>
  <c r="P140" i="17"/>
  <c r="P105" i="17"/>
  <c r="P114" i="17"/>
  <c r="P93" i="17"/>
  <c r="P74" i="17"/>
  <c r="P145" i="17"/>
  <c r="P79" i="17"/>
  <c r="P139" i="17"/>
  <c r="P97" i="17"/>
  <c r="P111" i="17"/>
  <c r="P88" i="17"/>
  <c r="P116" i="17"/>
  <c r="P134" i="17"/>
  <c r="P85" i="17"/>
  <c r="P48" i="17"/>
  <c r="P110" i="17"/>
  <c r="P51" i="17"/>
  <c r="P132" i="17"/>
  <c r="P55" i="17"/>
  <c r="P68" i="17"/>
  <c r="P113" i="17"/>
  <c r="Q132" i="17"/>
  <c r="Q113" i="17"/>
  <c r="Q119" i="17"/>
  <c r="Q116" i="17"/>
  <c r="Q135" i="17"/>
  <c r="Q121" i="17"/>
  <c r="Q79" i="17"/>
  <c r="Q84" i="17"/>
  <c r="Q68" i="17"/>
  <c r="Q97" i="17"/>
  <c r="Q85" i="17"/>
  <c r="Q24" i="17"/>
  <c r="Q88" i="17"/>
  <c r="Q51" i="17"/>
  <c r="Q118" i="17"/>
  <c r="Q125" i="17"/>
  <c r="Q139" i="17"/>
  <c r="Q74" i="17"/>
  <c r="Q87" i="17"/>
  <c r="M23" i="17"/>
  <c r="Q111" i="17"/>
  <c r="Q110" i="17"/>
  <c r="Q134" i="17"/>
  <c r="Q57" i="17"/>
  <c r="Q50" i="17"/>
  <c r="Q48" i="17"/>
  <c r="Q114" i="17"/>
  <c r="Q96" i="17"/>
  <c r="Q115" i="17"/>
  <c r="Q93" i="17"/>
  <c r="Q77" i="17"/>
  <c r="Q78" i="17"/>
  <c r="Q140" i="17"/>
  <c r="Q146" i="17"/>
  <c r="Q55" i="17"/>
  <c r="Q99" i="17"/>
  <c r="Q105" i="17"/>
  <c r="Q103" i="17"/>
  <c r="Q145" i="17"/>
  <c r="Q109" i="17"/>
  <c r="I19" i="17" l="1"/>
  <c r="K10" i="17"/>
  <c r="M19" i="17"/>
  <c r="M262" i="17" s="1"/>
  <c r="J19" i="17"/>
  <c r="K6" i="17"/>
  <c r="R4" i="17"/>
  <c r="Q3" i="17"/>
  <c r="R24" i="17"/>
  <c r="R3" i="17" s="1"/>
  <c r="P100" i="17"/>
  <c r="P70" i="17"/>
  <c r="P101" i="17"/>
  <c r="P72" i="17"/>
  <c r="P127" i="17"/>
  <c r="P128" i="17"/>
  <c r="P23" i="17"/>
  <c r="P67" i="17"/>
  <c r="P54" i="17"/>
  <c r="P95" i="17"/>
  <c r="P90" i="17"/>
  <c r="P120" i="17"/>
  <c r="P138" i="17"/>
  <c r="P52" i="17"/>
  <c r="P46" i="17"/>
  <c r="P75" i="17"/>
  <c r="P122" i="17"/>
  <c r="P61" i="17"/>
  <c r="P81" i="17"/>
  <c r="P80" i="17"/>
  <c r="P106" i="17"/>
  <c r="P131" i="17"/>
  <c r="P112" i="17"/>
  <c r="P83" i="17"/>
  <c r="P59" i="17"/>
  <c r="P142" i="17"/>
  <c r="P69" i="17"/>
  <c r="P94" i="17"/>
  <c r="P58" i="17"/>
  <c r="P123" i="17"/>
  <c r="P92" i="17"/>
  <c r="P126" i="17"/>
  <c r="P129" i="17"/>
  <c r="P89" i="17"/>
  <c r="P60" i="17"/>
  <c r="P76" i="17"/>
  <c r="P130" i="17"/>
  <c r="P66" i="17"/>
  <c r="P104" i="17"/>
  <c r="P137" i="17"/>
  <c r="P86" i="17"/>
  <c r="P82" i="17"/>
  <c r="P117" i="17"/>
  <c r="P98" i="17"/>
  <c r="P56" i="17"/>
  <c r="P102" i="17"/>
  <c r="P141" i="17"/>
  <c r="P108" i="17"/>
  <c r="P53" i="17"/>
  <c r="P124" i="17"/>
  <c r="P65" i="17"/>
  <c r="P49" i="17"/>
  <c r="P143" i="17"/>
  <c r="P47" i="17"/>
  <c r="P91" i="17"/>
  <c r="P144" i="17"/>
  <c r="P133" i="17"/>
  <c r="P73" i="17"/>
  <c r="P147" i="17"/>
  <c r="P71" i="17"/>
  <c r="P64" i="17"/>
  <c r="P136" i="17"/>
  <c r="P107" i="17"/>
  <c r="R74" i="17"/>
  <c r="R103" i="17"/>
  <c r="R132" i="17"/>
  <c r="R84" i="17"/>
  <c r="R134" i="17"/>
  <c r="R119" i="17"/>
  <c r="R125" i="17"/>
  <c r="R135" i="17"/>
  <c r="R139" i="17"/>
  <c r="R85" i="17"/>
  <c r="R145" i="17"/>
  <c r="R146" i="17"/>
  <c r="R50" i="17"/>
  <c r="R111" i="17"/>
  <c r="R118" i="17"/>
  <c r="R51" i="17"/>
  <c r="R105" i="17"/>
  <c r="R116" i="17"/>
  <c r="R68" i="17"/>
  <c r="R99" i="17"/>
  <c r="R87" i="17"/>
  <c r="R114" i="17"/>
  <c r="R79" i="17"/>
  <c r="R77" i="17"/>
  <c r="R121" i="17"/>
  <c r="R115" i="17"/>
  <c r="R78" i="17"/>
  <c r="R55" i="17"/>
  <c r="R48" i="17"/>
  <c r="R88" i="17"/>
  <c r="R57" i="17"/>
  <c r="R109" i="17"/>
  <c r="R96" i="17"/>
  <c r="R140" i="17"/>
  <c r="R110" i="17"/>
  <c r="R97" i="17"/>
  <c r="R93" i="17"/>
  <c r="R113" i="17"/>
  <c r="D34" i="4"/>
  <c r="E34" i="4" s="1"/>
  <c r="V453" i="14"/>
  <c r="V454" i="14"/>
  <c r="Q81" i="17"/>
  <c r="Q73" i="17"/>
  <c r="Q144" i="17"/>
  <c r="Q143" i="17"/>
  <c r="Q82" i="17"/>
  <c r="Q98" i="17"/>
  <c r="Q80" i="17"/>
  <c r="Q58" i="17"/>
  <c r="Q130" i="17"/>
  <c r="Q76" i="17"/>
  <c r="Q66" i="17"/>
  <c r="Q95" i="17"/>
  <c r="Q23" i="17"/>
  <c r="Q60" i="17"/>
  <c r="Q108" i="17"/>
  <c r="Q49" i="17"/>
  <c r="Q75" i="17"/>
  <c r="Q141" i="17"/>
  <c r="Q137" i="17"/>
  <c r="Q122" i="17"/>
  <c r="Q86" i="17"/>
  <c r="Q131" i="17"/>
  <c r="Q92" i="17"/>
  <c r="Q56" i="17"/>
  <c r="Q53" i="17"/>
  <c r="Q120" i="17"/>
  <c r="Q65" i="17"/>
  <c r="Q142" i="17"/>
  <c r="Q138" i="17"/>
  <c r="Q46" i="17"/>
  <c r="Q101" i="17"/>
  <c r="Q128" i="17"/>
  <c r="Q106" i="17"/>
  <c r="Q52" i="17"/>
  <c r="Q112" i="17"/>
  <c r="Q54" i="17"/>
  <c r="Q59" i="17"/>
  <c r="Q133" i="17"/>
  <c r="Q147" i="17"/>
  <c r="Q124" i="17"/>
  <c r="Q100" i="17"/>
  <c r="Q61" i="17"/>
  <c r="Q123" i="17"/>
  <c r="Q102" i="17"/>
  <c r="Q67" i="17"/>
  <c r="Q94" i="17"/>
  <c r="Q136" i="17"/>
  <c r="Q117" i="17"/>
  <c r="Q64" i="17"/>
  <c r="Q129" i="17"/>
  <c r="Q47" i="17"/>
  <c r="Q127" i="17"/>
  <c r="Q126" i="17"/>
  <c r="Q91" i="17"/>
  <c r="Q90" i="17"/>
  <c r="Q104" i="17"/>
  <c r="Q89" i="17"/>
  <c r="Q83" i="17"/>
  <c r="Q107" i="17"/>
  <c r="P8" i="17" l="1"/>
  <c r="K19" i="17"/>
  <c r="Q8" i="17"/>
  <c r="P7" i="17"/>
  <c r="Q7" i="17"/>
  <c r="P5" i="17"/>
  <c r="P6" i="17" s="1"/>
  <c r="Q5" i="17"/>
  <c r="R73" i="17"/>
  <c r="R127" i="17"/>
  <c r="R126" i="17"/>
  <c r="R136" i="17"/>
  <c r="R95" i="17"/>
  <c r="R130" i="17"/>
  <c r="R94" i="17"/>
  <c r="R91" i="17"/>
  <c r="R138" i="17"/>
  <c r="R69" i="17"/>
  <c r="R71" i="17"/>
  <c r="R52" i="17"/>
  <c r="R92" i="17"/>
  <c r="R102" i="17"/>
  <c r="R82" i="17"/>
  <c r="R80" i="17"/>
  <c r="R53" i="17"/>
  <c r="R137" i="17"/>
  <c r="R23" i="17"/>
  <c r="R101" i="17"/>
  <c r="R133" i="17"/>
  <c r="R122" i="17"/>
  <c r="R60" i="17"/>
  <c r="R66" i="17"/>
  <c r="R129" i="17"/>
  <c r="R90" i="17"/>
  <c r="R58" i="17"/>
  <c r="R147" i="17"/>
  <c r="R106" i="17"/>
  <c r="R143" i="17"/>
  <c r="R108" i="17"/>
  <c r="R67" i="17"/>
  <c r="R47" i="17"/>
  <c r="R128" i="17"/>
  <c r="R59" i="17"/>
  <c r="R98" i="17"/>
  <c r="R107" i="17"/>
  <c r="R144" i="17"/>
  <c r="R56" i="17"/>
  <c r="R54" i="17"/>
  <c r="R112" i="17"/>
  <c r="R81" i="17"/>
  <c r="R141" i="17"/>
  <c r="R89" i="17"/>
  <c r="R131" i="17"/>
  <c r="R61" i="17"/>
  <c r="R124" i="17"/>
  <c r="R117" i="17"/>
  <c r="R120" i="17"/>
  <c r="R76" i="17"/>
  <c r="R142" i="17"/>
  <c r="R65" i="17"/>
  <c r="R104" i="17"/>
  <c r="R123" i="17"/>
  <c r="R75" i="17"/>
  <c r="R64" i="17"/>
  <c r="R83" i="17"/>
  <c r="R46" i="17"/>
  <c r="R86" i="17"/>
  <c r="R100" i="17"/>
  <c r="R49" i="17"/>
  <c r="D111" i="4"/>
  <c r="D110" i="4" s="1"/>
  <c r="E110" i="4" s="1"/>
  <c r="Q72" i="17"/>
  <c r="Q70" i="17"/>
  <c r="P10" i="17" l="1"/>
  <c r="P19" i="17" s="1"/>
  <c r="R8" i="17"/>
  <c r="Q10" i="17"/>
  <c r="R7" i="17"/>
  <c r="R5" i="17"/>
  <c r="R6" i="17" s="1"/>
  <c r="Q6" i="17"/>
  <c r="R72" i="17"/>
  <c r="R70" i="17"/>
  <c r="V475" i="14"/>
  <c r="Q19" i="17" l="1"/>
  <c r="R10" i="17"/>
  <c r="R19" i="17" s="1"/>
  <c r="H34" i="2"/>
  <c r="C34" i="2"/>
  <c r="R262" i="17" l="1"/>
  <c r="J262" i="17" s="1"/>
  <c r="C90" i="2"/>
  <c r="C325" i="2" s="1"/>
  <c r="A325" i="2" s="1"/>
  <c r="A34" i="2"/>
  <c r="A58" i="2" s="1"/>
  <c r="A89" i="2" s="1"/>
  <c r="A111" i="2" s="1"/>
  <c r="A143" i="2" s="1"/>
  <c r="A173" i="2" s="1"/>
  <c r="A204" i="2" s="1"/>
  <c r="A226" i="2" s="1"/>
  <c r="A252" i="2" s="1"/>
  <c r="A276" i="2" s="1"/>
  <c r="A301" i="2" s="1"/>
  <c r="A323" i="2" s="1"/>
  <c r="H58" i="2"/>
  <c r="H90" i="2" s="1"/>
  <c r="H325" i="2" l="1"/>
  <c r="E7" i="3"/>
  <c r="E17" i="3" s="1"/>
  <c r="F7" i="3"/>
  <c r="G7" i="3" l="1"/>
  <c r="F17" i="3"/>
  <c r="G17" i="3" l="1"/>
  <c r="E12" i="4" l="1"/>
  <c r="V448" i="14" l="1"/>
  <c r="V72" i="14" l="1"/>
  <c r="V74" i="14"/>
  <c r="V70" i="14" l="1"/>
  <c r="X80" i="14"/>
  <c r="V80" i="14"/>
  <c r="V78" i="14"/>
  <c r="X78" i="14"/>
  <c r="V69" i="14"/>
  <c r="X69" i="14"/>
  <c r="X79" i="14"/>
  <c r="V79" i="14"/>
  <c r="V71" i="14"/>
  <c r="X77" i="14"/>
  <c r="V77" i="14"/>
  <c r="V76" i="14"/>
  <c r="X76" i="14"/>
  <c r="J30" i="14" l="1"/>
  <c r="G30" i="14" l="1"/>
  <c r="L30" i="14" s="1"/>
  <c r="H30" i="14"/>
  <c r="I30" i="14" s="1"/>
  <c r="T30" i="14" l="1"/>
  <c r="N30" i="14"/>
  <c r="A380" i="14"/>
  <c r="A200" i="14"/>
  <c r="A285" i="14"/>
  <c r="A192" i="14"/>
  <c r="A210" i="14"/>
  <c r="A158" i="14"/>
  <c r="A421" i="14"/>
  <c r="A467" i="14"/>
  <c r="A364" i="14"/>
  <c r="A445" i="14"/>
  <c r="A387" i="14"/>
  <c r="A413" i="14"/>
  <c r="A57" i="14"/>
  <c r="A450" i="14"/>
  <c r="A416" i="14"/>
  <c r="A286" i="14"/>
  <c r="X43" i="6"/>
  <c r="X72" i="6"/>
  <c r="W114" i="6"/>
  <c r="X18" i="6"/>
  <c r="X39" i="6"/>
  <c r="W18" i="6"/>
  <c r="W108" i="6"/>
  <c r="W102" i="6"/>
  <c r="X17" i="6"/>
  <c r="W45" i="6"/>
  <c r="W90" i="6"/>
  <c r="W111" i="6"/>
  <c r="X7" i="6"/>
  <c r="W60" i="6"/>
  <c r="X25" i="6"/>
  <c r="X16" i="6"/>
  <c r="A177" i="14"/>
  <c r="A46" i="14"/>
  <c r="A214" i="14"/>
  <c r="A419" i="14"/>
  <c r="A30" i="14"/>
  <c r="A234" i="14"/>
  <c r="A206" i="14"/>
  <c r="A351" i="14"/>
  <c r="A446" i="14"/>
  <c r="A284" i="14"/>
  <c r="A452" i="14"/>
  <c r="A181" i="14"/>
  <c r="A456" i="14"/>
  <c r="X54" i="6"/>
  <c r="W103" i="6"/>
  <c r="W28" i="6"/>
  <c r="X97" i="6"/>
  <c r="W117" i="6"/>
  <c r="X127" i="6"/>
  <c r="W122" i="6"/>
  <c r="X84" i="6"/>
  <c r="X137" i="6"/>
  <c r="X64" i="6"/>
  <c r="W30" i="6"/>
  <c r="X117" i="6"/>
  <c r="A278" i="14"/>
  <c r="A405" i="14"/>
  <c r="A470" i="14"/>
  <c r="A354" i="14"/>
  <c r="A365" i="14"/>
  <c r="A394" i="14"/>
  <c r="A207" i="14"/>
  <c r="A40" i="14"/>
  <c r="A183" i="14"/>
  <c r="A404" i="14"/>
  <c r="A459" i="14"/>
  <c r="A202" i="14"/>
  <c r="A389" i="14"/>
  <c r="W7" i="6"/>
  <c r="X114" i="6"/>
  <c r="X139" i="6"/>
  <c r="W5" i="6"/>
  <c r="X104" i="6"/>
  <c r="W76" i="6"/>
  <c r="X10" i="6"/>
  <c r="X30" i="6"/>
  <c r="W112" i="6"/>
  <c r="W6" i="6"/>
  <c r="X88" i="6"/>
  <c r="W22" i="6"/>
  <c r="W9" i="6"/>
  <c r="W82" i="6"/>
  <c r="W123" i="6"/>
  <c r="W40" i="6"/>
  <c r="W33" i="6"/>
  <c r="A230" i="14"/>
  <c r="A412" i="14"/>
  <c r="A352" i="14"/>
  <c r="A162" i="14"/>
  <c r="A390" i="14"/>
  <c r="A348" i="14"/>
  <c r="A54" i="14"/>
  <c r="A401" i="14"/>
  <c r="A477" i="14"/>
  <c r="A47" i="14"/>
  <c r="A168" i="14"/>
  <c r="A155" i="14"/>
  <c r="A279" i="14"/>
  <c r="A164" i="14"/>
  <c r="A372" i="14"/>
  <c r="A188" i="14"/>
  <c r="A388" i="14"/>
  <c r="A288" i="14"/>
  <c r="A443" i="14"/>
  <c r="A455" i="14"/>
  <c r="A197" i="14"/>
  <c r="A166" i="14"/>
  <c r="A216" i="14"/>
  <c r="A42" i="14"/>
  <c r="A31" i="14"/>
  <c r="A399" i="14"/>
  <c r="W41" i="6"/>
  <c r="X52" i="6"/>
  <c r="W109" i="6"/>
  <c r="X82" i="6"/>
  <c r="X86" i="6"/>
  <c r="W23" i="6"/>
  <c r="W57" i="6"/>
  <c r="W74" i="6"/>
  <c r="W25" i="6"/>
  <c r="W128" i="6"/>
  <c r="W35" i="6"/>
  <c r="X9" i="6"/>
  <c r="X107" i="6"/>
  <c r="X44" i="6"/>
  <c r="W69" i="6"/>
  <c r="A209" i="14"/>
  <c r="A463" i="14"/>
  <c r="A395" i="14"/>
  <c r="A406" i="14"/>
  <c r="A220" i="14"/>
  <c r="A191" i="14"/>
  <c r="A343" i="14"/>
  <c r="A485" i="14"/>
  <c r="A171" i="14"/>
  <c r="A393" i="14"/>
  <c r="A289" i="14"/>
  <c r="A180" i="14"/>
  <c r="A417" i="14"/>
  <c r="W131" i="6"/>
  <c r="X36" i="6"/>
  <c r="X28" i="6"/>
  <c r="X94" i="6"/>
  <c r="X133" i="6"/>
  <c r="W129" i="6"/>
  <c r="W42" i="6"/>
  <c r="X100" i="6"/>
  <c r="X89" i="6"/>
  <c r="X68" i="6"/>
  <c r="X130" i="6"/>
  <c r="W132" i="6"/>
  <c r="X81" i="6"/>
  <c r="A185" i="14"/>
  <c r="A483" i="14"/>
  <c r="A53" i="14"/>
  <c r="A292" i="14"/>
  <c r="A408" i="14"/>
  <c r="A420" i="14"/>
  <c r="A225" i="14"/>
  <c r="A201" i="14"/>
  <c r="A58" i="14"/>
  <c r="A231" i="14"/>
  <c r="A280" i="14"/>
  <c r="A383" i="14"/>
  <c r="X26" i="6"/>
  <c r="A379" i="14"/>
  <c r="A281" i="14"/>
  <c r="A436" i="14"/>
  <c r="A193" i="14"/>
  <c r="A156" i="14"/>
  <c r="A370" i="14"/>
  <c r="A422" i="14"/>
  <c r="A190" i="14"/>
  <c r="A194" i="14"/>
  <c r="A52" i="14"/>
  <c r="A173" i="14"/>
  <c r="A235" i="14"/>
  <c r="A480" i="14"/>
  <c r="A439" i="14"/>
  <c r="A273" i="14"/>
  <c r="A342" i="14"/>
  <c r="A291" i="14"/>
  <c r="X55" i="6"/>
  <c r="W94" i="6"/>
  <c r="W120" i="6"/>
  <c r="X87" i="6"/>
  <c r="W13" i="6"/>
  <c r="W75" i="6"/>
  <c r="W91" i="6"/>
  <c r="X8" i="6"/>
  <c r="W100" i="6"/>
  <c r="X123" i="6"/>
  <c r="W106" i="6"/>
  <c r="W56" i="6"/>
  <c r="X63" i="6"/>
  <c r="X58" i="6"/>
  <c r="X119" i="6"/>
  <c r="A213" i="14"/>
  <c r="A159" i="14"/>
  <c r="A32" i="14"/>
  <c r="A232" i="14"/>
  <c r="A50" i="14"/>
  <c r="A203" i="14"/>
  <c r="A212" i="14"/>
  <c r="A402" i="14"/>
  <c r="A363" i="14"/>
  <c r="A283" i="14"/>
  <c r="A451" i="14"/>
  <c r="A290" i="14"/>
  <c r="A344" i="14"/>
  <c r="X122" i="6"/>
  <c r="W47" i="6"/>
  <c r="X60" i="6"/>
  <c r="X14" i="6"/>
  <c r="W110" i="6"/>
  <c r="X91" i="6"/>
  <c r="X12" i="6"/>
  <c r="W79" i="6"/>
  <c r="X53" i="6"/>
  <c r="W21" i="6"/>
  <c r="X140" i="6"/>
  <c r="X50" i="6"/>
  <c r="W12" i="6"/>
  <c r="A217" i="14"/>
  <c r="A277" i="14"/>
  <c r="A160" i="14"/>
  <c r="A435" i="14"/>
  <c r="A161" i="14"/>
  <c r="A83" i="14"/>
  <c r="A447" i="14"/>
  <c r="A484" i="14"/>
  <c r="A440" i="14"/>
  <c r="A345" i="14"/>
  <c r="A165" i="14"/>
  <c r="A464" i="14"/>
  <c r="X115" i="6"/>
  <c r="W63" i="6"/>
  <c r="W34" i="6"/>
  <c r="X118" i="6"/>
  <c r="W92" i="6"/>
  <c r="X42" i="6"/>
  <c r="X48" i="6"/>
  <c r="W89" i="6"/>
  <c r="W64" i="6"/>
  <c r="W46" i="6"/>
  <c r="W86" i="6"/>
  <c r="X49" i="6"/>
  <c r="X40" i="6"/>
  <c r="X105" i="6"/>
  <c r="X22" i="6"/>
  <c r="W38" i="6"/>
  <c r="W124" i="6"/>
  <c r="A434" i="14"/>
  <c r="A223" i="14"/>
  <c r="A396" i="14"/>
  <c r="A474" i="14"/>
  <c r="A431" i="14"/>
  <c r="A426" i="14"/>
  <c r="A228" i="14"/>
  <c r="A444" i="14"/>
  <c r="A381" i="14"/>
  <c r="A373" i="14"/>
  <c r="A28" i="14"/>
  <c r="A189" i="14"/>
  <c r="A481" i="14"/>
  <c r="X76" i="6"/>
  <c r="W36" i="6"/>
  <c r="W14" i="6"/>
  <c r="X93" i="6"/>
  <c r="X33" i="6"/>
  <c r="W125" i="6"/>
  <c r="W119" i="6"/>
  <c r="X92" i="6"/>
  <c r="X78" i="6"/>
  <c r="W83" i="6"/>
  <c r="X111" i="6"/>
  <c r="X61" i="6"/>
  <c r="W37" i="6"/>
  <c r="A48" i="14"/>
  <c r="A271" i="14"/>
  <c r="A457" i="14"/>
  <c r="A392" i="14"/>
  <c r="A482" i="14"/>
  <c r="A479" i="14"/>
  <c r="A432" i="14"/>
  <c r="A174" i="14"/>
  <c r="A163" i="14"/>
  <c r="A24" i="14"/>
  <c r="A384" i="14"/>
  <c r="A35" i="14"/>
  <c r="X131" i="6"/>
  <c r="A275" i="14"/>
  <c r="A272" i="14"/>
  <c r="A427" i="14"/>
  <c r="A403" i="14"/>
  <c r="A211" i="14"/>
  <c r="A438" i="14"/>
  <c r="A449" i="14"/>
  <c r="A43" i="14"/>
  <c r="A270" i="14"/>
  <c r="A473" i="14"/>
  <c r="A237" i="14"/>
  <c r="A425" i="14"/>
  <c r="A469" i="14"/>
  <c r="A184" i="14"/>
  <c r="A262" i="14"/>
  <c r="A195" i="14"/>
  <c r="A236" i="14"/>
  <c r="X62" i="6"/>
  <c r="X138" i="6"/>
  <c r="X75" i="6"/>
  <c r="X74" i="6"/>
  <c r="X38" i="6"/>
  <c r="W66" i="6"/>
  <c r="W113" i="6"/>
  <c r="W48" i="6"/>
  <c r="X129" i="6"/>
  <c r="X79" i="6"/>
  <c r="X11" i="6"/>
  <c r="W88" i="6"/>
  <c r="X108" i="6"/>
  <c r="W107" i="6"/>
  <c r="X102" i="6"/>
  <c r="A386" i="14"/>
  <c r="A186" i="14"/>
  <c r="A170" i="14"/>
  <c r="A428" i="14"/>
  <c r="A287" i="14"/>
  <c r="A353" i="14"/>
  <c r="A23" i="14"/>
  <c r="A227" i="14"/>
  <c r="A215" i="14"/>
  <c r="A293" i="14"/>
  <c r="A349" i="14"/>
  <c r="A398" i="14"/>
  <c r="A462" i="14"/>
  <c r="W31" i="6"/>
  <c r="W16" i="6"/>
  <c r="W95" i="6"/>
  <c r="W72" i="6"/>
  <c r="X73" i="6"/>
  <c r="W98" i="6"/>
  <c r="W15" i="6"/>
  <c r="X32" i="6"/>
  <c r="W61" i="6"/>
  <c r="W26" i="6"/>
  <c r="W87" i="6"/>
  <c r="X83" i="6"/>
  <c r="W44" i="6"/>
  <c r="A357" i="14"/>
  <c r="A233" i="14"/>
  <c r="A458" i="14"/>
  <c r="A226" i="14"/>
  <c r="A442" i="14"/>
  <c r="A356" i="14"/>
  <c r="A175" i="14"/>
  <c r="A49" i="14"/>
  <c r="A36" i="14"/>
  <c r="A409" i="14"/>
  <c r="A414" i="14"/>
  <c r="A269" i="14"/>
  <c r="W54" i="6"/>
  <c r="W49" i="6"/>
  <c r="W59" i="6"/>
  <c r="X57" i="6"/>
  <c r="X21" i="6"/>
  <c r="X120" i="6"/>
  <c r="W139" i="6"/>
  <c r="W118" i="6"/>
  <c r="X110" i="6"/>
  <c r="W85" i="6"/>
  <c r="X98" i="6"/>
  <c r="W65" i="6"/>
  <c r="X80" i="6"/>
  <c r="X27" i="6"/>
  <c r="W99" i="6"/>
  <c r="W80" i="6"/>
  <c r="X23" i="6"/>
  <c r="A415" i="14"/>
  <c r="A176" i="14"/>
  <c r="A205" i="14"/>
  <c r="A179" i="14"/>
  <c r="A282" i="14"/>
  <c r="A33" i="14"/>
  <c r="A471" i="14"/>
  <c r="A198" i="14"/>
  <c r="A350" i="14"/>
  <c r="A169" i="14"/>
  <c r="A466" i="14"/>
  <c r="A167" i="14"/>
  <c r="X46" i="6"/>
  <c r="X20" i="6"/>
  <c r="W135" i="6"/>
  <c r="W50" i="6"/>
  <c r="W71" i="6"/>
  <c r="X103" i="6"/>
  <c r="X15" i="6"/>
  <c r="X37" i="6"/>
  <c r="X77" i="6"/>
  <c r="W58" i="6"/>
  <c r="X121" i="6"/>
  <c r="X71" i="6"/>
  <c r="X65" i="6"/>
  <c r="A418" i="14"/>
  <c r="A37" i="14"/>
  <c r="A39" i="14"/>
  <c r="A45" i="14"/>
  <c r="A51" i="14"/>
  <c r="A182" i="14"/>
  <c r="A371" i="14"/>
  <c r="A397" i="14"/>
  <c r="A346" i="14"/>
  <c r="A178" i="14"/>
  <c r="A196" i="14"/>
  <c r="A187" i="14"/>
  <c r="A424" i="14"/>
  <c r="X70" i="6"/>
  <c r="W115" i="6"/>
  <c r="W27" i="6"/>
  <c r="W39" i="6"/>
  <c r="X95" i="6"/>
  <c r="W20" i="6"/>
  <c r="A172" i="14"/>
  <c r="A382" i="14"/>
  <c r="A276" i="14"/>
  <c r="A38" i="14"/>
  <c r="W11" i="6"/>
  <c r="X101" i="6"/>
  <c r="W101" i="6"/>
  <c r="W134" i="6"/>
  <c r="X29" i="6"/>
  <c r="X41" i="6"/>
  <c r="A221" i="14"/>
  <c r="A250" i="14"/>
  <c r="A274" i="14"/>
  <c r="A208" i="14"/>
  <c r="A472" i="14"/>
  <c r="A429" i="14"/>
  <c r="W104" i="6"/>
  <c r="W133" i="6"/>
  <c r="X116" i="6"/>
  <c r="W130" i="6"/>
  <c r="X126" i="6"/>
  <c r="W97" i="6"/>
  <c r="X106" i="6"/>
  <c r="X136" i="6"/>
  <c r="X35" i="6"/>
  <c r="X134" i="6"/>
  <c r="W29" i="6"/>
  <c r="W62" i="6"/>
  <c r="A465" i="14"/>
  <c r="X45" i="6"/>
  <c r="X112" i="6"/>
  <c r="W73" i="6"/>
  <c r="A355" i="14"/>
  <c r="A391" i="14"/>
  <c r="X34" i="6"/>
  <c r="W8" i="6"/>
  <c r="X47" i="6"/>
  <c r="X96" i="6"/>
  <c r="X69" i="6"/>
  <c r="X135" i="6"/>
  <c r="A460" i="14"/>
  <c r="A218" i="14"/>
  <c r="A410" i="14"/>
  <c r="A41" i="14"/>
  <c r="X5" i="6"/>
  <c r="X124" i="6"/>
  <c r="W32" i="6"/>
  <c r="X66" i="6"/>
  <c r="X67" i="6"/>
  <c r="X59" i="6"/>
  <c r="A44" i="14"/>
  <c r="A229" i="14"/>
  <c r="A199" i="14"/>
  <c r="A263" i="14"/>
  <c r="A407" i="14"/>
  <c r="A437" i="14"/>
  <c r="W81" i="6"/>
  <c r="W96" i="6"/>
  <c r="W136" i="6"/>
  <c r="W52" i="6"/>
  <c r="X113" i="6"/>
  <c r="W70" i="6"/>
  <c r="A430" i="14"/>
  <c r="W55" i="6"/>
  <c r="X6" i="6"/>
  <c r="A487" i="14"/>
  <c r="A251" i="14"/>
  <c r="X24" i="6"/>
  <c r="W137" i="6"/>
  <c r="W105" i="6"/>
  <c r="W121" i="6"/>
  <c r="W24" i="6"/>
  <c r="W138" i="6"/>
  <c r="X132" i="6"/>
  <c r="X99" i="6"/>
  <c r="W53" i="6"/>
  <c r="A56" i="14"/>
  <c r="A204" i="14"/>
  <c r="A411" i="14"/>
  <c r="X31" i="6"/>
  <c r="X56" i="6"/>
  <c r="X90" i="6"/>
  <c r="W84" i="6"/>
  <c r="X109" i="6"/>
  <c r="W67" i="6"/>
  <c r="X125" i="6"/>
  <c r="A486" i="14"/>
  <c r="A222" i="14"/>
  <c r="A224" i="14"/>
  <c r="A347" i="14"/>
  <c r="A219" i="14"/>
  <c r="A157" i="14"/>
  <c r="X13" i="6"/>
  <c r="W78" i="6"/>
  <c r="X128" i="6"/>
  <c r="W77" i="6"/>
  <c r="W127" i="6"/>
  <c r="X85" i="6"/>
  <c r="W126" i="6"/>
  <c r="W68" i="6"/>
  <c r="W43" i="6"/>
  <c r="W93" i="6"/>
  <c r="W17" i="6"/>
  <c r="A400" i="14"/>
  <c r="W140" i="6"/>
  <c r="W116" i="6"/>
  <c r="A385" i="14"/>
  <c r="A441" i="14"/>
  <c r="A97" i="14"/>
  <c r="A89" i="14"/>
  <c r="M30" i="14"/>
  <c r="A132" i="14"/>
  <c r="A86" i="14"/>
  <c r="A126" i="14"/>
  <c r="A100" i="14"/>
  <c r="A110" i="14"/>
  <c r="A106" i="14"/>
  <c r="A127" i="14"/>
  <c r="A99" i="14"/>
  <c r="A84" i="14"/>
  <c r="A108" i="14"/>
  <c r="A61" i="14"/>
  <c r="A139" i="14"/>
  <c r="A135" i="14"/>
  <c r="A55" i="14"/>
  <c r="A91" i="14"/>
  <c r="A107" i="14"/>
  <c r="A105" i="14"/>
  <c r="A66" i="14"/>
  <c r="A93" i="14"/>
  <c r="A120" i="14"/>
  <c r="A62" i="14"/>
  <c r="A92" i="14"/>
  <c r="A140" i="14"/>
  <c r="A129" i="14"/>
  <c r="A142" i="14"/>
  <c r="A133" i="14"/>
  <c r="A122" i="14"/>
  <c r="A102" i="14"/>
  <c r="A116" i="14"/>
  <c r="A131" i="14"/>
  <c r="A63" i="14"/>
  <c r="A150" i="14"/>
  <c r="A101" i="14"/>
  <c r="A118" i="14"/>
  <c r="A96" i="14"/>
  <c r="A121" i="14"/>
  <c r="A85" i="14"/>
  <c r="A124" i="14"/>
  <c r="A82" i="14"/>
  <c r="A112" i="14"/>
  <c r="A94" i="14"/>
  <c r="A137" i="14"/>
  <c r="A151" i="14"/>
  <c r="A134" i="14"/>
  <c r="A64" i="14"/>
  <c r="A59" i="14"/>
  <c r="A67" i="14"/>
  <c r="A68" i="14"/>
  <c r="A125" i="14"/>
  <c r="A144" i="14"/>
  <c r="A148" i="14"/>
  <c r="A130" i="14"/>
  <c r="A81" i="14"/>
  <c r="A128" i="14"/>
  <c r="A149" i="14"/>
  <c r="A115" i="14"/>
  <c r="A95" i="14"/>
  <c r="A146" i="14"/>
  <c r="A138" i="14"/>
  <c r="A111" i="14"/>
  <c r="A98" i="14"/>
  <c r="A136" i="14"/>
  <c r="A109" i="14"/>
  <c r="A117" i="14"/>
  <c r="A119" i="14"/>
  <c r="A114" i="14"/>
  <c r="A90" i="14"/>
  <c r="A87" i="14"/>
  <c r="A123" i="14"/>
  <c r="A141" i="14"/>
  <c r="A65" i="14"/>
  <c r="A104" i="14"/>
  <c r="A113" i="14"/>
  <c r="A103" i="14"/>
  <c r="A145" i="14"/>
  <c r="A143" i="14"/>
  <c r="A60" i="14"/>
  <c r="A88" i="14"/>
  <c r="A147" i="14"/>
  <c r="V431" i="14" l="1"/>
  <c r="V372" i="14"/>
  <c r="V479" i="14"/>
  <c r="V106" i="14"/>
  <c r="V384" i="14"/>
  <c r="V41" i="14"/>
  <c r="V149" i="14"/>
  <c r="X149" i="14"/>
  <c r="V97" i="14"/>
  <c r="X125" i="14"/>
  <c r="V125" i="14"/>
  <c r="V407" i="14"/>
  <c r="X55" i="14"/>
  <c r="V55" i="14"/>
  <c r="V383" i="14"/>
  <c r="V419" i="14"/>
  <c r="V444" i="14"/>
  <c r="V54" i="14"/>
  <c r="V118" i="14"/>
  <c r="X118" i="14"/>
  <c r="V35" i="14"/>
  <c r="V83" i="14"/>
  <c r="V31" i="14"/>
  <c r="X112" i="14"/>
  <c r="V112" i="14"/>
  <c r="V107" i="14"/>
  <c r="V382" i="14"/>
  <c r="V116" i="14"/>
  <c r="V458" i="14"/>
  <c r="O30" i="14"/>
  <c r="Q30" i="14" s="1"/>
  <c r="V38" i="14"/>
  <c r="X38" i="14"/>
  <c r="X143" i="14"/>
  <c r="V143" i="14"/>
  <c r="X67" i="14"/>
  <c r="V67" i="14"/>
  <c r="V85" i="14"/>
  <c r="V473" i="14"/>
  <c r="X60" i="14"/>
  <c r="V60" i="14"/>
  <c r="V51" i="14"/>
  <c r="V388" i="14"/>
  <c r="V62" i="14"/>
  <c r="V115" i="14"/>
  <c r="V95" i="14"/>
  <c r="V467" i="14"/>
  <c r="V381" i="14"/>
  <c r="X56" i="14"/>
  <c r="V56" i="14"/>
  <c r="V420" i="14"/>
  <c r="V86" i="14"/>
  <c r="X86" i="14"/>
  <c r="V114" i="14"/>
  <c r="V391" i="14"/>
  <c r="X101" i="14"/>
  <c r="V101" i="14"/>
  <c r="V398" i="14"/>
  <c r="V148" i="14"/>
  <c r="X148" i="14"/>
  <c r="X98" i="14"/>
  <c r="V98" i="14"/>
  <c r="V135" i="14"/>
  <c r="X135" i="14"/>
  <c r="V425" i="14"/>
  <c r="V94" i="14"/>
  <c r="X131" i="14"/>
  <c r="V131" i="14"/>
  <c r="V456" i="14"/>
  <c r="X110" i="14"/>
  <c r="V110" i="14"/>
  <c r="V436" i="14"/>
  <c r="V363" i="14"/>
  <c r="X126" i="14"/>
  <c r="V126" i="14"/>
  <c r="X28" i="14"/>
  <c r="V28" i="14"/>
  <c r="V63" i="14"/>
  <c r="V43" i="14"/>
  <c r="V370" i="14"/>
  <c r="V89" i="14"/>
  <c r="X89" i="14"/>
  <c r="V486" i="14"/>
  <c r="V100" i="14"/>
  <c r="X100" i="14"/>
  <c r="V386" i="14"/>
  <c r="V437" i="14"/>
  <c r="X99" i="14"/>
  <c r="V99" i="14"/>
  <c r="V392" i="14"/>
  <c r="V401" i="14"/>
  <c r="V411" i="14"/>
  <c r="V96" i="14"/>
  <c r="V400" i="14"/>
  <c r="V50" i="14"/>
  <c r="V42" i="14"/>
  <c r="V46" i="14"/>
  <c r="X140" i="14"/>
  <c r="V140" i="14"/>
  <c r="V441" i="14"/>
  <c r="V404" i="14"/>
  <c r="X120" i="14"/>
  <c r="V120" i="14"/>
  <c r="V127" i="14"/>
  <c r="X127" i="14"/>
  <c r="V435" i="14"/>
  <c r="V452" i="14"/>
  <c r="V138" i="14"/>
  <c r="X138" i="14"/>
  <c r="V109" i="14"/>
  <c r="X109" i="14"/>
  <c r="S9" i="13"/>
  <c r="E17" i="13"/>
  <c r="T7" i="13"/>
  <c r="S11" i="13"/>
  <c r="Q7" i="13"/>
  <c r="I13" i="13"/>
  <c r="L11" i="13"/>
  <c r="J7" i="13"/>
  <c r="H9" i="13"/>
  <c r="O8" i="13"/>
  <c r="M12" i="13"/>
  <c r="P8" i="13"/>
  <c r="K8" i="13"/>
  <c r="E12" i="13"/>
  <c r="K5" i="13"/>
  <c r="I11" i="13"/>
  <c r="M11" i="13"/>
  <c r="S8" i="13"/>
  <c r="O13" i="13"/>
  <c r="E11" i="13"/>
  <c r="P4" i="13"/>
  <c r="M16" i="13"/>
  <c r="N8" i="13"/>
  <c r="S7" i="13"/>
  <c r="F13" i="13"/>
  <c r="K17" i="13"/>
  <c r="E15" i="13"/>
  <c r="L16" i="13"/>
  <c r="E9" i="13"/>
  <c r="L9" i="13"/>
  <c r="P13" i="13"/>
  <c r="H16" i="13"/>
  <c r="L15" i="13"/>
  <c r="I17" i="13"/>
  <c r="R11" i="13"/>
  <c r="L7" i="13"/>
  <c r="P5" i="13"/>
  <c r="F8" i="13"/>
  <c r="K16" i="13"/>
  <c r="K7" i="13"/>
  <c r="H7" i="13"/>
  <c r="T11" i="13"/>
  <c r="S17" i="13"/>
  <c r="J16" i="13"/>
  <c r="T17" i="13"/>
  <c r="H13" i="13"/>
  <c r="Q15" i="13"/>
  <c r="O15" i="13"/>
  <c r="N9" i="13"/>
  <c r="H12" i="13"/>
  <c r="N11" i="13"/>
  <c r="E13" i="13"/>
  <c r="M8" i="13"/>
  <c r="F11" i="13"/>
  <c r="T15" i="13"/>
  <c r="F5" i="13"/>
  <c r="E7" i="13"/>
  <c r="T8" i="13"/>
  <c r="F4" i="13"/>
  <c r="S16" i="13"/>
  <c r="I15" i="13"/>
  <c r="K9" i="13"/>
  <c r="L12" i="13"/>
  <c r="F17" i="13"/>
  <c r="N16" i="13"/>
  <c r="T9" i="13"/>
  <c r="R9" i="13"/>
  <c r="I10" i="3" s="1"/>
  <c r="M10" i="3" s="1"/>
  <c r="Q10" i="3" s="1"/>
  <c r="P11" i="13"/>
  <c r="F15" i="13"/>
  <c r="L17" i="13"/>
  <c r="J13" i="13"/>
  <c r="P9" i="13"/>
  <c r="Q12" i="13"/>
  <c r="H12" i="3" s="1"/>
  <c r="M7" i="13"/>
  <c r="O17" i="13"/>
  <c r="T12" i="13"/>
  <c r="K3" i="13"/>
  <c r="O12" i="13"/>
  <c r="X24" i="14"/>
  <c r="E8" i="13"/>
  <c r="S15" i="13"/>
  <c r="F9" i="13"/>
  <c r="N7" i="13"/>
  <c r="J12" i="13"/>
  <c r="H8" i="13"/>
  <c r="N17" i="13"/>
  <c r="K15" i="13"/>
  <c r="P7" i="13"/>
  <c r="I16" i="13"/>
  <c r="S13" i="13"/>
  <c r="Q17" i="13"/>
  <c r="H16" i="3" s="1"/>
  <c r="I9" i="13"/>
  <c r="K13" i="13"/>
  <c r="Q11" i="13"/>
  <c r="M9" i="13"/>
  <c r="F7" i="13"/>
  <c r="N13" i="13"/>
  <c r="R15" i="13"/>
  <c r="L8" i="13"/>
  <c r="I8" i="13"/>
  <c r="V24" i="14"/>
  <c r="O9" i="13"/>
  <c r="P16" i="13"/>
  <c r="Q13" i="13"/>
  <c r="H13" i="3" s="1"/>
  <c r="F16" i="13"/>
  <c r="T16" i="13"/>
  <c r="S12" i="13"/>
  <c r="J11" i="13"/>
  <c r="M15" i="13"/>
  <c r="J17" i="13"/>
  <c r="Q9" i="13"/>
  <c r="H10" i="3" s="1"/>
  <c r="O16" i="13"/>
  <c r="K11" i="13"/>
  <c r="J9" i="13"/>
  <c r="N12" i="13"/>
  <c r="I12" i="13"/>
  <c r="K12" i="13"/>
  <c r="F12" i="13"/>
  <c r="R13" i="13"/>
  <c r="I13" i="3" s="1"/>
  <c r="M13" i="3" s="1"/>
  <c r="Q13" i="3" s="1"/>
  <c r="Q8" i="13"/>
  <c r="H9" i="3" s="1"/>
  <c r="H11" i="13"/>
  <c r="R7" i="13"/>
  <c r="E16" i="13"/>
  <c r="K4" i="13"/>
  <c r="P12" i="13"/>
  <c r="T13" i="13"/>
  <c r="P15" i="13"/>
  <c r="M17" i="13"/>
  <c r="R17" i="13"/>
  <c r="I16" i="3" s="1"/>
  <c r="M16" i="3" s="1"/>
  <c r="Q16" i="3" s="1"/>
  <c r="P17" i="13"/>
  <c r="Q16" i="13"/>
  <c r="H15" i="3" s="1"/>
  <c r="J8" i="13"/>
  <c r="L13" i="13"/>
  <c r="O11" i="13"/>
  <c r="R16" i="13"/>
  <c r="I15" i="3" s="1"/>
  <c r="M15" i="3" s="1"/>
  <c r="Q15" i="3" s="1"/>
  <c r="N15" i="13"/>
  <c r="M13" i="13"/>
  <c r="O7" i="13"/>
  <c r="H15" i="13"/>
  <c r="F3" i="13"/>
  <c r="J15" i="13"/>
  <c r="H17" i="13"/>
  <c r="P3" i="13"/>
  <c r="R8" i="13"/>
  <c r="I9" i="3" s="1"/>
  <c r="M9" i="3" s="1"/>
  <c r="Q9" i="3" s="1"/>
  <c r="R12" i="13"/>
  <c r="I12" i="3" s="1"/>
  <c r="M12" i="3" s="1"/>
  <c r="Q12" i="3" s="1"/>
  <c r="I7" i="13"/>
  <c r="V410" i="14"/>
  <c r="V409" i="14"/>
  <c r="V394" i="14"/>
  <c r="X147" i="14"/>
  <c r="V147" i="14"/>
  <c r="V472" i="14"/>
  <c r="X47" i="14"/>
  <c r="V47" i="14"/>
  <c r="V39" i="14"/>
  <c r="X39" i="14"/>
  <c r="X57" i="14"/>
  <c r="V57" i="14"/>
  <c r="V49" i="14"/>
  <c r="V122" i="14"/>
  <c r="X122" i="14"/>
  <c r="V371" i="14"/>
  <c r="X137" i="14"/>
  <c r="V137" i="14"/>
  <c r="X124" i="14"/>
  <c r="V124" i="14"/>
  <c r="V442" i="14"/>
  <c r="X68" i="14"/>
  <c r="V68" i="14"/>
  <c r="X103" i="14"/>
  <c r="V103" i="14"/>
  <c r="X66" i="14"/>
  <c r="V66" i="14"/>
  <c r="V438" i="14"/>
  <c r="V426" i="14"/>
  <c r="V428" i="14"/>
  <c r="V53" i="14"/>
  <c r="V439" i="14"/>
  <c r="V460" i="14"/>
  <c r="V82" i="14"/>
  <c r="V111" i="14"/>
  <c r="X111" i="14"/>
  <c r="V395" i="14"/>
  <c r="V93" i="14"/>
  <c r="V65" i="14"/>
  <c r="X65" i="14"/>
  <c r="V457" i="14"/>
  <c r="V412" i="14"/>
  <c r="V30" i="14"/>
  <c r="V128" i="14"/>
  <c r="X128" i="14"/>
  <c r="V379" i="14"/>
  <c r="V466" i="14"/>
  <c r="X121" i="14"/>
  <c r="V121" i="14"/>
  <c r="X37" i="14"/>
  <c r="V37" i="14"/>
  <c r="V123" i="14"/>
  <c r="X123" i="14"/>
  <c r="V84" i="14"/>
  <c r="V87" i="14"/>
  <c r="X87" i="14"/>
  <c r="V33" i="14"/>
  <c r="V403" i="14"/>
  <c r="V451" i="14"/>
  <c r="V90" i="14"/>
  <c r="X90" i="14"/>
  <c r="V130" i="14"/>
  <c r="X130" i="14"/>
  <c r="V129" i="14"/>
  <c r="X129" i="14"/>
  <c r="X133" i="14"/>
  <c r="V133" i="14"/>
  <c r="V459" i="14"/>
  <c r="V406" i="14"/>
  <c r="V481" i="14"/>
  <c r="V396" i="14"/>
  <c r="V364" i="14"/>
  <c r="V48" i="14"/>
  <c r="X48" i="14"/>
  <c r="V455" i="14"/>
  <c r="V45" i="14"/>
  <c r="V408" i="14"/>
  <c r="V484" i="14"/>
  <c r="V44" i="14"/>
  <c r="X145" i="14"/>
  <c r="V145" i="14"/>
  <c r="V483" i="14"/>
  <c r="V36" i="14"/>
  <c r="X36" i="14"/>
  <c r="V440" i="14"/>
  <c r="V474" i="14"/>
  <c r="V432" i="14"/>
  <c r="V402" i="14"/>
  <c r="V92" i="14"/>
  <c r="V61" i="14"/>
  <c r="V446" i="14"/>
  <c r="V485" i="14"/>
  <c r="V465" i="14"/>
  <c r="X88" i="14"/>
  <c r="V88" i="14"/>
  <c r="V422" i="14"/>
  <c r="V393" i="14"/>
  <c r="V477" i="14"/>
  <c r="V480" i="14"/>
  <c r="X141" i="14"/>
  <c r="V141" i="14"/>
  <c r="V91" i="14"/>
  <c r="X91" i="14"/>
  <c r="V421" i="14"/>
  <c r="V415" i="14"/>
  <c r="V385" i="14"/>
  <c r="V418" i="14"/>
  <c r="X23" i="14"/>
  <c r="V23" i="14"/>
  <c r="V416" i="14"/>
  <c r="V427" i="14"/>
  <c r="V373" i="14"/>
  <c r="V380" i="14"/>
  <c r="V150" i="14"/>
  <c r="X150" i="14"/>
  <c r="V414" i="14"/>
  <c r="X58" i="14"/>
  <c r="V58" i="14"/>
  <c r="V450" i="14"/>
  <c r="V389" i="14"/>
  <c r="V464" i="14"/>
  <c r="V387" i="14"/>
  <c r="V487" i="14"/>
  <c r="V59" i="14"/>
  <c r="X59" i="14"/>
  <c r="X144" i="14"/>
  <c r="V144" i="14"/>
  <c r="V413" i="14"/>
  <c r="V482" i="14"/>
  <c r="V64" i="14"/>
  <c r="V390" i="14"/>
  <c r="V449" i="14"/>
  <c r="V136" i="14"/>
  <c r="X136" i="14"/>
  <c r="V117" i="14"/>
  <c r="V443" i="14"/>
  <c r="V52" i="14"/>
  <c r="X146" i="14"/>
  <c r="V146" i="14"/>
  <c r="V105" i="14"/>
  <c r="V40" i="14"/>
  <c r="X40" i="14"/>
  <c r="V365" i="14"/>
  <c r="V32" i="14"/>
  <c r="V445" i="14"/>
  <c r="V470" i="14"/>
  <c r="V139" i="14"/>
  <c r="X139" i="14"/>
  <c r="V102" i="14"/>
  <c r="X102" i="14"/>
  <c r="V430" i="14"/>
  <c r="V429" i="14"/>
  <c r="V424" i="14"/>
  <c r="V108" i="14"/>
  <c r="X108" i="14"/>
  <c r="V399" i="14"/>
  <c r="V405" i="14"/>
  <c r="X113" i="14"/>
  <c r="V113" i="14"/>
  <c r="V434" i="14"/>
  <c r="V397" i="14"/>
  <c r="V417" i="14"/>
  <c r="X134" i="14"/>
  <c r="V134" i="14"/>
  <c r="V463" i="14"/>
  <c r="V469" i="14"/>
  <c r="V471" i="14"/>
  <c r="V142" i="14"/>
  <c r="X142" i="14"/>
  <c r="X119" i="14"/>
  <c r="V119" i="14"/>
  <c r="V462" i="14"/>
  <c r="X81" i="14"/>
  <c r="V81" i="14"/>
  <c r="X132" i="14"/>
  <c r="V132" i="14"/>
  <c r="V104" i="14"/>
  <c r="V447" i="14"/>
  <c r="R30" i="14"/>
  <c r="P10" i="13" l="1"/>
  <c r="P6" i="13"/>
  <c r="E139" i="14"/>
  <c r="H139" i="14" s="1"/>
  <c r="I139" i="14" s="1"/>
  <c r="I10" i="13"/>
  <c r="O14" i="13"/>
  <c r="F6" i="13"/>
  <c r="J14" i="13"/>
  <c r="T14" i="13"/>
  <c r="O10" i="13"/>
  <c r="E81" i="14"/>
  <c r="G81" i="14" s="1"/>
  <c r="E142" i="14"/>
  <c r="G142" i="14" s="1"/>
  <c r="S18" i="13"/>
  <c r="J18" i="13"/>
  <c r="H14" i="13"/>
  <c r="M18" i="13"/>
  <c r="K18" i="13"/>
  <c r="S30" i="14"/>
  <c r="L18" i="13"/>
  <c r="E10" i="13"/>
  <c r="M14" i="13"/>
  <c r="K10" i="13"/>
  <c r="H10" i="13"/>
  <c r="Q10" i="13"/>
  <c r="H8" i="3"/>
  <c r="E99" i="14"/>
  <c r="E28" i="14"/>
  <c r="E135" i="14"/>
  <c r="E148" i="14"/>
  <c r="E101" i="14"/>
  <c r="E60" i="14"/>
  <c r="E67" i="14"/>
  <c r="E112" i="14"/>
  <c r="E118" i="14"/>
  <c r="E149" i="14"/>
  <c r="E141" i="14"/>
  <c r="E145" i="14"/>
  <c r="E87" i="14"/>
  <c r="E111" i="14"/>
  <c r="E103" i="14"/>
  <c r="E147" i="14"/>
  <c r="E132" i="14"/>
  <c r="E134" i="14"/>
  <c r="E108" i="14"/>
  <c r="E150" i="14"/>
  <c r="E91" i="14"/>
  <c r="E7" i="14"/>
  <c r="E130" i="14"/>
  <c r="E124" i="14"/>
  <c r="E122" i="14"/>
  <c r="E57" i="14"/>
  <c r="E47" i="14"/>
  <c r="N18" i="13"/>
  <c r="F10" i="13"/>
  <c r="P14" i="13"/>
  <c r="O18" i="13"/>
  <c r="L10" i="13"/>
  <c r="S10" i="13"/>
  <c r="E14" i="13"/>
  <c r="I14" i="13"/>
  <c r="J10" i="13"/>
  <c r="S14" i="13"/>
  <c r="E109" i="14"/>
  <c r="E131" i="14"/>
  <c r="E23" i="14"/>
  <c r="E36" i="14"/>
  <c r="E121" i="14"/>
  <c r="E65" i="14"/>
  <c r="E83" i="14"/>
  <c r="K14" i="13"/>
  <c r="K6" i="13"/>
  <c r="F18" i="13"/>
  <c r="E119" i="14"/>
  <c r="E113" i="14"/>
  <c r="E102" i="14"/>
  <c r="E40" i="14"/>
  <c r="E146" i="14"/>
  <c r="E136" i="14"/>
  <c r="E144" i="14"/>
  <c r="J8" i="14"/>
  <c r="E88" i="14"/>
  <c r="E48" i="14"/>
  <c r="E133" i="14"/>
  <c r="E37" i="14"/>
  <c r="E66" i="14"/>
  <c r="E68" i="14"/>
  <c r="E39" i="14"/>
  <c r="H18" i="13"/>
  <c r="P18" i="13"/>
  <c r="N14" i="13"/>
  <c r="N10" i="13"/>
  <c r="E24" i="14"/>
  <c r="T18" i="13"/>
  <c r="H14" i="3"/>
  <c r="Q18" i="13"/>
  <c r="R14" i="13"/>
  <c r="I11" i="3"/>
  <c r="M11" i="3" s="1"/>
  <c r="Q11" i="3" s="1"/>
  <c r="E18" i="13"/>
  <c r="L14" i="13"/>
  <c r="T10" i="13"/>
  <c r="E120" i="14"/>
  <c r="E140" i="14"/>
  <c r="E89" i="14"/>
  <c r="E126" i="14"/>
  <c r="E110" i="14"/>
  <c r="E143" i="14"/>
  <c r="E125" i="14"/>
  <c r="E59" i="14"/>
  <c r="E58" i="14"/>
  <c r="L17" i="14"/>
  <c r="N13" i="14"/>
  <c r="K15" i="14"/>
  <c r="H9" i="14"/>
  <c r="P13" i="14"/>
  <c r="K3" i="14"/>
  <c r="J15" i="14"/>
  <c r="H11" i="14"/>
  <c r="H16" i="14"/>
  <c r="E16" i="14"/>
  <c r="K8" i="14"/>
  <c r="T16" i="14"/>
  <c r="H13" i="14"/>
  <c r="L9" i="14"/>
  <c r="M16" i="14"/>
  <c r="O13" i="14"/>
  <c r="J13" i="14"/>
  <c r="E15" i="14"/>
  <c r="J16" i="14"/>
  <c r="M15" i="14"/>
  <c r="N17" i="14"/>
  <c r="T12" i="14"/>
  <c r="H8" i="14"/>
  <c r="O11" i="14"/>
  <c r="E9" i="14"/>
  <c r="M7" i="14"/>
  <c r="I8" i="14"/>
  <c r="M17" i="14"/>
  <c r="P4" i="14"/>
  <c r="K11" i="14"/>
  <c r="E13" i="14"/>
  <c r="I15" i="14"/>
  <c r="N9" i="14"/>
  <c r="T17" i="14"/>
  <c r="P9" i="14"/>
  <c r="P16" i="14"/>
  <c r="M9" i="14"/>
  <c r="E8" i="14"/>
  <c r="K5" i="14"/>
  <c r="K9" i="14"/>
  <c r="T11" i="14"/>
  <c r="J12" i="14"/>
  <c r="M11" i="14"/>
  <c r="I13" i="14"/>
  <c r="K13" i="14"/>
  <c r="P3" i="14"/>
  <c r="O8" i="14"/>
  <c r="L13" i="14"/>
  <c r="N11" i="14"/>
  <c r="I7" i="14"/>
  <c r="N16" i="14"/>
  <c r="K12" i="14"/>
  <c r="I17" i="14"/>
  <c r="M13" i="14"/>
  <c r="J9" i="14"/>
  <c r="M8" i="14"/>
  <c r="E11" i="14"/>
  <c r="P12" i="14"/>
  <c r="P11" i="14"/>
  <c r="J11" i="14"/>
  <c r="P15" i="14"/>
  <c r="L11" i="14"/>
  <c r="T8" i="14"/>
  <c r="H15" i="14"/>
  <c r="L16" i="14"/>
  <c r="J7" i="14"/>
  <c r="L12" i="14"/>
  <c r="K16" i="14"/>
  <c r="E17" i="14"/>
  <c r="K17" i="14"/>
  <c r="P5" i="14"/>
  <c r="P8" i="14"/>
  <c r="P7" i="14"/>
  <c r="I11" i="14"/>
  <c r="O9" i="14"/>
  <c r="E12" i="14"/>
  <c r="T13" i="14"/>
  <c r="M12" i="14"/>
  <c r="K7" i="14"/>
  <c r="K4" i="14"/>
  <c r="H12" i="14"/>
  <c r="P17" i="14"/>
  <c r="T9" i="14"/>
  <c r="I9" i="14"/>
  <c r="J17" i="14"/>
  <c r="H17" i="14"/>
  <c r="R12" i="14"/>
  <c r="R13" i="14"/>
  <c r="Q13" i="14"/>
  <c r="R8" i="14"/>
  <c r="Q11" i="14"/>
  <c r="R9" i="14"/>
  <c r="Q17" i="14"/>
  <c r="O7" i="14"/>
  <c r="O15" i="14"/>
  <c r="O12" i="14"/>
  <c r="Q8" i="14"/>
  <c r="O17" i="14"/>
  <c r="H7" i="14"/>
  <c r="R7" i="14"/>
  <c r="R17" i="14"/>
  <c r="R11" i="14"/>
  <c r="L8" i="14"/>
  <c r="S7" i="14"/>
  <c r="L7" i="14"/>
  <c r="R16" i="14"/>
  <c r="S12" i="14"/>
  <c r="S11" i="14"/>
  <c r="L15" i="14"/>
  <c r="Q7" i="14"/>
  <c r="R15" i="14"/>
  <c r="S17" i="14"/>
  <c r="S8" i="14"/>
  <c r="Q12" i="14"/>
  <c r="S16" i="14"/>
  <c r="Q16" i="14"/>
  <c r="Q15" i="14"/>
  <c r="Q9" i="14"/>
  <c r="E129" i="14"/>
  <c r="E90" i="14"/>
  <c r="E123" i="14"/>
  <c r="E128" i="14"/>
  <c r="E137" i="14"/>
  <c r="R10" i="13"/>
  <c r="I8" i="3"/>
  <c r="M8" i="3" s="1"/>
  <c r="Q8" i="3" s="1"/>
  <c r="I14" i="3"/>
  <c r="M14" i="3" s="1"/>
  <c r="Q14" i="3" s="1"/>
  <c r="R18" i="13"/>
  <c r="H11" i="3"/>
  <c r="Q14" i="13"/>
  <c r="M10" i="13"/>
  <c r="F14" i="13"/>
  <c r="I18" i="13"/>
  <c r="E138" i="14"/>
  <c r="E127" i="14"/>
  <c r="E100" i="14"/>
  <c r="E107" i="14"/>
  <c r="E78" i="14"/>
  <c r="E54" i="14"/>
  <c r="E70" i="14"/>
  <c r="E72" i="14"/>
  <c r="E117" i="14"/>
  <c r="E69" i="14"/>
  <c r="E85" i="14"/>
  <c r="E115" i="14"/>
  <c r="E96" i="14"/>
  <c r="E64" i="14"/>
  <c r="E44" i="14"/>
  <c r="E77" i="14"/>
  <c r="E97" i="14"/>
  <c r="E74" i="14"/>
  <c r="E45" i="14"/>
  <c r="E84" i="14"/>
  <c r="E75" i="14"/>
  <c r="E49" i="14"/>
  <c r="E25" i="14"/>
  <c r="E43" i="14"/>
  <c r="E95" i="14"/>
  <c r="E33" i="14"/>
  <c r="E35" i="14"/>
  <c r="E50" i="14"/>
  <c r="E62" i="14"/>
  <c r="E105" i="14"/>
  <c r="E29" i="14"/>
  <c r="E114" i="14"/>
  <c r="E52" i="14"/>
  <c r="E92" i="14"/>
  <c r="E34" i="14"/>
  <c r="E116" i="14"/>
  <c r="E106" i="14"/>
  <c r="E71" i="14"/>
  <c r="E93" i="14"/>
  <c r="E63" i="14"/>
  <c r="E51" i="14"/>
  <c r="E46" i="14"/>
  <c r="E42" i="14"/>
  <c r="E82" i="14"/>
  <c r="E73" i="14"/>
  <c r="E53" i="14"/>
  <c r="E61" i="14"/>
  <c r="E80" i="14"/>
  <c r="E104" i="14"/>
  <c r="E79" i="14"/>
  <c r="E94" i="14"/>
  <c r="E41" i="14"/>
  <c r="E26" i="14"/>
  <c r="E32" i="14"/>
  <c r="E76" i="14"/>
  <c r="E31" i="14"/>
  <c r="E27" i="14"/>
  <c r="E98" i="14"/>
  <c r="E86" i="14"/>
  <c r="E56" i="14"/>
  <c r="E38" i="14"/>
  <c r="E55" i="14"/>
  <c r="G139" i="14" l="1"/>
  <c r="N139" i="14" s="1"/>
  <c r="E3" i="14"/>
  <c r="E5" i="14"/>
  <c r="J139" i="14"/>
  <c r="J81" i="14"/>
  <c r="H81" i="14"/>
  <c r="I81" i="14" s="1"/>
  <c r="J142" i="14"/>
  <c r="H142" i="14"/>
  <c r="I142" i="14" s="1"/>
  <c r="L18" i="14"/>
  <c r="F19" i="13"/>
  <c r="H10" i="14"/>
  <c r="K10" i="14"/>
  <c r="P19" i="13"/>
  <c r="N14" i="14"/>
  <c r="Q10" i="14"/>
  <c r="K19" i="13"/>
  <c r="Q14" i="14"/>
  <c r="R14" i="14"/>
  <c r="O10" i="14"/>
  <c r="K18" i="14"/>
  <c r="J10" i="14"/>
  <c r="L14" i="14"/>
  <c r="Q18" i="14"/>
  <c r="L10" i="14"/>
  <c r="P10" i="14"/>
  <c r="J14" i="14"/>
  <c r="M10" i="14"/>
  <c r="R18" i="14"/>
  <c r="H79" i="14"/>
  <c r="I79" i="14" s="1"/>
  <c r="I12" i="14" s="1"/>
  <c r="I14" i="14" s="1"/>
  <c r="G79" i="14"/>
  <c r="J79" i="14"/>
  <c r="G53" i="14"/>
  <c r="H53" i="14"/>
  <c r="I53" i="14" s="1"/>
  <c r="J53" i="14"/>
  <c r="J46" i="14"/>
  <c r="G46" i="14"/>
  <c r="H46" i="14"/>
  <c r="I46" i="14" s="1"/>
  <c r="G71" i="14"/>
  <c r="J71" i="14"/>
  <c r="H71" i="14"/>
  <c r="I71" i="14" s="1"/>
  <c r="J92" i="14"/>
  <c r="G92" i="14"/>
  <c r="H92" i="14"/>
  <c r="I92" i="14" s="1"/>
  <c r="G105" i="14"/>
  <c r="J105" i="14"/>
  <c r="H105" i="14"/>
  <c r="I105" i="14" s="1"/>
  <c r="H33" i="14"/>
  <c r="I33" i="14" s="1"/>
  <c r="J33" i="14"/>
  <c r="G33" i="14"/>
  <c r="H49" i="14"/>
  <c r="I49" i="14" s="1"/>
  <c r="G49" i="14"/>
  <c r="J49" i="14"/>
  <c r="G74" i="14"/>
  <c r="H74" i="14"/>
  <c r="I74" i="14" s="1"/>
  <c r="J74" i="14"/>
  <c r="G64" i="14"/>
  <c r="J64" i="14"/>
  <c r="H64" i="14"/>
  <c r="I64" i="14" s="1"/>
  <c r="H69" i="14"/>
  <c r="I69" i="14" s="1"/>
  <c r="G69" i="14"/>
  <c r="J69" i="14"/>
  <c r="G54" i="14"/>
  <c r="H54" i="14"/>
  <c r="I54" i="14" s="1"/>
  <c r="J54" i="14"/>
  <c r="H127" i="14"/>
  <c r="I127" i="14" s="1"/>
  <c r="J127" i="14"/>
  <c r="G127" i="14"/>
  <c r="G128" i="14"/>
  <c r="H128" i="14"/>
  <c r="I128" i="14" s="1"/>
  <c r="J128" i="14"/>
  <c r="P18" i="14"/>
  <c r="E14" i="14"/>
  <c r="T14" i="14"/>
  <c r="G110" i="14"/>
  <c r="J110" i="14"/>
  <c r="H110" i="14"/>
  <c r="I110" i="14" s="1"/>
  <c r="H120" i="14"/>
  <c r="I120" i="14" s="1"/>
  <c r="J120" i="14"/>
  <c r="G120" i="14"/>
  <c r="J68" i="14"/>
  <c r="G68" i="14"/>
  <c r="H68" i="14"/>
  <c r="I68" i="14" s="1"/>
  <c r="H48" i="14"/>
  <c r="I48" i="14" s="1"/>
  <c r="G48" i="14"/>
  <c r="J48" i="14"/>
  <c r="J136" i="14"/>
  <c r="H136" i="14"/>
  <c r="I136" i="14" s="1"/>
  <c r="G136" i="14"/>
  <c r="G113" i="14"/>
  <c r="J113" i="14"/>
  <c r="H113" i="14"/>
  <c r="I113" i="14" s="1"/>
  <c r="G121" i="14"/>
  <c r="H121" i="14"/>
  <c r="I121" i="14" s="1"/>
  <c r="J121" i="14"/>
  <c r="T81" i="14"/>
  <c r="L81" i="14"/>
  <c r="N81" i="14"/>
  <c r="G122" i="14"/>
  <c r="J122" i="14"/>
  <c r="H122" i="14"/>
  <c r="I122" i="14" s="1"/>
  <c r="H91" i="14"/>
  <c r="I91" i="14" s="1"/>
  <c r="J91" i="14"/>
  <c r="G91" i="14"/>
  <c r="J132" i="14"/>
  <c r="G132" i="14"/>
  <c r="H132" i="14"/>
  <c r="I132" i="14" s="1"/>
  <c r="H87" i="14"/>
  <c r="I87" i="14" s="1"/>
  <c r="J87" i="14"/>
  <c r="G87" i="14"/>
  <c r="H112" i="14"/>
  <c r="I112" i="14" s="1"/>
  <c r="G112" i="14"/>
  <c r="J112" i="14"/>
  <c r="J148" i="14"/>
  <c r="G148" i="14"/>
  <c r="H148" i="14"/>
  <c r="I148" i="14" s="1"/>
  <c r="J98" i="14"/>
  <c r="G98" i="14"/>
  <c r="H98" i="14"/>
  <c r="I98" i="14" s="1"/>
  <c r="J38" i="14"/>
  <c r="H38" i="14"/>
  <c r="I38" i="14" s="1"/>
  <c r="G38" i="14"/>
  <c r="H104" i="14"/>
  <c r="I104" i="14" s="1"/>
  <c r="J104" i="14"/>
  <c r="G104" i="14"/>
  <c r="G73" i="14"/>
  <c r="H73" i="14"/>
  <c r="I73" i="14" s="1"/>
  <c r="J73" i="14"/>
  <c r="H51" i="14"/>
  <c r="I51" i="14" s="1"/>
  <c r="G51" i="14"/>
  <c r="J51" i="14"/>
  <c r="G106" i="14"/>
  <c r="J106" i="14"/>
  <c r="H106" i="14"/>
  <c r="I106" i="14" s="1"/>
  <c r="J52" i="14"/>
  <c r="H52" i="14"/>
  <c r="I52" i="14" s="1"/>
  <c r="G52" i="14"/>
  <c r="H62" i="14"/>
  <c r="I62" i="14" s="1"/>
  <c r="J62" i="14"/>
  <c r="G62" i="14"/>
  <c r="J95" i="14"/>
  <c r="H95" i="14"/>
  <c r="I95" i="14" s="1"/>
  <c r="G95" i="14"/>
  <c r="H75" i="14"/>
  <c r="I75" i="14" s="1"/>
  <c r="J75" i="14"/>
  <c r="G75" i="14"/>
  <c r="J97" i="14"/>
  <c r="G97" i="14"/>
  <c r="H97" i="14"/>
  <c r="I97" i="14" s="1"/>
  <c r="J96" i="14"/>
  <c r="H96" i="14"/>
  <c r="I96" i="14" s="1"/>
  <c r="G96" i="14"/>
  <c r="G117" i="14"/>
  <c r="J117" i="14"/>
  <c r="H117" i="14"/>
  <c r="I117" i="14" s="1"/>
  <c r="J78" i="14"/>
  <c r="G78" i="14"/>
  <c r="H78" i="14"/>
  <c r="I78" i="14" s="1"/>
  <c r="G138" i="14"/>
  <c r="J138" i="14"/>
  <c r="H138" i="14"/>
  <c r="I138" i="14" s="1"/>
  <c r="J123" i="14"/>
  <c r="H123" i="14"/>
  <c r="I123" i="14" s="1"/>
  <c r="G123" i="14"/>
  <c r="R10" i="14"/>
  <c r="H18" i="14"/>
  <c r="K14" i="14"/>
  <c r="O14" i="14"/>
  <c r="H14" i="14"/>
  <c r="J58" i="14"/>
  <c r="H58" i="14"/>
  <c r="I58" i="14" s="1"/>
  <c r="G58" i="14"/>
  <c r="T142" i="14"/>
  <c r="N142" i="14"/>
  <c r="L142" i="14"/>
  <c r="J126" i="14"/>
  <c r="G126" i="14"/>
  <c r="H126" i="14"/>
  <c r="I126" i="14" s="1"/>
  <c r="G24" i="14"/>
  <c r="H24" i="14"/>
  <c r="J24" i="14"/>
  <c r="E3" i="13"/>
  <c r="G66" i="14"/>
  <c r="H66" i="14"/>
  <c r="I66" i="14" s="1"/>
  <c r="J66" i="14"/>
  <c r="J88" i="14"/>
  <c r="H88" i="14"/>
  <c r="I88" i="14" s="1"/>
  <c r="G88" i="14"/>
  <c r="J146" i="14"/>
  <c r="G146" i="14"/>
  <c r="H146" i="14"/>
  <c r="I146" i="14" s="1"/>
  <c r="J119" i="14"/>
  <c r="H119" i="14"/>
  <c r="I119" i="14" s="1"/>
  <c r="G119" i="14"/>
  <c r="H36" i="14"/>
  <c r="I36" i="14" s="1"/>
  <c r="J36" i="14"/>
  <c r="G36" i="14"/>
  <c r="H124" i="14"/>
  <c r="I124" i="14" s="1"/>
  <c r="J124" i="14"/>
  <c r="G124" i="14"/>
  <c r="G150" i="14"/>
  <c r="H150" i="14"/>
  <c r="I150" i="14" s="1"/>
  <c r="J150" i="14"/>
  <c r="H147" i="14"/>
  <c r="I147" i="14" s="1"/>
  <c r="G147" i="14"/>
  <c r="J147" i="14"/>
  <c r="H145" i="14"/>
  <c r="I145" i="14" s="1"/>
  <c r="J145" i="14"/>
  <c r="G145" i="14"/>
  <c r="G67" i="14"/>
  <c r="J67" i="14"/>
  <c r="H67" i="14"/>
  <c r="I67" i="14" s="1"/>
  <c r="H135" i="14"/>
  <c r="I135" i="14" s="1"/>
  <c r="G135" i="14"/>
  <c r="J135" i="14"/>
  <c r="J55" i="14"/>
  <c r="H55" i="14"/>
  <c r="I55" i="14" s="1"/>
  <c r="G55" i="14"/>
  <c r="G32" i="14"/>
  <c r="H32" i="14"/>
  <c r="J32" i="14"/>
  <c r="G27" i="14"/>
  <c r="H27" i="14"/>
  <c r="I27" i="14" s="1"/>
  <c r="J27" i="14"/>
  <c r="J26" i="14"/>
  <c r="H26" i="14"/>
  <c r="I26" i="14" s="1"/>
  <c r="G26" i="14"/>
  <c r="J80" i="14"/>
  <c r="H80" i="14"/>
  <c r="I80" i="14" s="1"/>
  <c r="G80" i="14"/>
  <c r="G82" i="14"/>
  <c r="H82" i="14"/>
  <c r="I82" i="14" s="1"/>
  <c r="J82" i="14"/>
  <c r="G63" i="14"/>
  <c r="J63" i="14"/>
  <c r="H63" i="14"/>
  <c r="I63" i="14" s="1"/>
  <c r="H116" i="14"/>
  <c r="I116" i="14" s="1"/>
  <c r="G116" i="14"/>
  <c r="J116" i="14"/>
  <c r="G114" i="14"/>
  <c r="H114" i="14"/>
  <c r="I114" i="14" s="1"/>
  <c r="J114" i="14"/>
  <c r="J50" i="14"/>
  <c r="G50" i="14"/>
  <c r="H50" i="14"/>
  <c r="I50" i="14" s="1"/>
  <c r="H43" i="14"/>
  <c r="I43" i="14" s="1"/>
  <c r="J43" i="14"/>
  <c r="G43" i="14"/>
  <c r="H84" i="14"/>
  <c r="I84" i="14" s="1"/>
  <c r="J84" i="14"/>
  <c r="G84" i="14"/>
  <c r="J77" i="14"/>
  <c r="G77" i="14"/>
  <c r="H77" i="14"/>
  <c r="I77" i="14" s="1"/>
  <c r="J115" i="14"/>
  <c r="H115" i="14"/>
  <c r="I115" i="14" s="1"/>
  <c r="G115" i="14"/>
  <c r="J72" i="14"/>
  <c r="H72" i="14"/>
  <c r="I72" i="14" s="1"/>
  <c r="G72" i="14"/>
  <c r="G107" i="14"/>
  <c r="J107" i="14"/>
  <c r="H107" i="14"/>
  <c r="I107" i="14" s="1"/>
  <c r="H90" i="14"/>
  <c r="I90" i="14" s="1"/>
  <c r="G90" i="14"/>
  <c r="J90" i="14"/>
  <c r="P14" i="14"/>
  <c r="M18" i="14"/>
  <c r="J18" i="14"/>
  <c r="H59" i="14"/>
  <c r="I59" i="14" s="1"/>
  <c r="G59" i="14"/>
  <c r="J59" i="14"/>
  <c r="H125" i="14"/>
  <c r="I125" i="14" s="1"/>
  <c r="G125" i="14"/>
  <c r="J125" i="14"/>
  <c r="H89" i="14"/>
  <c r="I89" i="14" s="1"/>
  <c r="J89" i="14"/>
  <c r="G89" i="14"/>
  <c r="G37" i="14"/>
  <c r="H37" i="14"/>
  <c r="I37" i="14" s="1"/>
  <c r="J37" i="14"/>
  <c r="H40" i="14"/>
  <c r="I40" i="14" s="1"/>
  <c r="J40" i="14"/>
  <c r="G40" i="14"/>
  <c r="H83" i="14"/>
  <c r="I83" i="14" s="1"/>
  <c r="G83" i="14"/>
  <c r="J83" i="14"/>
  <c r="J23" i="14"/>
  <c r="G23" i="14"/>
  <c r="H23" i="14"/>
  <c r="I23" i="14" s="1"/>
  <c r="J131" i="14"/>
  <c r="H131" i="14"/>
  <c r="I131" i="14" s="1"/>
  <c r="G131" i="14"/>
  <c r="H47" i="14"/>
  <c r="I47" i="14" s="1"/>
  <c r="G47" i="14"/>
  <c r="J47" i="14"/>
  <c r="J130" i="14"/>
  <c r="H130" i="14"/>
  <c r="I130" i="14" s="1"/>
  <c r="G130" i="14"/>
  <c r="H108" i="14"/>
  <c r="I108" i="14" s="1"/>
  <c r="J108" i="14"/>
  <c r="G108" i="14"/>
  <c r="J103" i="14"/>
  <c r="G103" i="14"/>
  <c r="H103" i="14"/>
  <c r="I103" i="14" s="1"/>
  <c r="H141" i="14"/>
  <c r="I141" i="14" s="1"/>
  <c r="J141" i="14"/>
  <c r="G141" i="14"/>
  <c r="H149" i="14"/>
  <c r="I149" i="14" s="1"/>
  <c r="J149" i="14"/>
  <c r="G149" i="14"/>
  <c r="J60" i="14"/>
  <c r="G60" i="14"/>
  <c r="H60" i="14"/>
  <c r="I60" i="14" s="1"/>
  <c r="H28" i="14"/>
  <c r="I28" i="14" s="1"/>
  <c r="J28" i="14"/>
  <c r="G28" i="14"/>
  <c r="J56" i="14"/>
  <c r="H56" i="14"/>
  <c r="I56" i="14" s="1"/>
  <c r="G56" i="14"/>
  <c r="J31" i="14"/>
  <c r="H31" i="14"/>
  <c r="I31" i="14" s="1"/>
  <c r="G31" i="14"/>
  <c r="H41" i="14"/>
  <c r="G41" i="14"/>
  <c r="J41" i="14"/>
  <c r="G86" i="14"/>
  <c r="H86" i="14"/>
  <c r="I86" i="14" s="1"/>
  <c r="J86" i="14"/>
  <c r="H76" i="14"/>
  <c r="I76" i="14" s="1"/>
  <c r="G76" i="14"/>
  <c r="J76" i="14"/>
  <c r="J94" i="14"/>
  <c r="G94" i="14"/>
  <c r="H94" i="14"/>
  <c r="I94" i="14" s="1"/>
  <c r="H61" i="14"/>
  <c r="I61" i="14" s="1"/>
  <c r="G61" i="14"/>
  <c r="J61" i="14"/>
  <c r="G42" i="14"/>
  <c r="J42" i="14"/>
  <c r="H42" i="14"/>
  <c r="I42" i="14" s="1"/>
  <c r="J93" i="14"/>
  <c r="G93" i="14"/>
  <c r="H93" i="14"/>
  <c r="I93" i="14" s="1"/>
  <c r="G34" i="14"/>
  <c r="J34" i="14"/>
  <c r="H34" i="14"/>
  <c r="E4" i="13"/>
  <c r="G29" i="14"/>
  <c r="J29" i="14"/>
  <c r="H29" i="14"/>
  <c r="I29" i="14" s="1"/>
  <c r="H35" i="14"/>
  <c r="I35" i="14" s="1"/>
  <c r="G35" i="14"/>
  <c r="J35" i="14"/>
  <c r="H25" i="14"/>
  <c r="I25" i="14" s="1"/>
  <c r="J25" i="14"/>
  <c r="G25" i="14"/>
  <c r="H45" i="14"/>
  <c r="J45" i="14"/>
  <c r="G45" i="14"/>
  <c r="E5" i="13"/>
  <c r="G44" i="14"/>
  <c r="H44" i="14"/>
  <c r="I44" i="14" s="1"/>
  <c r="J44" i="14"/>
  <c r="J85" i="14"/>
  <c r="H85" i="14"/>
  <c r="I85" i="14" s="1"/>
  <c r="G85" i="14"/>
  <c r="H70" i="14"/>
  <c r="I70" i="14" s="1"/>
  <c r="J70" i="14"/>
  <c r="G70" i="14"/>
  <c r="G100" i="14"/>
  <c r="J100" i="14"/>
  <c r="H100" i="14"/>
  <c r="I100" i="14" s="1"/>
  <c r="G137" i="14"/>
  <c r="H137" i="14"/>
  <c r="I137" i="14" s="1"/>
  <c r="J137" i="14"/>
  <c r="G129" i="14"/>
  <c r="J129" i="14"/>
  <c r="H129" i="14"/>
  <c r="I129" i="14" s="1"/>
  <c r="E4" i="14"/>
  <c r="M14" i="14"/>
  <c r="I10" i="14"/>
  <c r="P6" i="14"/>
  <c r="E18" i="14"/>
  <c r="K6" i="14"/>
  <c r="G143" i="14"/>
  <c r="J143" i="14"/>
  <c r="H143" i="14"/>
  <c r="I143" i="14" s="1"/>
  <c r="H140" i="14"/>
  <c r="I140" i="14" s="1"/>
  <c r="J140" i="14"/>
  <c r="G140" i="14"/>
  <c r="H39" i="14"/>
  <c r="I39" i="14" s="1"/>
  <c r="G39" i="14"/>
  <c r="J39" i="14"/>
  <c r="G133" i="14"/>
  <c r="J133" i="14"/>
  <c r="H133" i="14"/>
  <c r="I133" i="14" s="1"/>
  <c r="G144" i="14"/>
  <c r="H144" i="14"/>
  <c r="I144" i="14" s="1"/>
  <c r="J144" i="14"/>
  <c r="H102" i="14"/>
  <c r="I102" i="14" s="1"/>
  <c r="G102" i="14"/>
  <c r="J102" i="14"/>
  <c r="J65" i="14"/>
  <c r="H65" i="14"/>
  <c r="I65" i="14" s="1"/>
  <c r="G65" i="14"/>
  <c r="J109" i="14"/>
  <c r="G109" i="14"/>
  <c r="H109" i="14"/>
  <c r="I109" i="14" s="1"/>
  <c r="J57" i="14"/>
  <c r="G57" i="14"/>
  <c r="H57" i="14"/>
  <c r="I57" i="14" s="1"/>
  <c r="E10" i="14"/>
  <c r="J134" i="14"/>
  <c r="G134" i="14"/>
  <c r="H134" i="14"/>
  <c r="I134" i="14" s="1"/>
  <c r="G111" i="14"/>
  <c r="J111" i="14"/>
  <c r="H111" i="14"/>
  <c r="I111" i="14" s="1"/>
  <c r="I16" i="14" s="1"/>
  <c r="I18" i="14" s="1"/>
  <c r="H118" i="14"/>
  <c r="I118" i="14" s="1"/>
  <c r="G118" i="14"/>
  <c r="J118" i="14"/>
  <c r="H101" i="14"/>
  <c r="I101" i="14" s="1"/>
  <c r="J101" i="14"/>
  <c r="G101" i="14"/>
  <c r="H99" i="14"/>
  <c r="I99" i="14" s="1"/>
  <c r="G99" i="14"/>
  <c r="J99" i="14"/>
  <c r="M81" i="14"/>
  <c r="L139" i="14" l="1"/>
  <c r="T139" i="14"/>
  <c r="E6" i="14"/>
  <c r="E19" i="14" s="1"/>
  <c r="K19" i="14"/>
  <c r="P19" i="14"/>
  <c r="O81" i="14"/>
  <c r="Q81" i="14" s="1"/>
  <c r="T65" i="14"/>
  <c r="L65" i="14"/>
  <c r="N65" i="14"/>
  <c r="N102" i="14"/>
  <c r="L102" i="14"/>
  <c r="T102" i="14"/>
  <c r="T144" i="14"/>
  <c r="L144" i="14"/>
  <c r="N144" i="14"/>
  <c r="J5" i="13"/>
  <c r="J5" i="14"/>
  <c r="I34" i="14"/>
  <c r="H4" i="13"/>
  <c r="T93" i="14"/>
  <c r="N93" i="14"/>
  <c r="L93" i="14"/>
  <c r="T42" i="14"/>
  <c r="L42" i="14"/>
  <c r="N42" i="14"/>
  <c r="T76" i="14"/>
  <c r="N76" i="14"/>
  <c r="L76" i="14"/>
  <c r="N31" i="14"/>
  <c r="T31" i="14"/>
  <c r="L31" i="14"/>
  <c r="N47" i="14"/>
  <c r="N8" i="14" s="1"/>
  <c r="L47" i="14"/>
  <c r="T47" i="14"/>
  <c r="T99" i="14"/>
  <c r="N99" i="14"/>
  <c r="L99" i="14"/>
  <c r="N111" i="14"/>
  <c r="L111" i="14"/>
  <c r="T111" i="14"/>
  <c r="T39" i="14"/>
  <c r="N39" i="14"/>
  <c r="L39" i="14"/>
  <c r="L137" i="14"/>
  <c r="N137" i="14"/>
  <c r="T137" i="14"/>
  <c r="N70" i="14"/>
  <c r="T70" i="14"/>
  <c r="L70" i="14"/>
  <c r="T44" i="14"/>
  <c r="N44" i="14"/>
  <c r="L44" i="14"/>
  <c r="I45" i="14"/>
  <c r="H5" i="13"/>
  <c r="H5" i="14"/>
  <c r="J4" i="13"/>
  <c r="L94" i="14"/>
  <c r="T94" i="14"/>
  <c r="N94" i="14"/>
  <c r="J4" i="14"/>
  <c r="L108" i="14"/>
  <c r="N108" i="14"/>
  <c r="T108" i="14"/>
  <c r="N83" i="14"/>
  <c r="L83" i="14"/>
  <c r="T83" i="14"/>
  <c r="N89" i="14"/>
  <c r="T89" i="14"/>
  <c r="L89" i="14"/>
  <c r="T125" i="14"/>
  <c r="L125" i="14"/>
  <c r="N125" i="14"/>
  <c r="L116" i="14"/>
  <c r="N116" i="14"/>
  <c r="T116" i="14"/>
  <c r="N63" i="14"/>
  <c r="T63" i="14"/>
  <c r="L63" i="14"/>
  <c r="T80" i="14"/>
  <c r="N80" i="14"/>
  <c r="L80" i="14"/>
  <c r="L27" i="14"/>
  <c r="N27" i="14"/>
  <c r="T27" i="14"/>
  <c r="T55" i="14"/>
  <c r="N55" i="14"/>
  <c r="L55" i="14"/>
  <c r="L135" i="14"/>
  <c r="N135" i="14"/>
  <c r="T135" i="14"/>
  <c r="N67" i="14"/>
  <c r="T67" i="14"/>
  <c r="L67" i="14"/>
  <c r="T145" i="14"/>
  <c r="N145" i="14"/>
  <c r="L145" i="14"/>
  <c r="N147" i="14"/>
  <c r="L147" i="14"/>
  <c r="T147" i="14"/>
  <c r="L150" i="14"/>
  <c r="N150" i="14"/>
  <c r="T150" i="14"/>
  <c r="T66" i="14"/>
  <c r="L66" i="14"/>
  <c r="N66" i="14"/>
  <c r="N24" i="14"/>
  <c r="T24" i="14"/>
  <c r="L24" i="14"/>
  <c r="L123" i="14"/>
  <c r="T123" i="14"/>
  <c r="N123" i="14"/>
  <c r="N96" i="14"/>
  <c r="N15" i="14" s="1"/>
  <c r="N18" i="14" s="1"/>
  <c r="L96" i="14"/>
  <c r="T96" i="14"/>
  <c r="T15" i="14" s="1"/>
  <c r="T18" i="14" s="1"/>
  <c r="T97" i="14"/>
  <c r="N97" i="14"/>
  <c r="L97" i="14"/>
  <c r="T62" i="14"/>
  <c r="L62" i="14"/>
  <c r="N62" i="14"/>
  <c r="N106" i="14"/>
  <c r="L106" i="14"/>
  <c r="T106" i="14"/>
  <c r="T112" i="14"/>
  <c r="L112" i="14"/>
  <c r="N112" i="14"/>
  <c r="N91" i="14"/>
  <c r="L91" i="14"/>
  <c r="T91" i="14"/>
  <c r="L120" i="14"/>
  <c r="N120" i="14"/>
  <c r="T120" i="14"/>
  <c r="T127" i="14"/>
  <c r="N127" i="14"/>
  <c r="L127" i="14"/>
  <c r="N49" i="14"/>
  <c r="T49" i="14"/>
  <c r="L49" i="14"/>
  <c r="T109" i="14"/>
  <c r="N109" i="14"/>
  <c r="L109" i="14"/>
  <c r="T129" i="14"/>
  <c r="N129" i="14"/>
  <c r="L129" i="14"/>
  <c r="N25" i="14"/>
  <c r="T25" i="14"/>
  <c r="L25" i="14"/>
  <c r="N35" i="14"/>
  <c r="T35" i="14"/>
  <c r="L35" i="14"/>
  <c r="L29" i="14"/>
  <c r="N29" i="14"/>
  <c r="T29" i="14"/>
  <c r="T34" i="14"/>
  <c r="L34" i="14"/>
  <c r="N34" i="14"/>
  <c r="N61" i="14"/>
  <c r="L61" i="14"/>
  <c r="T61" i="14"/>
  <c r="T41" i="14"/>
  <c r="N41" i="14"/>
  <c r="L41" i="14"/>
  <c r="T28" i="14"/>
  <c r="N28" i="14"/>
  <c r="L28" i="14"/>
  <c r="L60" i="14"/>
  <c r="N60" i="14"/>
  <c r="T60" i="14"/>
  <c r="N131" i="14"/>
  <c r="T131" i="14"/>
  <c r="L131" i="14"/>
  <c r="L23" i="14"/>
  <c r="N23" i="14"/>
  <c r="T23" i="14"/>
  <c r="N90" i="14"/>
  <c r="T90" i="14"/>
  <c r="L90" i="14"/>
  <c r="L107" i="14"/>
  <c r="T107" i="14"/>
  <c r="N107" i="14"/>
  <c r="T115" i="14"/>
  <c r="L115" i="14"/>
  <c r="N115" i="14"/>
  <c r="T77" i="14"/>
  <c r="L77" i="14"/>
  <c r="N77" i="14"/>
  <c r="J3" i="14"/>
  <c r="N124" i="14"/>
  <c r="T124" i="14"/>
  <c r="L124" i="14"/>
  <c r="N119" i="14"/>
  <c r="L119" i="14"/>
  <c r="T119" i="14"/>
  <c r="L146" i="14"/>
  <c r="N146" i="14"/>
  <c r="T146" i="14"/>
  <c r="E6" i="13"/>
  <c r="E19" i="13" s="1"/>
  <c r="L138" i="14"/>
  <c r="N138" i="14"/>
  <c r="T138" i="14"/>
  <c r="N95" i="14"/>
  <c r="L95" i="14"/>
  <c r="T95" i="14"/>
  <c r="N148" i="14"/>
  <c r="T148" i="14"/>
  <c r="L148" i="14"/>
  <c r="N122" i="14"/>
  <c r="T122" i="14"/>
  <c r="L122" i="14"/>
  <c r="N110" i="14"/>
  <c r="T110" i="14"/>
  <c r="L110" i="14"/>
  <c r="L54" i="14"/>
  <c r="N54" i="14"/>
  <c r="T54" i="14"/>
  <c r="T92" i="14"/>
  <c r="L92" i="14"/>
  <c r="N92" i="14"/>
  <c r="L71" i="14"/>
  <c r="N71" i="14"/>
  <c r="T71" i="14"/>
  <c r="N79" i="14"/>
  <c r="T79" i="14"/>
  <c r="L79" i="14"/>
  <c r="L134" i="14"/>
  <c r="T134" i="14"/>
  <c r="N134" i="14"/>
  <c r="T57" i="14"/>
  <c r="N57" i="14"/>
  <c r="L57" i="14"/>
  <c r="T45" i="14"/>
  <c r="L45" i="14"/>
  <c r="N45" i="14"/>
  <c r="I41" i="14"/>
  <c r="I4" i="14" s="1"/>
  <c r="H4" i="14"/>
  <c r="T56" i="14"/>
  <c r="L56" i="14"/>
  <c r="N56" i="14"/>
  <c r="L141" i="14"/>
  <c r="N141" i="14"/>
  <c r="T141" i="14"/>
  <c r="T103" i="14"/>
  <c r="N103" i="14"/>
  <c r="L103" i="14"/>
  <c r="T40" i="14"/>
  <c r="N40" i="14"/>
  <c r="L40" i="14"/>
  <c r="L72" i="14"/>
  <c r="N72" i="14"/>
  <c r="T72" i="14"/>
  <c r="L43" i="14"/>
  <c r="T43" i="14"/>
  <c r="T7" i="14" s="1"/>
  <c r="T10" i="14" s="1"/>
  <c r="N43" i="14"/>
  <c r="N7" i="14" s="1"/>
  <c r="L50" i="14"/>
  <c r="N50" i="14"/>
  <c r="T50" i="14"/>
  <c r="T114" i="14"/>
  <c r="L114" i="14"/>
  <c r="N114" i="14"/>
  <c r="I32" i="14"/>
  <c r="H3" i="14"/>
  <c r="N36" i="14"/>
  <c r="L36" i="14"/>
  <c r="T36" i="14"/>
  <c r="J3" i="13"/>
  <c r="L126" i="14"/>
  <c r="T126" i="14"/>
  <c r="N126" i="14"/>
  <c r="L75" i="14"/>
  <c r="T75" i="14"/>
  <c r="N75" i="14"/>
  <c r="N51" i="14"/>
  <c r="L51" i="14"/>
  <c r="T51" i="14"/>
  <c r="L73" i="14"/>
  <c r="T73" i="14"/>
  <c r="N73" i="14"/>
  <c r="N38" i="14"/>
  <c r="T38" i="14"/>
  <c r="L38" i="14"/>
  <c r="T98" i="14"/>
  <c r="L98" i="14"/>
  <c r="N98" i="14"/>
  <c r="N87" i="14"/>
  <c r="L87" i="14"/>
  <c r="T87" i="14"/>
  <c r="N132" i="14"/>
  <c r="T132" i="14"/>
  <c r="L132" i="14"/>
  <c r="N113" i="14"/>
  <c r="T113" i="14"/>
  <c r="L113" i="14"/>
  <c r="N68" i="14"/>
  <c r="T68" i="14"/>
  <c r="L68" i="14"/>
  <c r="L74" i="14"/>
  <c r="T74" i="14"/>
  <c r="N74" i="14"/>
  <c r="T33" i="14"/>
  <c r="N33" i="14"/>
  <c r="L33" i="14"/>
  <c r="N101" i="14"/>
  <c r="L101" i="14"/>
  <c r="T101" i="14"/>
  <c r="N118" i="14"/>
  <c r="L118" i="14"/>
  <c r="T118" i="14"/>
  <c r="N133" i="14"/>
  <c r="T133" i="14"/>
  <c r="L133" i="14"/>
  <c r="N140" i="14"/>
  <c r="T140" i="14"/>
  <c r="L140" i="14"/>
  <c r="N143" i="14"/>
  <c r="T143" i="14"/>
  <c r="L143" i="14"/>
  <c r="T100" i="14"/>
  <c r="N100" i="14"/>
  <c r="L100" i="14"/>
  <c r="N85" i="14"/>
  <c r="L85" i="14"/>
  <c r="T85" i="14"/>
  <c r="N86" i="14"/>
  <c r="L86" i="14"/>
  <c r="T86" i="14"/>
  <c r="T149" i="14"/>
  <c r="L149" i="14"/>
  <c r="N149" i="14"/>
  <c r="N130" i="14"/>
  <c r="T130" i="14"/>
  <c r="L130" i="14"/>
  <c r="L37" i="14"/>
  <c r="N37" i="14"/>
  <c r="T37" i="14"/>
  <c r="N59" i="14"/>
  <c r="T59" i="14"/>
  <c r="L59" i="14"/>
  <c r="N84" i="14"/>
  <c r="T84" i="14"/>
  <c r="L84" i="14"/>
  <c r="T82" i="14"/>
  <c r="L82" i="14"/>
  <c r="N82" i="14"/>
  <c r="T26" i="14"/>
  <c r="N26" i="14"/>
  <c r="L26" i="14"/>
  <c r="N32" i="14"/>
  <c r="L32" i="14"/>
  <c r="T32" i="14"/>
  <c r="L88" i="14"/>
  <c r="N88" i="14"/>
  <c r="T88" i="14"/>
  <c r="I24" i="14"/>
  <c r="H3" i="13"/>
  <c r="L58" i="14"/>
  <c r="N58" i="14"/>
  <c r="T58" i="14"/>
  <c r="T78" i="14"/>
  <c r="N78" i="14"/>
  <c r="L78" i="14"/>
  <c r="L117" i="14"/>
  <c r="T117" i="14"/>
  <c r="N117" i="14"/>
  <c r="L52" i="14"/>
  <c r="T52" i="14"/>
  <c r="N52" i="14"/>
  <c r="L104" i="14"/>
  <c r="N104" i="14"/>
  <c r="T104" i="14"/>
  <c r="L121" i="14"/>
  <c r="T121" i="14"/>
  <c r="N121" i="14"/>
  <c r="L136" i="14"/>
  <c r="T136" i="14"/>
  <c r="N136" i="14"/>
  <c r="T48" i="14"/>
  <c r="L48" i="14"/>
  <c r="N48" i="14"/>
  <c r="T128" i="14"/>
  <c r="L128" i="14"/>
  <c r="N128" i="14"/>
  <c r="L69" i="14"/>
  <c r="T69" i="14"/>
  <c r="N69" i="14"/>
  <c r="T64" i="14"/>
  <c r="L64" i="14"/>
  <c r="N64" i="14"/>
  <c r="N105" i="14"/>
  <c r="L105" i="14"/>
  <c r="T105" i="14"/>
  <c r="L46" i="14"/>
  <c r="N46" i="14"/>
  <c r="T46" i="14"/>
  <c r="N53" i="14"/>
  <c r="T53" i="14"/>
  <c r="L53" i="14"/>
  <c r="M142" i="14"/>
  <c r="M23" i="14"/>
  <c r="M97" i="14"/>
  <c r="M39" i="14"/>
  <c r="M71" i="14"/>
  <c r="M136" i="14"/>
  <c r="M144" i="14"/>
  <c r="M73" i="14"/>
  <c r="M110" i="14"/>
  <c r="M56" i="14"/>
  <c r="M70" i="14"/>
  <c r="M72" i="14"/>
  <c r="M109" i="14"/>
  <c r="M28" i="14"/>
  <c r="M90" i="14"/>
  <c r="M48" i="14"/>
  <c r="M89" i="14"/>
  <c r="M107" i="14"/>
  <c r="M139" i="14"/>
  <c r="M135" i="14"/>
  <c r="M63" i="14"/>
  <c r="M118" i="14"/>
  <c r="M78" i="14"/>
  <c r="M61" i="14"/>
  <c r="M95" i="14"/>
  <c r="M114" i="14"/>
  <c r="M42" i="14"/>
  <c r="M37" i="14"/>
  <c r="M87" i="14"/>
  <c r="M148" i="14"/>
  <c r="M108" i="14"/>
  <c r="M55" i="14"/>
  <c r="M47" i="14"/>
  <c r="M120" i="14"/>
  <c r="M150" i="14"/>
  <c r="M29" i="14"/>
  <c r="M147" i="14"/>
  <c r="M126" i="14"/>
  <c r="M111" i="14"/>
  <c r="M131" i="14"/>
  <c r="M75" i="14"/>
  <c r="M31" i="14"/>
  <c r="M146" i="14"/>
  <c r="M43" i="14"/>
  <c r="M119" i="14"/>
  <c r="M123" i="14"/>
  <c r="M44" i="14"/>
  <c r="M94" i="14"/>
  <c r="M103" i="14"/>
  <c r="M96" i="14"/>
  <c r="M93" i="14"/>
  <c r="M127" i="14"/>
  <c r="M52" i="14"/>
  <c r="M67" i="14"/>
  <c r="M79" i="14"/>
  <c r="M115" i="14"/>
  <c r="M129" i="14"/>
  <c r="M27" i="14"/>
  <c r="M33" i="14"/>
  <c r="M69" i="14"/>
  <c r="M49" i="14"/>
  <c r="M124" i="14"/>
  <c r="M57" i="14"/>
  <c r="M98" i="14"/>
  <c r="M137" i="14"/>
  <c r="M68" i="14"/>
  <c r="M112" i="14"/>
  <c r="M25" i="14"/>
  <c r="M40" i="14"/>
  <c r="M84" i="14"/>
  <c r="M116" i="14"/>
  <c r="M38" i="14"/>
  <c r="M138" i="14"/>
  <c r="M50" i="14"/>
  <c r="M74" i="14"/>
  <c r="M83" i="14"/>
  <c r="M24" i="14"/>
  <c r="M80" i="14"/>
  <c r="M54" i="14"/>
  <c r="M125" i="14"/>
  <c r="M36" i="14"/>
  <c r="M58" i="14"/>
  <c r="M91" i="14"/>
  <c r="M101" i="14"/>
  <c r="R81" i="14"/>
  <c r="M99" i="14"/>
  <c r="M106" i="14"/>
  <c r="M132" i="14"/>
  <c r="M66" i="14"/>
  <c r="M88" i="14"/>
  <c r="M60" i="14"/>
  <c r="M76" i="14"/>
  <c r="M34" i="14"/>
  <c r="M92" i="14"/>
  <c r="M145" i="14"/>
  <c r="M105" i="14"/>
  <c r="M62" i="14"/>
  <c r="M59" i="14"/>
  <c r="M65" i="14"/>
  <c r="M77" i="14"/>
  <c r="M134" i="14"/>
  <c r="M102" i="14"/>
  <c r="M141" i="14"/>
  <c r="M128" i="14"/>
  <c r="M122" i="14"/>
  <c r="M85" i="14"/>
  <c r="M35" i="14"/>
  <c r="M121" i="14"/>
  <c r="M64" i="14"/>
  <c r="O142" i="14" l="1"/>
  <c r="Q142" i="14" s="1"/>
  <c r="O139" i="14"/>
  <c r="Q139" i="14" s="1"/>
  <c r="H6" i="13"/>
  <c r="H19" i="13" s="1"/>
  <c r="L3" i="14"/>
  <c r="I3" i="14"/>
  <c r="H6" i="14"/>
  <c r="H19" i="14" s="1"/>
  <c r="N3" i="14"/>
  <c r="I3" i="13"/>
  <c r="J6" i="13"/>
  <c r="J19" i="13" s="1"/>
  <c r="N10" i="14"/>
  <c r="L4" i="14"/>
  <c r="O49" i="14"/>
  <c r="Q49" i="14" s="1"/>
  <c r="O71" i="14"/>
  <c r="Q71" i="14" s="1"/>
  <c r="Q112" i="14"/>
  <c r="O106" i="14"/>
  <c r="O16" i="14" s="1"/>
  <c r="O18" i="14" s="1"/>
  <c r="O126" i="14"/>
  <c r="Q126" i="14" s="1"/>
  <c r="O132" i="14"/>
  <c r="Q132" i="14" s="1"/>
  <c r="O95" i="14"/>
  <c r="Q95" i="14" s="1"/>
  <c r="O78" i="14"/>
  <c r="Q78" i="14" s="1"/>
  <c r="O135" i="14"/>
  <c r="Q135" i="14" s="1"/>
  <c r="O98" i="14"/>
  <c r="Q98" i="14" s="1"/>
  <c r="O148" i="14"/>
  <c r="Q148" i="14" s="1"/>
  <c r="O43" i="14"/>
  <c r="Q43" i="14" s="1"/>
  <c r="O83" i="14"/>
  <c r="Q83" i="14" s="1"/>
  <c r="Q102" i="14"/>
  <c r="O105" i="14"/>
  <c r="Q105" i="14" s="1"/>
  <c r="O64" i="14"/>
  <c r="Q64" i="14" s="1"/>
  <c r="O70" i="14"/>
  <c r="Q70" i="14" s="1"/>
  <c r="Q68" i="14"/>
  <c r="O36" i="14"/>
  <c r="Q36" i="14" s="1"/>
  <c r="O63" i="14"/>
  <c r="Q63" i="14" s="1"/>
  <c r="Q59" i="14"/>
  <c r="O137" i="14"/>
  <c r="Q137" i="14" s="1"/>
  <c r="Q101" i="14"/>
  <c r="Q79" i="14"/>
  <c r="O145" i="14"/>
  <c r="Q145" i="14" s="1"/>
  <c r="O108" i="14"/>
  <c r="Q108" i="14" s="1"/>
  <c r="Q28" i="14"/>
  <c r="O144" i="14"/>
  <c r="Q144" i="14" s="1"/>
  <c r="O33" i="14"/>
  <c r="Q33" i="14" s="1"/>
  <c r="O87" i="14"/>
  <c r="Q87" i="14" s="1"/>
  <c r="O116" i="14"/>
  <c r="Q116" i="14" s="1"/>
  <c r="O115" i="14"/>
  <c r="Q115" i="14" s="1"/>
  <c r="O150" i="14"/>
  <c r="Q150" i="14" s="1"/>
  <c r="Q80" i="14"/>
  <c r="O141" i="14"/>
  <c r="Q141" i="14" s="1"/>
  <c r="O120" i="14"/>
  <c r="Q120" i="14" s="1"/>
  <c r="O94" i="14"/>
  <c r="Q94" i="14" s="1"/>
  <c r="O147" i="14"/>
  <c r="Q147" i="14" s="1"/>
  <c r="O31" i="14"/>
  <c r="Q31" i="14" s="1"/>
  <c r="Q89" i="14"/>
  <c r="O125" i="14"/>
  <c r="Q125" i="14" s="1"/>
  <c r="O131" i="14"/>
  <c r="Q131" i="14" s="1"/>
  <c r="Q40" i="14"/>
  <c r="O44" i="14"/>
  <c r="Q44" i="14" s="1"/>
  <c r="O127" i="14"/>
  <c r="Q127" i="14" s="1"/>
  <c r="O119" i="14"/>
  <c r="Q119" i="14" s="1"/>
  <c r="O65" i="14"/>
  <c r="Q65" i="14" s="1"/>
  <c r="O97" i="14"/>
  <c r="Q97" i="14" s="1"/>
  <c r="O96" i="14"/>
  <c r="Q96" i="14" s="1"/>
  <c r="O67" i="14"/>
  <c r="Q67" i="14" s="1"/>
  <c r="O93" i="14"/>
  <c r="Q93" i="14" s="1"/>
  <c r="O24" i="14"/>
  <c r="O27" i="14"/>
  <c r="Q27" i="14" s="1"/>
  <c r="O47" i="14"/>
  <c r="Q47" i="14" s="1"/>
  <c r="O91" i="14"/>
  <c r="Q91" i="14" s="1"/>
  <c r="O25" i="14"/>
  <c r="Q25" i="14" s="1"/>
  <c r="O66" i="14"/>
  <c r="Q66" i="14" s="1"/>
  <c r="O136" i="14"/>
  <c r="Q136" i="14" s="1"/>
  <c r="O88" i="14"/>
  <c r="Q88" i="14" s="1"/>
  <c r="Q69" i="14"/>
  <c r="O128" i="14"/>
  <c r="Q128" i="14" s="1"/>
  <c r="O52" i="14"/>
  <c r="Q52" i="14" s="1"/>
  <c r="O114" i="14"/>
  <c r="Q114" i="14" s="1"/>
  <c r="O57" i="14"/>
  <c r="Q57" i="14" s="1"/>
  <c r="O107" i="14"/>
  <c r="Q107" i="14" s="1"/>
  <c r="Q60" i="14"/>
  <c r="O61" i="14"/>
  <c r="Q61" i="14" s="1"/>
  <c r="O56" i="14"/>
  <c r="Q56" i="14" s="1"/>
  <c r="O54" i="14"/>
  <c r="Q54" i="14" s="1"/>
  <c r="O122" i="14"/>
  <c r="Q122" i="14" s="1"/>
  <c r="O77" i="14"/>
  <c r="Q77" i="14" s="1"/>
  <c r="Q90" i="14"/>
  <c r="O109" i="14"/>
  <c r="Q109" i="14" s="1"/>
  <c r="O99" i="14"/>
  <c r="Q99" i="14" s="1"/>
  <c r="O42" i="14"/>
  <c r="Q42" i="14" s="1"/>
  <c r="O123" i="14"/>
  <c r="Q123" i="14" s="1"/>
  <c r="O35" i="14"/>
  <c r="Q35" i="14" s="1"/>
  <c r="I5" i="13"/>
  <c r="I5" i="14"/>
  <c r="O103" i="14"/>
  <c r="Q103" i="14" s="1"/>
  <c r="Q39" i="14"/>
  <c r="T5" i="13"/>
  <c r="T5" i="14"/>
  <c r="O23" i="14"/>
  <c r="Q23" i="14" s="1"/>
  <c r="T3" i="13"/>
  <c r="O48" i="14"/>
  <c r="Q48" i="14" s="1"/>
  <c r="O146" i="14"/>
  <c r="Q146" i="14" s="1"/>
  <c r="O76" i="14"/>
  <c r="Q76" i="14" s="1"/>
  <c r="O121" i="14"/>
  <c r="Q121" i="14" s="1"/>
  <c r="O62" i="14"/>
  <c r="Q62" i="14" s="1"/>
  <c r="O37" i="14"/>
  <c r="Q37" i="14" s="1"/>
  <c r="N4" i="14"/>
  <c r="I4" i="13"/>
  <c r="O74" i="14"/>
  <c r="Q74" i="14" s="1"/>
  <c r="O84" i="14"/>
  <c r="Q84" i="14" s="1"/>
  <c r="O34" i="14"/>
  <c r="Q34" i="14" s="1"/>
  <c r="Q111" i="14"/>
  <c r="S81" i="14"/>
  <c r="O134" i="14"/>
  <c r="Q134" i="14" s="1"/>
  <c r="T4" i="13"/>
  <c r="O92" i="14"/>
  <c r="Q92" i="14" s="1"/>
  <c r="N3" i="13"/>
  <c r="O75" i="14"/>
  <c r="Q75" i="14" s="1"/>
  <c r="O124" i="14"/>
  <c r="Q124" i="14" s="1"/>
  <c r="O55" i="14"/>
  <c r="Q55" i="14" s="1"/>
  <c r="O50" i="14"/>
  <c r="Q50" i="14" s="1"/>
  <c r="O72" i="14"/>
  <c r="Q72" i="14" s="1"/>
  <c r="N5" i="13"/>
  <c r="N5" i="14"/>
  <c r="O58" i="14"/>
  <c r="Q58" i="14" s="1"/>
  <c r="T4" i="14"/>
  <c r="N4" i="13"/>
  <c r="O85" i="14"/>
  <c r="Q85" i="14" s="1"/>
  <c r="O118" i="14"/>
  <c r="Q118" i="14" s="1"/>
  <c r="O110" i="14"/>
  <c r="Q110" i="14" s="1"/>
  <c r="O73" i="14"/>
  <c r="Q73" i="14" s="1"/>
  <c r="O138" i="14"/>
  <c r="Q138" i="14" s="1"/>
  <c r="O129" i="14"/>
  <c r="Q129" i="14" s="1"/>
  <c r="T3" i="14"/>
  <c r="L5" i="13"/>
  <c r="L5" i="14"/>
  <c r="L4" i="13"/>
  <c r="O38" i="14"/>
  <c r="Q38" i="14" s="1"/>
  <c r="L3" i="13"/>
  <c r="Q29" i="14"/>
  <c r="J6" i="14"/>
  <c r="J19" i="14" s="1"/>
  <c r="R42" i="14"/>
  <c r="M53" i="14"/>
  <c r="R49" i="14"/>
  <c r="R84" i="14"/>
  <c r="R89" i="14"/>
  <c r="R92" i="14"/>
  <c r="R94" i="14"/>
  <c r="R121" i="14"/>
  <c r="M86" i="14"/>
  <c r="R146" i="14"/>
  <c r="R118" i="14"/>
  <c r="R111" i="14"/>
  <c r="R135" i="14"/>
  <c r="R129" i="14"/>
  <c r="M104" i="14"/>
  <c r="R144" i="14"/>
  <c r="R132" i="14"/>
  <c r="R116" i="14"/>
  <c r="R54" i="14"/>
  <c r="R52" i="14"/>
  <c r="R119" i="14"/>
  <c r="R36" i="14"/>
  <c r="M149" i="14"/>
  <c r="R47" i="14"/>
  <c r="R107" i="14"/>
  <c r="M143" i="14"/>
  <c r="R147" i="14"/>
  <c r="M51" i="14"/>
  <c r="R93" i="14"/>
  <c r="R131" i="14"/>
  <c r="R27" i="14"/>
  <c r="R77" i="14"/>
  <c r="R62" i="14"/>
  <c r="R31" i="14"/>
  <c r="R123" i="14"/>
  <c r="M100" i="14"/>
  <c r="R40" i="14"/>
  <c r="R137" i="14"/>
  <c r="R124" i="14"/>
  <c r="R33" i="14"/>
  <c r="R35" i="14"/>
  <c r="M130" i="14"/>
  <c r="R50" i="14"/>
  <c r="R48" i="14"/>
  <c r="R39" i="14"/>
  <c r="R105" i="14"/>
  <c r="R56" i="14"/>
  <c r="M46" i="14"/>
  <c r="R101" i="14"/>
  <c r="M117" i="14"/>
  <c r="R88" i="14"/>
  <c r="M32" i="14"/>
  <c r="R128" i="14"/>
  <c r="R125" i="14"/>
  <c r="R61" i="14"/>
  <c r="R57" i="14"/>
  <c r="R138" i="14"/>
  <c r="R58" i="14"/>
  <c r="R98" i="14"/>
  <c r="M41" i="14"/>
  <c r="R136" i="14"/>
  <c r="R59" i="14"/>
  <c r="R34" i="14"/>
  <c r="R60" i="14"/>
  <c r="R63" i="14"/>
  <c r="R91" i="14"/>
  <c r="R139" i="14"/>
  <c r="M113" i="14"/>
  <c r="R109" i="14"/>
  <c r="R66" i="14"/>
  <c r="M26" i="14"/>
  <c r="R122" i="14"/>
  <c r="R37" i="14"/>
  <c r="R44" i="14"/>
  <c r="M82" i="14"/>
  <c r="R134" i="14"/>
  <c r="R23" i="14"/>
  <c r="R148" i="14"/>
  <c r="R43" i="14"/>
  <c r="R127" i="14"/>
  <c r="R110" i="14"/>
  <c r="R78" i="14"/>
  <c r="R115" i="14"/>
  <c r="R69" i="14"/>
  <c r="R150" i="14"/>
  <c r="R64" i="14"/>
  <c r="R145" i="14"/>
  <c r="R67" i="14"/>
  <c r="R142" i="14"/>
  <c r="R55" i="14"/>
  <c r="R126" i="14"/>
  <c r="R68" i="14"/>
  <c r="R114" i="14"/>
  <c r="M140" i="14"/>
  <c r="R29" i="14"/>
  <c r="R65" i="14"/>
  <c r="R25" i="14"/>
  <c r="R97" i="14"/>
  <c r="R71" i="14"/>
  <c r="R28" i="14"/>
  <c r="R70" i="14"/>
  <c r="R80" i="14"/>
  <c r="R108" i="14"/>
  <c r="R96" i="14"/>
  <c r="R85" i="14"/>
  <c r="R38" i="14"/>
  <c r="R87" i="14"/>
  <c r="R83" i="14"/>
  <c r="R90" i="14"/>
  <c r="M45" i="14"/>
  <c r="R76" i="14"/>
  <c r="R79" i="14"/>
  <c r="R102" i="14"/>
  <c r="R103" i="14"/>
  <c r="R141" i="14"/>
  <c r="M133" i="14"/>
  <c r="R120" i="14"/>
  <c r="R99" i="14"/>
  <c r="R112" i="14"/>
  <c r="R95" i="14"/>
  <c r="S142" i="14" l="1"/>
  <c r="S139" i="14"/>
  <c r="I6" i="14"/>
  <c r="I19" i="14" s="1"/>
  <c r="L6" i="14"/>
  <c r="L19" i="14" s="1"/>
  <c r="N6" i="13"/>
  <c r="N19" i="13" s="1"/>
  <c r="I6" i="13"/>
  <c r="I19" i="13" s="1"/>
  <c r="N6" i="14"/>
  <c r="N19" i="14" s="1"/>
  <c r="N265" i="14" s="1"/>
  <c r="T6" i="14"/>
  <c r="T19" i="14" s="1"/>
  <c r="T265" i="14" s="1"/>
  <c r="Q106" i="14"/>
  <c r="O149" i="14"/>
  <c r="Q149" i="14" s="1"/>
  <c r="O143" i="14"/>
  <c r="Q143" i="14" s="1"/>
  <c r="O26" i="14"/>
  <c r="Q26" i="14" s="1"/>
  <c r="M3" i="13"/>
  <c r="O113" i="14"/>
  <c r="Q113" i="14" s="1"/>
  <c r="O100" i="14"/>
  <c r="Q100" i="14" s="1"/>
  <c r="O51" i="14"/>
  <c r="Q51" i="14" s="1"/>
  <c r="O46" i="14"/>
  <c r="Q46" i="14" s="1"/>
  <c r="M4" i="14"/>
  <c r="O41" i="14"/>
  <c r="O4" i="13" s="1"/>
  <c r="M4" i="13"/>
  <c r="O117" i="14"/>
  <c r="Q117" i="14" s="1"/>
  <c r="O133" i="14"/>
  <c r="Q133" i="14" s="1"/>
  <c r="O140" i="14"/>
  <c r="Q140" i="14" s="1"/>
  <c r="O130" i="14"/>
  <c r="Q130" i="14" s="1"/>
  <c r="O86" i="14"/>
  <c r="Q86" i="14" s="1"/>
  <c r="O82" i="14"/>
  <c r="Q82" i="14" s="1"/>
  <c r="M5" i="13"/>
  <c r="M5" i="14"/>
  <c r="O45" i="14"/>
  <c r="Q45" i="14" s="1"/>
  <c r="M3" i="14"/>
  <c r="O32" i="14"/>
  <c r="O104" i="14"/>
  <c r="Q104" i="14" s="1"/>
  <c r="O53" i="14"/>
  <c r="Q53" i="14" s="1"/>
  <c r="S38" i="14"/>
  <c r="S85" i="14"/>
  <c r="S58" i="14"/>
  <c r="S50" i="14"/>
  <c r="S123" i="14"/>
  <c r="S60" i="14"/>
  <c r="S91" i="14"/>
  <c r="S125" i="14"/>
  <c r="S92" i="14"/>
  <c r="S62" i="14"/>
  <c r="S42" i="14"/>
  <c r="S99" i="14"/>
  <c r="S122" i="14"/>
  <c r="S107" i="14"/>
  <c r="S52" i="14"/>
  <c r="S69" i="14"/>
  <c r="S47" i="14"/>
  <c r="S97" i="14"/>
  <c r="S44" i="14"/>
  <c r="S89" i="14"/>
  <c r="S120" i="14"/>
  <c r="S115" i="14"/>
  <c r="S144" i="14"/>
  <c r="S79" i="14"/>
  <c r="S63" i="14"/>
  <c r="S64" i="14"/>
  <c r="S43" i="14"/>
  <c r="S78" i="14"/>
  <c r="S138" i="14"/>
  <c r="S146" i="14"/>
  <c r="S124" i="14"/>
  <c r="S134" i="14"/>
  <c r="S109" i="14"/>
  <c r="S57" i="14"/>
  <c r="S66" i="14"/>
  <c r="S27" i="14"/>
  <c r="S93" i="14"/>
  <c r="S65" i="14"/>
  <c r="S40" i="14"/>
  <c r="S31" i="14"/>
  <c r="S141" i="14"/>
  <c r="S116" i="14"/>
  <c r="S28" i="14"/>
  <c r="S101" i="14"/>
  <c r="S36" i="14"/>
  <c r="S105" i="14"/>
  <c r="S148" i="14"/>
  <c r="S95" i="14"/>
  <c r="S71" i="14"/>
  <c r="S111" i="14"/>
  <c r="S74" i="14"/>
  <c r="S23" i="14"/>
  <c r="S103" i="14"/>
  <c r="S77" i="14"/>
  <c r="S128" i="14"/>
  <c r="S88" i="14"/>
  <c r="S96" i="14"/>
  <c r="S15" i="14" s="1"/>
  <c r="S18" i="14" s="1"/>
  <c r="S127" i="14"/>
  <c r="S94" i="14"/>
  <c r="S150" i="14"/>
  <c r="S33" i="14"/>
  <c r="S145" i="14"/>
  <c r="S59" i="14"/>
  <c r="S70" i="14"/>
  <c r="S83" i="14"/>
  <c r="S135" i="14"/>
  <c r="S126" i="14"/>
  <c r="S34" i="14"/>
  <c r="S29" i="14"/>
  <c r="S55" i="14"/>
  <c r="S129" i="14"/>
  <c r="S110" i="14"/>
  <c r="S121" i="14"/>
  <c r="S48" i="14"/>
  <c r="S54" i="14"/>
  <c r="L6" i="13"/>
  <c r="L19" i="13" s="1"/>
  <c r="S118" i="14"/>
  <c r="S72" i="14"/>
  <c r="S84" i="14"/>
  <c r="S13" i="14" s="1"/>
  <c r="S14" i="14" s="1"/>
  <c r="S37" i="14"/>
  <c r="S76" i="14"/>
  <c r="T6" i="13"/>
  <c r="T19" i="13" s="1"/>
  <c r="S39" i="14"/>
  <c r="S35" i="14"/>
  <c r="S90" i="14"/>
  <c r="S56" i="14"/>
  <c r="S61" i="14"/>
  <c r="S114" i="14"/>
  <c r="S136" i="14"/>
  <c r="S25" i="14"/>
  <c r="Q24" i="14"/>
  <c r="S67" i="14"/>
  <c r="S119" i="14"/>
  <c r="S131" i="14"/>
  <c r="S147" i="14"/>
  <c r="S80" i="14"/>
  <c r="S87" i="14"/>
  <c r="S108" i="14"/>
  <c r="S137" i="14"/>
  <c r="S68" i="14"/>
  <c r="S102" i="14"/>
  <c r="S98" i="14"/>
  <c r="S132" i="14"/>
  <c r="S112" i="14"/>
  <c r="S49" i="14"/>
  <c r="R133" i="14"/>
  <c r="R130" i="14"/>
  <c r="R53" i="14"/>
  <c r="R149" i="14"/>
  <c r="R24" i="14"/>
  <c r="R113" i="14"/>
  <c r="R46" i="14"/>
  <c r="R75" i="14"/>
  <c r="R106" i="14"/>
  <c r="R140" i="14"/>
  <c r="R45" i="14"/>
  <c r="R143" i="14"/>
  <c r="R117" i="14"/>
  <c r="R82" i="14"/>
  <c r="R104" i="14"/>
  <c r="R26" i="14"/>
  <c r="R86" i="14"/>
  <c r="R73" i="14"/>
  <c r="R51" i="14"/>
  <c r="R100" i="14"/>
  <c r="O3" i="13" l="1"/>
  <c r="S106" i="14"/>
  <c r="M6" i="13"/>
  <c r="M19" i="13" s="1"/>
  <c r="R5" i="13"/>
  <c r="I7" i="3" s="1"/>
  <c r="M7" i="3" s="1"/>
  <c r="Q7" i="3" s="1"/>
  <c r="R5" i="14"/>
  <c r="S73" i="14"/>
  <c r="S75" i="14"/>
  <c r="Q5" i="14"/>
  <c r="S45" i="14"/>
  <c r="Q5" i="13"/>
  <c r="H7" i="3" s="1"/>
  <c r="S130" i="14"/>
  <c r="S46" i="14"/>
  <c r="S51" i="14"/>
  <c r="S26" i="14"/>
  <c r="S24" i="14"/>
  <c r="Q32" i="14"/>
  <c r="Q3" i="14" s="1"/>
  <c r="O3" i="14"/>
  <c r="S117" i="14"/>
  <c r="M6" i="14"/>
  <c r="M19" i="14" s="1"/>
  <c r="M265" i="14" s="1"/>
  <c r="S53" i="14"/>
  <c r="S9" i="14" s="1"/>
  <c r="S10" i="14" s="1"/>
  <c r="S82" i="14"/>
  <c r="S140" i="14"/>
  <c r="Q41" i="14"/>
  <c r="O4" i="14"/>
  <c r="S100" i="14"/>
  <c r="S143" i="14"/>
  <c r="S104" i="14"/>
  <c r="O5" i="14"/>
  <c r="O5" i="13"/>
  <c r="S86" i="14"/>
  <c r="S133" i="14"/>
  <c r="S113" i="14"/>
  <c r="S149" i="14"/>
  <c r="R32" i="14"/>
  <c r="R41" i="14"/>
  <c r="O6" i="13" l="1"/>
  <c r="O19" i="13" s="1"/>
  <c r="O6" i="14"/>
  <c r="O19" i="14" s="1"/>
  <c r="R3" i="14"/>
  <c r="R3" i="13"/>
  <c r="R4" i="14"/>
  <c r="R4" i="13"/>
  <c r="I6" i="3" s="1"/>
  <c r="M6" i="3" s="1"/>
  <c r="Q6" i="3" s="1"/>
  <c r="S5" i="13"/>
  <c r="S5" i="14"/>
  <c r="S32" i="14"/>
  <c r="S3" i="14" s="1"/>
  <c r="S41" i="14"/>
  <c r="Q4" i="14"/>
  <c r="Q6" i="14" s="1"/>
  <c r="Q4" i="13"/>
  <c r="H6" i="3" s="1"/>
  <c r="Q3" i="13"/>
  <c r="S3" i="13" l="1"/>
  <c r="R6" i="14"/>
  <c r="R19" i="14" s="1"/>
  <c r="S4" i="14"/>
  <c r="S6" i="14" s="1"/>
  <c r="S19" i="14" s="1"/>
  <c r="S265" i="14" s="1"/>
  <c r="J265" i="14" s="1"/>
  <c r="S4" i="13"/>
  <c r="Q6" i="13"/>
  <c r="Q19" i="13" s="1"/>
  <c r="H5" i="3"/>
  <c r="H17" i="3" s="1"/>
  <c r="Q19" i="14"/>
  <c r="I5" i="3"/>
  <c r="R6" i="13"/>
  <c r="R19" i="13" s="1"/>
  <c r="S6" i="13" l="1"/>
  <c r="S19" i="13" s="1"/>
  <c r="M5" i="3"/>
  <c r="M17" i="3" s="1"/>
  <c r="I17" i="3"/>
</calcChain>
</file>

<file path=xl/comments1.xml><?xml version="1.0" encoding="utf-8"?>
<comments xmlns="http://schemas.openxmlformats.org/spreadsheetml/2006/main">
  <authors>
    <author>Michael McRae</author>
  </authors>
  <commentList>
    <comment ref="Q18" authorId="0" shapeId="0">
      <text>
        <r>
          <rPr>
            <b/>
            <sz val="9"/>
            <color indexed="81"/>
            <rFont val="Tahoma"/>
            <charset val="1"/>
          </rPr>
          <t>Michael McRae:</t>
        </r>
        <r>
          <rPr>
            <sz val="9"/>
            <color indexed="81"/>
            <rFont val="Tahoma"/>
            <charset val="1"/>
          </rPr>
          <t xml:space="preserve">
NetOrigin renew Magma Computing domain</t>
        </r>
      </text>
    </comment>
    <comment ref="M19" authorId="0" shapeId="0">
      <text>
        <r>
          <rPr>
            <b/>
            <sz val="9"/>
            <color indexed="81"/>
            <rFont val="Tahoma"/>
            <charset val="1"/>
          </rPr>
          <t>Michael McRae:</t>
        </r>
        <r>
          <rPr>
            <sz val="9"/>
            <color indexed="81"/>
            <rFont val="Tahoma"/>
            <charset val="1"/>
          </rPr>
          <t xml:space="preserve">
Broker Fee</t>
        </r>
      </text>
    </comment>
    <comment ref="O19" authorId="0" shapeId="0">
      <text>
        <r>
          <rPr>
            <b/>
            <sz val="9"/>
            <color indexed="81"/>
            <rFont val="Tahoma"/>
            <charset val="1"/>
          </rPr>
          <t>Michael McRae:</t>
        </r>
        <r>
          <rPr>
            <sz val="9"/>
            <color indexed="81"/>
            <rFont val="Tahoma"/>
            <charset val="1"/>
          </rPr>
          <t xml:space="preserve">
Stamp Duty</t>
        </r>
      </text>
    </comment>
    <comment ref="AQ121" authorId="0" shapeId="0">
      <text>
        <r>
          <rPr>
            <b/>
            <sz val="9"/>
            <color indexed="81"/>
            <rFont val="Tahoma"/>
            <charset val="1"/>
          </rPr>
          <t>Michael McRae:</t>
        </r>
        <r>
          <rPr>
            <sz val="9"/>
            <color indexed="81"/>
            <rFont val="Tahoma"/>
            <charset val="1"/>
          </rPr>
          <t xml:space="preserve">
Remission of general interest charge 27-Oct</t>
        </r>
      </text>
    </comment>
    <comment ref="AS291" authorId="0" shapeId="0">
      <text>
        <r>
          <rPr>
            <b/>
            <sz val="9"/>
            <color indexed="81"/>
            <rFont val="Tahoma"/>
            <charset val="1"/>
          </rPr>
          <t>Michael McRae:</t>
        </r>
        <r>
          <rPr>
            <sz val="9"/>
            <color indexed="81"/>
            <rFont val="Tahoma"/>
            <charset val="1"/>
          </rPr>
          <t xml:space="preserve">
paid to George, Taggle travel expenses</t>
        </r>
      </text>
    </comment>
  </commentList>
</comments>
</file>

<file path=xl/comments2.xml><?xml version="1.0" encoding="utf-8"?>
<comments xmlns="http://schemas.openxmlformats.org/spreadsheetml/2006/main">
  <authors>
    <author>Michael McRae</author>
  </authors>
  <commentList>
    <comment ref="E383" authorId="0" shapeId="0">
      <text>
        <r>
          <rPr>
            <b/>
            <sz val="9"/>
            <color indexed="81"/>
            <rFont val="Tahoma"/>
            <charset val="1"/>
          </rPr>
          <t>Michael McRae:</t>
        </r>
        <r>
          <rPr>
            <sz val="9"/>
            <color indexed="81"/>
            <rFont val="Tahoma"/>
            <charset val="1"/>
          </rPr>
          <t xml:space="preserve">
Underpaid</t>
        </r>
      </text>
    </comment>
    <comment ref="E392" authorId="0" shapeId="0">
      <text>
        <r>
          <rPr>
            <b/>
            <sz val="9"/>
            <color indexed="81"/>
            <rFont val="Tahoma"/>
            <charset val="1"/>
          </rPr>
          <t>Michael McRae:</t>
        </r>
        <r>
          <rPr>
            <sz val="9"/>
            <color indexed="81"/>
            <rFont val="Tahoma"/>
            <charset val="1"/>
          </rPr>
          <t xml:space="preserve">
overpaid</t>
        </r>
      </text>
    </comment>
  </commentList>
</comments>
</file>

<file path=xl/sharedStrings.xml><?xml version="1.0" encoding="utf-8"?>
<sst xmlns="http://schemas.openxmlformats.org/spreadsheetml/2006/main" count="3726" uniqueCount="929">
  <si>
    <t xml:space="preserve">Receipts Journal </t>
  </si>
  <si>
    <t>G.S.T.</t>
  </si>
  <si>
    <t>Dy</t>
  </si>
  <si>
    <t>Invoice</t>
  </si>
  <si>
    <t>Customer</t>
  </si>
  <si>
    <t>Project</t>
  </si>
  <si>
    <t>Services</t>
  </si>
  <si>
    <t>Expenses</t>
  </si>
  <si>
    <t>Receipts</t>
  </si>
  <si>
    <t>Free</t>
  </si>
  <si>
    <t>Banked</t>
  </si>
  <si>
    <t>Jul</t>
  </si>
  <si>
    <t>Aug</t>
  </si>
  <si>
    <t>Sep</t>
  </si>
  <si>
    <t>Quarter 1</t>
  </si>
  <si>
    <t>Oct</t>
  </si>
  <si>
    <t>Nov</t>
  </si>
  <si>
    <t>Dec</t>
  </si>
  <si>
    <t>Quarter 2</t>
  </si>
  <si>
    <t>Jan</t>
  </si>
  <si>
    <t>Feb</t>
  </si>
  <si>
    <t>Mar</t>
  </si>
  <si>
    <t>Quarter 3</t>
  </si>
  <si>
    <t>Apr</t>
  </si>
  <si>
    <t>May</t>
  </si>
  <si>
    <t>Jun</t>
  </si>
  <si>
    <t>Quarter 4</t>
  </si>
  <si>
    <t>YTD Totals</t>
  </si>
  <si>
    <t>Payments Journal</t>
  </si>
  <si>
    <t>GST</t>
  </si>
  <si>
    <t>Phone</t>
  </si>
  <si>
    <t>Pay</t>
  </si>
  <si>
    <t>Subcontract</t>
  </si>
  <si>
    <t xml:space="preserve">Super </t>
  </si>
  <si>
    <t>Admin</t>
  </si>
  <si>
    <t>Tax</t>
  </si>
  <si>
    <t>Training</t>
  </si>
  <si>
    <t>Travel</t>
  </si>
  <si>
    <t>Balance</t>
  </si>
  <si>
    <t>Total Paid</t>
  </si>
  <si>
    <t>Day</t>
  </si>
  <si>
    <t>To Whom</t>
  </si>
  <si>
    <t>Description</t>
  </si>
  <si>
    <t>Capital</t>
  </si>
  <si>
    <t>Non-Cap</t>
  </si>
  <si>
    <t>Reimburse</t>
  </si>
  <si>
    <t>Accom</t>
  </si>
  <si>
    <t>Airfare</t>
  </si>
  <si>
    <t>Car</t>
  </si>
  <si>
    <t>Company</t>
  </si>
  <si>
    <t>Equip</t>
  </si>
  <si>
    <t>Fees</t>
  </si>
  <si>
    <t>Insurances</t>
  </si>
  <si>
    <t>Internet</t>
  </si>
  <si>
    <t>Loan</t>
  </si>
  <si>
    <t>MAM</t>
  </si>
  <si>
    <t>JEC</t>
  </si>
  <si>
    <t>CRP</t>
  </si>
  <si>
    <t>SM</t>
  </si>
  <si>
    <t>RPG</t>
  </si>
  <si>
    <t>Allowance</t>
  </si>
  <si>
    <t>Sacrifice</t>
  </si>
  <si>
    <t>Contract</t>
  </si>
  <si>
    <t>PAYG</t>
  </si>
  <si>
    <t>MCS</t>
  </si>
  <si>
    <t>Income</t>
  </si>
  <si>
    <t>Opening Balance</t>
  </si>
  <si>
    <t>Commonwealth Bank</t>
  </si>
  <si>
    <t>Michael McRae</t>
  </si>
  <si>
    <t>Giselle</t>
  </si>
  <si>
    <t>Taggle</t>
  </si>
  <si>
    <t>Total for July</t>
  </si>
  <si>
    <t>Total for August</t>
  </si>
  <si>
    <t>Total for September</t>
  </si>
  <si>
    <t xml:space="preserve">   Quarter 1</t>
  </si>
  <si>
    <t>Total for October</t>
  </si>
  <si>
    <t>Total for November</t>
  </si>
  <si>
    <t>Total for December</t>
  </si>
  <si>
    <t xml:space="preserve">   Quarter 2</t>
  </si>
  <si>
    <t>Total for January</t>
  </si>
  <si>
    <t>Total for February</t>
  </si>
  <si>
    <t>Total for March</t>
  </si>
  <si>
    <t xml:space="preserve">   Quarter 3</t>
  </si>
  <si>
    <t>Total for April</t>
  </si>
  <si>
    <t>Total for May</t>
  </si>
  <si>
    <t>Total for June</t>
  </si>
  <si>
    <t xml:space="preserve">   Quarter 4</t>
  </si>
  <si>
    <t>Closing Balance</t>
  </si>
  <si>
    <t>.</t>
  </si>
  <si>
    <t>Input</t>
  </si>
  <si>
    <t>Total</t>
  </si>
  <si>
    <t>Payg</t>
  </si>
  <si>
    <t>Earn-</t>
  </si>
  <si>
    <t>@</t>
  </si>
  <si>
    <t>=</t>
  </si>
  <si>
    <t>Date</t>
  </si>
  <si>
    <t>(inc GST)</t>
  </si>
  <si>
    <t>Payable</t>
  </si>
  <si>
    <t>Purch</t>
  </si>
  <si>
    <t>Credits</t>
  </si>
  <si>
    <t>Net</t>
  </si>
  <si>
    <t>Salary</t>
  </si>
  <si>
    <t>W'Held</t>
  </si>
  <si>
    <t>ings</t>
  </si>
  <si>
    <t>%</t>
  </si>
  <si>
    <t>Due</t>
  </si>
  <si>
    <t>Paid</t>
  </si>
  <si>
    <t>M1</t>
  </si>
  <si>
    <t>M2</t>
  </si>
  <si>
    <t>Q1</t>
  </si>
  <si>
    <t>M4</t>
  </si>
  <si>
    <t>M5</t>
  </si>
  <si>
    <t>Q2</t>
  </si>
  <si>
    <t>M7</t>
  </si>
  <si>
    <t>M8</t>
  </si>
  <si>
    <t>Q3</t>
  </si>
  <si>
    <t>M10</t>
  </si>
  <si>
    <t>M11</t>
  </si>
  <si>
    <t>Q4</t>
  </si>
  <si>
    <t>YTD</t>
  </si>
  <si>
    <t>Invoices</t>
  </si>
  <si>
    <t>Totals</t>
  </si>
  <si>
    <t>Column1</t>
  </si>
  <si>
    <t>Column2</t>
  </si>
  <si>
    <t>Column3</t>
  </si>
  <si>
    <t>Who</t>
  </si>
  <si>
    <t>Units</t>
  </si>
  <si>
    <t>Invc'd</t>
  </si>
  <si>
    <t>Rate</t>
  </si>
  <si>
    <t>Amt</t>
  </si>
  <si>
    <t>Extras</t>
  </si>
  <si>
    <t>GST Free</t>
  </si>
  <si>
    <t>UnPaid</t>
  </si>
  <si>
    <t>Sub</t>
  </si>
  <si>
    <t>Worker</t>
  </si>
  <si>
    <t>GST2</t>
  </si>
  <si>
    <t>SubInv'd</t>
  </si>
  <si>
    <t>Profit</t>
  </si>
  <si>
    <t>Agent</t>
  </si>
  <si>
    <t>Inv Period</t>
  </si>
  <si>
    <t>Paid Period</t>
  </si>
  <si>
    <t>75</t>
  </si>
  <si>
    <t>23</t>
  </si>
  <si>
    <t>76</t>
  </si>
  <si>
    <t>24</t>
  </si>
  <si>
    <t>10</t>
  </si>
  <si>
    <t>JOC</t>
  </si>
  <si>
    <t>55</t>
  </si>
  <si>
    <t>52</t>
  </si>
  <si>
    <t>57</t>
  </si>
  <si>
    <t>78</t>
  </si>
  <si>
    <t>25</t>
  </si>
  <si>
    <t>53</t>
  </si>
  <si>
    <t>79</t>
  </si>
  <si>
    <t>54</t>
  </si>
  <si>
    <t>26</t>
  </si>
  <si>
    <t>56</t>
  </si>
  <si>
    <t>20</t>
  </si>
  <si>
    <t>27</t>
  </si>
  <si>
    <t>58</t>
  </si>
  <si>
    <t>21</t>
  </si>
  <si>
    <t>22</t>
  </si>
  <si>
    <t>28</t>
  </si>
  <si>
    <t>60</t>
  </si>
  <si>
    <t>61</t>
  </si>
  <si>
    <t>29</t>
  </si>
  <si>
    <t>62</t>
  </si>
  <si>
    <t>77</t>
  </si>
  <si>
    <t>63</t>
  </si>
  <si>
    <t>30</t>
  </si>
  <si>
    <t>31</t>
  </si>
  <si>
    <t>Id</t>
  </si>
  <si>
    <t>Customer Name</t>
  </si>
  <si>
    <t>Billing Address</t>
  </si>
  <si>
    <t>Contact</t>
  </si>
  <si>
    <t xml:space="preserve"> </t>
  </si>
  <si>
    <t>0</t>
  </si>
  <si>
    <t>Taggle Systems</t>
  </si>
  <si>
    <t>Suite 201 National Innovation Centre, ATP,4 Cornwallis Street,Eveleigh NSW 2015</t>
  </si>
  <si>
    <t>John Quinn</t>
  </si>
  <si>
    <t>MLC</t>
  </si>
  <si>
    <t>Stephen Davey</t>
  </si>
  <si>
    <t>Adaps</t>
  </si>
  <si>
    <t>DWS</t>
  </si>
  <si>
    <t>QBE</t>
  </si>
  <si>
    <t>Level 9, 82 Pitt Street, 2000</t>
  </si>
  <si>
    <t>Ray Cooksley</t>
  </si>
  <si>
    <t>Utelco</t>
  </si>
  <si>
    <t>Interpro</t>
  </si>
  <si>
    <t>Radius Solutions Group</t>
  </si>
  <si>
    <t>Marie Roudenko</t>
  </si>
  <si>
    <t>PMWorks</t>
  </si>
  <si>
    <t>Suite 101, Level 1 22-24 Atchison Street, St Leonards</t>
  </si>
  <si>
    <t>Steven Gill</t>
  </si>
  <si>
    <t>Cornerstone</t>
  </si>
  <si>
    <t>Avantis</t>
  </si>
  <si>
    <t>Alice Lumkin</t>
  </si>
  <si>
    <t>CCA</t>
  </si>
  <si>
    <t>David Frizzell</t>
  </si>
  <si>
    <t>40</t>
  </si>
  <si>
    <t>Level 1, 85 Harrington Street, The Rocks</t>
  </si>
  <si>
    <t>Maurice Leung</t>
  </si>
  <si>
    <t>42</t>
  </si>
  <si>
    <t>DataStage Training</t>
  </si>
  <si>
    <t>43</t>
  </si>
  <si>
    <t>Data Agility</t>
  </si>
  <si>
    <t>Level 17, 60 Albert Road, South Melbourne</t>
  </si>
  <si>
    <t>Mal Collins</t>
  </si>
  <si>
    <t>44</t>
  </si>
  <si>
    <t>Sapphire</t>
  </si>
  <si>
    <t>Caroline Casey</t>
  </si>
  <si>
    <t>45</t>
  </si>
  <si>
    <t>Satyam</t>
  </si>
  <si>
    <t>46</t>
  </si>
  <si>
    <t>InfoPeople</t>
  </si>
  <si>
    <t>Betty Mouawad</t>
  </si>
  <si>
    <t>50</t>
  </si>
  <si>
    <t>Adaptra</t>
  </si>
  <si>
    <t>Steve Rapley</t>
  </si>
  <si>
    <t>51</t>
  </si>
  <si>
    <t>Nova IT</t>
  </si>
  <si>
    <t>Experis</t>
  </si>
  <si>
    <t>RXP Services</t>
  </si>
  <si>
    <t>Stephen Wayne</t>
  </si>
  <si>
    <t>Certus</t>
  </si>
  <si>
    <t>Jacqui Woods</t>
  </si>
  <si>
    <t>M&amp;T Resources</t>
  </si>
  <si>
    <t>Finite</t>
  </si>
  <si>
    <t>Talent International</t>
  </si>
  <si>
    <t>HP</t>
  </si>
  <si>
    <t>Matt Dowling</t>
  </si>
  <si>
    <t>HCL</t>
  </si>
  <si>
    <t>Suparna Mallick</t>
  </si>
  <si>
    <t>CIT Professionals</t>
  </si>
  <si>
    <t>DB Group</t>
  </si>
  <si>
    <t>Ian Hillman</t>
  </si>
  <si>
    <t>70</t>
  </si>
  <si>
    <t>Capgemini</t>
  </si>
  <si>
    <t>71</t>
  </si>
  <si>
    <t>SuperChoice</t>
  </si>
  <si>
    <t>Ian Gibson</t>
  </si>
  <si>
    <t>72</t>
  </si>
  <si>
    <t>73</t>
  </si>
  <si>
    <t>MyGym Health and Fitness</t>
  </si>
  <si>
    <t>74</t>
  </si>
  <si>
    <t>Centennial Health Club</t>
  </si>
  <si>
    <t>Sydney Cricket and Sports Ground</t>
  </si>
  <si>
    <t>Norths</t>
  </si>
  <si>
    <t>All Sorts Fitness</t>
  </si>
  <si>
    <t>Dave Crossley</t>
  </si>
  <si>
    <t>Virgin Active</t>
  </si>
  <si>
    <t>North Shore Gym</t>
  </si>
  <si>
    <t>80</t>
  </si>
  <si>
    <t>University of Tasmania</t>
  </si>
  <si>
    <t>Brent Fieke</t>
  </si>
  <si>
    <t>90</t>
  </si>
  <si>
    <t>Miscellaneous</t>
  </si>
  <si>
    <t>99</t>
  </si>
  <si>
    <t>Magma Super</t>
  </si>
  <si>
    <t>Next</t>
  </si>
  <si>
    <t>Purchase Order</t>
  </si>
  <si>
    <t>1001</t>
  </si>
  <si>
    <t>Product Support / Documentation</t>
  </si>
  <si>
    <t>2001</t>
  </si>
  <si>
    <t>Encompass</t>
  </si>
  <si>
    <t>ETL Architect</t>
  </si>
  <si>
    <t>2101</t>
  </si>
  <si>
    <t>2201</t>
  </si>
  <si>
    <t>Trade-Up</t>
  </si>
  <si>
    <t>2301</t>
  </si>
  <si>
    <t>CTP Phase I</t>
  </si>
  <si>
    <t>scripting</t>
  </si>
  <si>
    <t>2302</t>
  </si>
  <si>
    <t>CTP Phase II</t>
  </si>
  <si>
    <t>programming</t>
  </si>
  <si>
    <t>2303</t>
  </si>
  <si>
    <t>CTP Phase III</t>
  </si>
  <si>
    <t>2304</t>
  </si>
  <si>
    <t>Bodily Injury</t>
  </si>
  <si>
    <t>2305</t>
  </si>
  <si>
    <t>Support</t>
  </si>
  <si>
    <t>Phani</t>
  </si>
  <si>
    <t>2306</t>
  </si>
  <si>
    <t>GIO support</t>
  </si>
  <si>
    <t>2310</t>
  </si>
  <si>
    <t>Sub-Contract</t>
  </si>
  <si>
    <t>Architect</t>
  </si>
  <si>
    <t>2401</t>
  </si>
  <si>
    <t>Telstra Wholesale</t>
  </si>
  <si>
    <t>DataStage Developer</t>
  </si>
  <si>
    <t>2501</t>
  </si>
  <si>
    <t>Bearing Point</t>
  </si>
  <si>
    <t>2502</t>
  </si>
  <si>
    <t>DataStage Technical Lead</t>
  </si>
  <si>
    <t>2601</t>
  </si>
  <si>
    <t>Lion Nathan</t>
  </si>
  <si>
    <t>2701</t>
  </si>
  <si>
    <t>2702</t>
  </si>
  <si>
    <t>2801</t>
  </si>
  <si>
    <t>DataStage Support</t>
  </si>
  <si>
    <t>2901</t>
  </si>
  <si>
    <t>3001</t>
  </si>
  <si>
    <t>SPCA</t>
  </si>
  <si>
    <t>Shyam</t>
  </si>
  <si>
    <t>3101</t>
  </si>
  <si>
    <t>SPCA Ardmona</t>
  </si>
  <si>
    <t>4001</t>
  </si>
  <si>
    <t>DataStage Architect</t>
  </si>
  <si>
    <t>4002</t>
  </si>
  <si>
    <t>4003</t>
  </si>
  <si>
    <t>TMF Assist</t>
  </si>
  <si>
    <t>4004</t>
  </si>
  <si>
    <t>Rehab Assist</t>
  </si>
  <si>
    <t>4101</t>
  </si>
  <si>
    <t>4102</t>
  </si>
  <si>
    <t>BCB Bank</t>
  </si>
  <si>
    <t>4201</t>
  </si>
  <si>
    <t>DataStage Enterprise Edition</t>
  </si>
  <si>
    <t>4301</t>
  </si>
  <si>
    <t>News Limited</t>
  </si>
  <si>
    <t>4401</t>
  </si>
  <si>
    <t>4501</t>
  </si>
  <si>
    <t>Telstra</t>
  </si>
  <si>
    <t>4502</t>
  </si>
  <si>
    <t>4503</t>
  </si>
  <si>
    <t>Telstra TR1</t>
  </si>
  <si>
    <t>4504</t>
  </si>
  <si>
    <t>Unilever</t>
  </si>
  <si>
    <t>4505</t>
  </si>
  <si>
    <t>4506</t>
  </si>
  <si>
    <t>Unilever Eswar</t>
  </si>
  <si>
    <t>4507</t>
  </si>
  <si>
    <t>Unilever Soma</t>
  </si>
  <si>
    <t>4508</t>
  </si>
  <si>
    <t>Standard Bank</t>
  </si>
  <si>
    <t>4509</t>
  </si>
  <si>
    <t>Telstra Trainees</t>
  </si>
  <si>
    <t>4510</t>
  </si>
  <si>
    <t>Suncorp</t>
  </si>
  <si>
    <t>DataStage Server Edition</t>
  </si>
  <si>
    <t>4601</t>
  </si>
  <si>
    <t>5001</t>
  </si>
  <si>
    <t>Genworth Financial</t>
  </si>
  <si>
    <t>Migration Architect</t>
  </si>
  <si>
    <t>5002</t>
  </si>
  <si>
    <t>ETL Developer</t>
  </si>
  <si>
    <t>5003</t>
  </si>
  <si>
    <t>NSW Law Society</t>
  </si>
  <si>
    <t>Migration Analysis</t>
  </si>
  <si>
    <t>5004</t>
  </si>
  <si>
    <t>IAG</t>
  </si>
  <si>
    <t>ClaimCenter BulkLoading</t>
  </si>
  <si>
    <t>5010</t>
  </si>
  <si>
    <t>5101</t>
  </si>
  <si>
    <t>5102</t>
  </si>
  <si>
    <t>5201</t>
  </si>
  <si>
    <t>IBM</t>
  </si>
  <si>
    <t>5301</t>
  </si>
  <si>
    <t>InfoSphere Information Server</t>
  </si>
  <si>
    <t>5401</t>
  </si>
  <si>
    <t>QSuper</t>
  </si>
  <si>
    <t>InfoSphere Information Server Developer</t>
  </si>
  <si>
    <t>5402</t>
  </si>
  <si>
    <t>5501</t>
  </si>
  <si>
    <t>Sparq</t>
  </si>
  <si>
    <t>5502</t>
  </si>
  <si>
    <t>Chandra incentive InfoSphere Information Server Developer</t>
  </si>
  <si>
    <t>5503</t>
  </si>
  <si>
    <t>Rajendra InfoSphere Information Server Developer</t>
  </si>
  <si>
    <t>5504</t>
  </si>
  <si>
    <t>NBN</t>
  </si>
  <si>
    <t>McRae ETL Tech Lead</t>
  </si>
  <si>
    <t>5505</t>
  </si>
  <si>
    <t>5506</t>
  </si>
  <si>
    <t>McRae InfoSphere Information Server Developer</t>
  </si>
  <si>
    <t>5507</t>
  </si>
  <si>
    <t>5601</t>
  </si>
  <si>
    <t>AMP</t>
  </si>
  <si>
    <t>Data Modeller (Giselle)</t>
  </si>
  <si>
    <t>5701</t>
  </si>
  <si>
    <t>6001</t>
  </si>
  <si>
    <t>6101</t>
  </si>
  <si>
    <t>6102</t>
  </si>
  <si>
    <t>6201</t>
  </si>
  <si>
    <t>EB Services</t>
  </si>
  <si>
    <t>DataWarehouse Consultant</t>
  </si>
  <si>
    <t>6301</t>
  </si>
  <si>
    <t>6302</t>
  </si>
  <si>
    <t>DB Results</t>
  </si>
  <si>
    <t>Special Project</t>
  </si>
  <si>
    <t>6303</t>
  </si>
  <si>
    <t>Transurban</t>
  </si>
  <si>
    <t>Oracle, DataStage</t>
  </si>
  <si>
    <t>7001</t>
  </si>
  <si>
    <t>SP-Ausnet</t>
  </si>
  <si>
    <t>DataStage</t>
  </si>
  <si>
    <t>7101</t>
  </si>
  <si>
    <t>ANZ</t>
  </si>
  <si>
    <t>Talend, SOW 3</t>
  </si>
  <si>
    <t>7201</t>
  </si>
  <si>
    <t>7301</t>
  </si>
  <si>
    <t>Fitness Instructor</t>
  </si>
  <si>
    <t>7401</t>
  </si>
  <si>
    <t>7501</t>
  </si>
  <si>
    <t>SCGT</t>
  </si>
  <si>
    <t>7601</t>
  </si>
  <si>
    <t>7701</t>
  </si>
  <si>
    <t>AllSorts</t>
  </si>
  <si>
    <t>7702</t>
  </si>
  <si>
    <t>Your Fitness</t>
  </si>
  <si>
    <t>7703</t>
  </si>
  <si>
    <t>7801</t>
  </si>
  <si>
    <t>Virgin Active - Moore Park</t>
  </si>
  <si>
    <t>7802</t>
  </si>
  <si>
    <t>Virgin Active - Pitt Street</t>
  </si>
  <si>
    <t>7901</t>
  </si>
  <si>
    <t>7902</t>
  </si>
  <si>
    <t>FitBodz</t>
  </si>
  <si>
    <t>7903</t>
  </si>
  <si>
    <t>8001</t>
  </si>
  <si>
    <t>UniVerse upgrade</t>
  </si>
  <si>
    <t>9000</t>
  </si>
  <si>
    <t>AlphaWest</t>
  </si>
  <si>
    <t>9900</t>
  </si>
  <si>
    <t>Account Balances</t>
  </si>
  <si>
    <t>Type</t>
  </si>
  <si>
    <t>Avail</t>
  </si>
  <si>
    <t>BSB</t>
  </si>
  <si>
    <t>A/C</t>
  </si>
  <si>
    <t>Commonwealth</t>
  </si>
  <si>
    <t>062-243</t>
  </si>
  <si>
    <t>1004 1652</t>
  </si>
  <si>
    <t xml:space="preserve">            Magma Total</t>
  </si>
  <si>
    <t>TFN</t>
  </si>
  <si>
    <t>92 461 338</t>
  </si>
  <si>
    <t>ABN</t>
  </si>
  <si>
    <t>54 072 965 256</t>
  </si>
  <si>
    <t>ACN</t>
  </si>
  <si>
    <t>072 965 256</t>
  </si>
  <si>
    <t>Debit</t>
  </si>
  <si>
    <t>Notes</t>
  </si>
  <si>
    <t>Amount</t>
  </si>
  <si>
    <t>Narrative</t>
  </si>
  <si>
    <t>Company Totals</t>
  </si>
  <si>
    <t>Mon</t>
  </si>
  <si>
    <t>Period</t>
  </si>
  <si>
    <t>Client</t>
  </si>
  <si>
    <t>Otime</t>
  </si>
  <si>
    <t>Invoiced</t>
  </si>
  <si>
    <t>-MgmtFee</t>
  </si>
  <si>
    <t>=Gross</t>
  </si>
  <si>
    <t>-Allowance</t>
  </si>
  <si>
    <t>-Sacrifice</t>
  </si>
  <si>
    <t>-Super</t>
  </si>
  <si>
    <t>-TopUp</t>
  </si>
  <si>
    <t>-Insurance</t>
  </si>
  <si>
    <t>-PayRollTax</t>
  </si>
  <si>
    <t>=Salary</t>
  </si>
  <si>
    <t>-Tax</t>
  </si>
  <si>
    <t>=Nett</t>
  </si>
  <si>
    <t>+Expenses</t>
  </si>
  <si>
    <t xml:space="preserve">  </t>
  </si>
  <si>
    <t>Emp ID:</t>
  </si>
  <si>
    <t>Pay Totals</t>
  </si>
  <si>
    <t>Employee</t>
  </si>
  <si>
    <t>Join</t>
  </si>
  <si>
    <t>EmpID</t>
  </si>
  <si>
    <t>Full Name</t>
  </si>
  <si>
    <t>PayDay</t>
  </si>
  <si>
    <t>*</t>
  </si>
  <si>
    <t>All Employees</t>
  </si>
  <si>
    <t>Chandra Raja Pandian</t>
  </si>
  <si>
    <t>KAI</t>
  </si>
  <si>
    <t>Sathya Mohan</t>
  </si>
  <si>
    <t>YU</t>
  </si>
  <si>
    <t>Pay Details</t>
  </si>
  <si>
    <t>Pay Table Lookup</t>
  </si>
  <si>
    <t>Emp</t>
  </si>
  <si>
    <t>Casual</t>
  </si>
  <si>
    <t>Gross</t>
  </si>
  <si>
    <t>Super</t>
  </si>
  <si>
    <t>TopUp</t>
  </si>
  <si>
    <t>Insurance</t>
  </si>
  <si>
    <t>PayRollTax</t>
  </si>
  <si>
    <t>Nett</t>
  </si>
  <si>
    <t>Summary</t>
  </si>
  <si>
    <t>Allow</t>
  </si>
  <si>
    <t>NonMonth</t>
  </si>
  <si>
    <t>Unit</t>
  </si>
  <si>
    <t>O'Time</t>
  </si>
  <si>
    <t>State</t>
  </si>
  <si>
    <t>Offset</t>
  </si>
  <si>
    <t>Comment</t>
  </si>
  <si>
    <t>SPARQ70</t>
  </si>
  <si>
    <t>SPARQ30</t>
  </si>
  <si>
    <t>MAGMA</t>
  </si>
  <si>
    <t>IAG40</t>
  </si>
  <si>
    <t>IAG50</t>
  </si>
  <si>
    <t>IAG10</t>
  </si>
  <si>
    <t>TAGGLE</t>
  </si>
  <si>
    <t>NBN2</t>
  </si>
  <si>
    <t>IAG51</t>
  </si>
  <si>
    <t>IAG09</t>
  </si>
  <si>
    <t>NEWS</t>
  </si>
  <si>
    <t>NAB</t>
  </si>
  <si>
    <t>IAG45</t>
  </si>
  <si>
    <t>IAG55</t>
  </si>
  <si>
    <t>Payments</t>
  </si>
  <si>
    <t>Detail</t>
  </si>
  <si>
    <t>Totals Due</t>
  </si>
  <si>
    <t>Allowances &amp; Expenses</t>
  </si>
  <si>
    <t>Earned?</t>
  </si>
  <si>
    <t>+LAFHA</t>
  </si>
  <si>
    <t>Special</t>
  </si>
  <si>
    <t>-NoReimburse</t>
  </si>
  <si>
    <t>-Reimburse</t>
  </si>
  <si>
    <t>(GST)</t>
  </si>
  <si>
    <t>(Cost)</t>
  </si>
  <si>
    <t>Non-Monthly Payers</t>
  </si>
  <si>
    <t>paid</t>
  </si>
  <si>
    <t>email</t>
  </si>
  <si>
    <t>Ending</t>
  </si>
  <si>
    <t>Other</t>
  </si>
  <si>
    <t>LAFHA</t>
  </si>
  <si>
    <t>(cab / rail)</t>
  </si>
  <si>
    <t>Food/Meals</t>
  </si>
  <si>
    <t>Mgmt</t>
  </si>
  <si>
    <t>Nobody</t>
  </si>
  <si>
    <t>M</t>
  </si>
  <si>
    <t>Daily</t>
  </si>
  <si>
    <t>N</t>
  </si>
  <si>
    <t>ARH</t>
  </si>
  <si>
    <t>AVANTIS</t>
  </si>
  <si>
    <t>SMB</t>
  </si>
  <si>
    <t>O</t>
  </si>
  <si>
    <t>BCB</t>
  </si>
  <si>
    <t>SRP</t>
  </si>
  <si>
    <t>Greythorn</t>
  </si>
  <si>
    <t>W</t>
  </si>
  <si>
    <t>Hourly</t>
  </si>
  <si>
    <t>C3</t>
  </si>
  <si>
    <t>RR</t>
  </si>
  <si>
    <t>Total Resource</t>
  </si>
  <si>
    <t>CBA</t>
  </si>
  <si>
    <t>CBA1</t>
  </si>
  <si>
    <t>Unknown</t>
  </si>
  <si>
    <t>CIS</t>
  </si>
  <si>
    <t>EB</t>
  </si>
  <si>
    <t>CIT</t>
  </si>
  <si>
    <t>COAL</t>
  </si>
  <si>
    <t>Auscoal</t>
  </si>
  <si>
    <t>Partner Sacrifice for CRP/SM</t>
  </si>
  <si>
    <t>CRP1</t>
  </si>
  <si>
    <t>CRP2</t>
  </si>
  <si>
    <t>SKR</t>
  </si>
  <si>
    <t>Partner Sacrifice for SRP/SKR</t>
  </si>
  <si>
    <t>CRP3</t>
  </si>
  <si>
    <t>CWB</t>
  </si>
  <si>
    <t>DUMMY</t>
  </si>
  <si>
    <t>Magma</t>
  </si>
  <si>
    <t>KMP</t>
  </si>
  <si>
    <t>SS</t>
  </si>
  <si>
    <t>EB1</t>
  </si>
  <si>
    <t>EXPERIS</t>
  </si>
  <si>
    <t>AP</t>
  </si>
  <si>
    <t>HCL2</t>
  </si>
  <si>
    <t>TMB</t>
  </si>
  <si>
    <t>PM Works</t>
  </si>
  <si>
    <t>A</t>
  </si>
  <si>
    <t>DataAgility</t>
  </si>
  <si>
    <t>F</t>
  </si>
  <si>
    <t>MTR</t>
  </si>
  <si>
    <t>QSUPER</t>
  </si>
  <si>
    <t>Q</t>
  </si>
  <si>
    <t>SATYAM</t>
  </si>
  <si>
    <t>EP</t>
  </si>
  <si>
    <t>V</t>
  </si>
  <si>
    <t>MK</t>
  </si>
  <si>
    <t>NK</t>
  </si>
  <si>
    <t>PK</t>
  </si>
  <si>
    <t>SATYAM_OS</t>
  </si>
  <si>
    <t>SATYAM1</t>
  </si>
  <si>
    <t>SATYAM2</t>
  </si>
  <si>
    <t>SATYAM3</t>
  </si>
  <si>
    <t>SATYAM4</t>
  </si>
  <si>
    <t>SATYAMtr</t>
  </si>
  <si>
    <t>SATYAMtr2</t>
  </si>
  <si>
    <t>SPA</t>
  </si>
  <si>
    <t>SPA1</t>
  </si>
  <si>
    <t>SPARQ100</t>
  </si>
  <si>
    <t>SPARQa70</t>
  </si>
  <si>
    <t>Bonus 1% for Rajendra</t>
  </si>
  <si>
    <t>SPARQa30</t>
  </si>
  <si>
    <t>Partner Sacrifice for SRP</t>
  </si>
  <si>
    <t>STANDARD</t>
  </si>
  <si>
    <t>SUNCORP</t>
  </si>
  <si>
    <t>ABD</t>
  </si>
  <si>
    <t>NovaIT</t>
  </si>
  <si>
    <t>TASUNI</t>
  </si>
  <si>
    <t>T</t>
  </si>
  <si>
    <t>TELSTRA</t>
  </si>
  <si>
    <t>TRAIN</t>
  </si>
  <si>
    <t>UNILEVER</t>
  </si>
  <si>
    <t>UNILEVER1</t>
  </si>
  <si>
    <t>SK</t>
  </si>
  <si>
    <t>URBAN</t>
  </si>
  <si>
    <t>HVO</t>
  </si>
  <si>
    <t>SPARQ</t>
  </si>
  <si>
    <t>AMP55</t>
  </si>
  <si>
    <t>AMP50</t>
  </si>
  <si>
    <t>AMP45</t>
  </si>
  <si>
    <t>AMP40</t>
  </si>
  <si>
    <t>M+</t>
  </si>
  <si>
    <t>AMP35</t>
  </si>
  <si>
    <t>AMP15</t>
  </si>
  <si>
    <t>AMP10</t>
  </si>
  <si>
    <t>AMP05</t>
  </si>
  <si>
    <t>IAG05</t>
  </si>
  <si>
    <t>Director</t>
  </si>
  <si>
    <t>One-off</t>
  </si>
  <si>
    <t>NoAdmin</t>
  </si>
  <si>
    <t>Fee</t>
  </si>
  <si>
    <t>GEO</t>
  </si>
  <si>
    <t>Hanieh Akhlaghi</t>
  </si>
  <si>
    <t>5801</t>
  </si>
  <si>
    <t>1002</t>
  </si>
  <si>
    <t>Technical Support</t>
  </si>
  <si>
    <t>IAG70</t>
  </si>
  <si>
    <t>IAG30</t>
  </si>
  <si>
    <t>George Zisis</t>
  </si>
  <si>
    <t>Life Changing Experience</t>
  </si>
  <si>
    <t>IAG100</t>
  </si>
  <si>
    <t>Sum of Amt</t>
  </si>
  <si>
    <t>Grand Total</t>
  </si>
  <si>
    <t>Month</t>
  </si>
  <si>
    <t>QJZ</t>
  </si>
  <si>
    <t>ANZ65</t>
  </si>
  <si>
    <t>ANZ25</t>
  </si>
  <si>
    <t>ANZ10</t>
  </si>
  <si>
    <t>ANZ75</t>
  </si>
  <si>
    <t>ANZ20</t>
  </si>
  <si>
    <t>ANZ05</t>
  </si>
  <si>
    <t>timesheeted</t>
  </si>
  <si>
    <t>SPARQ50</t>
  </si>
  <si>
    <t>5508</t>
  </si>
  <si>
    <t>Queensland Urban Utilities</t>
  </si>
  <si>
    <t>QUU</t>
  </si>
  <si>
    <t>QUU50</t>
  </si>
  <si>
    <t>weekEnd</t>
  </si>
  <si>
    <t>GZ</t>
  </si>
  <si>
    <t>32</t>
  </si>
  <si>
    <t>Mine Super</t>
  </si>
  <si>
    <t>3201</t>
  </si>
  <si>
    <t>QUU75</t>
  </si>
  <si>
    <t>QUU25</t>
  </si>
  <si>
    <t>Narasimha Vaka</t>
  </si>
  <si>
    <t>Aswini Vaka</t>
  </si>
  <si>
    <t>VAK</t>
  </si>
  <si>
    <t>ASW</t>
  </si>
  <si>
    <t>MINE</t>
  </si>
  <si>
    <t>Paxus</t>
  </si>
  <si>
    <t>Fund</t>
  </si>
  <si>
    <t>QUU80</t>
  </si>
  <si>
    <t>QUU20</t>
  </si>
  <si>
    <t>59</t>
  </si>
  <si>
    <t>5901</t>
  </si>
  <si>
    <t>Energy Queensland</t>
  </si>
  <si>
    <t>Narasimha</t>
  </si>
  <si>
    <t>EQLD50</t>
  </si>
  <si>
    <t>DP</t>
  </si>
  <si>
    <t>Deepak Prakash</t>
  </si>
  <si>
    <t>QUU80a</t>
  </si>
  <si>
    <t>QUU20a</t>
  </si>
  <si>
    <t>EQLD38</t>
  </si>
  <si>
    <t>EQLD62</t>
  </si>
  <si>
    <t>Bonus 1% for Vaka</t>
  </si>
  <si>
    <t>DPK</t>
  </si>
  <si>
    <t>DataStage, Prakash</t>
  </si>
  <si>
    <t>ANK</t>
  </si>
  <si>
    <t>Adikeshavalu Naidu Krishnaveni</t>
  </si>
  <si>
    <t>5509</t>
  </si>
  <si>
    <t>Property</t>
  </si>
  <si>
    <t>QUU50a</t>
  </si>
  <si>
    <t>Chandra</t>
  </si>
  <si>
    <t>Deepak</t>
  </si>
  <si>
    <t>Revision</t>
  </si>
  <si>
    <t>5510</t>
  </si>
  <si>
    <t>5511</t>
  </si>
  <si>
    <t>Business Activity Statement - Magma Computing Solutions</t>
  </si>
  <si>
    <t>fm last fin-year</t>
  </si>
  <si>
    <t>half-Sat, half-Sun</t>
  </si>
  <si>
    <t>01</t>
  </si>
  <si>
    <t>-Thu</t>
  </si>
  <si>
    <t>-Fri</t>
  </si>
  <si>
    <t>13</t>
  </si>
  <si>
    <t>11</t>
  </si>
  <si>
    <t>-Mon</t>
  </si>
  <si>
    <t>Direct Credit 143439 HAYSPERS 719098</t>
  </si>
  <si>
    <t>Direct Credit 421520 TAGGLE SYSTEMS P Taggle Systems</t>
  </si>
  <si>
    <t>Direct Credit 450996 PAXUS AUSTRALIA 100314508-170719</t>
  </si>
  <si>
    <t>Direct Credit 498507 Mine Services PL Mine Super</t>
  </si>
  <si>
    <t>Transfer to CBA A/c NetBank Michael Muriel Wed</t>
  </si>
  <si>
    <t>Direct Debit 342190 AARON WOON 162243887</t>
  </si>
  <si>
    <t>Transfer from DAVID BEECHEY NetBank shoiw</t>
  </si>
  <si>
    <t>Wdl ATM CBA ATM  EDGECLIFF A    NSW 216201   AUS</t>
  </si>
  <si>
    <t>Transfer to other Bank NetBank 1a 3 Darling Pt Rd</t>
  </si>
  <si>
    <t>Direct Debit 000115 COLONIAL MUTUAL 9910928678060199</t>
  </si>
  <si>
    <t>Cash Dep Branch North Syd</t>
  </si>
  <si>
    <t>Transaction Fee</t>
  </si>
  <si>
    <t>Account Fee</t>
  </si>
  <si>
    <t>Debit Interest</t>
  </si>
  <si>
    <t>Direct Credit 450996 PAXUS AUSTRALIA 100314508-010719</t>
  </si>
  <si>
    <t>return of Pay Advance</t>
  </si>
  <si>
    <t>Colonial Mutual</t>
  </si>
  <si>
    <t>Work Insurance</t>
  </si>
  <si>
    <t>Auscal Pty Ltd</t>
  </si>
  <si>
    <t>Rent</t>
  </si>
  <si>
    <t>Pay Advance</t>
  </si>
  <si>
    <t>David Beechey</t>
  </si>
  <si>
    <t>Muriel</t>
  </si>
  <si>
    <t>FF Aaron</t>
  </si>
  <si>
    <t>Gym</t>
  </si>
  <si>
    <t>Nicole</t>
  </si>
  <si>
    <t>320123</t>
  </si>
  <si>
    <t>590144</t>
  </si>
  <si>
    <t>590145</t>
  </si>
  <si>
    <t>02</t>
  </si>
  <si>
    <t>.5Mon, -Tue,-Wed</t>
  </si>
  <si>
    <t>33</t>
  </si>
  <si>
    <t>Hays</t>
  </si>
  <si>
    <t>2703</t>
  </si>
  <si>
    <t>03</t>
  </si>
  <si>
    <t>270301</t>
  </si>
  <si>
    <t>100254</t>
  </si>
  <si>
    <t>Direct Credit 480116 M AND T RESOURCE 12604 - ASG GROUP</t>
  </si>
  <si>
    <t>Direct Credit 480116 M AND T RESOURCE 12605 - ASG GROUP</t>
  </si>
  <si>
    <t>551013</t>
  </si>
  <si>
    <t>551113</t>
  </si>
  <si>
    <t>Pay Deepak</t>
  </si>
  <si>
    <t>Payroll</t>
  </si>
  <si>
    <t>Pay Krishnaveni</t>
  </si>
  <si>
    <t>American Express</t>
  </si>
  <si>
    <t>Various</t>
  </si>
  <si>
    <t>Uber</t>
  </si>
  <si>
    <t>Ingogo</t>
  </si>
  <si>
    <t>Reckon</t>
  </si>
  <si>
    <t>Account</t>
  </si>
  <si>
    <t>2020-M01</t>
  </si>
  <si>
    <t>Transfer to xx2366 NetBank McRae</t>
  </si>
  <si>
    <t>Cardless Cash for collection NZ</t>
  </si>
  <si>
    <t>Transfer to other Bank NetBank Magma Fort Pay</t>
  </si>
  <si>
    <t>CBA MasterCard</t>
  </si>
  <si>
    <t>270302</t>
  </si>
  <si>
    <t>Printer, Cable</t>
  </si>
  <si>
    <t>Finsura Broker</t>
  </si>
  <si>
    <t>IT Insurances</t>
  </si>
  <si>
    <t>Pay George</t>
  </si>
  <si>
    <t>Pay Vaka</t>
  </si>
  <si>
    <t>Pay Aswini</t>
  </si>
  <si>
    <t>Pay Chandra</t>
  </si>
  <si>
    <t>Pay Sathya</t>
  </si>
  <si>
    <t>secure DocBox</t>
  </si>
  <si>
    <t>LaserJet Printer</t>
  </si>
  <si>
    <t>Stationary</t>
  </si>
  <si>
    <t>Tue: crook knee</t>
  </si>
  <si>
    <t>Direct Debit 122794 IINET TECHNOLOGI 1920005e6190575</t>
  </si>
  <si>
    <t>Direct Credit 450996 PAXUS AUSTRALIA 100314508-220719</t>
  </si>
  <si>
    <t>Direct Debit 342190 AARON WOON 164593986</t>
  </si>
  <si>
    <t>Direct Debit 000517 AMERICAN EXPRESS 376039174011001</t>
  </si>
  <si>
    <t>Direct Credit 450996 PAXUS AUSTRALIA 100314508-180719</t>
  </si>
  <si>
    <t>Multiple Transfer NetBank Magma Pay 201907</t>
  </si>
  <si>
    <t>finsura insurance    NetBank BPAY 95471 324609329880 IT Insurance</t>
  </si>
  <si>
    <t>590146</t>
  </si>
  <si>
    <t>iiNet</t>
  </si>
  <si>
    <t>phone/internet</t>
  </si>
  <si>
    <t>47</t>
  </si>
  <si>
    <t>5902</t>
  </si>
  <si>
    <t>EQLD62a</t>
  </si>
  <si>
    <t>EQLD38a</t>
  </si>
  <si>
    <t>590247</t>
  </si>
  <si>
    <t>+Sun</t>
  </si>
  <si>
    <t>14</t>
  </si>
  <si>
    <t>Direct Credit 480116 M AND T RESOURCE 12972 - ASG GROUP</t>
  </si>
  <si>
    <t>Direct Credit 480116 M AND T RESOURCE 12973 - ASG GROUP</t>
  </si>
  <si>
    <t>100255</t>
  </si>
  <si>
    <t>320124</t>
  </si>
  <si>
    <t>551014</t>
  </si>
  <si>
    <t>551114</t>
  </si>
  <si>
    <t>48</t>
  </si>
  <si>
    <t>Australian Taxation Office</t>
  </si>
  <si>
    <t>Transfer to other Bank NetBank Magma FN Pay 21Jul</t>
  </si>
  <si>
    <t>270303</t>
  </si>
  <si>
    <t>Magma SuperFund Q4</t>
  </si>
  <si>
    <t>Direct Debit 000115 COLONIAL MUTUAL 9910928678306009</t>
  </si>
  <si>
    <t>Direct Credit 450996 PAXUS AUSTRALIA 100314508-290719</t>
  </si>
  <si>
    <t>TAX OFFICE PAYMENTS  NetBank BPAY 75556 135413966424860 SuperFund Q4</t>
  </si>
  <si>
    <t>590248</t>
  </si>
  <si>
    <t>Direct Credit 480116 M AND T RESOURCE 13563 - ASG GROUP</t>
  </si>
  <si>
    <t>Direct Credit 480116 M AND T RESOURCE 13562 - ASG GROUP</t>
  </si>
  <si>
    <t>Direct Credit 450996 PAXUS AUSTRALIA 100314508-050819</t>
  </si>
  <si>
    <t>Direct Debit 342190 AARON WOON 166967361</t>
  </si>
  <si>
    <t>320125</t>
  </si>
  <si>
    <t>49</t>
  </si>
  <si>
    <t>04</t>
  </si>
  <si>
    <t>270304</t>
  </si>
  <si>
    <t>590249</t>
  </si>
  <si>
    <t>551015</t>
  </si>
  <si>
    <t>551115</t>
  </si>
  <si>
    <t>Wireless Keyboard / Mouse</t>
  </si>
  <si>
    <t>MS Office subscription</t>
  </si>
  <si>
    <t>half-Sun</t>
  </si>
  <si>
    <t>half-Sat</t>
  </si>
  <si>
    <t>15</t>
  </si>
  <si>
    <t>NZ Ski</t>
  </si>
  <si>
    <t>Bank Mon</t>
  </si>
  <si>
    <t>Google Cloud</t>
  </si>
  <si>
    <t>RMS eToll</t>
  </si>
  <si>
    <t>Google</t>
  </si>
  <si>
    <t>GM Cabs</t>
  </si>
  <si>
    <t>AMERICAN EXPRESS     CommBank app BPAY 5082 376039174011001 various</t>
  </si>
  <si>
    <t>Transfer to other Bank NetBank Fort Payroll</t>
  </si>
  <si>
    <t>270305</t>
  </si>
  <si>
    <t>BAS-Q4</t>
  </si>
  <si>
    <t>Ipad</t>
  </si>
  <si>
    <t>--</t>
  </si>
  <si>
    <t>Transfer to xx2366 NetBank Loan</t>
  </si>
  <si>
    <t>Direct Credit 450996 PAXUS AUSTRALIA 100314508-120819</t>
  </si>
  <si>
    <t>TAX OFFICE PAYMENTS  NetBank BPAY 75556 540729652568060 BAS Q4</t>
  </si>
  <si>
    <t>590250</t>
  </si>
  <si>
    <t>100256</t>
  </si>
  <si>
    <t>Direct Credit 480116 M AND T RESOURCE 13944 - ASG GROUP</t>
  </si>
  <si>
    <t>Direct Credit 480116 M AND T RESOURCE 13945 - ASG GROUP</t>
  </si>
  <si>
    <t>Direct Debit 122794 IINET TECHNOLOGI 1923105f460fc04</t>
  </si>
  <si>
    <t>Direct Credit 450996 PAXUS AUSTRALIA 100314508-190819</t>
  </si>
  <si>
    <t>Direct Debit 342190 AARON WOON 169397233</t>
  </si>
  <si>
    <t>Multiple Transfer NetBank Aug Payroll</t>
  </si>
  <si>
    <t>05</t>
  </si>
  <si>
    <t>06</t>
  </si>
  <si>
    <t>16</t>
  </si>
  <si>
    <t>590251</t>
  </si>
  <si>
    <t>320126</t>
  </si>
  <si>
    <t>551016</t>
  </si>
  <si>
    <t>551116</t>
  </si>
  <si>
    <t>+SatSun-Tue</t>
  </si>
  <si>
    <t>Direct Debit 342190 AARON WOON 171865031</t>
  </si>
  <si>
    <t>Direct Debit 000115 COLONIAL MUTUAL 9910928678541604</t>
  </si>
  <si>
    <t>Direct Credit 450996 PAXUS AUSTRALIA 100314508-260819</t>
  </si>
  <si>
    <t>Transfer to other Bank NetBank Magma Super</t>
  </si>
  <si>
    <t>Transfer to other Bank NetBank Fort Payroll 18Aug</t>
  </si>
  <si>
    <t>270306</t>
  </si>
  <si>
    <t>BrentnallsNSW</t>
  </si>
  <si>
    <t>Magma SuperFund</t>
  </si>
  <si>
    <t>590252</t>
  </si>
  <si>
    <t>320127</t>
  </si>
  <si>
    <t>+SatSun</t>
  </si>
  <si>
    <t>+Sat,half-Sun</t>
  </si>
  <si>
    <t>17</t>
  </si>
  <si>
    <t>270307</t>
  </si>
  <si>
    <t>Direct Credit 480116 M AND T RESOURCE 14473 - ASG GROUP</t>
  </si>
  <si>
    <t>Direct Credit 480116 M AND T RESOURCE 14472 - ASG GROUP</t>
  </si>
  <si>
    <t>TAX OFFICE PAYMENTS  NetBank BPAY 75556 540729652568060 IAS M7</t>
  </si>
  <si>
    <t>Cardless Cash for collection chicken</t>
  </si>
  <si>
    <t>Direct Credit 450996 PAXUS AUSTRALIA 100314508-020919</t>
  </si>
  <si>
    <t>Overdraft Line Fee</t>
  </si>
  <si>
    <t>590253</t>
  </si>
  <si>
    <t>Pay Michael</t>
  </si>
  <si>
    <t>102057</t>
  </si>
  <si>
    <t>IAS M1</t>
  </si>
  <si>
    <t>551017</t>
  </si>
  <si>
    <t>551117</t>
  </si>
  <si>
    <t>sick leave</t>
  </si>
  <si>
    <t>07</t>
  </si>
  <si>
    <t>08</t>
  </si>
  <si>
    <t>2x weeks</t>
  </si>
  <si>
    <t>Apple Macbook Pro</t>
  </si>
  <si>
    <t>???</t>
  </si>
  <si>
    <t>09</t>
  </si>
  <si>
    <t>Direct Debit 342190 AARON WOON 174387195</t>
  </si>
  <si>
    <t>Direct Credit 450996 PAXUS AUSTRALIA 100314508-090919</t>
  </si>
  <si>
    <t>Transfer to other Bank NetBank FW Payroll</t>
  </si>
  <si>
    <t>590254</t>
  </si>
  <si>
    <t>102058</t>
  </si>
  <si>
    <t>270308</t>
  </si>
  <si>
    <t>320128</t>
  </si>
  <si>
    <t>Stationery</t>
  </si>
  <si>
    <t>Premier Cabs</t>
  </si>
  <si>
    <t>+halfSun</t>
  </si>
  <si>
    <t>Transfer to CBA A/c CommBank app MichaelBillyElliot</t>
  </si>
  <si>
    <t>Direct Credit 480116 M AND T RESOURCE 14924 - ASG GROUP</t>
  </si>
  <si>
    <t>Direct Credit 480116 M AND T RESOURCE 14925 - ASG GROUP</t>
  </si>
  <si>
    <t>Direct Credit 450996 PAXUS AUSTRALIA 100314508-160919</t>
  </si>
  <si>
    <t>AMERICAN EXPRESS     NetBank BPAY 5082 376039174011001 Amex</t>
  </si>
  <si>
    <t>Multiple Transfer NetBank Magma Pay Sep2019</t>
  </si>
  <si>
    <t>590255</t>
  </si>
  <si>
    <t>270309</t>
  </si>
  <si>
    <t>18</t>
  </si>
  <si>
    <t>551119</t>
  </si>
  <si>
    <t>551018</t>
  </si>
  <si>
    <t>-Mon+halfSatSun</t>
  </si>
  <si>
    <t>Direct Debit 000115 COLONIAL MUTUAL 9910928678770015</t>
  </si>
  <si>
    <t>Transfer to other Bank CommBank app Inv 58003</t>
  </si>
  <si>
    <t>Transfer to CBA A/c NetBank SMSF Deed update</t>
  </si>
  <si>
    <t>CASH DEPOSIT CBA ATM  NORTH SYDNEY C NSW 221703   AUS</t>
  </si>
  <si>
    <t>Direct Credit 450996 PAXUS AUSTRALIA 100314508-300919</t>
  </si>
  <si>
    <t>WORKCOVER QUEENSLAND NetBank BPAY 182006 22180119067906011 Premium 2020</t>
  </si>
  <si>
    <t>Direct Debit 342190 AARON WOON 176920307</t>
  </si>
  <si>
    <t>Cardless Cash for collection chips</t>
  </si>
  <si>
    <t>Direct Debit 122794 IINET TECHNOLOGI 192620602b7ab14</t>
  </si>
  <si>
    <t>Direct Credit 450996 PAXUS AUSTRALIA 100314508-230919</t>
  </si>
  <si>
    <t>Direct Credit 013402 MAGMA SUPERANNUA TTR</t>
  </si>
  <si>
    <t>Transfer to other Bank NetBank FN Pay 15Sep</t>
  </si>
  <si>
    <t>Direct Credit 480116 M AND T RESOURCE 15353 - ASG GROUP</t>
  </si>
  <si>
    <t>Direct Credit 480116 M AND T RESOURCE 15352 - ASG GROUP</t>
  </si>
  <si>
    <t>270310</t>
  </si>
  <si>
    <t>TTR</t>
  </si>
  <si>
    <t>590256</t>
  </si>
  <si>
    <t>Phone/Internet</t>
  </si>
  <si>
    <t>Return of Pay Advance</t>
  </si>
  <si>
    <t>Billy Elliot</t>
  </si>
  <si>
    <t>Queensland WorkCover</t>
  </si>
  <si>
    <t>590257</t>
  </si>
  <si>
    <t>SMSF Deed update</t>
  </si>
  <si>
    <t>270311</t>
  </si>
  <si>
    <t>+Sat</t>
  </si>
  <si>
    <t>19</t>
  </si>
  <si>
    <t>551019</t>
  </si>
  <si>
    <t>IAS M2</t>
  </si>
  <si>
    <t>Labour Day</t>
  </si>
  <si>
    <t>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</si>
</sst>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5">
    <numFmt numFmtId="164" formatCode="#,##0.00;[Red]\-#,##0.00;;@"/>
    <numFmt numFmtId="165" formatCode="#,##0.00_ ;[Red]\-#,##0.00\ "/>
    <numFmt numFmtId="166" formatCode="0.00_ ;[Red]\-0.00\ "/>
    <numFmt numFmtId="167" formatCode="dd\-mmm\-yy;@"/>
    <numFmt numFmtId="168" formatCode="#,##0;[Red]\-#,##0;;@"/>
    <numFmt numFmtId="169" formatCode="0_ ;[Red]\-0\ "/>
    <numFmt numFmtId="170" formatCode="dd/mmm/yy;@"/>
    <numFmt numFmtId="171" formatCode="0.000_ ;[Red]\-0.000\ "/>
    <numFmt numFmtId="172" formatCode="dd"/>
    <numFmt numFmtId="173" formatCode="#,##0.000000000000_ ;[Red]\-#,##0.000000000000\ "/>
    <numFmt numFmtId="174" formatCode="#,##0.0000;[Red]\-#,##0.0000"/>
    <numFmt numFmtId="175" formatCode="#,##0.000;[Red]\-#,##0.000"/>
    <numFmt numFmtId="176" formatCode="#,##0_ ;[Red]\-#,##0\ "/>
    <numFmt numFmtId="177" formatCode="dd\-mmm;@"/>
    <numFmt numFmtId="178" formatCode="###0;[Red]\-###0"/>
  </numFmts>
  <fonts count="50" x14ac:knownFonts="1">
    <font>
      <sz val="10"/>
      <name val="Arial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i/>
      <sz val="16"/>
      <color rgb="FFFFFFFF"/>
      <name val="Arial"/>
      <family val="2"/>
      <charset val="1"/>
    </font>
    <font>
      <b/>
      <i/>
      <sz val="11"/>
      <color rgb="FFFFFFFF"/>
      <name val="Arial"/>
      <family val="2"/>
      <charset val="1"/>
    </font>
    <font>
      <b/>
      <i/>
      <sz val="10"/>
      <color rgb="FFFFFFFF"/>
      <name val="Arial"/>
      <family val="2"/>
      <charset val="1"/>
    </font>
    <font>
      <sz val="10"/>
      <color rgb="FF000000"/>
      <name val="Arial"/>
      <family val="2"/>
      <charset val="1"/>
    </font>
    <font>
      <sz val="10"/>
      <name val="Arial"/>
      <family val="2"/>
      <charset val="1"/>
    </font>
    <font>
      <b/>
      <sz val="10"/>
      <color rgb="FF000000"/>
      <name val="Arial"/>
      <family val="2"/>
      <charset val="1"/>
    </font>
    <font>
      <b/>
      <sz val="10"/>
      <name val="Arial"/>
      <family val="2"/>
      <charset val="1"/>
    </font>
    <font>
      <b/>
      <sz val="10"/>
      <color rgb="FF808080"/>
      <name val="Arial"/>
      <family val="2"/>
      <charset val="1"/>
    </font>
    <font>
      <b/>
      <sz val="10"/>
      <color rgb="FF969696"/>
      <name val="Arial"/>
      <family val="2"/>
      <charset val="1"/>
    </font>
    <font>
      <b/>
      <sz val="10"/>
      <color rgb="FF666699"/>
      <name val="Arial"/>
      <family val="2"/>
      <charset val="1"/>
    </font>
    <font>
      <b/>
      <sz val="10"/>
      <color rgb="FF558ED5"/>
      <name val="Arial"/>
      <family val="2"/>
      <charset val="1"/>
    </font>
    <font>
      <b/>
      <i/>
      <sz val="22"/>
      <color rgb="FFFFFFFF"/>
      <name val="Arial"/>
      <family val="2"/>
      <charset val="1"/>
    </font>
    <font>
      <b/>
      <sz val="10"/>
      <color rgb="FFFFFFFF"/>
      <name val="Arial"/>
      <family val="2"/>
      <charset val="1"/>
    </font>
    <font>
      <u/>
      <sz val="10"/>
      <color rgb="FF0000FF"/>
      <name val="Arial"/>
      <family val="2"/>
      <charset val="1"/>
    </font>
    <font>
      <b/>
      <i/>
      <sz val="18"/>
      <color rgb="FFFFFFFF"/>
      <name val="Arial"/>
      <family val="2"/>
      <charset val="1"/>
    </font>
    <font>
      <i/>
      <sz val="18"/>
      <color rgb="FFCC9CCC"/>
      <name val="Arial"/>
      <family val="2"/>
      <charset val="1"/>
    </font>
    <font>
      <b/>
      <i/>
      <sz val="10"/>
      <color rgb="FF800000"/>
      <name val="Arial"/>
      <family val="2"/>
      <charset val="1"/>
    </font>
    <font>
      <sz val="10"/>
      <color rgb="FFFFFF00"/>
      <name val="Arial"/>
      <family val="2"/>
      <charset val="1"/>
    </font>
    <font>
      <sz val="11"/>
      <name val="Calibri"/>
      <family val="2"/>
      <charset val="1"/>
    </font>
    <font>
      <b/>
      <sz val="10"/>
      <color rgb="FF0070C0"/>
      <name val="Arial"/>
      <family val="2"/>
      <charset val="1"/>
    </font>
    <font>
      <b/>
      <sz val="10"/>
      <color rgb="FFC00000"/>
      <name val="Arial"/>
      <family val="2"/>
      <charset val="1"/>
    </font>
    <font>
      <sz val="10"/>
      <color rgb="FF222222"/>
      <name val="Arial"/>
      <family val="2"/>
      <charset val="1"/>
    </font>
    <font>
      <sz val="10"/>
      <name val="Arial"/>
      <family val="2"/>
    </font>
    <font>
      <sz val="10"/>
      <color rgb="FF222222"/>
      <name val="Arial"/>
      <family val="2"/>
    </font>
    <font>
      <sz val="10"/>
      <color rgb="FF000000"/>
      <name val="Arial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0"/>
      <color rgb="FF558ED5"/>
      <name val="Arial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800000"/>
        <bgColor rgb="FF800000"/>
      </patternFill>
    </fill>
    <fill>
      <patternFill patternType="solid">
        <fgColor rgb="FFFFFFBF"/>
        <bgColor rgb="FFFFFFFF"/>
      </patternFill>
    </fill>
    <fill>
      <patternFill patternType="solid">
        <fgColor rgb="FFFFFF5F"/>
        <bgColor rgb="FFFFFF00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52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dotted">
        <color auto="1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05">
    <xf numFmtId="0" fontId="0" fillId="0" borderId="0"/>
    <xf numFmtId="0" fontId="19" fillId="0" borderId="0" applyBorder="0" applyProtection="0"/>
    <xf numFmtId="0" fontId="5" fillId="0" borderId="0" applyBorder="0" applyProtection="0"/>
    <xf numFmtId="0" fontId="34" fillId="0" borderId="0" applyNumberFormat="0" applyFill="0" applyBorder="0" applyAlignment="0" applyProtection="0"/>
    <xf numFmtId="0" fontId="35" fillId="0" borderId="43" applyNumberFormat="0" applyFill="0" applyAlignment="0" applyProtection="0"/>
    <xf numFmtId="0" fontId="36" fillId="0" borderId="44" applyNumberFormat="0" applyFill="0" applyAlignment="0" applyProtection="0"/>
    <xf numFmtId="0" fontId="37" fillId="0" borderId="45" applyNumberFormat="0" applyFill="0" applyAlignment="0" applyProtection="0"/>
    <xf numFmtId="0" fontId="37" fillId="0" borderId="0" applyNumberFormat="0" applyFill="0" applyBorder="0" applyAlignment="0" applyProtection="0"/>
    <xf numFmtId="0" fontId="38" fillId="5" borderId="0" applyNumberFormat="0" applyBorder="0" applyAlignment="0" applyProtection="0"/>
    <xf numFmtId="0" fontId="39" fillId="6" borderId="0" applyNumberFormat="0" applyBorder="0" applyAlignment="0" applyProtection="0"/>
    <xf numFmtId="0" fontId="40" fillId="7" borderId="0" applyNumberFormat="0" applyBorder="0" applyAlignment="0" applyProtection="0"/>
    <xf numFmtId="0" fontId="41" fillId="8" borderId="46" applyNumberFormat="0" applyAlignment="0" applyProtection="0"/>
    <xf numFmtId="0" fontId="42" fillId="9" borderId="47" applyNumberFormat="0" applyAlignment="0" applyProtection="0"/>
    <xf numFmtId="0" fontId="43" fillId="9" borderId="46" applyNumberFormat="0" applyAlignment="0" applyProtection="0"/>
    <xf numFmtId="0" fontId="44" fillId="0" borderId="48" applyNumberFormat="0" applyFill="0" applyAlignment="0" applyProtection="0"/>
    <xf numFmtId="0" fontId="45" fillId="10" borderId="49" applyNumberFormat="0" applyAlignment="0" applyProtection="0"/>
    <xf numFmtId="0" fontId="46" fillId="0" borderId="0" applyNumberFormat="0" applyFill="0" applyBorder="0" applyAlignment="0" applyProtection="0"/>
    <xf numFmtId="0" fontId="47" fillId="0" borderId="51" applyNumberFormat="0" applyFill="0" applyAlignment="0" applyProtection="0"/>
    <xf numFmtId="0" fontId="48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8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8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8" fillId="24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8" fillId="28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8" fillId="32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35" borderId="0" applyNumberFormat="0" applyBorder="0" applyAlignment="0" applyProtection="0"/>
    <xf numFmtId="0" fontId="4" fillId="0" borderId="0"/>
    <xf numFmtId="0" fontId="4" fillId="11" borderId="50" applyNumberFormat="0" applyFont="0" applyAlignment="0" applyProtection="0"/>
    <xf numFmtId="0" fontId="49" fillId="0" borderId="0" applyNumberFormat="0" applyFill="0" applyBorder="0" applyAlignment="0" applyProtection="0"/>
    <xf numFmtId="0" fontId="3" fillId="0" borderId="0"/>
    <xf numFmtId="0" fontId="3" fillId="11" borderId="50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1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35" borderId="0" applyNumberFormat="0" applyBorder="0" applyAlignment="0" applyProtection="0"/>
    <xf numFmtId="0" fontId="2" fillId="0" borderId="0"/>
    <xf numFmtId="0" fontId="2" fillId="11" borderId="50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1" fillId="0" borderId="0"/>
    <xf numFmtId="0" fontId="1" fillId="11" borderId="50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</cellStyleXfs>
  <cellXfs count="403">
    <xf numFmtId="0" fontId="0" fillId="0" borderId="0" xfId="0"/>
    <xf numFmtId="0" fontId="0" fillId="0" borderId="0" xfId="0" applyAlignment="1">
      <alignment horizontal="right"/>
    </xf>
    <xf numFmtId="49" fontId="0" fillId="0" borderId="0" xfId="0" applyNumberFormat="1"/>
    <xf numFmtId="164" fontId="0" fillId="0" borderId="0" xfId="0" applyNumberFormat="1"/>
    <xf numFmtId="16" fontId="6" fillId="2" borderId="0" xfId="0" applyNumberFormat="1" applyFont="1" applyFill="1" applyAlignment="1">
      <alignment horizontal="left"/>
    </xf>
    <xf numFmtId="0" fontId="7" fillId="2" borderId="0" xfId="0" applyFont="1" applyFill="1" applyAlignment="1">
      <alignment horizontal="center"/>
    </xf>
    <xf numFmtId="164" fontId="7" fillId="2" borderId="0" xfId="0" applyNumberFormat="1" applyFont="1" applyFill="1" applyAlignment="1">
      <alignment horizontal="center"/>
    </xf>
    <xf numFmtId="164" fontId="8" fillId="2" borderId="0" xfId="0" applyNumberFormat="1" applyFont="1" applyFill="1" applyAlignment="1">
      <alignment horizontal="center"/>
    </xf>
    <xf numFmtId="164" fontId="8" fillId="2" borderId="1" xfId="0" applyNumberFormat="1" applyFont="1" applyFill="1" applyBorder="1" applyAlignment="1">
      <alignment horizontal="center"/>
    </xf>
    <xf numFmtId="1" fontId="7" fillId="2" borderId="2" xfId="0" applyNumberFormat="1" applyFont="1" applyFill="1" applyBorder="1" applyAlignment="1">
      <alignment horizontal="right"/>
    </xf>
    <xf numFmtId="49" fontId="7" fillId="2" borderId="2" xfId="0" applyNumberFormat="1" applyFont="1" applyFill="1" applyBorder="1" applyAlignment="1">
      <alignment horizontal="left"/>
    </xf>
    <xf numFmtId="0" fontId="7" fillId="2" borderId="2" xfId="0" applyFont="1" applyFill="1" applyBorder="1" applyAlignment="1">
      <alignment horizontal="left"/>
    </xf>
    <xf numFmtId="164" fontId="7" fillId="2" borderId="2" xfId="0" applyNumberFormat="1" applyFont="1" applyFill="1" applyBorder="1" applyAlignment="1">
      <alignment horizontal="center"/>
    </xf>
    <xf numFmtId="164" fontId="7" fillId="2" borderId="3" xfId="0" applyNumberFormat="1" applyFont="1" applyFill="1" applyBorder="1" applyAlignment="1">
      <alignment horizontal="center"/>
    </xf>
    <xf numFmtId="0" fontId="9" fillId="3" borderId="0" xfId="0" applyFont="1" applyFill="1" applyAlignment="1">
      <alignment horizontal="right"/>
    </xf>
    <xf numFmtId="49" fontId="9" fillId="3" borderId="0" xfId="0" applyNumberFormat="1" applyFont="1" applyFill="1" applyAlignment="1">
      <alignment horizontal="left"/>
    </xf>
    <xf numFmtId="0" fontId="9" fillId="3" borderId="0" xfId="0" applyFont="1" applyFill="1" applyAlignment="1">
      <alignment horizontal="left"/>
    </xf>
    <xf numFmtId="164" fontId="9" fillId="3" borderId="4" xfId="0" applyNumberFormat="1" applyFont="1" applyFill="1" applyBorder="1"/>
    <xf numFmtId="164" fontId="9" fillId="3" borderId="0" xfId="0" applyNumberFormat="1" applyFont="1" applyFill="1"/>
    <xf numFmtId="164" fontId="9" fillId="3" borderId="5" xfId="0" applyNumberFormat="1" applyFont="1" applyFill="1" applyBorder="1"/>
    <xf numFmtId="164" fontId="9" fillId="3" borderId="6" xfId="0" applyNumberFormat="1" applyFont="1" applyFill="1" applyBorder="1"/>
    <xf numFmtId="164" fontId="9" fillId="3" borderId="1" xfId="0" applyNumberFormat="1" applyFont="1" applyFill="1" applyBorder="1"/>
    <xf numFmtId="0" fontId="10" fillId="0" borderId="0" xfId="0" applyFont="1"/>
    <xf numFmtId="0" fontId="9" fillId="3" borderId="7" xfId="0" applyFont="1" applyFill="1" applyBorder="1" applyAlignment="1">
      <alignment horizontal="right"/>
    </xf>
    <xf numFmtId="49" fontId="9" fillId="3" borderId="7" xfId="0" applyNumberFormat="1" applyFont="1" applyFill="1" applyBorder="1" applyAlignment="1">
      <alignment horizontal="left"/>
    </xf>
    <xf numFmtId="0" fontId="9" fillId="3" borderId="7" xfId="0" applyFont="1" applyFill="1" applyBorder="1" applyAlignment="1">
      <alignment horizontal="left"/>
    </xf>
    <xf numFmtId="164" fontId="9" fillId="3" borderId="7" xfId="0" applyNumberFormat="1" applyFont="1" applyFill="1" applyBorder="1"/>
    <xf numFmtId="164" fontId="9" fillId="3" borderId="8" xfId="0" applyNumberFormat="1" applyFont="1" applyFill="1" applyBorder="1"/>
    <xf numFmtId="164" fontId="9" fillId="3" borderId="9" xfId="0" applyNumberFormat="1" applyFont="1" applyFill="1" applyBorder="1"/>
    <xf numFmtId="16" fontId="11" fillId="3" borderId="0" xfId="0" applyNumberFormat="1" applyFont="1" applyFill="1" applyAlignment="1">
      <alignment horizontal="left"/>
    </xf>
    <xf numFmtId="49" fontId="11" fillId="3" borderId="0" xfId="0" applyNumberFormat="1" applyFont="1" applyFill="1" applyAlignment="1">
      <alignment horizontal="left"/>
    </xf>
    <xf numFmtId="0" fontId="11" fillId="3" borderId="0" xfId="0" applyFont="1" applyFill="1" applyAlignment="1">
      <alignment horizontal="left"/>
    </xf>
    <xf numFmtId="164" fontId="11" fillId="3" borderId="0" xfId="0" applyNumberFormat="1" applyFont="1" applyFill="1"/>
    <xf numFmtId="164" fontId="11" fillId="3" borderId="6" xfId="0" applyNumberFormat="1" applyFont="1" applyFill="1" applyBorder="1"/>
    <xf numFmtId="164" fontId="11" fillId="3" borderId="1" xfId="0" applyNumberFormat="1" applyFont="1" applyFill="1" applyBorder="1"/>
    <xf numFmtId="0" fontId="12" fillId="0" borderId="0" xfId="0" applyFont="1"/>
    <xf numFmtId="0" fontId="9" fillId="3" borderId="4" xfId="0" applyFont="1" applyFill="1" applyBorder="1" applyAlignment="1">
      <alignment horizontal="right"/>
    </xf>
    <xf numFmtId="49" fontId="9" fillId="3" borderId="4" xfId="0" applyNumberFormat="1" applyFont="1" applyFill="1" applyBorder="1" applyAlignment="1">
      <alignment horizontal="left"/>
    </xf>
    <xf numFmtId="0" fontId="9" fillId="3" borderId="4" xfId="0" applyFont="1" applyFill="1" applyBorder="1" applyAlignment="1">
      <alignment horizontal="left"/>
    </xf>
    <xf numFmtId="164" fontId="9" fillId="3" borderId="10" xfId="0" applyNumberFormat="1" applyFont="1" applyFill="1" applyBorder="1"/>
    <xf numFmtId="164" fontId="9" fillId="3" borderId="11" xfId="0" applyNumberFormat="1" applyFont="1" applyFill="1" applyBorder="1"/>
    <xf numFmtId="164" fontId="9" fillId="3" borderId="12" xfId="0" applyNumberFormat="1" applyFont="1" applyFill="1" applyBorder="1"/>
    <xf numFmtId="164" fontId="11" fillId="3" borderId="8" xfId="0" applyNumberFormat="1" applyFont="1" applyFill="1" applyBorder="1"/>
    <xf numFmtId="0" fontId="11" fillId="3" borderId="13" xfId="0" applyFont="1" applyFill="1" applyBorder="1" applyAlignment="1">
      <alignment horizontal="left"/>
    </xf>
    <xf numFmtId="164" fontId="9" fillId="3" borderId="13" xfId="0" applyNumberFormat="1" applyFont="1" applyFill="1" applyBorder="1"/>
    <xf numFmtId="164" fontId="9" fillId="3" borderId="14" xfId="0" applyNumberFormat="1" applyFont="1" applyFill="1" applyBorder="1"/>
    <xf numFmtId="164" fontId="9" fillId="3" borderId="15" xfId="0" applyNumberFormat="1" applyFont="1" applyFill="1" applyBorder="1"/>
    <xf numFmtId="164" fontId="9" fillId="3" borderId="16" xfId="0" applyNumberFormat="1" applyFont="1" applyFill="1" applyBorder="1"/>
    <xf numFmtId="164" fontId="11" fillId="3" borderId="10" xfId="0" applyNumberFormat="1" applyFont="1" applyFill="1" applyBorder="1"/>
    <xf numFmtId="164" fontId="11" fillId="3" borderId="11" xfId="0" applyNumberFormat="1" applyFont="1" applyFill="1" applyBorder="1"/>
    <xf numFmtId="40" fontId="0" fillId="3" borderId="0" xfId="0" applyNumberFormat="1" applyFill="1"/>
    <xf numFmtId="164" fontId="11" fillId="3" borderId="12" xfId="0" applyNumberFormat="1" applyFont="1" applyFill="1" applyBorder="1"/>
    <xf numFmtId="164" fontId="11" fillId="3" borderId="9" xfId="0" applyNumberFormat="1" applyFont="1" applyFill="1" applyBorder="1"/>
    <xf numFmtId="164" fontId="9" fillId="3" borderId="17" xfId="0" applyNumberFormat="1" applyFont="1" applyFill="1" applyBorder="1"/>
    <xf numFmtId="0" fontId="10" fillId="0" borderId="7" xfId="0" applyFont="1" applyBorder="1"/>
    <xf numFmtId="0" fontId="11" fillId="3" borderId="7" xfId="0" applyFont="1" applyFill="1" applyBorder="1" applyAlignment="1">
      <alignment horizontal="left"/>
    </xf>
    <xf numFmtId="49" fontId="11" fillId="3" borderId="7" xfId="0" applyNumberFormat="1" applyFont="1" applyFill="1" applyBorder="1" applyAlignment="1">
      <alignment horizontal="left"/>
    </xf>
    <xf numFmtId="164" fontId="11" fillId="3" borderId="7" xfId="0" applyNumberFormat="1" applyFont="1" applyFill="1" applyBorder="1"/>
    <xf numFmtId="0" fontId="13" fillId="3" borderId="18" xfId="0" applyFont="1" applyFill="1" applyBorder="1" applyAlignment="1">
      <alignment horizontal="left"/>
    </xf>
    <xf numFmtId="49" fontId="13" fillId="3" borderId="18" xfId="0" applyNumberFormat="1" applyFont="1" applyFill="1" applyBorder="1" applyAlignment="1">
      <alignment horizontal="left"/>
    </xf>
    <xf numFmtId="164" fontId="11" fillId="3" borderId="18" xfId="0" applyNumberFormat="1" applyFont="1" applyFill="1" applyBorder="1"/>
    <xf numFmtId="40" fontId="12" fillId="0" borderId="0" xfId="0" applyNumberFormat="1" applyFont="1"/>
    <xf numFmtId="40" fontId="0" fillId="0" borderId="0" xfId="0" applyNumberFormat="1"/>
    <xf numFmtId="40" fontId="8" fillId="2" borderId="0" xfId="0" applyNumberFormat="1" applyFont="1" applyFill="1" applyAlignment="1">
      <alignment horizontal="right"/>
    </xf>
    <xf numFmtId="1" fontId="6" fillId="2" borderId="0" xfId="0" applyNumberFormat="1" applyFont="1" applyFill="1" applyAlignment="1">
      <alignment horizontal="left"/>
    </xf>
    <xf numFmtId="0" fontId="8" fillId="2" borderId="0" xfId="0" applyFont="1" applyFill="1" applyAlignment="1">
      <alignment horizontal="right"/>
    </xf>
    <xf numFmtId="40" fontId="8" fillId="2" borderId="0" xfId="0" applyNumberFormat="1" applyFont="1" applyFill="1" applyAlignment="1">
      <alignment horizontal="center"/>
    </xf>
    <xf numFmtId="40" fontId="8" fillId="2" borderId="2" xfId="0" applyNumberFormat="1" applyFont="1" applyFill="1" applyBorder="1" applyAlignment="1">
      <alignment horizontal="center"/>
    </xf>
    <xf numFmtId="1" fontId="8" fillId="2" borderId="2" xfId="0" applyNumberFormat="1" applyFont="1" applyFill="1" applyBorder="1" applyAlignment="1">
      <alignment horizontal="center"/>
    </xf>
    <xf numFmtId="0" fontId="8" fillId="2" borderId="2" xfId="0" applyFont="1" applyFill="1" applyBorder="1" applyAlignment="1">
      <alignment horizontal="left"/>
    </xf>
    <xf numFmtId="40" fontId="11" fillId="3" borderId="18" xfId="0" applyNumberFormat="1" applyFont="1" applyFill="1" applyBorder="1"/>
    <xf numFmtId="0" fontId="11" fillId="3" borderId="18" xfId="0" applyFont="1" applyFill="1" applyBorder="1"/>
    <xf numFmtId="40" fontId="11" fillId="3" borderId="0" xfId="0" applyNumberFormat="1" applyFont="1" applyFill="1"/>
    <xf numFmtId="0" fontId="11" fillId="3" borderId="0" xfId="0" applyFont="1" applyFill="1"/>
    <xf numFmtId="40" fontId="9" fillId="3" borderId="4" xfId="0" applyNumberFormat="1" applyFont="1" applyFill="1" applyBorder="1"/>
    <xf numFmtId="0" fontId="9" fillId="3" borderId="4" xfId="0" applyFont="1" applyFill="1" applyBorder="1"/>
    <xf numFmtId="40" fontId="9" fillId="3" borderId="0" xfId="0" applyNumberFormat="1" applyFont="1" applyFill="1"/>
    <xf numFmtId="0" fontId="9" fillId="3" borderId="0" xfId="0" applyFont="1" applyFill="1"/>
    <xf numFmtId="40" fontId="9" fillId="3" borderId="7" xfId="0" applyNumberFormat="1" applyFont="1" applyFill="1" applyBorder="1"/>
    <xf numFmtId="0" fontId="9" fillId="3" borderId="7" xfId="0" applyFont="1" applyFill="1" applyBorder="1"/>
    <xf numFmtId="40" fontId="14" fillId="3" borderId="13" xfId="0" applyNumberFormat="1" applyFont="1" applyFill="1" applyBorder="1"/>
    <xf numFmtId="0" fontId="15" fillId="3" borderId="13" xfId="0" applyFont="1" applyFill="1" applyBorder="1"/>
    <xf numFmtId="0" fontId="14" fillId="3" borderId="13" xfId="0" applyFont="1" applyFill="1" applyBorder="1"/>
    <xf numFmtId="0" fontId="14" fillId="0" borderId="0" xfId="0" applyFont="1"/>
    <xf numFmtId="165" fontId="9" fillId="3" borderId="0" xfId="0" applyNumberFormat="1" applyFont="1" applyFill="1" applyAlignment="1">
      <alignment horizontal="right"/>
    </xf>
    <xf numFmtId="40" fontId="11" fillId="3" borderId="19" xfId="0" applyNumberFormat="1" applyFont="1" applyFill="1" applyBorder="1"/>
    <xf numFmtId="40" fontId="11" fillId="3" borderId="2" xfId="0" applyNumberFormat="1" applyFont="1" applyFill="1" applyBorder="1"/>
    <xf numFmtId="0" fontId="11" fillId="3" borderId="2" xfId="0" applyFont="1" applyFill="1" applyBorder="1"/>
    <xf numFmtId="38" fontId="0" fillId="0" borderId="0" xfId="0" applyNumberFormat="1"/>
    <xf numFmtId="166" fontId="0" fillId="0" borderId="0" xfId="0" applyNumberFormat="1"/>
    <xf numFmtId="167" fontId="0" fillId="0" borderId="0" xfId="0" applyNumberFormat="1"/>
    <xf numFmtId="49" fontId="7" fillId="2" borderId="0" xfId="0" applyNumberFormat="1" applyFont="1" applyFill="1" applyAlignment="1">
      <alignment horizontal="center"/>
    </xf>
    <xf numFmtId="165" fontId="8" fillId="2" borderId="0" xfId="0" applyNumberFormat="1" applyFont="1" applyFill="1" applyAlignment="1">
      <alignment horizontal="center"/>
    </xf>
    <xf numFmtId="40" fontId="7" fillId="2" borderId="0" xfId="0" applyNumberFormat="1" applyFont="1" applyFill="1" applyAlignment="1">
      <alignment horizontal="center"/>
    </xf>
    <xf numFmtId="167" fontId="8" fillId="2" borderId="16" xfId="0" applyNumberFormat="1" applyFont="1" applyFill="1" applyBorder="1" applyAlignment="1">
      <alignment horizontal="center"/>
    </xf>
    <xf numFmtId="167" fontId="8" fillId="2" borderId="0" xfId="0" applyNumberFormat="1" applyFont="1" applyFill="1" applyAlignment="1">
      <alignment horizontal="center"/>
    </xf>
    <xf numFmtId="1" fontId="7" fillId="2" borderId="0" xfId="0" applyNumberFormat="1" applyFont="1" applyFill="1" applyAlignment="1">
      <alignment horizontal="center"/>
    </xf>
    <xf numFmtId="165" fontId="7" fillId="2" borderId="0" xfId="0" applyNumberFormat="1" applyFont="1" applyFill="1" applyAlignment="1">
      <alignment horizontal="center"/>
    </xf>
    <xf numFmtId="49" fontId="7" fillId="2" borderId="20" xfId="0" applyNumberFormat="1" applyFont="1" applyFill="1" applyBorder="1" applyAlignment="1">
      <alignment horizontal="center"/>
    </xf>
    <xf numFmtId="165" fontId="7" fillId="2" borderId="21" xfId="0" applyNumberFormat="1" applyFont="1" applyFill="1" applyBorder="1" applyAlignment="1">
      <alignment horizontal="center"/>
    </xf>
    <xf numFmtId="167" fontId="7" fillId="2" borderId="16" xfId="0" applyNumberFormat="1" applyFont="1" applyFill="1" applyBorder="1" applyAlignment="1">
      <alignment horizontal="center"/>
    </xf>
    <xf numFmtId="167" fontId="7" fillId="2" borderId="0" xfId="0" applyNumberFormat="1" applyFont="1" applyFill="1" applyAlignment="1">
      <alignment horizontal="center"/>
    </xf>
    <xf numFmtId="38" fontId="0" fillId="0" borderId="0" xfId="0" applyNumberFormat="1" applyAlignment="1">
      <alignment horizontal="center"/>
    </xf>
    <xf numFmtId="1" fontId="7" fillId="2" borderId="2" xfId="0" applyNumberFormat="1" applyFont="1" applyFill="1" applyBorder="1" applyAlignment="1">
      <alignment horizontal="center"/>
    </xf>
    <xf numFmtId="0" fontId="7" fillId="2" borderId="2" xfId="0" applyFont="1" applyFill="1" applyBorder="1" applyAlignment="1">
      <alignment horizontal="center"/>
    </xf>
    <xf numFmtId="49" fontId="7" fillId="2" borderId="2" xfId="0" applyNumberFormat="1" applyFont="1" applyFill="1" applyBorder="1" applyAlignment="1">
      <alignment horizontal="center"/>
    </xf>
    <xf numFmtId="165" fontId="7" fillId="2" borderId="2" xfId="0" applyNumberFormat="1" applyFont="1" applyFill="1" applyBorder="1" applyAlignment="1">
      <alignment horizontal="center"/>
    </xf>
    <xf numFmtId="49" fontId="7" fillId="2" borderId="19" xfId="0" applyNumberFormat="1" applyFont="1" applyFill="1" applyBorder="1" applyAlignment="1">
      <alignment horizontal="center"/>
    </xf>
    <xf numFmtId="165" fontId="7" fillId="2" borderId="22" xfId="0" applyNumberFormat="1" applyFont="1" applyFill="1" applyBorder="1" applyAlignment="1">
      <alignment horizontal="center"/>
    </xf>
    <xf numFmtId="40" fontId="7" fillId="2" borderId="2" xfId="0" applyNumberFormat="1" applyFont="1" applyFill="1" applyBorder="1" applyAlignment="1">
      <alignment horizontal="center"/>
    </xf>
    <xf numFmtId="167" fontId="7" fillId="2" borderId="23" xfId="0" applyNumberFormat="1" applyFont="1" applyFill="1" applyBorder="1" applyAlignment="1">
      <alignment horizontal="center"/>
    </xf>
    <xf numFmtId="167" fontId="7" fillId="2" borderId="2" xfId="0" applyNumberFormat="1" applyFont="1" applyFill="1" applyBorder="1" applyAlignment="1">
      <alignment horizontal="center"/>
    </xf>
    <xf numFmtId="0" fontId="9" fillId="3" borderId="24" xfId="0" applyFont="1" applyFill="1" applyBorder="1" applyAlignment="1">
      <alignment horizontal="right"/>
    </xf>
    <xf numFmtId="168" fontId="9" fillId="3" borderId="24" xfId="0" applyNumberFormat="1" applyFont="1" applyFill="1" applyBorder="1"/>
    <xf numFmtId="168" fontId="9" fillId="3" borderId="25" xfId="0" applyNumberFormat="1" applyFont="1" applyFill="1" applyBorder="1"/>
    <xf numFmtId="168" fontId="9" fillId="4" borderId="26" xfId="0" applyNumberFormat="1" applyFont="1" applyFill="1" applyBorder="1"/>
    <xf numFmtId="40" fontId="9" fillId="3" borderId="24" xfId="0" applyNumberFormat="1" applyFont="1" applyFill="1" applyBorder="1"/>
    <xf numFmtId="167" fontId="9" fillId="3" borderId="27" xfId="0" applyNumberFormat="1" applyFont="1" applyFill="1" applyBorder="1"/>
    <xf numFmtId="167" fontId="9" fillId="3" borderId="24" xfId="0" applyNumberFormat="1" applyFont="1" applyFill="1" applyBorder="1"/>
    <xf numFmtId="38" fontId="12" fillId="0" borderId="4" xfId="0" applyNumberFormat="1" applyFont="1" applyBorder="1"/>
    <xf numFmtId="169" fontId="9" fillId="3" borderId="0" xfId="0" applyNumberFormat="1" applyFont="1" applyFill="1"/>
    <xf numFmtId="167" fontId="9" fillId="3" borderId="16" xfId="0" applyNumberFormat="1" applyFont="1" applyFill="1" applyBorder="1"/>
    <xf numFmtId="167" fontId="9" fillId="3" borderId="0" xfId="0" applyNumberFormat="1" applyFont="1" applyFill="1"/>
    <xf numFmtId="169" fontId="9" fillId="3" borderId="7" xfId="0" applyNumberFormat="1" applyFont="1" applyFill="1" applyBorder="1"/>
    <xf numFmtId="167" fontId="9" fillId="3" borderId="12" xfId="0" applyNumberFormat="1" applyFont="1" applyFill="1" applyBorder="1"/>
    <xf numFmtId="167" fontId="9" fillId="3" borderId="7" xfId="0" applyNumberFormat="1" applyFont="1" applyFill="1" applyBorder="1"/>
    <xf numFmtId="15" fontId="0" fillId="0" borderId="0" xfId="0" applyNumberFormat="1"/>
    <xf numFmtId="38" fontId="12" fillId="0" borderId="13" xfId="0" applyNumberFormat="1" applyFont="1" applyBorder="1"/>
    <xf numFmtId="40" fontId="10" fillId="0" borderId="0" xfId="0" applyNumberFormat="1" applyFont="1"/>
    <xf numFmtId="170" fontId="0" fillId="0" borderId="0" xfId="0" applyNumberFormat="1"/>
    <xf numFmtId="0" fontId="11" fillId="3" borderId="13" xfId="0" applyFont="1" applyFill="1" applyBorder="1" applyAlignment="1">
      <alignment horizontal="right"/>
    </xf>
    <xf numFmtId="169" fontId="11" fillId="3" borderId="13" xfId="0" applyNumberFormat="1" applyFont="1" applyFill="1" applyBorder="1"/>
    <xf numFmtId="40" fontId="11" fillId="3" borderId="13" xfId="0" applyNumberFormat="1" applyFont="1" applyFill="1" applyBorder="1"/>
    <xf numFmtId="167" fontId="11" fillId="3" borderId="17" xfId="0" applyNumberFormat="1" applyFont="1" applyFill="1" applyBorder="1"/>
    <xf numFmtId="167" fontId="11" fillId="3" borderId="13" xfId="0" applyNumberFormat="1" applyFont="1" applyFill="1" applyBorder="1"/>
    <xf numFmtId="38" fontId="12" fillId="0" borderId="0" xfId="0" applyNumberFormat="1" applyFont="1"/>
    <xf numFmtId="0" fontId="16" fillId="0" borderId="0" xfId="0" applyFont="1" applyAlignment="1">
      <alignment horizontal="center"/>
    </xf>
    <xf numFmtId="40" fontId="16" fillId="0" borderId="0" xfId="0" applyNumberFormat="1" applyFont="1" applyAlignment="1">
      <alignment horizontal="center"/>
    </xf>
    <xf numFmtId="16" fontId="0" fillId="0" borderId="0" xfId="0" applyNumberFormat="1"/>
    <xf numFmtId="49" fontId="0" fillId="0" borderId="0" xfId="0" applyNumberFormat="1" applyAlignment="1">
      <alignment horizontal="left"/>
    </xf>
    <xf numFmtId="49" fontId="7" fillId="2" borderId="0" xfId="0" applyNumberFormat="1" applyFont="1" applyFill="1" applyAlignment="1">
      <alignment horizontal="left"/>
    </xf>
    <xf numFmtId="166" fontId="8" fillId="2" borderId="0" xfId="0" applyNumberFormat="1" applyFont="1" applyFill="1" applyAlignment="1">
      <alignment horizontal="right"/>
    </xf>
    <xf numFmtId="49" fontId="17" fillId="2" borderId="0" xfId="0" applyNumberFormat="1" applyFont="1" applyFill="1" applyAlignment="1">
      <alignment horizontal="left"/>
    </xf>
    <xf numFmtId="40" fontId="8" fillId="2" borderId="16" xfId="0" applyNumberFormat="1" applyFont="1" applyFill="1" applyBorder="1" applyAlignment="1">
      <alignment horizontal="center"/>
    </xf>
    <xf numFmtId="38" fontId="8" fillId="2" borderId="6" xfId="0" applyNumberFormat="1" applyFont="1" applyFill="1" applyBorder="1" applyAlignment="1">
      <alignment horizontal="right"/>
    </xf>
    <xf numFmtId="38" fontId="8" fillId="2" borderId="0" xfId="0" applyNumberFormat="1" applyFont="1" applyFill="1" applyAlignment="1">
      <alignment horizontal="center"/>
    </xf>
    <xf numFmtId="0" fontId="0" fillId="3" borderId="35" xfId="0" applyFill="1" applyBorder="1"/>
    <xf numFmtId="49" fontId="0" fillId="3" borderId="35" xfId="0" applyNumberFormat="1" applyFill="1" applyBorder="1"/>
    <xf numFmtId="0" fontId="0" fillId="3" borderId="37" xfId="0" applyFill="1" applyBorder="1"/>
    <xf numFmtId="0" fontId="0" fillId="3" borderId="36" xfId="0" applyFill="1" applyBorder="1"/>
    <xf numFmtId="0" fontId="12" fillId="3" borderId="0" xfId="0" applyFont="1" applyFill="1"/>
    <xf numFmtId="49" fontId="12" fillId="3" borderId="0" xfId="0" applyNumberFormat="1" applyFont="1" applyFill="1"/>
    <xf numFmtId="164" fontId="12" fillId="3" borderId="0" xfId="0" applyNumberFormat="1" applyFont="1" applyFill="1"/>
    <xf numFmtId="164" fontId="12" fillId="3" borderId="6" xfId="0" applyNumberFormat="1" applyFont="1" applyFill="1" applyBorder="1"/>
    <xf numFmtId="164" fontId="12" fillId="3" borderId="16" xfId="0" applyNumberFormat="1" applyFont="1" applyFill="1" applyBorder="1"/>
    <xf numFmtId="0" fontId="12" fillId="3" borderId="6" xfId="0" applyFont="1" applyFill="1" applyBorder="1"/>
    <xf numFmtId="49" fontId="8" fillId="2" borderId="2" xfId="0" applyNumberFormat="1" applyFont="1" applyFill="1" applyBorder="1" applyAlignment="1">
      <alignment horizontal="center"/>
    </xf>
    <xf numFmtId="49" fontId="0" fillId="3" borderId="0" xfId="0" applyNumberFormat="1" applyFill="1" applyAlignment="1">
      <alignment horizontal="left"/>
    </xf>
    <xf numFmtId="49" fontId="10" fillId="3" borderId="0" xfId="0" applyNumberFormat="1" applyFont="1" applyFill="1" applyAlignment="1">
      <alignment horizontal="left"/>
    </xf>
    <xf numFmtId="166" fontId="0" fillId="3" borderId="0" xfId="0" applyNumberFormat="1" applyFill="1"/>
    <xf numFmtId="0" fontId="10" fillId="3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8" fillId="2" borderId="0" xfId="0" applyFont="1" applyFill="1" applyAlignment="1">
      <alignment horizontal="center"/>
    </xf>
    <xf numFmtId="0" fontId="18" fillId="2" borderId="0" xfId="0" applyFont="1" applyFill="1"/>
    <xf numFmtId="0" fontId="18" fillId="2" borderId="0" xfId="0" applyFont="1" applyFill="1" applyAlignment="1">
      <alignment horizontal="left"/>
    </xf>
    <xf numFmtId="49" fontId="10" fillId="3" borderId="0" xfId="0" applyNumberFormat="1" applyFont="1" applyFill="1" applyAlignment="1">
      <alignment horizontal="right"/>
    </xf>
    <xf numFmtId="0" fontId="10" fillId="3" borderId="0" xfId="0" applyFont="1" applyFill="1" applyAlignment="1">
      <alignment horizontal="center"/>
    </xf>
    <xf numFmtId="0" fontId="10" fillId="3" borderId="0" xfId="0" applyFont="1" applyFill="1" applyAlignment="1">
      <alignment horizontal="left"/>
    </xf>
    <xf numFmtId="49" fontId="0" fillId="3" borderId="0" xfId="0" applyNumberFormat="1" applyFill="1" applyAlignment="1">
      <alignment horizontal="right"/>
    </xf>
    <xf numFmtId="0" fontId="0" fillId="3" borderId="0" xfId="0" applyFill="1"/>
    <xf numFmtId="0" fontId="0" fillId="3" borderId="0" xfId="0" applyFill="1" applyAlignment="1">
      <alignment horizontal="center"/>
    </xf>
    <xf numFmtId="0" fontId="0" fillId="3" borderId="0" xfId="0" applyFill="1" applyAlignment="1">
      <alignment horizontal="left"/>
    </xf>
    <xf numFmtId="0" fontId="19" fillId="3" borderId="0" xfId="1" applyFill="1" applyAlignment="1">
      <alignment horizontal="left"/>
    </xf>
    <xf numFmtId="0" fontId="10" fillId="3" borderId="0" xfId="0" applyFont="1" applyFill="1" applyAlignment="1">
      <alignment horizontal="right"/>
    </xf>
    <xf numFmtId="40" fontId="9" fillId="3" borderId="0" xfId="0" applyNumberFormat="1" applyFont="1" applyFill="1" applyAlignment="1">
      <alignment horizontal="center"/>
    </xf>
    <xf numFmtId="0" fontId="12" fillId="0" borderId="0" xfId="0" applyFont="1" applyAlignment="1">
      <alignment horizontal="center"/>
    </xf>
    <xf numFmtId="49" fontId="12" fillId="0" borderId="0" xfId="0" applyNumberFormat="1" applyFont="1" applyAlignment="1">
      <alignment horizontal="center"/>
    </xf>
    <xf numFmtId="0" fontId="20" fillId="2" borderId="10" xfId="0" applyFont="1" applyFill="1" applyBorder="1" applyAlignment="1">
      <alignment horizontal="left"/>
    </xf>
    <xf numFmtId="0" fontId="20" fillId="2" borderId="4" xfId="0" applyFont="1" applyFill="1" applyBorder="1" applyAlignment="1">
      <alignment horizontal="left"/>
    </xf>
    <xf numFmtId="40" fontId="8" fillId="2" borderId="4" xfId="0" applyNumberFormat="1" applyFont="1" applyFill="1" applyBorder="1" applyAlignment="1">
      <alignment horizontal="center"/>
    </xf>
    <xf numFmtId="49" fontId="8" fillId="2" borderId="5" xfId="0" applyNumberFormat="1" applyFont="1" applyFill="1" applyBorder="1" applyAlignment="1">
      <alignment horizontal="center"/>
    </xf>
    <xf numFmtId="0" fontId="7" fillId="2" borderId="38" xfId="0" applyFont="1" applyFill="1" applyBorder="1" applyAlignment="1">
      <alignment horizontal="left"/>
    </xf>
    <xf numFmtId="49" fontId="8" fillId="2" borderId="23" xfId="0" applyNumberFormat="1" applyFont="1" applyFill="1" applyBorder="1" applyAlignment="1">
      <alignment horizontal="center"/>
    </xf>
    <xf numFmtId="0" fontId="9" fillId="3" borderId="6" xfId="0" applyFont="1" applyFill="1" applyBorder="1" applyAlignment="1">
      <alignment horizontal="left"/>
    </xf>
    <xf numFmtId="40" fontId="9" fillId="3" borderId="35" xfId="0" applyNumberFormat="1" applyFont="1" applyFill="1" applyBorder="1" applyAlignment="1">
      <alignment horizontal="center"/>
    </xf>
    <xf numFmtId="49" fontId="9" fillId="3" borderId="36" xfId="0" applyNumberFormat="1" applyFont="1" applyFill="1" applyBorder="1" applyAlignment="1">
      <alignment horizontal="center"/>
    </xf>
    <xf numFmtId="40" fontId="9" fillId="3" borderId="7" xfId="0" applyNumberFormat="1" applyFont="1" applyFill="1" applyBorder="1" applyAlignment="1">
      <alignment horizontal="center"/>
    </xf>
    <xf numFmtId="49" fontId="9" fillId="3" borderId="12" xfId="0" applyNumberFormat="1" applyFont="1" applyFill="1" applyBorder="1" applyAlignment="1">
      <alignment horizontal="center"/>
    </xf>
    <xf numFmtId="0" fontId="11" fillId="3" borderId="6" xfId="0" applyFont="1" applyFill="1" applyBorder="1" applyAlignment="1">
      <alignment horizontal="left"/>
    </xf>
    <xf numFmtId="40" fontId="11" fillId="3" borderId="4" xfId="0" applyNumberFormat="1" applyFont="1" applyFill="1" applyBorder="1"/>
    <xf numFmtId="40" fontId="9" fillId="3" borderId="4" xfId="0" applyNumberFormat="1" applyFont="1" applyFill="1" applyBorder="1" applyAlignment="1">
      <alignment horizontal="center"/>
    </xf>
    <xf numFmtId="49" fontId="9" fillId="3" borderId="5" xfId="0" applyNumberFormat="1" applyFont="1" applyFill="1" applyBorder="1" applyAlignment="1">
      <alignment horizontal="center"/>
    </xf>
    <xf numFmtId="0" fontId="11" fillId="3" borderId="8" xfId="0" applyFont="1" applyFill="1" applyBorder="1" applyAlignment="1">
      <alignment horizontal="left"/>
    </xf>
    <xf numFmtId="40" fontId="11" fillId="3" borderId="7" xfId="0" applyNumberFormat="1" applyFont="1" applyFill="1" applyBorder="1"/>
    <xf numFmtId="0" fontId="12" fillId="3" borderId="38" xfId="0" applyFont="1" applyFill="1" applyBorder="1" applyAlignment="1">
      <alignment horizontal="left"/>
    </xf>
    <xf numFmtId="0" fontId="13" fillId="3" borderId="2" xfId="0" applyFont="1" applyFill="1" applyBorder="1" applyAlignment="1">
      <alignment horizontal="left"/>
    </xf>
    <xf numFmtId="40" fontId="9" fillId="3" borderId="2" xfId="0" applyNumberFormat="1" applyFont="1" applyFill="1" applyBorder="1" applyAlignment="1">
      <alignment horizontal="center"/>
    </xf>
    <xf numFmtId="40" fontId="9" fillId="3" borderId="23" xfId="0" applyNumberFormat="1" applyFont="1" applyFill="1" applyBorder="1" applyAlignment="1">
      <alignment horizontal="center"/>
    </xf>
    <xf numFmtId="171" fontId="0" fillId="0" borderId="0" xfId="0" applyNumberFormat="1"/>
    <xf numFmtId="0" fontId="19" fillId="0" borderId="0" xfId="1"/>
    <xf numFmtId="172" fontId="0" fillId="0" borderId="0" xfId="0" applyNumberFormat="1" applyAlignment="1">
      <alignment horizontal="right"/>
    </xf>
    <xf numFmtId="165" fontId="0" fillId="0" borderId="0" xfId="0" applyNumberFormat="1"/>
    <xf numFmtId="172" fontId="8" fillId="2" borderId="0" xfId="0" applyNumberFormat="1" applyFont="1" applyFill="1" applyAlignment="1">
      <alignment horizontal="right"/>
    </xf>
    <xf numFmtId="0" fontId="8" fillId="2" borderId="0" xfId="0" applyFont="1" applyFill="1" applyAlignment="1">
      <alignment horizontal="left"/>
    </xf>
    <xf numFmtId="165" fontId="8" fillId="2" borderId="0" xfId="0" applyNumberFormat="1" applyFont="1" applyFill="1" applyAlignment="1">
      <alignment horizontal="right"/>
    </xf>
    <xf numFmtId="165" fontId="11" fillId="3" borderId="4" xfId="0" applyNumberFormat="1" applyFont="1" applyFill="1" applyBorder="1"/>
    <xf numFmtId="17" fontId="11" fillId="3" borderId="4" xfId="0" applyNumberFormat="1" applyFont="1" applyFill="1" applyBorder="1"/>
    <xf numFmtId="0" fontId="11" fillId="3" borderId="4" xfId="0" applyFont="1" applyFill="1" applyBorder="1"/>
    <xf numFmtId="172" fontId="9" fillId="3" borderId="4" xfId="0" applyNumberFormat="1" applyFont="1" applyFill="1" applyBorder="1" applyAlignment="1">
      <alignment horizontal="right"/>
    </xf>
    <xf numFmtId="165" fontId="9" fillId="3" borderId="4" xfId="0" applyNumberFormat="1" applyFont="1" applyFill="1" applyBorder="1" applyAlignment="1">
      <alignment horizontal="right"/>
    </xf>
    <xf numFmtId="165" fontId="9" fillId="3" borderId="4" xfId="0" applyNumberFormat="1" applyFont="1" applyFill="1" applyBorder="1"/>
    <xf numFmtId="172" fontId="9" fillId="3" borderId="0" xfId="0" applyNumberFormat="1" applyFont="1" applyFill="1" applyAlignment="1">
      <alignment horizontal="right"/>
    </xf>
    <xf numFmtId="165" fontId="9" fillId="3" borderId="0" xfId="0" applyNumberFormat="1" applyFont="1" applyFill="1"/>
    <xf numFmtId="172" fontId="9" fillId="3" borderId="7" xfId="0" applyNumberFormat="1" applyFont="1" applyFill="1" applyBorder="1" applyAlignment="1">
      <alignment horizontal="right"/>
    </xf>
    <xf numFmtId="165" fontId="9" fillId="3" borderId="7" xfId="0" applyNumberFormat="1" applyFont="1" applyFill="1" applyBorder="1" applyAlignment="1">
      <alignment horizontal="right"/>
    </xf>
    <xf numFmtId="165" fontId="9" fillId="3" borderId="7" xfId="0" applyNumberFormat="1" applyFont="1" applyFill="1" applyBorder="1"/>
    <xf numFmtId="17" fontId="11" fillId="3" borderId="0" xfId="0" applyNumberFormat="1" applyFont="1" applyFill="1"/>
    <xf numFmtId="165" fontId="11" fillId="3" borderId="0" xfId="0" applyNumberFormat="1" applyFont="1" applyFill="1"/>
    <xf numFmtId="49" fontId="8" fillId="2" borderId="0" xfId="0" applyNumberFormat="1" applyFont="1" applyFill="1" applyAlignment="1">
      <alignment horizontal="center"/>
    </xf>
    <xf numFmtId="0" fontId="8" fillId="2" borderId="0" xfId="0" applyFont="1" applyFill="1" applyAlignment="1">
      <alignment horizontal="center"/>
    </xf>
    <xf numFmtId="49" fontId="20" fillId="2" borderId="0" xfId="0" applyNumberFormat="1" applyFont="1" applyFill="1" applyAlignment="1">
      <alignment horizontal="left"/>
    </xf>
    <xf numFmtId="169" fontId="8" fillId="2" borderId="2" xfId="0" applyNumberFormat="1" applyFont="1" applyFill="1" applyBorder="1" applyAlignment="1">
      <alignment horizontal="center"/>
    </xf>
    <xf numFmtId="0" fontId="8" fillId="2" borderId="2" xfId="0" applyFont="1" applyFill="1" applyBorder="1" applyAlignment="1">
      <alignment horizontal="center"/>
    </xf>
    <xf numFmtId="49" fontId="0" fillId="0" borderId="0" xfId="0" applyNumberFormat="1" applyAlignment="1">
      <alignment horizontal="center"/>
    </xf>
    <xf numFmtId="169" fontId="9" fillId="3" borderId="35" xfId="0" applyNumberFormat="1" applyFont="1" applyFill="1" applyBorder="1"/>
    <xf numFmtId="16" fontId="9" fillId="3" borderId="35" xfId="0" applyNumberFormat="1" applyFont="1" applyFill="1" applyBorder="1"/>
    <xf numFmtId="0" fontId="9" fillId="3" borderId="35" xfId="0" applyFont="1" applyFill="1" applyBorder="1"/>
    <xf numFmtId="40" fontId="9" fillId="3" borderId="35" xfId="0" applyNumberFormat="1" applyFont="1" applyFill="1" applyBorder="1"/>
    <xf numFmtId="40" fontId="9" fillId="3" borderId="5" xfId="0" applyNumberFormat="1" applyFont="1" applyFill="1" applyBorder="1"/>
    <xf numFmtId="40" fontId="9" fillId="3" borderId="10" xfId="0" applyNumberFormat="1" applyFont="1" applyFill="1" applyBorder="1"/>
    <xf numFmtId="16" fontId="9" fillId="3" borderId="0" xfId="0" applyNumberFormat="1" applyFont="1" applyFill="1"/>
    <xf numFmtId="40" fontId="9" fillId="3" borderId="16" xfId="0" applyNumberFormat="1" applyFont="1" applyFill="1" applyBorder="1"/>
    <xf numFmtId="40" fontId="9" fillId="3" borderId="6" xfId="0" applyNumberFormat="1" applyFont="1" applyFill="1" applyBorder="1"/>
    <xf numFmtId="40" fontId="9" fillId="3" borderId="12" xfId="0" applyNumberFormat="1" applyFont="1" applyFill="1" applyBorder="1"/>
    <xf numFmtId="49" fontId="11" fillId="3" borderId="13" xfId="0" applyNumberFormat="1" applyFont="1" applyFill="1" applyBorder="1"/>
    <xf numFmtId="49" fontId="11" fillId="3" borderId="4" xfId="0" applyNumberFormat="1" applyFont="1" applyFill="1" applyBorder="1"/>
    <xf numFmtId="40" fontId="11" fillId="3" borderId="5" xfId="0" applyNumberFormat="1" applyFont="1" applyFill="1" applyBorder="1"/>
    <xf numFmtId="49" fontId="9" fillId="3" borderId="0" xfId="0" applyNumberFormat="1" applyFont="1" applyFill="1"/>
    <xf numFmtId="169" fontId="11" fillId="3" borderId="4" xfId="0" applyNumberFormat="1" applyFont="1" applyFill="1" applyBorder="1"/>
    <xf numFmtId="169" fontId="11" fillId="3" borderId="39" xfId="0" applyNumberFormat="1" applyFont="1" applyFill="1" applyBorder="1"/>
    <xf numFmtId="40" fontId="11" fillId="3" borderId="39" xfId="0" applyNumberFormat="1" applyFont="1" applyFill="1" applyBorder="1"/>
    <xf numFmtId="49" fontId="11" fillId="3" borderId="39" xfId="0" applyNumberFormat="1" applyFont="1" applyFill="1" applyBorder="1"/>
    <xf numFmtId="40" fontId="11" fillId="3" borderId="40" xfId="0" applyNumberFormat="1" applyFont="1" applyFill="1" applyBorder="1"/>
    <xf numFmtId="49" fontId="20" fillId="2" borderId="0" xfId="0" applyNumberFormat="1" applyFont="1" applyFill="1" applyAlignment="1">
      <alignment horizontal="center"/>
    </xf>
    <xf numFmtId="0" fontId="21" fillId="2" borderId="0" xfId="0" applyFont="1" applyFill="1" applyAlignment="1">
      <alignment horizontal="left"/>
    </xf>
    <xf numFmtId="49" fontId="8" fillId="2" borderId="6" xfId="0" applyNumberFormat="1" applyFont="1" applyFill="1" applyBorder="1" applyAlignment="1">
      <alignment horizontal="center"/>
    </xf>
    <xf numFmtId="40" fontId="9" fillId="3" borderId="36" xfId="0" applyNumberFormat="1" applyFont="1" applyFill="1" applyBorder="1"/>
    <xf numFmtId="40" fontId="9" fillId="3" borderId="37" xfId="0" applyNumberFormat="1" applyFont="1" applyFill="1" applyBorder="1"/>
    <xf numFmtId="49" fontId="9" fillId="3" borderId="10" xfId="0" applyNumberFormat="1" applyFont="1" applyFill="1" applyBorder="1" applyAlignment="1">
      <alignment horizontal="center"/>
    </xf>
    <xf numFmtId="0" fontId="9" fillId="3" borderId="6" xfId="0" applyFont="1" applyFill="1" applyBorder="1" applyAlignment="1">
      <alignment horizontal="center"/>
    </xf>
    <xf numFmtId="173" fontId="0" fillId="0" borderId="0" xfId="0" applyNumberFormat="1"/>
    <xf numFmtId="4" fontId="0" fillId="0" borderId="0" xfId="0" applyNumberFormat="1"/>
    <xf numFmtId="2" fontId="0" fillId="0" borderId="0" xfId="0" applyNumberFormat="1"/>
    <xf numFmtId="169" fontId="8" fillId="2" borderId="0" xfId="0" applyNumberFormat="1" applyFont="1" applyFill="1" applyAlignment="1">
      <alignment horizontal="left"/>
    </xf>
    <xf numFmtId="49" fontId="8" fillId="2" borderId="0" xfId="0" applyNumberFormat="1" applyFont="1" applyFill="1" applyAlignment="1">
      <alignment horizontal="left"/>
    </xf>
    <xf numFmtId="0" fontId="22" fillId="2" borderId="0" xfId="0" applyFont="1" applyFill="1" applyAlignment="1">
      <alignment horizontal="center"/>
    </xf>
    <xf numFmtId="49" fontId="8" fillId="2" borderId="6" xfId="0" applyNumberFormat="1" applyFont="1" applyFill="1" applyBorder="1"/>
    <xf numFmtId="0" fontId="10" fillId="0" borderId="0" xfId="0" applyFont="1" applyAlignment="1">
      <alignment horizontal="center"/>
    </xf>
    <xf numFmtId="40" fontId="8" fillId="2" borderId="23" xfId="0" applyNumberFormat="1" applyFont="1" applyFill="1" applyBorder="1" applyAlignment="1">
      <alignment horizontal="center"/>
    </xf>
    <xf numFmtId="49" fontId="9" fillId="3" borderId="35" xfId="0" applyNumberFormat="1" applyFont="1" applyFill="1" applyBorder="1"/>
    <xf numFmtId="0" fontId="9" fillId="3" borderId="0" xfId="0" applyFont="1" applyFill="1" applyAlignment="1">
      <alignment horizontal="center"/>
    </xf>
    <xf numFmtId="0" fontId="9" fillId="3" borderId="16" xfId="0" applyFont="1" applyFill="1" applyBorder="1" applyAlignment="1">
      <alignment horizontal="center"/>
    </xf>
    <xf numFmtId="0" fontId="22" fillId="2" borderId="2" xfId="0" applyFont="1" applyFill="1" applyBorder="1" applyAlignment="1">
      <alignment horizontal="center"/>
    </xf>
    <xf numFmtId="49" fontId="23" fillId="3" borderId="13" xfId="0" applyNumberFormat="1" applyFont="1" applyFill="1" applyBorder="1"/>
    <xf numFmtId="170" fontId="9" fillId="3" borderId="0" xfId="0" applyNumberFormat="1" applyFont="1" applyFill="1"/>
    <xf numFmtId="169" fontId="8" fillId="2" borderId="0" xfId="0" applyNumberFormat="1" applyFont="1" applyFill="1" applyAlignment="1">
      <alignment horizontal="center"/>
    </xf>
    <xf numFmtId="169" fontId="9" fillId="3" borderId="4" xfId="0" applyNumberFormat="1" applyFont="1" applyFill="1" applyBorder="1"/>
    <xf numFmtId="16" fontId="9" fillId="3" borderId="4" xfId="0" applyNumberFormat="1" applyFont="1" applyFill="1" applyBorder="1"/>
    <xf numFmtId="16" fontId="9" fillId="3" borderId="7" xfId="0" applyNumberFormat="1" applyFont="1" applyFill="1" applyBorder="1"/>
    <xf numFmtId="0" fontId="24" fillId="0" borderId="0" xfId="0" applyFont="1" applyAlignment="1">
      <alignment horizontal="left" indent="15"/>
    </xf>
    <xf numFmtId="0" fontId="24" fillId="0" borderId="0" xfId="0" applyFont="1"/>
    <xf numFmtId="164" fontId="25" fillId="0" borderId="0" xfId="0" applyNumberFormat="1" applyFont="1"/>
    <xf numFmtId="40" fontId="12" fillId="0" borderId="0" xfId="0" applyNumberFormat="1" applyFont="1" applyAlignment="1">
      <alignment horizontal="center"/>
    </xf>
    <xf numFmtId="164" fontId="26" fillId="0" borderId="0" xfId="0" applyNumberFormat="1" applyFont="1" applyAlignment="1">
      <alignment horizontal="center"/>
    </xf>
    <xf numFmtId="164" fontId="25" fillId="0" borderId="0" xfId="0" applyNumberFormat="1" applyFont="1" applyAlignment="1">
      <alignment horizontal="center"/>
    </xf>
    <xf numFmtId="16" fontId="10" fillId="0" borderId="0" xfId="0" applyNumberFormat="1" applyFont="1" applyAlignment="1">
      <alignment horizontal="center"/>
    </xf>
    <xf numFmtId="16" fontId="10" fillId="0" borderId="0" xfId="0" applyNumberFormat="1" applyFont="1"/>
    <xf numFmtId="0" fontId="27" fillId="0" borderId="0" xfId="0" applyFont="1"/>
    <xf numFmtId="40" fontId="8" fillId="2" borderId="5" xfId="0" applyNumberFormat="1" applyFont="1" applyFill="1" applyBorder="1" applyAlignment="1">
      <alignment horizontal="center"/>
    </xf>
    <xf numFmtId="49" fontId="8" fillId="2" borderId="10" xfId="0" applyNumberFormat="1" applyFont="1" applyFill="1" applyBorder="1" applyAlignment="1">
      <alignment horizontal="center"/>
    </xf>
    <xf numFmtId="49" fontId="8" fillId="2" borderId="4" xfId="0" applyNumberFormat="1" applyFont="1" applyFill="1" applyBorder="1" applyAlignment="1">
      <alignment horizontal="center"/>
    </xf>
    <xf numFmtId="49" fontId="8" fillId="2" borderId="38" xfId="0" applyNumberFormat="1" applyFont="1" applyFill="1" applyBorder="1" applyAlignment="1">
      <alignment horizontal="center"/>
    </xf>
    <xf numFmtId="174" fontId="9" fillId="3" borderId="16" xfId="0" applyNumberFormat="1" applyFont="1" applyFill="1" applyBorder="1" applyAlignment="1">
      <alignment horizontal="left"/>
    </xf>
    <xf numFmtId="49" fontId="9" fillId="3" borderId="6" xfId="0" applyNumberFormat="1" applyFont="1" applyFill="1" applyBorder="1"/>
    <xf numFmtId="49" fontId="9" fillId="3" borderId="0" xfId="0" applyNumberFormat="1" applyFont="1" applyFill="1" applyAlignment="1">
      <alignment horizontal="center"/>
    </xf>
    <xf numFmtId="174" fontId="9" fillId="3" borderId="0" xfId="0" applyNumberFormat="1" applyFont="1" applyFill="1"/>
    <xf numFmtId="174" fontId="9" fillId="3" borderId="0" xfId="0" applyNumberFormat="1" applyFont="1" applyFill="1" applyAlignment="1">
      <alignment horizontal="center"/>
    </xf>
    <xf numFmtId="1" fontId="9" fillId="3" borderId="0" xfId="0" applyNumberFormat="1" applyFont="1" applyFill="1" applyAlignment="1">
      <alignment horizontal="center"/>
    </xf>
    <xf numFmtId="174" fontId="9" fillId="3" borderId="16" xfId="0" applyNumberFormat="1" applyFont="1" applyFill="1" applyBorder="1" applyAlignment="1">
      <alignment horizontal="center"/>
    </xf>
    <xf numFmtId="49" fontId="9" fillId="3" borderId="6" xfId="0" applyNumberFormat="1" applyFont="1" applyFill="1" applyBorder="1" applyAlignment="1">
      <alignment horizontal="left"/>
    </xf>
    <xf numFmtId="175" fontId="9" fillId="3" borderId="41" xfId="0" applyNumberFormat="1" applyFont="1" applyFill="1" applyBorder="1" applyAlignment="1">
      <alignment horizontal="right"/>
    </xf>
    <xf numFmtId="175" fontId="9" fillId="3" borderId="24" xfId="0" applyNumberFormat="1" applyFont="1" applyFill="1" applyBorder="1" applyAlignment="1">
      <alignment horizontal="right"/>
    </xf>
    <xf numFmtId="175" fontId="9" fillId="3" borderId="27" xfId="0" applyNumberFormat="1" applyFont="1" applyFill="1" applyBorder="1" applyAlignment="1">
      <alignment horizontal="right"/>
    </xf>
    <xf numFmtId="0" fontId="29" fillId="0" borderId="0" xfId="0" applyFont="1"/>
    <xf numFmtId="49" fontId="28" fillId="3" borderId="0" xfId="0" applyNumberFormat="1" applyFont="1" applyFill="1" applyAlignment="1">
      <alignment horizontal="left"/>
    </xf>
    <xf numFmtId="0" fontId="28" fillId="3" borderId="0" xfId="0" applyFont="1" applyFill="1"/>
    <xf numFmtId="49" fontId="7" fillId="2" borderId="2" xfId="0" applyNumberFormat="1" applyFont="1" applyFill="1" applyBorder="1" applyAlignment="1" applyProtection="1">
      <alignment horizontal="left"/>
      <protection locked="0"/>
    </xf>
    <xf numFmtId="166" fontId="8" fillId="2" borderId="2" xfId="0" applyNumberFormat="1" applyFont="1" applyFill="1" applyBorder="1" applyAlignment="1" applyProtection="1">
      <alignment horizontal="center"/>
      <protection locked="0"/>
    </xf>
    <xf numFmtId="16" fontId="8" fillId="2" borderId="23" xfId="0" applyNumberFormat="1" applyFont="1" applyFill="1" applyBorder="1" applyAlignment="1" applyProtection="1">
      <alignment horizontal="center"/>
      <protection locked="0"/>
    </xf>
    <xf numFmtId="38" fontId="8" fillId="2" borderId="2" xfId="0" applyNumberFormat="1" applyFont="1" applyFill="1" applyBorder="1" applyAlignment="1" applyProtection="1">
      <alignment horizontal="right"/>
      <protection locked="0"/>
    </xf>
    <xf numFmtId="49" fontId="8" fillId="2" borderId="2" xfId="0" applyNumberFormat="1" applyFont="1" applyFill="1" applyBorder="1" applyAlignment="1" applyProtection="1">
      <alignment horizontal="center"/>
      <protection locked="0"/>
    </xf>
    <xf numFmtId="40" fontId="8" fillId="2" borderId="2" xfId="0" applyNumberFormat="1" applyFont="1" applyFill="1" applyBorder="1" applyAlignment="1" applyProtection="1">
      <alignment horizontal="center"/>
      <protection locked="0"/>
    </xf>
    <xf numFmtId="49" fontId="7" fillId="2" borderId="38" xfId="0" applyNumberFormat="1" applyFont="1" applyFill="1" applyBorder="1" applyAlignment="1" applyProtection="1">
      <alignment horizontal="left"/>
      <protection locked="0"/>
    </xf>
    <xf numFmtId="49" fontId="7" fillId="2" borderId="2" xfId="0" applyNumberFormat="1" applyFont="1" applyFill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49" fontId="0" fillId="3" borderId="0" xfId="0" applyNumberFormat="1" applyFill="1" applyAlignment="1" applyProtection="1">
      <alignment horizontal="left"/>
      <protection locked="0"/>
    </xf>
    <xf numFmtId="49" fontId="10" fillId="3" borderId="0" xfId="0" applyNumberFormat="1" applyFont="1" applyFill="1" applyAlignment="1" applyProtection="1">
      <alignment horizontal="left"/>
      <protection locked="0"/>
    </xf>
    <xf numFmtId="166" fontId="0" fillId="3" borderId="0" xfId="0" applyNumberFormat="1" applyFill="1" applyProtection="1">
      <protection locked="0"/>
    </xf>
    <xf numFmtId="38" fontId="0" fillId="3" borderId="0" xfId="0" applyNumberFormat="1" applyFill="1" applyProtection="1">
      <protection locked="0"/>
    </xf>
    <xf numFmtId="40" fontId="0" fillId="3" borderId="0" xfId="0" applyNumberFormat="1" applyFill="1" applyProtection="1">
      <protection locked="0"/>
    </xf>
    <xf numFmtId="40" fontId="0" fillId="3" borderId="6" xfId="0" applyNumberFormat="1" applyFill="1" applyBorder="1" applyProtection="1">
      <protection locked="0"/>
    </xf>
    <xf numFmtId="40" fontId="0" fillId="3" borderId="16" xfId="0" applyNumberFormat="1" applyFill="1" applyBorder="1" applyProtection="1">
      <protection locked="0"/>
    </xf>
    <xf numFmtId="38" fontId="0" fillId="3" borderId="6" xfId="0" applyNumberFormat="1" applyFill="1" applyBorder="1" applyProtection="1">
      <protection locked="0"/>
    </xf>
    <xf numFmtId="0" fontId="10" fillId="3" borderId="0" xfId="0" applyFont="1" applyFill="1" applyProtection="1">
      <protection locked="0"/>
    </xf>
    <xf numFmtId="0" fontId="9" fillId="3" borderId="13" xfId="0" applyFont="1" applyFill="1" applyBorder="1"/>
    <xf numFmtId="40" fontId="9" fillId="3" borderId="13" xfId="0" applyNumberFormat="1" applyFont="1" applyFill="1" applyBorder="1"/>
    <xf numFmtId="49" fontId="28" fillId="3" borderId="0" xfId="0" applyNumberFormat="1" applyFont="1" applyFill="1" applyAlignment="1" applyProtection="1">
      <alignment horizontal="left"/>
      <protection locked="0"/>
    </xf>
    <xf numFmtId="0" fontId="10" fillId="0" borderId="6" xfId="0" applyFont="1" applyBorder="1"/>
    <xf numFmtId="49" fontId="30" fillId="3" borderId="6" xfId="0" applyNumberFormat="1" applyFont="1" applyFill="1" applyBorder="1" applyAlignment="1">
      <alignment horizontal="left"/>
    </xf>
    <xf numFmtId="49" fontId="30" fillId="3" borderId="0" xfId="0" applyNumberFormat="1" applyFont="1" applyFill="1" applyAlignment="1">
      <alignment horizontal="center"/>
    </xf>
    <xf numFmtId="49" fontId="30" fillId="3" borderId="0" xfId="0" applyNumberFormat="1" applyFont="1" applyFill="1" applyAlignment="1">
      <alignment horizontal="left"/>
    </xf>
    <xf numFmtId="174" fontId="30" fillId="3" borderId="0" xfId="0" applyNumberFormat="1" applyFont="1" applyFill="1"/>
    <xf numFmtId="40" fontId="30" fillId="3" borderId="0" xfId="0" applyNumberFormat="1" applyFont="1" applyFill="1"/>
    <xf numFmtId="174" fontId="30" fillId="3" borderId="0" xfId="0" applyNumberFormat="1" applyFont="1" applyFill="1" applyAlignment="1">
      <alignment horizontal="center"/>
    </xf>
    <xf numFmtId="176" fontId="30" fillId="3" borderId="0" xfId="0" applyNumberFormat="1" applyFont="1" applyFill="1" applyAlignment="1">
      <alignment horizontal="center"/>
    </xf>
    <xf numFmtId="1" fontId="30" fillId="3" borderId="0" xfId="0" applyNumberFormat="1" applyFont="1" applyFill="1" applyAlignment="1">
      <alignment horizontal="center"/>
    </xf>
    <xf numFmtId="174" fontId="30" fillId="3" borderId="16" xfId="0" applyNumberFormat="1" applyFont="1" applyFill="1" applyBorder="1" applyAlignment="1">
      <alignment horizontal="center"/>
    </xf>
    <xf numFmtId="0" fontId="28" fillId="0" borderId="0" xfId="0" applyFont="1"/>
    <xf numFmtId="0" fontId="0" fillId="0" borderId="0" xfId="0" pivotButton="1"/>
    <xf numFmtId="16" fontId="28" fillId="0" borderId="0" xfId="0" applyNumberFormat="1" applyFont="1"/>
    <xf numFmtId="40" fontId="10" fillId="0" borderId="42" xfId="0" applyNumberFormat="1" applyFont="1" applyBorder="1"/>
    <xf numFmtId="0" fontId="0" fillId="0" borderId="42" xfId="0" applyBorder="1"/>
    <xf numFmtId="40" fontId="0" fillId="0" borderId="42" xfId="0" applyNumberFormat="1" applyBorder="1"/>
    <xf numFmtId="0" fontId="9" fillId="3" borderId="24" xfId="0" applyFont="1" applyFill="1" applyBorder="1"/>
    <xf numFmtId="0" fontId="9" fillId="4" borderId="24" xfId="0" applyFont="1" applyFill="1" applyBorder="1"/>
    <xf numFmtId="38" fontId="9" fillId="3" borderId="0" xfId="0" applyNumberFormat="1" applyFont="1" applyFill="1"/>
    <xf numFmtId="38" fontId="9" fillId="4" borderId="0" xfId="0" applyNumberFormat="1" applyFont="1" applyFill="1"/>
    <xf numFmtId="38" fontId="9" fillId="4" borderId="21" xfId="0" applyNumberFormat="1" applyFont="1" applyFill="1" applyBorder="1"/>
    <xf numFmtId="38" fontId="9" fillId="3" borderId="20" xfId="0" applyNumberFormat="1" applyFont="1" applyFill="1" applyBorder="1"/>
    <xf numFmtId="38" fontId="9" fillId="3" borderId="7" xfId="0" applyNumberFormat="1" applyFont="1" applyFill="1" applyBorder="1"/>
    <xf numFmtId="38" fontId="9" fillId="4" borderId="7" xfId="0" applyNumberFormat="1" applyFont="1" applyFill="1" applyBorder="1"/>
    <xf numFmtId="38" fontId="9" fillId="3" borderId="30" xfId="0" applyNumberFormat="1" applyFont="1" applyFill="1" applyBorder="1"/>
    <xf numFmtId="38" fontId="9" fillId="4" borderId="31" xfId="0" applyNumberFormat="1" applyFont="1" applyFill="1" applyBorder="1"/>
    <xf numFmtId="38" fontId="9" fillId="3" borderId="32" xfId="0" applyNumberFormat="1" applyFont="1" applyFill="1" applyBorder="1"/>
    <xf numFmtId="38" fontId="9" fillId="3" borderId="33" xfId="0" applyNumberFormat="1" applyFont="1" applyFill="1" applyBorder="1"/>
    <xf numFmtId="38" fontId="11" fillId="3" borderId="13" xfId="0" applyNumberFormat="1" applyFont="1" applyFill="1" applyBorder="1"/>
    <xf numFmtId="38" fontId="11" fillId="4" borderId="13" xfId="0" applyNumberFormat="1" applyFont="1" applyFill="1" applyBorder="1"/>
    <xf numFmtId="38" fontId="11" fillId="3" borderId="34" xfId="0" applyNumberFormat="1" applyFont="1" applyFill="1" applyBorder="1"/>
    <xf numFmtId="40" fontId="28" fillId="0" borderId="0" xfId="0" applyNumberFormat="1" applyFont="1"/>
    <xf numFmtId="38" fontId="8" fillId="2" borderId="0" xfId="0" applyNumberFormat="1" applyFont="1" applyFill="1" applyAlignment="1">
      <alignment horizontal="right"/>
    </xf>
    <xf numFmtId="38" fontId="0" fillId="3" borderId="35" xfId="0" applyNumberFormat="1" applyFill="1" applyBorder="1" applyProtection="1">
      <protection locked="0"/>
    </xf>
    <xf numFmtId="4" fontId="28" fillId="0" borderId="0" xfId="0" applyNumberFormat="1" applyFont="1"/>
    <xf numFmtId="2" fontId="0" fillId="0" borderId="0" xfId="0" applyNumberFormat="1" applyAlignment="1">
      <alignment horizontal="center"/>
    </xf>
    <xf numFmtId="177" fontId="16" fillId="0" borderId="0" xfId="0" applyNumberFormat="1" applyFont="1" applyAlignment="1">
      <alignment horizontal="center"/>
    </xf>
    <xf numFmtId="177" fontId="12" fillId="0" borderId="0" xfId="0" applyNumberFormat="1" applyFont="1"/>
    <xf numFmtId="177" fontId="0" fillId="0" borderId="0" xfId="0" applyNumberFormat="1"/>
    <xf numFmtId="177" fontId="28" fillId="0" borderId="0" xfId="0" applyNumberFormat="1" applyFont="1"/>
    <xf numFmtId="177" fontId="0" fillId="0" borderId="42" xfId="0" applyNumberFormat="1" applyBorder="1"/>
    <xf numFmtId="0" fontId="33" fillId="0" borderId="0" xfId="0" applyFont="1" applyAlignment="1">
      <alignment horizontal="center"/>
    </xf>
    <xf numFmtId="0" fontId="28" fillId="0" borderId="42" xfId="0" applyFont="1" applyBorder="1"/>
    <xf numFmtId="177" fontId="8" fillId="2" borderId="0" xfId="0" applyNumberFormat="1" applyFont="1" applyFill="1" applyAlignment="1">
      <alignment horizontal="right"/>
    </xf>
    <xf numFmtId="177" fontId="8" fillId="2" borderId="16" xfId="0" applyNumberFormat="1" applyFont="1" applyFill="1" applyBorder="1" applyAlignment="1">
      <alignment horizontal="right"/>
    </xf>
    <xf numFmtId="177" fontId="0" fillId="3" borderId="35" xfId="0" applyNumberFormat="1" applyFill="1" applyBorder="1"/>
    <xf numFmtId="177" fontId="0" fillId="3" borderId="36" xfId="0" applyNumberFormat="1" applyFill="1" applyBorder="1"/>
    <xf numFmtId="177" fontId="12" fillId="3" borderId="0" xfId="0" applyNumberFormat="1" applyFont="1" applyFill="1"/>
    <xf numFmtId="177" fontId="12" fillId="3" borderId="16" xfId="0" applyNumberFormat="1" applyFont="1" applyFill="1" applyBorder="1"/>
    <xf numFmtId="177" fontId="8" fillId="2" borderId="2" xfId="0" applyNumberFormat="1" applyFont="1" applyFill="1" applyBorder="1" applyAlignment="1" applyProtection="1">
      <alignment horizontal="right"/>
      <protection locked="0"/>
    </xf>
    <xf numFmtId="177" fontId="8" fillId="2" borderId="23" xfId="0" applyNumberFormat="1" applyFont="1" applyFill="1" applyBorder="1" applyAlignment="1" applyProtection="1">
      <alignment horizontal="center"/>
      <protection locked="0"/>
    </xf>
    <xf numFmtId="177" fontId="10" fillId="3" borderId="0" xfId="0" applyNumberFormat="1" applyFont="1" applyFill="1"/>
    <xf numFmtId="177" fontId="0" fillId="3" borderId="16" xfId="0" applyNumberFormat="1" applyFill="1" applyBorder="1" applyProtection="1">
      <protection locked="0"/>
    </xf>
    <xf numFmtId="177" fontId="0" fillId="3" borderId="0" xfId="0" applyNumberFormat="1" applyFill="1"/>
    <xf numFmtId="177" fontId="0" fillId="3" borderId="16" xfId="0" applyNumberFormat="1" applyFill="1" applyBorder="1"/>
    <xf numFmtId="177" fontId="0" fillId="3" borderId="0" xfId="0" applyNumberFormat="1" applyFill="1" applyProtection="1">
      <protection locked="0"/>
    </xf>
    <xf numFmtId="177" fontId="10" fillId="3" borderId="16" xfId="0" applyNumberFormat="1" applyFont="1" applyFill="1" applyBorder="1"/>
    <xf numFmtId="38" fontId="9" fillId="3" borderId="35" xfId="0" applyNumberFormat="1" applyFont="1" applyFill="1" applyBorder="1"/>
    <xf numFmtId="38" fontId="11" fillId="3" borderId="39" xfId="0" applyNumberFormat="1" applyFont="1" applyFill="1" applyBorder="1"/>
    <xf numFmtId="38" fontId="11" fillId="3" borderId="4" xfId="0" applyNumberFormat="1" applyFont="1" applyFill="1" applyBorder="1"/>
    <xf numFmtId="38" fontId="9" fillId="3" borderId="4" xfId="0" applyNumberFormat="1" applyFont="1" applyFill="1" applyBorder="1"/>
    <xf numFmtId="38" fontId="22" fillId="2" borderId="0" xfId="0" applyNumberFormat="1" applyFont="1" applyFill="1" applyAlignment="1">
      <alignment horizontal="center"/>
    </xf>
    <xf numFmtId="38" fontId="8" fillId="2" borderId="2" xfId="0" applyNumberFormat="1" applyFont="1" applyFill="1" applyBorder="1" applyAlignment="1">
      <alignment horizontal="center"/>
    </xf>
    <xf numFmtId="38" fontId="20" fillId="2" borderId="0" xfId="0" applyNumberFormat="1" applyFont="1" applyFill="1" applyAlignment="1">
      <alignment horizontal="left"/>
    </xf>
    <xf numFmtId="165" fontId="30" fillId="3" borderId="0" xfId="0" applyNumberFormat="1" applyFont="1" applyFill="1" applyAlignment="1">
      <alignment horizontal="right"/>
    </xf>
    <xf numFmtId="0" fontId="0" fillId="0" borderId="0" xfId="0" quotePrefix="1"/>
    <xf numFmtId="0" fontId="28" fillId="0" borderId="0" xfId="0" quotePrefix="1" applyFont="1"/>
    <xf numFmtId="178" fontId="9" fillId="3" borderId="28" xfId="0" applyNumberFormat="1" applyFont="1" applyFill="1" applyBorder="1"/>
    <xf numFmtId="178" fontId="9" fillId="4" borderId="21" xfId="0" applyNumberFormat="1" applyFont="1" applyFill="1" applyBorder="1"/>
    <xf numFmtId="178" fontId="9" fillId="3" borderId="29" xfId="0" applyNumberFormat="1" applyFont="1" applyFill="1" applyBorder="1"/>
    <xf numFmtId="178" fontId="9" fillId="3" borderId="30" xfId="0" applyNumberFormat="1" applyFont="1" applyFill="1" applyBorder="1"/>
    <xf numFmtId="178" fontId="9" fillId="4" borderId="31" xfId="0" applyNumberFormat="1" applyFont="1" applyFill="1" applyBorder="1"/>
    <xf numFmtId="38" fontId="28" fillId="0" borderId="0" xfId="0" applyNumberFormat="1" applyFont="1"/>
    <xf numFmtId="15" fontId="28" fillId="0" borderId="0" xfId="0" applyNumberFormat="1" applyFont="1"/>
    <xf numFmtId="177" fontId="9" fillId="3" borderId="0" xfId="0" applyNumberFormat="1" applyFont="1" applyFill="1"/>
    <xf numFmtId="177" fontId="9" fillId="3" borderId="4" xfId="0" applyNumberFormat="1" applyFont="1" applyFill="1" applyBorder="1"/>
    <xf numFmtId="177" fontId="9" fillId="3" borderId="7" xfId="0" applyNumberFormat="1" applyFont="1" applyFill="1" applyBorder="1"/>
    <xf numFmtId="169" fontId="9" fillId="3" borderId="0" xfId="0" applyNumberFormat="1" applyFont="1" applyFill="1" applyBorder="1"/>
    <xf numFmtId="40" fontId="9" fillId="3" borderId="0" xfId="0" applyNumberFormat="1" applyFont="1" applyFill="1" applyBorder="1"/>
    <xf numFmtId="38" fontId="0" fillId="0" borderId="0" xfId="0" applyNumberFormat="1" applyBorder="1"/>
    <xf numFmtId="16" fontId="10" fillId="0" borderId="0" xfId="0" quotePrefix="1" applyNumberFormat="1" applyFont="1"/>
    <xf numFmtId="177" fontId="9" fillId="3" borderId="0" xfId="0" applyNumberFormat="1" applyFont="1" applyFill="1" applyBorder="1"/>
    <xf numFmtId="0" fontId="9" fillId="3" borderId="0" xfId="0" applyFont="1" applyFill="1" applyBorder="1"/>
    <xf numFmtId="16" fontId="9" fillId="3" borderId="0" xfId="0" applyNumberFormat="1" applyFont="1" applyFill="1" applyBorder="1"/>
    <xf numFmtId="165" fontId="10" fillId="0" borderId="0" xfId="0" applyNumberFormat="1" applyFont="1"/>
  </cellXfs>
  <cellStyles count="105">
    <cellStyle name="20% - Accent1" xfId="19" builtinId="30" customBuiltin="1"/>
    <cellStyle name="20% - Accent1 2" xfId="47"/>
    <cellStyle name="20% - Accent1 3" xfId="67"/>
    <cellStyle name="20% - Accent1 4" xfId="87"/>
    <cellStyle name="20% - Accent2" xfId="23" builtinId="34" customBuiltin="1"/>
    <cellStyle name="20% - Accent2 2" xfId="50"/>
    <cellStyle name="20% - Accent2 3" xfId="70"/>
    <cellStyle name="20% - Accent2 4" xfId="90"/>
    <cellStyle name="20% - Accent3" xfId="27" builtinId="38" customBuiltin="1"/>
    <cellStyle name="20% - Accent3 2" xfId="53"/>
    <cellStyle name="20% - Accent3 3" xfId="73"/>
    <cellStyle name="20% - Accent3 4" xfId="93"/>
    <cellStyle name="20% - Accent4" xfId="31" builtinId="42" customBuiltin="1"/>
    <cellStyle name="20% - Accent4 2" xfId="56"/>
    <cellStyle name="20% - Accent4 3" xfId="76"/>
    <cellStyle name="20% - Accent4 4" xfId="96"/>
    <cellStyle name="20% - Accent5" xfId="35" builtinId="46" customBuiltin="1"/>
    <cellStyle name="20% - Accent5 2" xfId="59"/>
    <cellStyle name="20% - Accent5 3" xfId="79"/>
    <cellStyle name="20% - Accent5 4" xfId="99"/>
    <cellStyle name="20% - Accent6" xfId="39" builtinId="50" customBuiltin="1"/>
    <cellStyle name="20% - Accent6 2" xfId="62"/>
    <cellStyle name="20% - Accent6 3" xfId="82"/>
    <cellStyle name="20% - Accent6 4" xfId="102"/>
    <cellStyle name="40% - Accent1" xfId="20" builtinId="31" customBuiltin="1"/>
    <cellStyle name="40% - Accent1 2" xfId="48"/>
    <cellStyle name="40% - Accent1 3" xfId="68"/>
    <cellStyle name="40% - Accent1 4" xfId="88"/>
    <cellStyle name="40% - Accent2" xfId="24" builtinId="35" customBuiltin="1"/>
    <cellStyle name="40% - Accent2 2" xfId="51"/>
    <cellStyle name="40% - Accent2 3" xfId="71"/>
    <cellStyle name="40% - Accent2 4" xfId="91"/>
    <cellStyle name="40% - Accent3" xfId="28" builtinId="39" customBuiltin="1"/>
    <cellStyle name="40% - Accent3 2" xfId="54"/>
    <cellStyle name="40% - Accent3 3" xfId="74"/>
    <cellStyle name="40% - Accent3 4" xfId="94"/>
    <cellStyle name="40% - Accent4" xfId="32" builtinId="43" customBuiltin="1"/>
    <cellStyle name="40% - Accent4 2" xfId="57"/>
    <cellStyle name="40% - Accent4 3" xfId="77"/>
    <cellStyle name="40% - Accent4 4" xfId="97"/>
    <cellStyle name="40% - Accent5" xfId="36" builtinId="47" customBuiltin="1"/>
    <cellStyle name="40% - Accent5 2" xfId="60"/>
    <cellStyle name="40% - Accent5 3" xfId="80"/>
    <cellStyle name="40% - Accent5 4" xfId="100"/>
    <cellStyle name="40% - Accent6" xfId="40" builtinId="51" customBuiltin="1"/>
    <cellStyle name="40% - Accent6 2" xfId="63"/>
    <cellStyle name="40% - Accent6 3" xfId="83"/>
    <cellStyle name="40% - Accent6 4" xfId="103"/>
    <cellStyle name="60% - Accent1" xfId="21" builtinId="32" customBuiltin="1"/>
    <cellStyle name="60% - Accent1 2" xfId="49"/>
    <cellStyle name="60% - Accent1 3" xfId="69"/>
    <cellStyle name="60% - Accent1 4" xfId="89"/>
    <cellStyle name="60% - Accent2" xfId="25" builtinId="36" customBuiltin="1"/>
    <cellStyle name="60% - Accent2 2" xfId="52"/>
    <cellStyle name="60% - Accent2 3" xfId="72"/>
    <cellStyle name="60% - Accent2 4" xfId="92"/>
    <cellStyle name="60% - Accent3" xfId="29" builtinId="40" customBuiltin="1"/>
    <cellStyle name="60% - Accent3 2" xfId="55"/>
    <cellStyle name="60% - Accent3 3" xfId="75"/>
    <cellStyle name="60% - Accent3 4" xfId="95"/>
    <cellStyle name="60% - Accent4" xfId="33" builtinId="44" customBuiltin="1"/>
    <cellStyle name="60% - Accent4 2" xfId="58"/>
    <cellStyle name="60% - Accent4 3" xfId="78"/>
    <cellStyle name="60% - Accent4 4" xfId="98"/>
    <cellStyle name="60% - Accent5" xfId="37" builtinId="48" customBuiltin="1"/>
    <cellStyle name="60% - Accent5 2" xfId="61"/>
    <cellStyle name="60% - Accent5 3" xfId="81"/>
    <cellStyle name="60% - Accent5 4" xfId="101"/>
    <cellStyle name="60% - Accent6" xfId="41" builtinId="52" customBuiltin="1"/>
    <cellStyle name="60% - Accent6 2" xfId="64"/>
    <cellStyle name="60% - Accent6 3" xfId="84"/>
    <cellStyle name="60% - Accent6 4" xfId="104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Explanatory Text" xfId="2" builtinId="53" customBuiltin="1"/>
    <cellStyle name="Explanatory Text 2" xfId="44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Hyperlink" xfId="1" builtinId="8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rmal 2" xfId="42"/>
    <cellStyle name="Normal 3" xfId="45"/>
    <cellStyle name="Normal 4" xfId="65"/>
    <cellStyle name="Normal 5" xfId="85"/>
    <cellStyle name="Note 2" xfId="43"/>
    <cellStyle name="Note 3" xfId="46"/>
    <cellStyle name="Note 4" xfId="66"/>
    <cellStyle name="Note 5" xfId="86"/>
    <cellStyle name="Output" xfId="12" builtinId="21" customBuiltin="1"/>
    <cellStyle name="Title" xfId="3" builtinId="15" customBuiltin="1"/>
    <cellStyle name="Total" xfId="17" builtinId="25" customBuiltin="1"/>
    <cellStyle name="Warning Text" xfId="16" builtinId="11" customBuiltin="1"/>
  </cellStyles>
  <dxfs count="107">
    <dxf>
      <font>
        <b/>
        <i val="0"/>
        <color rgb="FF666699"/>
      </font>
    </dxf>
    <dxf>
      <font>
        <b/>
        <i val="0"/>
        <color rgb="FFFF8080"/>
      </font>
    </dxf>
    <dxf>
      <font>
        <b/>
        <i val="0"/>
        <color rgb="FFFF8080"/>
      </font>
    </dxf>
    <dxf>
      <font>
        <b/>
        <i val="0"/>
        <color rgb="FFFF8080"/>
      </font>
    </dxf>
    <dxf>
      <font>
        <b/>
        <i val="0"/>
        <color rgb="FFFF8080"/>
      </font>
    </dxf>
    <dxf>
      <font>
        <b/>
        <i val="0"/>
        <color rgb="FFFF8080"/>
      </font>
    </dxf>
    <dxf>
      <font>
        <b/>
        <i val="0"/>
        <color rgb="FF666699"/>
      </font>
    </dxf>
    <dxf>
      <font>
        <b/>
        <i val="0"/>
        <color rgb="FF0000FF"/>
      </font>
    </dxf>
    <dxf>
      <font>
        <b/>
        <i val="0"/>
        <color rgb="FF666699"/>
      </font>
    </dxf>
    <dxf>
      <font>
        <b/>
        <i val="0"/>
        <color rgb="FF666699"/>
      </font>
    </dxf>
    <dxf>
      <font>
        <b/>
        <i val="0"/>
        <color rgb="FFFF8080"/>
      </font>
    </dxf>
    <dxf>
      <font>
        <b/>
        <i val="0"/>
        <color rgb="FFFF8080"/>
      </font>
    </dxf>
    <dxf>
      <font>
        <b/>
        <i val="0"/>
        <color rgb="FF666699"/>
      </font>
    </dxf>
    <dxf>
      <font>
        <b/>
        <i val="0"/>
        <color rgb="FFFF8080"/>
      </font>
    </dxf>
    <dxf>
      <font>
        <b/>
        <i val="0"/>
        <color rgb="FFFF8080"/>
      </font>
    </dxf>
    <dxf>
      <font>
        <b/>
        <i val="0"/>
        <color rgb="FFFF8080"/>
      </font>
    </dxf>
    <dxf>
      <font>
        <b/>
        <i val="0"/>
        <color rgb="FFFF8080"/>
      </font>
    </dxf>
    <dxf>
      <font>
        <b/>
        <i val="0"/>
        <color rgb="FFFF8080"/>
      </font>
    </dxf>
    <dxf>
      <font>
        <b/>
        <i val="0"/>
        <color rgb="FFFF8080"/>
      </font>
    </dxf>
    <dxf>
      <font>
        <b/>
        <i val="0"/>
        <color rgb="FFFF8080"/>
      </font>
    </dxf>
    <dxf>
      <font>
        <b/>
        <i val="0"/>
        <color rgb="FFFF8080"/>
      </font>
    </dxf>
    <dxf>
      <font>
        <b/>
        <i val="0"/>
        <color rgb="FFFF8080"/>
      </font>
    </dxf>
    <dxf>
      <font>
        <b/>
        <i val="0"/>
        <color rgb="FFFF8080"/>
      </font>
    </dxf>
    <dxf>
      <font>
        <b/>
        <i val="0"/>
        <color rgb="FF666699"/>
      </font>
    </dxf>
    <dxf>
      <font>
        <b/>
        <i val="0"/>
        <color rgb="FF0000FF"/>
      </font>
    </dxf>
    <dxf>
      <font>
        <b/>
        <i val="0"/>
        <color rgb="FFFF8080"/>
      </font>
    </dxf>
    <dxf>
      <font>
        <b/>
        <i val="0"/>
        <color rgb="FF666699"/>
      </font>
    </dxf>
    <dxf>
      <font>
        <b/>
        <i val="0"/>
        <color rgb="FF0000FF"/>
      </font>
    </dxf>
    <dxf>
      <font>
        <b/>
        <i val="0"/>
        <color rgb="FFFF8080"/>
      </font>
    </dxf>
    <dxf>
      <font>
        <b/>
        <i val="0"/>
        <color rgb="FFFF8080"/>
      </font>
    </dxf>
    <dxf>
      <font>
        <b/>
        <i val="0"/>
        <color rgb="FFFF8080"/>
      </font>
    </dxf>
    <dxf>
      <font>
        <b/>
        <i val="0"/>
        <color rgb="FFFF8080"/>
      </font>
    </dxf>
    <dxf>
      <font>
        <b/>
        <i val="0"/>
        <color rgb="FF666699"/>
      </font>
    </dxf>
    <dxf>
      <font>
        <b/>
        <i val="0"/>
        <color rgb="FFFF8080"/>
      </font>
    </dxf>
    <dxf>
      <font>
        <b/>
        <i val="0"/>
        <color rgb="FFFF8080"/>
      </font>
    </dxf>
    <dxf>
      <font>
        <b/>
        <i val="0"/>
        <color rgb="FF666699"/>
      </font>
    </dxf>
    <dxf>
      <font>
        <b/>
        <i val="0"/>
        <color rgb="FFFF8080"/>
      </font>
    </dxf>
    <dxf>
      <font>
        <b/>
        <i val="0"/>
        <color rgb="FF666699"/>
      </font>
    </dxf>
    <dxf>
      <font>
        <b/>
        <i val="0"/>
        <color rgb="FFFF8080"/>
      </font>
    </dxf>
    <dxf>
      <font>
        <b/>
        <i val="0"/>
        <color rgb="FFFF8080"/>
      </font>
    </dxf>
    <dxf>
      <font>
        <b/>
        <i val="0"/>
        <color rgb="FFFF8080"/>
      </font>
    </dxf>
    <dxf>
      <font>
        <b/>
        <i val="0"/>
        <color rgb="FFFF8080"/>
      </font>
    </dxf>
    <dxf>
      <font>
        <b/>
        <i val="0"/>
        <color rgb="FFFF8080"/>
      </font>
    </dxf>
    <dxf>
      <font>
        <b/>
        <i val="0"/>
        <color rgb="FFFF8080"/>
      </font>
    </dxf>
    <dxf>
      <font>
        <b/>
        <i val="0"/>
        <color rgb="FF666699"/>
      </font>
    </dxf>
    <dxf>
      <font>
        <b/>
        <i val="0"/>
        <color rgb="FFFF8080"/>
      </font>
    </dxf>
    <dxf>
      <font>
        <b/>
        <i val="0"/>
        <color rgb="FF666699"/>
      </font>
    </dxf>
    <dxf>
      <font>
        <b/>
        <i val="0"/>
        <color rgb="FFFF8080"/>
      </font>
    </dxf>
    <dxf>
      <font>
        <b/>
        <i val="0"/>
        <color rgb="FFFF8080"/>
      </font>
    </dxf>
    <dxf>
      <font>
        <b/>
        <i val="0"/>
        <color rgb="FFFF8080"/>
      </font>
    </dxf>
    <dxf>
      <font>
        <b/>
        <i val="0"/>
        <color rgb="FFFF8080"/>
      </font>
    </dxf>
    <dxf>
      <font>
        <b/>
        <i val="0"/>
        <color rgb="FFFF8080"/>
      </font>
    </dxf>
    <dxf>
      <font>
        <b/>
        <i val="0"/>
        <color rgb="FF666699"/>
      </font>
    </dxf>
    <dxf>
      <font>
        <b/>
        <i val="0"/>
        <color rgb="FFFF8080"/>
      </font>
    </dxf>
    <dxf>
      <font>
        <b/>
        <i val="0"/>
        <color rgb="FF666699"/>
      </font>
    </dxf>
    <dxf>
      <font>
        <b/>
        <i val="0"/>
        <color rgb="FFFF8080"/>
      </font>
    </dxf>
    <dxf>
      <font>
        <b/>
        <i val="0"/>
        <color rgb="FFFF8080"/>
      </font>
    </dxf>
    <dxf>
      <font>
        <b/>
        <i val="0"/>
        <color rgb="FFFF8080"/>
      </font>
    </dxf>
    <dxf>
      <font>
        <b/>
        <i val="0"/>
        <color rgb="FF666699"/>
      </font>
    </dxf>
    <dxf>
      <font>
        <b/>
        <i val="0"/>
        <color rgb="FF0000FF"/>
      </font>
    </dxf>
    <dxf>
      <font>
        <b/>
        <i val="0"/>
        <color rgb="FFFF8080"/>
      </font>
    </dxf>
    <dxf>
      <font>
        <b/>
        <i val="0"/>
        <color rgb="FFFF8080"/>
      </font>
    </dxf>
    <dxf>
      <font>
        <b/>
        <i val="0"/>
        <color rgb="FF666699"/>
      </font>
    </dxf>
    <dxf>
      <font>
        <b/>
        <i val="0"/>
        <color rgb="FF0000FF"/>
      </font>
    </dxf>
    <dxf>
      <font>
        <b/>
        <i val="0"/>
        <color rgb="FFFF8080"/>
      </font>
    </dxf>
    <dxf>
      <font>
        <b/>
        <i val="0"/>
        <color rgb="FF666699"/>
      </font>
    </dxf>
    <dxf>
      <font>
        <b/>
        <i val="0"/>
        <color rgb="FF0000FF"/>
      </font>
    </dxf>
    <dxf>
      <font>
        <b/>
        <i val="0"/>
        <color rgb="FFFF8080"/>
      </font>
    </dxf>
    <dxf>
      <font>
        <b/>
        <i val="0"/>
        <color rgb="FFFF8080"/>
      </font>
    </dxf>
    <dxf>
      <font>
        <b/>
        <i val="0"/>
        <color rgb="FF666699"/>
      </font>
    </dxf>
    <dxf>
      <font>
        <b/>
        <i val="0"/>
        <color rgb="FFFF8080"/>
      </font>
    </dxf>
    <dxf>
      <font>
        <b/>
        <i val="0"/>
        <color rgb="FF666699"/>
      </font>
    </dxf>
    <dxf>
      <font>
        <b/>
        <i val="0"/>
        <color rgb="FF0000FF"/>
      </font>
    </dxf>
    <dxf>
      <font>
        <b/>
        <i val="0"/>
        <color rgb="FFFF8080"/>
      </font>
    </dxf>
    <dxf>
      <font>
        <b/>
        <i val="0"/>
        <color rgb="FF666699"/>
      </font>
    </dxf>
    <dxf>
      <font>
        <b/>
        <i val="0"/>
        <color rgb="FFFF8080"/>
      </font>
    </dxf>
    <dxf>
      <font>
        <b/>
        <i val="0"/>
        <color rgb="FF666699"/>
      </font>
    </dxf>
    <dxf>
      <font>
        <b/>
        <i val="0"/>
        <color rgb="FFFF8080"/>
      </font>
    </dxf>
    <dxf>
      <font>
        <b/>
        <i val="0"/>
        <color rgb="FFFF8080"/>
      </font>
    </dxf>
    <dxf>
      <font>
        <b/>
        <i val="0"/>
        <color rgb="FFFF8080"/>
      </font>
    </dxf>
    <dxf>
      <font>
        <b/>
        <i val="0"/>
        <color rgb="FF666699"/>
      </font>
    </dxf>
    <dxf>
      <font>
        <b/>
        <i val="0"/>
        <color rgb="FFFF8080"/>
      </font>
    </dxf>
    <dxf>
      <font>
        <b/>
        <i val="0"/>
        <color rgb="FF666699"/>
      </font>
    </dxf>
    <dxf>
      <numFmt numFmtId="8" formatCode="#,##0.00;[Red]\-#,##0.00"/>
    </dxf>
    <dxf>
      <numFmt numFmtId="8" formatCode="#,##0.00;[Red]\-#,##0.00"/>
    </dxf>
    <dxf>
      <numFmt numFmtId="8" formatCode="#,##0.00;[Red]\-#,##0.00"/>
    </dxf>
    <dxf>
      <font>
        <b/>
        <i val="0"/>
        <color rgb="FF666699"/>
      </font>
    </dxf>
    <dxf>
      <font>
        <b/>
        <i val="0"/>
        <color rgb="FF666699"/>
      </font>
    </dxf>
    <dxf>
      <font>
        <b/>
        <i val="0"/>
        <color rgb="FFFF8080"/>
      </font>
    </dxf>
    <dxf>
      <font>
        <b/>
        <i val="0"/>
        <color rgb="FF666699"/>
      </font>
    </dxf>
    <dxf>
      <font>
        <b/>
        <i val="0"/>
        <color rgb="FFFF8080"/>
      </font>
    </dxf>
    <dxf>
      <font>
        <b/>
        <i val="0"/>
        <color rgb="FF666699"/>
      </font>
    </dxf>
    <dxf>
      <font>
        <b/>
        <i val="0"/>
        <color rgb="FFFF8080"/>
      </font>
    </dxf>
    <dxf>
      <font>
        <b/>
        <i val="0"/>
        <color rgb="FF666699"/>
      </font>
    </dxf>
    <dxf>
      <font>
        <b/>
        <i val="0"/>
        <color rgb="FFFF8080"/>
      </font>
    </dxf>
    <dxf>
      <font>
        <b/>
        <i val="0"/>
        <color rgb="FF666699"/>
      </font>
    </dxf>
    <dxf>
      <font>
        <b/>
        <i val="0"/>
        <color rgb="FFFF8080"/>
      </font>
    </dxf>
    <dxf>
      <font>
        <b/>
        <i val="0"/>
        <color rgb="FF666699"/>
      </font>
    </dxf>
    <dxf>
      <font>
        <b/>
        <i val="0"/>
        <color rgb="FFFF8080"/>
      </font>
    </dxf>
    <dxf>
      <font>
        <b/>
        <i val="0"/>
        <color rgb="FF666699"/>
      </font>
    </dxf>
    <dxf>
      <font>
        <b/>
        <i val="0"/>
        <color rgb="FF666699"/>
      </font>
    </dxf>
    <dxf>
      <font>
        <b/>
        <i val="0"/>
        <color rgb="FFFF8080"/>
      </font>
    </dxf>
    <dxf>
      <font>
        <b/>
        <i val="0"/>
        <color rgb="FF666699"/>
      </font>
    </dxf>
    <dxf>
      <font>
        <b/>
        <i val="0"/>
        <color rgb="FFFF8080"/>
      </font>
    </dxf>
    <dxf>
      <font>
        <b/>
        <i val="0"/>
        <color rgb="FFFF8080"/>
      </font>
    </dxf>
    <dxf>
      <font>
        <b/>
        <i val="0"/>
        <color rgb="FFFF8080"/>
      </font>
    </dxf>
    <dxf>
      <font>
        <b/>
        <i val="0"/>
        <color rgb="FF666699"/>
      </font>
    </dxf>
  </dxfs>
  <tableStyles count="0" defaultTableStyle="TableStyleMedium2" defaultPivotStyle="PivotStyleLight16"/>
  <colors>
    <indexedColors>
      <rgbColor rgb="FF000000"/>
      <rgbColor rgb="FFFFFFFF"/>
      <rgbColor rgb="FFC0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BF"/>
      <rgbColor rgb="FFCCFFFF"/>
      <rgbColor rgb="FF660066"/>
      <rgbColor rgb="FFFF8080"/>
      <rgbColor rgb="FF0070C0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5F"/>
      <rgbColor rgb="FF99CCFF"/>
      <rgbColor rgb="FFFF99CC"/>
      <rgbColor rgb="FFCC9CCC"/>
      <rgbColor rgb="FFFFCC99"/>
      <rgbColor rgb="FF558ED5"/>
      <rgbColor rgb="FF33CCCC"/>
      <rgbColor rgb="FF99CC00"/>
      <rgbColor rgb="FFFFCC00"/>
      <rgbColor rgb="FFFF9900"/>
      <rgbColor rgb="FFED7D31"/>
      <rgbColor rgb="FF666699"/>
      <rgbColor rgb="FF969696"/>
      <rgbColor rgb="FF003366"/>
      <rgbColor rgb="FF00B050"/>
      <rgbColor rgb="FF003300"/>
      <rgbColor rgb="FF333300"/>
      <rgbColor rgb="FF993300"/>
      <rgbColor rgb="FF993366"/>
      <rgbColor rgb="FF595959"/>
      <rgbColor rgb="FF222222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66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sz="1400" b="0" strike="noStrike" spc="-1">
                <a:solidFill>
                  <a:srgbClr val="595959"/>
                </a:solidFill>
                <a:uFill>
                  <a:solidFill>
                    <a:srgbClr val="FFFFFF"/>
                  </a:solidFill>
                </a:uFill>
                <a:latin typeface="Calibri"/>
              </a:defRPr>
            </a:pPr>
            <a:r>
              <a:rPr lang="en-AU" sz="1400" b="0" strike="noStrike" spc="-1">
                <a:solidFill>
                  <a:srgbClr val="595959"/>
                </a:solidFill>
                <a:uFill>
                  <a:solidFill>
                    <a:srgbClr val="FFFFFF"/>
                  </a:solidFill>
                </a:uFill>
                <a:latin typeface="Calibri"/>
              </a:rPr>
              <a:t>Receipts by Month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35092260165317"/>
          <c:y val="2.5428229982737999E-2"/>
          <c:w val="0.86482424647240497"/>
          <c:h val="0.90691807196919405"/>
        </c:manualLayout>
      </c:layout>
      <c:barChart>
        <c:barDir val="col"/>
        <c:grouping val="clustered"/>
        <c:varyColors val="0"/>
        <c:ser>
          <c:idx val="0"/>
          <c:order val="0"/>
          <c:tx>
            <c:v>Services</c:v>
          </c:tx>
          <c:spPr>
            <a:solidFill>
              <a:srgbClr val="00B050"/>
            </a:solidFill>
            <a:ln w="3816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(Rcpts!$A$19:$A$53,Rcpts!$A$66:$A$95,Rcpts!$A$110:$A$137,Rcpts!$A$151:$A$180)</c:f>
              <c:strCache>
                <c:ptCount val="12"/>
                <c:pt idx="0">
                  <c:v>Jul</c:v>
                </c:pt>
                <c:pt idx="1">
                  <c:v>Aug</c:v>
                </c:pt>
                <c:pt idx="2">
                  <c:v>Sep</c:v>
                </c:pt>
                <c:pt idx="3">
                  <c:v>Oct</c:v>
                </c:pt>
                <c:pt idx="4">
                  <c:v>Nov</c:v>
                </c:pt>
                <c:pt idx="5">
                  <c:v>Dec</c:v>
                </c:pt>
                <c:pt idx="6">
                  <c:v>Jan</c:v>
                </c:pt>
                <c:pt idx="7">
                  <c:v>Feb</c:v>
                </c:pt>
                <c:pt idx="8">
                  <c:v>Mar</c:v>
                </c:pt>
                <c:pt idx="9">
                  <c:v>Apr</c:v>
                </c:pt>
                <c:pt idx="10">
                  <c:v>May</c:v>
                </c:pt>
                <c:pt idx="11">
                  <c:v>Jun</c:v>
                </c:pt>
              </c:strCache>
            </c:strRef>
          </c:cat>
          <c:val>
            <c:numRef>
              <c:f>(Rcpts!$E$19:$E$53,Rcpts!$E$66:$E$95,Rcpts!$E$110:$E$137,Rcpts!$E$151:$E$180)</c:f>
              <c:numCache>
                <c:formatCode>#,##0.00;[Red]\-#,##0.00;;@</c:formatCode>
                <c:ptCount val="12"/>
                <c:pt idx="0">
                  <c:v>99917.1</c:v>
                </c:pt>
                <c:pt idx="1">
                  <c:v>96714.200000000012</c:v>
                </c:pt>
                <c:pt idx="2">
                  <c:v>103735.25000000001</c:v>
                </c:pt>
                <c:pt idx="3">
                  <c:v>23900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79-5F47-946E-786827FE4C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0612080"/>
        <c:axId val="290619136"/>
      </c:barChart>
      <c:catAx>
        <c:axId val="290612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sz="900" b="0" strike="noStrike" spc="-1">
                <a:solidFill>
                  <a:srgbClr val="595959"/>
                </a:solidFill>
                <a:uFill>
                  <a:solidFill>
                    <a:srgbClr val="FFFFFF"/>
                  </a:solidFill>
                </a:uFill>
                <a:latin typeface="Calibri"/>
              </a:defRPr>
            </a:pPr>
            <a:endParaRPr lang="en-US"/>
          </a:p>
        </c:txPr>
        <c:crossAx val="290619136"/>
        <c:crosses val="autoZero"/>
        <c:auto val="1"/>
        <c:lblAlgn val="ctr"/>
        <c:lblOffset val="100"/>
        <c:noMultiLvlLbl val="1"/>
      </c:catAx>
      <c:valAx>
        <c:axId val="290619136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numFmt formatCode="#,##0.00;[Red]\-#,##0.00;;@" sourceLinked="0"/>
        <c:majorTickMark val="none"/>
        <c:minorTickMark val="none"/>
        <c:tickLblPos val="nextTo"/>
        <c:spPr>
          <a:ln w="6480">
            <a:noFill/>
          </a:ln>
        </c:spPr>
        <c:txPr>
          <a:bodyPr/>
          <a:lstStyle/>
          <a:p>
            <a:pPr>
              <a:defRPr sz="900" b="0" strike="noStrike" spc="-1">
                <a:solidFill>
                  <a:srgbClr val="595959"/>
                </a:solidFill>
                <a:uFill>
                  <a:solidFill>
                    <a:srgbClr val="FFFFFF"/>
                  </a:solidFill>
                </a:uFill>
                <a:latin typeface="Calibri"/>
              </a:defRPr>
            </a:pPr>
            <a:endParaRPr lang="en-US"/>
          </a:p>
        </c:txPr>
        <c:crossAx val="290612080"/>
        <c:crosses val="autoZero"/>
        <c:crossBetween val="midCat"/>
      </c:valAx>
      <c:spPr>
        <a:noFill/>
        <a:ln>
          <a:noFill/>
        </a:ln>
      </c:spPr>
    </c:plotArea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68040</xdr:colOff>
      <xdr:row>0</xdr:row>
      <xdr:rowOff>46080</xdr:rowOff>
    </xdr:from>
    <xdr:to>
      <xdr:col>15</xdr:col>
      <xdr:colOff>331855</xdr:colOff>
      <xdr:row>185</xdr:row>
      <xdr:rowOff>27007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552240</xdr:colOff>
      <xdr:row>359</xdr:row>
      <xdr:rowOff>140294</xdr:rowOff>
    </xdr:to>
    <xdr:sp macro="" textlink="">
      <xdr:nvSpPr>
        <xdr:cNvPr id="2" name="CustomShape 1" hidden="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0" y="0"/>
          <a:ext cx="11245320" cy="1227708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552240</xdr:colOff>
      <xdr:row>359</xdr:row>
      <xdr:rowOff>140294</xdr:rowOff>
    </xdr:to>
    <xdr:sp macro="" textlink="">
      <xdr:nvSpPr>
        <xdr:cNvPr id="3" name="CustomShape 1" hidden="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0" y="0"/>
          <a:ext cx="11245320" cy="1227708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552240</xdr:colOff>
      <xdr:row>359</xdr:row>
      <xdr:rowOff>140294</xdr:rowOff>
    </xdr:to>
    <xdr:sp macro="" textlink="">
      <xdr:nvSpPr>
        <xdr:cNvPr id="4" name="CustomShape 1" hidden="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0" y="0"/>
          <a:ext cx="11245320" cy="1227708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552240</xdr:colOff>
      <xdr:row>359</xdr:row>
      <xdr:rowOff>140294</xdr:rowOff>
    </xdr:to>
    <xdr:sp macro="" textlink="">
      <xdr:nvSpPr>
        <xdr:cNvPr id="5" name="CustomShape 1" hidden="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0" y="0"/>
          <a:ext cx="11245320" cy="1227708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552240</xdr:colOff>
      <xdr:row>359</xdr:row>
      <xdr:rowOff>140294</xdr:rowOff>
    </xdr:to>
    <xdr:sp macro="" textlink="">
      <xdr:nvSpPr>
        <xdr:cNvPr id="6" name="CustomShape 1" hidden="1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0" y="0"/>
          <a:ext cx="11245320" cy="1227708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552240</xdr:colOff>
      <xdr:row>359</xdr:row>
      <xdr:rowOff>140294</xdr:rowOff>
    </xdr:to>
    <xdr:sp macro="" textlink="">
      <xdr:nvSpPr>
        <xdr:cNvPr id="7" name="CustomShape 1" hidden="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0" y="0"/>
          <a:ext cx="11245320" cy="1227708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552240</xdr:colOff>
      <xdr:row>359</xdr:row>
      <xdr:rowOff>140294</xdr:rowOff>
    </xdr:to>
    <xdr:sp macro="" textlink="">
      <xdr:nvSpPr>
        <xdr:cNvPr id="8" name="CustomShape 1" hidden="1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0" y="0"/>
          <a:ext cx="11245320" cy="1227708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552240</xdr:colOff>
      <xdr:row>359</xdr:row>
      <xdr:rowOff>140294</xdr:rowOff>
    </xdr:to>
    <xdr:sp macro="" textlink="">
      <xdr:nvSpPr>
        <xdr:cNvPr id="9" name="CustomShape 1" hidden="1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0" y="0"/>
          <a:ext cx="11245320" cy="1227708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552240</xdr:colOff>
      <xdr:row>359</xdr:row>
      <xdr:rowOff>140294</xdr:rowOff>
    </xdr:to>
    <xdr:sp macro="" textlink="">
      <xdr:nvSpPr>
        <xdr:cNvPr id="10" name="CustomShape 1" hidden="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0" y="0"/>
          <a:ext cx="11245320" cy="1227708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552240</xdr:colOff>
      <xdr:row>359</xdr:row>
      <xdr:rowOff>140294</xdr:rowOff>
    </xdr:to>
    <xdr:sp macro="" textlink="">
      <xdr:nvSpPr>
        <xdr:cNvPr id="11" name="CustomShape 1" hidden="1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0" y="0"/>
          <a:ext cx="11245320" cy="1227708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238125</xdr:colOff>
      <xdr:row>251</xdr:row>
      <xdr:rowOff>47625</xdr:rowOff>
    </xdr:to>
    <xdr:sp macro="" textlink="">
      <xdr:nvSpPr>
        <xdr:cNvPr id="2072" name="shapetype_202" hidden="1">
          <a:extLst>
            <a:ext uri="{FF2B5EF4-FFF2-40B4-BE49-F238E27FC236}">
              <a16:creationId xmlns:a16="http://schemas.microsoft.com/office/drawing/2014/main" id="{00000000-0008-0000-0100-00001808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238125</xdr:colOff>
      <xdr:row>251</xdr:row>
      <xdr:rowOff>47625</xdr:rowOff>
    </xdr:to>
    <xdr:sp macro="" textlink="">
      <xdr:nvSpPr>
        <xdr:cNvPr id="2070" name="shapetype_202" hidden="1">
          <a:extLst>
            <a:ext uri="{FF2B5EF4-FFF2-40B4-BE49-F238E27FC236}">
              <a16:creationId xmlns:a16="http://schemas.microsoft.com/office/drawing/2014/main" id="{00000000-0008-0000-0100-00001608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238125</xdr:colOff>
      <xdr:row>251</xdr:row>
      <xdr:rowOff>47625</xdr:rowOff>
    </xdr:to>
    <xdr:sp macro="" textlink="">
      <xdr:nvSpPr>
        <xdr:cNvPr id="2068" name="shapetype_202" hidden="1">
          <a:extLst>
            <a:ext uri="{FF2B5EF4-FFF2-40B4-BE49-F238E27FC236}">
              <a16:creationId xmlns:a16="http://schemas.microsoft.com/office/drawing/2014/main" id="{00000000-0008-0000-0100-00001408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238125</xdr:colOff>
      <xdr:row>251</xdr:row>
      <xdr:rowOff>47625</xdr:rowOff>
    </xdr:to>
    <xdr:sp macro="" textlink="">
      <xdr:nvSpPr>
        <xdr:cNvPr id="2066" name="shapetype_202" hidden="1">
          <a:extLst>
            <a:ext uri="{FF2B5EF4-FFF2-40B4-BE49-F238E27FC236}">
              <a16:creationId xmlns:a16="http://schemas.microsoft.com/office/drawing/2014/main" id="{00000000-0008-0000-0100-00001208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238125</xdr:colOff>
      <xdr:row>251</xdr:row>
      <xdr:rowOff>47625</xdr:rowOff>
    </xdr:to>
    <xdr:sp macro="" textlink="">
      <xdr:nvSpPr>
        <xdr:cNvPr id="2064" name="shapetype_202" hidden="1">
          <a:extLst>
            <a:ext uri="{FF2B5EF4-FFF2-40B4-BE49-F238E27FC236}">
              <a16:creationId xmlns:a16="http://schemas.microsoft.com/office/drawing/2014/main" id="{00000000-0008-0000-0100-00001008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238125</xdr:colOff>
      <xdr:row>251</xdr:row>
      <xdr:rowOff>47625</xdr:rowOff>
    </xdr:to>
    <xdr:sp macro="" textlink="">
      <xdr:nvSpPr>
        <xdr:cNvPr id="2062" name="shapetype_202" hidden="1">
          <a:extLst>
            <a:ext uri="{FF2B5EF4-FFF2-40B4-BE49-F238E27FC236}">
              <a16:creationId xmlns:a16="http://schemas.microsoft.com/office/drawing/2014/main" id="{00000000-0008-0000-0100-00000E08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238125</xdr:colOff>
      <xdr:row>251</xdr:row>
      <xdr:rowOff>47625</xdr:rowOff>
    </xdr:to>
    <xdr:sp macro="" textlink="">
      <xdr:nvSpPr>
        <xdr:cNvPr id="2060" name="shapetype_202" hidden="1">
          <a:extLst>
            <a:ext uri="{FF2B5EF4-FFF2-40B4-BE49-F238E27FC236}">
              <a16:creationId xmlns:a16="http://schemas.microsoft.com/office/drawing/2014/main" id="{00000000-0008-0000-0100-00000C08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238125</xdr:colOff>
      <xdr:row>251</xdr:row>
      <xdr:rowOff>47625</xdr:rowOff>
    </xdr:to>
    <xdr:sp macro="" textlink="">
      <xdr:nvSpPr>
        <xdr:cNvPr id="2058" name="shapetype_202" hidden="1">
          <a:extLst>
            <a:ext uri="{FF2B5EF4-FFF2-40B4-BE49-F238E27FC236}">
              <a16:creationId xmlns:a16="http://schemas.microsoft.com/office/drawing/2014/main" id="{00000000-0008-0000-0100-00000A08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238125</xdr:colOff>
      <xdr:row>251</xdr:row>
      <xdr:rowOff>47625</xdr:rowOff>
    </xdr:to>
    <xdr:sp macro="" textlink="">
      <xdr:nvSpPr>
        <xdr:cNvPr id="2056" name="shapetype_202" hidden="1">
          <a:extLst>
            <a:ext uri="{FF2B5EF4-FFF2-40B4-BE49-F238E27FC236}">
              <a16:creationId xmlns:a16="http://schemas.microsoft.com/office/drawing/2014/main" id="{00000000-0008-0000-0100-00000808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238125</xdr:colOff>
      <xdr:row>251</xdr:row>
      <xdr:rowOff>47625</xdr:rowOff>
    </xdr:to>
    <xdr:sp macro="" textlink="">
      <xdr:nvSpPr>
        <xdr:cNvPr id="2054" name="shapetype_202" hidden="1">
          <a:extLst>
            <a:ext uri="{FF2B5EF4-FFF2-40B4-BE49-F238E27FC236}">
              <a16:creationId xmlns:a16="http://schemas.microsoft.com/office/drawing/2014/main" id="{00000000-0008-0000-0100-00000608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238125</xdr:colOff>
      <xdr:row>251</xdr:row>
      <xdr:rowOff>47625</xdr:rowOff>
    </xdr:to>
    <xdr:sp macro="" textlink="">
      <xdr:nvSpPr>
        <xdr:cNvPr id="2052" name="shapetype_202" hidden="1">
          <a:extLst>
            <a:ext uri="{FF2B5EF4-FFF2-40B4-BE49-F238E27FC236}">
              <a16:creationId xmlns:a16="http://schemas.microsoft.com/office/drawing/2014/main" id="{00000000-0008-0000-0100-00000408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238125</xdr:colOff>
      <xdr:row>251</xdr:row>
      <xdr:rowOff>47625</xdr:rowOff>
    </xdr:to>
    <xdr:sp macro="" textlink="">
      <xdr:nvSpPr>
        <xdr:cNvPr id="2050" name="shapetype_202" hidden="1">
          <a:extLst>
            <a:ext uri="{FF2B5EF4-FFF2-40B4-BE49-F238E27FC236}">
              <a16:creationId xmlns:a16="http://schemas.microsoft.com/office/drawing/2014/main" id="{00000000-0008-0000-0100-00000208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13</xdr:col>
      <xdr:colOff>656200</xdr:colOff>
      <xdr:row>679</xdr:row>
      <xdr:rowOff>16170</xdr:rowOff>
    </xdr:to>
    <xdr:sp macro="" textlink="">
      <xdr:nvSpPr>
        <xdr:cNvPr id="11" name="CustomShape 1" hidden="1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0" y="0"/>
          <a:ext cx="11181960" cy="1719252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504825</xdr:colOff>
      <xdr:row>427</xdr:row>
      <xdr:rowOff>57150</xdr:rowOff>
    </xdr:to>
    <xdr:sp macro="" textlink="">
      <xdr:nvSpPr>
        <xdr:cNvPr id="3076" name="shapetype_202" hidden="1">
          <a:extLst>
            <a:ext uri="{FF2B5EF4-FFF2-40B4-BE49-F238E27FC236}">
              <a16:creationId xmlns:a16="http://schemas.microsoft.com/office/drawing/2014/main" id="{00000000-0008-0000-0D00-0000040C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504825</xdr:colOff>
      <xdr:row>427</xdr:row>
      <xdr:rowOff>57150</xdr:rowOff>
    </xdr:to>
    <xdr:sp macro="" textlink="">
      <xdr:nvSpPr>
        <xdr:cNvPr id="3074" name="shapetype_202" hidden="1">
          <a:extLst>
            <a:ext uri="{FF2B5EF4-FFF2-40B4-BE49-F238E27FC236}">
              <a16:creationId xmlns:a16="http://schemas.microsoft.com/office/drawing/2014/main" id="{00000000-0008-0000-0D00-0000020C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0</xdr:row>
          <xdr:rowOff>0</xdr:rowOff>
        </xdr:from>
        <xdr:to>
          <xdr:col>3</xdr:col>
          <xdr:colOff>106680</xdr:colOff>
          <xdr:row>1</xdr:row>
          <xdr:rowOff>45720</xdr:rowOff>
        </xdr:to>
        <xdr:sp macro="" textlink="">
          <xdr:nvSpPr>
            <xdr:cNvPr id="2" name="cboEmpId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D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12</xdr:col>
      <xdr:colOff>440300</xdr:colOff>
      <xdr:row>702</xdr:row>
      <xdr:rowOff>87290</xdr:rowOff>
    </xdr:to>
    <xdr:sp macro="" textlink="">
      <xdr:nvSpPr>
        <xdr:cNvPr id="2" name="CustomShape 1" hidden="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0" y="0"/>
          <a:ext cx="10846680" cy="1645505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0</xdr:row>
          <xdr:rowOff>0</xdr:rowOff>
        </xdr:from>
        <xdr:to>
          <xdr:col>3</xdr:col>
          <xdr:colOff>419100</xdr:colOff>
          <xdr:row>1</xdr:row>
          <xdr:rowOff>45720</xdr:rowOff>
        </xdr:to>
        <xdr:sp macro="" textlink="">
          <xdr:nvSpPr>
            <xdr:cNvPr id="5121" name="cboEmpId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E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15</xdr:col>
      <xdr:colOff>9000</xdr:colOff>
      <xdr:row>34</xdr:row>
      <xdr:rowOff>132840</xdr:rowOff>
    </xdr:to>
    <xdr:sp macro="" textlink="">
      <xdr:nvSpPr>
        <xdr:cNvPr id="12" name="CustomShape 1" hidden="1">
          <a:extLst>
            <a:ext uri="{FF2B5EF4-FFF2-40B4-BE49-F238E27FC236}">
              <a16:creationId xmlns:a16="http://schemas.microsoft.com/office/drawing/2014/main" id="{00000000-0008-0000-0F00-00000C000000}"/>
            </a:ext>
          </a:extLst>
        </xdr:cNvPr>
        <xdr:cNvSpPr/>
      </xdr:nvSpPr>
      <xdr:spPr>
        <a:xfrm>
          <a:off x="0" y="0"/>
          <a:ext cx="11261160" cy="563796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15</xdr:col>
      <xdr:colOff>9000</xdr:colOff>
      <xdr:row>34</xdr:row>
      <xdr:rowOff>132840</xdr:rowOff>
    </xdr:to>
    <xdr:sp macro="" textlink="">
      <xdr:nvSpPr>
        <xdr:cNvPr id="13" name="CustomShape 1" hidden="1"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0" y="0"/>
          <a:ext cx="11261160" cy="563796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15</xdr:col>
      <xdr:colOff>9000</xdr:colOff>
      <xdr:row>34</xdr:row>
      <xdr:rowOff>132840</xdr:rowOff>
    </xdr:to>
    <xdr:sp macro="" textlink="">
      <xdr:nvSpPr>
        <xdr:cNvPr id="14" name="CustomShape 1" hidden="1">
          <a:extLst>
            <a:ext uri="{FF2B5EF4-FFF2-40B4-BE49-F238E27FC236}">
              <a16:creationId xmlns:a16="http://schemas.microsoft.com/office/drawing/2014/main" id="{00000000-0008-0000-0F00-00000E000000}"/>
            </a:ext>
          </a:extLst>
        </xdr:cNvPr>
        <xdr:cNvSpPr/>
      </xdr:nvSpPr>
      <xdr:spPr>
        <a:xfrm>
          <a:off x="0" y="0"/>
          <a:ext cx="11261160" cy="563796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15</xdr:col>
      <xdr:colOff>9000</xdr:colOff>
      <xdr:row>34</xdr:row>
      <xdr:rowOff>132840</xdr:rowOff>
    </xdr:to>
    <xdr:sp macro="" textlink="">
      <xdr:nvSpPr>
        <xdr:cNvPr id="15" name="CustomShape 1" hidden="1">
          <a:extLs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SpPr/>
      </xdr:nvSpPr>
      <xdr:spPr>
        <a:xfrm>
          <a:off x="0" y="0"/>
          <a:ext cx="11261160" cy="563796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361950</xdr:colOff>
      <xdr:row>108</xdr:row>
      <xdr:rowOff>133350</xdr:rowOff>
    </xdr:to>
    <xdr:sp macro="" textlink="">
      <xdr:nvSpPr>
        <xdr:cNvPr id="4108" name="shapetype_202" hidden="1">
          <a:extLst>
            <a:ext uri="{FF2B5EF4-FFF2-40B4-BE49-F238E27FC236}">
              <a16:creationId xmlns:a16="http://schemas.microsoft.com/office/drawing/2014/main" id="{00000000-0008-0000-0F00-00000C10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361950</xdr:colOff>
      <xdr:row>108</xdr:row>
      <xdr:rowOff>133350</xdr:rowOff>
    </xdr:to>
    <xdr:sp macro="" textlink="">
      <xdr:nvSpPr>
        <xdr:cNvPr id="4106" name="shapetype_202" hidden="1">
          <a:extLst>
            <a:ext uri="{FF2B5EF4-FFF2-40B4-BE49-F238E27FC236}">
              <a16:creationId xmlns:a16="http://schemas.microsoft.com/office/drawing/2014/main" id="{00000000-0008-0000-0F00-00000A10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361950</xdr:colOff>
      <xdr:row>108</xdr:row>
      <xdr:rowOff>133350</xdr:rowOff>
    </xdr:to>
    <xdr:sp macro="" textlink="">
      <xdr:nvSpPr>
        <xdr:cNvPr id="4104" name="shapetype_202" hidden="1">
          <a:extLst>
            <a:ext uri="{FF2B5EF4-FFF2-40B4-BE49-F238E27FC236}">
              <a16:creationId xmlns:a16="http://schemas.microsoft.com/office/drawing/2014/main" id="{00000000-0008-0000-0F00-00000810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361950</xdr:colOff>
      <xdr:row>108</xdr:row>
      <xdr:rowOff>133350</xdr:rowOff>
    </xdr:to>
    <xdr:sp macro="" textlink="">
      <xdr:nvSpPr>
        <xdr:cNvPr id="4102" name="shapetype_202" hidden="1">
          <a:extLst>
            <a:ext uri="{FF2B5EF4-FFF2-40B4-BE49-F238E27FC236}">
              <a16:creationId xmlns:a16="http://schemas.microsoft.com/office/drawing/2014/main" id="{00000000-0008-0000-0F00-00000610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361950</xdr:colOff>
      <xdr:row>108</xdr:row>
      <xdr:rowOff>133350</xdr:rowOff>
    </xdr:to>
    <xdr:sp macro="" textlink="">
      <xdr:nvSpPr>
        <xdr:cNvPr id="4100" name="shapetype_202" hidden="1">
          <a:extLst>
            <a:ext uri="{FF2B5EF4-FFF2-40B4-BE49-F238E27FC236}">
              <a16:creationId xmlns:a16="http://schemas.microsoft.com/office/drawing/2014/main" id="{00000000-0008-0000-0F00-00000410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361950</xdr:colOff>
      <xdr:row>108</xdr:row>
      <xdr:rowOff>133350</xdr:rowOff>
    </xdr:to>
    <xdr:sp macro="" textlink="">
      <xdr:nvSpPr>
        <xdr:cNvPr id="4098" name="shapetype_202" hidden="1">
          <a:extLst>
            <a:ext uri="{FF2B5EF4-FFF2-40B4-BE49-F238E27FC236}">
              <a16:creationId xmlns:a16="http://schemas.microsoft.com/office/drawing/2014/main" id="{00000000-0008-0000-0F00-00000210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ichael A Mcrae" refreshedDate="43669.35362627315" createdVersion="4" refreshedVersion="6" minRefreshableVersion="3" recordCount="136">
  <cacheSource type="worksheet">
    <worksheetSource ref="A4:X140" sheet="Invs"/>
  </cacheSource>
  <cacheFields count="24">
    <cacheField name="Column1" numFmtId="49">
      <sharedItems containsBlank="1"/>
    </cacheField>
    <cacheField name="Column2" numFmtId="49">
      <sharedItems containsBlank="1"/>
    </cacheField>
    <cacheField name="Column3" numFmtId="49">
      <sharedItems containsBlank="1"/>
    </cacheField>
    <cacheField name="Who" numFmtId="49">
      <sharedItems containsBlank="1" count="9">
        <s v="MAM"/>
        <s v="CRP"/>
        <s v="DP"/>
        <s v="VAK"/>
        <s v="GZ"/>
        <m/>
        <s v="JEC" u="1"/>
        <s v="GEO" u="1"/>
        <s v="PK" u="1"/>
      </sharedItems>
    </cacheField>
    <cacheField name="Units" numFmtId="166">
      <sharedItems containsString="0" containsBlank="1" containsNumber="1" minValue="3.5" maxValue="10"/>
    </cacheField>
    <cacheField name="Invc'd" numFmtId="177">
      <sharedItems containsNonDate="0" containsDate="1" containsString="0" containsBlank="1" minDate="2019-06-16T00:00:00" maxDate="2019-07-24T00:00:00"/>
    </cacheField>
    <cacheField name="Paid" numFmtId="177">
      <sharedItems containsNonDate="0" containsDate="1" containsString="0" containsBlank="1" minDate="2019-07-01T00:00:00" maxDate="2019-07-23T00:00:00"/>
    </cacheField>
    <cacheField name="Description" numFmtId="49">
      <sharedItems containsNonDate="0" containsString="0" containsBlank="1"/>
    </cacheField>
    <cacheField name="Rate" numFmtId="38">
      <sharedItems containsSemiMixedTypes="0" containsString="0" containsNumber="1" minValue="0" maxValue="1000"/>
    </cacheField>
    <cacheField name="Amt" numFmtId="40">
      <sharedItems containsSemiMixedTypes="0" containsString="0" containsNumber="1" minValue="0" maxValue="9500"/>
    </cacheField>
    <cacheField name="Extras" numFmtId="40">
      <sharedItems containsNonDate="0" containsString="0" containsBlank="1"/>
    </cacheField>
    <cacheField name="GST" numFmtId="40">
      <sharedItems containsSemiMixedTypes="0" containsString="0" containsNumber="1" minValue="0" maxValue="950"/>
    </cacheField>
    <cacheField name="GST Free" numFmtId="40">
      <sharedItems containsNonDate="0" containsString="0" containsBlank="1"/>
    </cacheField>
    <cacheField name="Total" numFmtId="40">
      <sharedItems containsSemiMixedTypes="0" containsString="0" containsNumber="1" minValue="0" maxValue="10450"/>
    </cacheField>
    <cacheField name="UnPaid" numFmtId="40">
      <sharedItems containsSemiMixedTypes="0" containsString="0" containsNumber="1" containsInteger="1" minValue="0" maxValue="7315"/>
    </cacheField>
    <cacheField name="Sub" numFmtId="38">
      <sharedItems containsSemiMixedTypes="0" containsString="0" containsNumber="1" minValue="0" maxValue="980"/>
    </cacheField>
    <cacheField name="Worker" numFmtId="40">
      <sharedItems containsSemiMixedTypes="0" containsString="0" containsNumber="1" minValue="0" maxValue="9000"/>
    </cacheField>
    <cacheField name="GST2" numFmtId="38">
      <sharedItems containsSemiMixedTypes="0" containsString="0" containsNumber="1" minValue="0" maxValue="665"/>
    </cacheField>
    <cacheField name="SubInv'd" numFmtId="40">
      <sharedItems containsSemiMixedTypes="0" containsString="0" containsNumber="1" minValue="0" maxValue="9000"/>
    </cacheField>
    <cacheField name="Profit" numFmtId="40">
      <sharedItems containsSemiMixedTypes="0" containsString="0" containsNumber="1" minValue="0" maxValue="500"/>
    </cacheField>
    <cacheField name="Agent" numFmtId="38">
      <sharedItems count="12">
        <s v="Mine Super"/>
        <s v="M&amp;T Resources"/>
        <s v="Paxus"/>
        <s v="Taggle Systems"/>
        <s v="Hays"/>
        <s v=""/>
        <s v="North Shore Gym" u="1"/>
        <s v="Sydney Cricket and Sports Ground" u="1"/>
        <s v="DWS" u="1"/>
        <s v="Norths" u="1"/>
        <s v="All Sorts Fitness" u="1"/>
        <s v="C3" u="1"/>
      </sharedItems>
    </cacheField>
    <cacheField name="Project" numFmtId="38">
      <sharedItems count="9">
        <s v="Mine Super"/>
        <s v="Energy Queensland"/>
        <s v="Taggle"/>
        <s v="MLC"/>
        <s v=""/>
        <s v="Sparq" u="1"/>
        <s v="Norths" u="1"/>
        <s v="ANZ" u="1"/>
        <s v="QUU" u="1"/>
      </sharedItems>
    </cacheField>
    <cacheField name="Inv Period" numFmtId="0">
      <sharedItems/>
    </cacheField>
    <cacheField name="Paid Period" numFmtId="0">
      <sharedItems count="17">
        <s v="2020-M01"/>
        <s v=""/>
        <s v="2018-M03" u="1"/>
        <s v="2019-M02" u="1"/>
        <s v="2019-M07" u="1"/>
        <s v="2018-M02" u="1"/>
        <s v="2018-M07" u="1"/>
        <s v="2019-M01" u="1"/>
        <s v="2019-M06" u="1"/>
        <s v="2018-M01" u="1"/>
        <s v="2018-M06" u="1"/>
        <s v="2019-M05" u="1"/>
        <s v="2018-M05" u="1"/>
        <s v="2019-M04" u="1"/>
        <s v="2018-M04" u="1"/>
        <s v="2019-M03" u="1"/>
        <s v="2019-M08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36">
  <r>
    <s v="32"/>
    <s v="01"/>
    <s v="23"/>
    <x v="0"/>
    <n v="10"/>
    <d v="2019-06-28T00:00:00"/>
    <d v="2019-07-06T00:00:00"/>
    <m/>
    <n v="950"/>
    <n v="9500"/>
    <m/>
    <n v="950"/>
    <m/>
    <n v="10450"/>
    <n v="0"/>
    <n v="900"/>
    <n v="9000"/>
    <n v="0"/>
    <n v="9000"/>
    <n v="500"/>
    <x v="0"/>
    <x v="0"/>
    <s v="2019-M12"/>
    <x v="0"/>
  </r>
  <r>
    <s v="55"/>
    <s v="10"/>
    <s v="13"/>
    <x v="1"/>
    <n v="9"/>
    <d v="2019-07-07T00:00:00"/>
    <d v="2019-07-11T00:00:00"/>
    <m/>
    <n v="1000"/>
    <n v="9000"/>
    <m/>
    <n v="900"/>
    <m/>
    <n v="9900"/>
    <n v="0"/>
    <n v="980"/>
    <n v="8820"/>
    <n v="0"/>
    <n v="8820"/>
    <n v="180"/>
    <x v="1"/>
    <x v="1"/>
    <s v="2020-M01"/>
    <x v="0"/>
  </r>
  <r>
    <s v="55"/>
    <s v="11"/>
    <s v="13"/>
    <x v="2"/>
    <n v="8"/>
    <d v="2019-07-07T00:00:00"/>
    <d v="2019-07-11T00:00:00"/>
    <m/>
    <n v="900"/>
    <n v="7200"/>
    <m/>
    <n v="720"/>
    <m/>
    <n v="7920"/>
    <n v="0"/>
    <n v="855"/>
    <n v="6840"/>
    <n v="0"/>
    <n v="6840"/>
    <n v="360"/>
    <x v="1"/>
    <x v="1"/>
    <s v="2020-M01"/>
    <x v="0"/>
  </r>
  <r>
    <s v="59"/>
    <s v="01"/>
    <s v="44"/>
    <x v="3"/>
    <n v="5.5"/>
    <d v="2019-06-16T00:00:00"/>
    <d v="2019-07-01T00:00:00"/>
    <m/>
    <n v="890"/>
    <n v="4895"/>
    <m/>
    <n v="489.5"/>
    <m/>
    <n v="5384.5"/>
    <n v="0"/>
    <n v="845.5"/>
    <n v="4650.25"/>
    <n v="0"/>
    <n v="4650.25"/>
    <n v="244.75"/>
    <x v="2"/>
    <x v="1"/>
    <s v="2019-M12"/>
    <x v="0"/>
  </r>
  <r>
    <s v="59"/>
    <s v="01"/>
    <s v="45"/>
    <x v="3"/>
    <n v="5"/>
    <d v="2019-06-23T00:00:00"/>
    <d v="2019-07-08T00:00:00"/>
    <m/>
    <n v="890"/>
    <n v="4450"/>
    <m/>
    <n v="445"/>
    <m/>
    <n v="4895"/>
    <n v="0"/>
    <n v="845.5"/>
    <n v="4227.5"/>
    <n v="0"/>
    <n v="4227.5"/>
    <n v="222.5"/>
    <x v="2"/>
    <x v="1"/>
    <s v="2019-M12"/>
    <x v="0"/>
  </r>
  <r>
    <s v="59"/>
    <s v="01"/>
    <s v="46"/>
    <x v="3"/>
    <n v="5"/>
    <d v="2019-06-30T00:00:00"/>
    <d v="2019-07-15T00:00:00"/>
    <m/>
    <n v="890"/>
    <n v="4450"/>
    <m/>
    <n v="445"/>
    <m/>
    <n v="4895"/>
    <n v="0"/>
    <n v="845.5"/>
    <n v="4227.5"/>
    <n v="0"/>
    <n v="4227.5"/>
    <n v="222.5"/>
    <x v="2"/>
    <x v="1"/>
    <s v="2019-M12"/>
    <x v="0"/>
  </r>
  <r>
    <s v="10"/>
    <s v="02"/>
    <s v="54"/>
    <x v="4"/>
    <n v="10"/>
    <d v="2019-06-30T00:00:00"/>
    <d v="2019-07-10T00:00:00"/>
    <m/>
    <n v="700"/>
    <n v="7000"/>
    <m/>
    <n v="700"/>
    <m/>
    <n v="7700"/>
    <n v="0"/>
    <n v="665"/>
    <n v="6650"/>
    <n v="665"/>
    <n v="7315"/>
    <n v="350"/>
    <x v="3"/>
    <x v="2"/>
    <s v="2019-M12"/>
    <x v="0"/>
  </r>
  <r>
    <s v="27"/>
    <s v="03"/>
    <s v="01"/>
    <x v="0"/>
    <n v="3.5"/>
    <d v="2019-07-07T00:00:00"/>
    <d v="2019-07-10T00:00:00"/>
    <m/>
    <n v="980"/>
    <n v="3430"/>
    <m/>
    <n v="343"/>
    <m/>
    <n v="3773"/>
    <n v="0"/>
    <n v="0"/>
    <n v="0"/>
    <n v="0"/>
    <n v="0"/>
    <n v="0"/>
    <x v="4"/>
    <x v="3"/>
    <s v="2020-M01"/>
    <x v="0"/>
  </r>
  <r>
    <s v="27"/>
    <s v="03"/>
    <s v="02"/>
    <x v="0"/>
    <n v="4"/>
    <d v="2019-07-12T00:00:00"/>
    <d v="2019-07-12T00:00:00"/>
    <m/>
    <n v="980"/>
    <n v="3920"/>
    <m/>
    <n v="392"/>
    <m/>
    <n v="4312"/>
    <n v="0"/>
    <n v="0"/>
    <n v="0"/>
    <n v="0"/>
    <n v="0"/>
    <n v="0"/>
    <x v="4"/>
    <x v="3"/>
    <s v="2020-M01"/>
    <x v="0"/>
  </r>
  <r>
    <s v="10"/>
    <s v="02"/>
    <s v="55"/>
    <x v="4"/>
    <n v="9.5"/>
    <d v="2019-07-23T00:00:00"/>
    <m/>
    <m/>
    <n v="700"/>
    <n v="6650"/>
    <m/>
    <n v="665"/>
    <m/>
    <n v="7315"/>
    <n v="7315"/>
    <n v="665"/>
    <n v="6317.5"/>
    <n v="631.75"/>
    <n v="6949.25"/>
    <n v="332.5"/>
    <x v="3"/>
    <x v="2"/>
    <s v="2020-M01"/>
    <x v="1"/>
  </r>
  <r>
    <s v="59"/>
    <s v="02"/>
    <s v="47"/>
    <x v="3"/>
    <n v="5"/>
    <d v="2019-07-07T00:00:00"/>
    <d v="2019-07-22T00:00:00"/>
    <m/>
    <n v="890.21"/>
    <n v="4451.05"/>
    <m/>
    <n v="445.11"/>
    <m/>
    <n v="4896.16"/>
    <n v="0"/>
    <n v="845.69949999999994"/>
    <n v="4228.4974999999995"/>
    <n v="0"/>
    <n v="4228.4974999999995"/>
    <n v="222.55250000000069"/>
    <x v="2"/>
    <x v="1"/>
    <s v="2020-M01"/>
    <x v="0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  <r>
    <m/>
    <m/>
    <m/>
    <x v="5"/>
    <m/>
    <m/>
    <m/>
    <m/>
    <n v="0"/>
    <n v="0"/>
    <m/>
    <n v="0"/>
    <m/>
    <n v="0"/>
    <n v="0"/>
    <n v="0"/>
    <n v="0"/>
    <n v="0"/>
    <n v="0"/>
    <n v="0"/>
    <x v="5"/>
    <x v="4"/>
    <s v="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outline="1" outlineData="1" multipleFieldFilters="0" rowHeaderCaption="Project" colHeaderCaption="Month">
  <location ref="A22:D28" firstHeaderRow="1" firstDataRow="2" firstDataCol="1"/>
  <pivotFields count="24">
    <pivotField showAll="0"/>
    <pivotField showAll="0"/>
    <pivotField showAll="0"/>
    <pivotField showAll="0"/>
    <pivotField showAll="0"/>
    <pivotField showAll="0"/>
    <pivotField showAll="0"/>
    <pivotField showAll="0"/>
    <pivotField numFmtId="38" showAll="0"/>
    <pivotField dataField="1" numFmtId="40" showAll="0"/>
    <pivotField showAll="0"/>
    <pivotField numFmtId="40" showAll="0"/>
    <pivotField showAll="0"/>
    <pivotField numFmtId="40" showAll="0"/>
    <pivotField numFmtId="40" showAll="0"/>
    <pivotField numFmtId="38" showAll="0"/>
    <pivotField numFmtId="40" showAll="0"/>
    <pivotField numFmtId="38" showAll="0"/>
    <pivotField numFmtId="40" showAll="0"/>
    <pivotField numFmtId="40" showAll="0"/>
    <pivotField showAll="0"/>
    <pivotField axis="axisRow" showAll="0" defaultSubtotal="0">
      <items count="9">
        <item h="1" x="4"/>
        <item h="1" m="1" x="7"/>
        <item x="3"/>
        <item h="1" m="1" x="6"/>
        <item h="1" m="1" x="8"/>
        <item h="1" m="1" x="5"/>
        <item x="2"/>
        <item x="0"/>
        <item x="1"/>
      </items>
    </pivotField>
    <pivotField showAll="0"/>
    <pivotField axis="axisCol" showAll="0">
      <items count="18">
        <item x="1"/>
        <item m="1" x="9"/>
        <item m="1" x="2"/>
        <item m="1" x="5"/>
        <item m="1" x="14"/>
        <item m="1" x="12"/>
        <item m="1" x="10"/>
        <item m="1" x="6"/>
        <item m="1" x="7"/>
        <item m="1" x="3"/>
        <item m="1" x="15"/>
        <item m="1" x="13"/>
        <item m="1" x="11"/>
        <item m="1" x="8"/>
        <item m="1" x="4"/>
        <item m="1" x="16"/>
        <item x="0"/>
        <item t="default"/>
      </items>
    </pivotField>
  </pivotFields>
  <rowFields count="1">
    <field x="21"/>
  </rowFields>
  <rowItems count="5">
    <i>
      <x v="2"/>
    </i>
    <i>
      <x v="6"/>
    </i>
    <i>
      <x v="7"/>
    </i>
    <i>
      <x v="8"/>
    </i>
    <i t="grand">
      <x/>
    </i>
  </rowItems>
  <colFields count="1">
    <field x="23"/>
  </colFields>
  <colItems count="3">
    <i>
      <x/>
    </i>
    <i>
      <x v="16"/>
    </i>
    <i t="grand">
      <x/>
    </i>
  </colItems>
  <dataFields count="1">
    <dataField name="Sum of Amt" fld="9" baseField="0" baseItem="0" numFmtId="40"/>
  </dataFields>
  <formats count="1">
    <format dxfId="8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outline="1" outlineData="1" multipleFieldFilters="0" rowHeaderCaption="Emp" colHeaderCaption="Month">
  <location ref="A12:D19" firstHeaderRow="1" firstDataRow="2" firstDataCol="1"/>
  <pivotFields count="24">
    <pivotField showAll="0"/>
    <pivotField showAll="0"/>
    <pivotField showAll="0"/>
    <pivotField axis="axisRow" showAll="0">
      <items count="10">
        <item h="1" m="1" x="6"/>
        <item x="0"/>
        <item h="1" x="5"/>
        <item m="1" x="7"/>
        <item x="4"/>
        <item x="1"/>
        <item x="3"/>
        <item h="1" m="1" x="8"/>
        <item x="2"/>
        <item t="default"/>
      </items>
    </pivotField>
    <pivotField showAll="0"/>
    <pivotField showAll="0"/>
    <pivotField showAll="0"/>
    <pivotField showAll="0"/>
    <pivotField numFmtId="38" showAll="0"/>
    <pivotField dataField="1" numFmtId="40" showAll="0"/>
    <pivotField showAll="0"/>
    <pivotField numFmtId="40" showAll="0"/>
    <pivotField showAll="0"/>
    <pivotField numFmtId="40" showAll="0"/>
    <pivotField numFmtId="40" showAll="0"/>
    <pivotField numFmtId="38" showAll="0"/>
    <pivotField numFmtId="40" showAll="0"/>
    <pivotField numFmtId="38" showAll="0"/>
    <pivotField numFmtId="40" showAll="0"/>
    <pivotField numFmtId="40" showAll="0"/>
    <pivotField showAll="0"/>
    <pivotField showAll="0" defaultSubtotal="0"/>
    <pivotField showAll="0"/>
    <pivotField axis="axisCol" showAll="0">
      <items count="18">
        <item x="1"/>
        <item m="1" x="9"/>
        <item m="1" x="2"/>
        <item m="1" x="5"/>
        <item m="1" x="14"/>
        <item m="1" x="12"/>
        <item m="1" x="10"/>
        <item m="1" x="6"/>
        <item m="1" x="7"/>
        <item m="1" x="3"/>
        <item m="1" x="15"/>
        <item m="1" x="13"/>
        <item m="1" x="11"/>
        <item m="1" x="8"/>
        <item m="1" x="4"/>
        <item m="1" x="16"/>
        <item x="0"/>
        <item t="default"/>
      </items>
    </pivotField>
  </pivotFields>
  <rowFields count="1">
    <field x="3"/>
  </rowFields>
  <rowItems count="6">
    <i>
      <x v="1"/>
    </i>
    <i>
      <x v="4"/>
    </i>
    <i>
      <x v="5"/>
    </i>
    <i>
      <x v="6"/>
    </i>
    <i>
      <x v="8"/>
    </i>
    <i t="grand">
      <x/>
    </i>
  </rowItems>
  <colFields count="1">
    <field x="23"/>
  </colFields>
  <colItems count="3">
    <i>
      <x/>
    </i>
    <i>
      <x v="16"/>
    </i>
    <i t="grand">
      <x/>
    </i>
  </colItems>
  <dataFields count="1">
    <dataField name="Sum of Amt" fld="9" baseField="0" baseItem="0" numFmtId="40"/>
  </dataFields>
  <formats count="1">
    <format dxfId="8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outline="1" outlineData="1" multipleFieldFilters="0" rowHeaderCaption="Agent" colHeaderCaption="Month">
  <location ref="A2:D9" firstHeaderRow="1" firstDataRow="2" firstDataCol="1"/>
  <pivotFields count="24">
    <pivotField showAll="0"/>
    <pivotField showAll="0"/>
    <pivotField showAll="0"/>
    <pivotField showAll="0"/>
    <pivotField showAll="0"/>
    <pivotField showAll="0"/>
    <pivotField showAll="0"/>
    <pivotField showAll="0"/>
    <pivotField numFmtId="38" showAll="0"/>
    <pivotField dataField="1" numFmtId="40" showAll="0"/>
    <pivotField showAll="0"/>
    <pivotField numFmtId="40" showAll="0"/>
    <pivotField showAll="0"/>
    <pivotField numFmtId="40" showAll="0"/>
    <pivotField numFmtId="40" showAll="0"/>
    <pivotField numFmtId="38" showAll="0"/>
    <pivotField numFmtId="40" showAll="0"/>
    <pivotField numFmtId="38" showAll="0"/>
    <pivotField numFmtId="40" showAll="0"/>
    <pivotField numFmtId="40" showAll="0"/>
    <pivotField axis="axisRow" showAll="0">
      <items count="13">
        <item h="1" x="5"/>
        <item h="1" m="1" x="8"/>
        <item h="1" m="1" x="9"/>
        <item h="1" m="1" x="7"/>
        <item h="1" m="1" x="6"/>
        <item h="1" m="1" x="10"/>
        <item x="3"/>
        <item h="1" m="1" x="11"/>
        <item x="1"/>
        <item x="0"/>
        <item x="2"/>
        <item x="4"/>
        <item t="default"/>
      </items>
    </pivotField>
    <pivotField showAll="0" defaultSubtotal="0"/>
    <pivotField showAll="0"/>
    <pivotField axis="axisCol" showAll="0">
      <items count="18">
        <item x="1"/>
        <item m="1" x="9"/>
        <item m="1" x="2"/>
        <item m="1" x="5"/>
        <item m="1" x="14"/>
        <item m="1" x="12"/>
        <item m="1" x="10"/>
        <item m="1" x="6"/>
        <item m="1" x="7"/>
        <item m="1" x="3"/>
        <item m="1" x="15"/>
        <item m="1" x="13"/>
        <item m="1" x="11"/>
        <item m="1" x="8"/>
        <item m="1" x="4"/>
        <item m="1" x="16"/>
        <item x="0"/>
        <item t="default"/>
      </items>
    </pivotField>
  </pivotFields>
  <rowFields count="1">
    <field x="20"/>
  </rowFields>
  <rowItems count="6">
    <i>
      <x v="6"/>
    </i>
    <i>
      <x v="8"/>
    </i>
    <i>
      <x v="9"/>
    </i>
    <i>
      <x v="10"/>
    </i>
    <i>
      <x v="11"/>
    </i>
    <i t="grand">
      <x/>
    </i>
  </rowItems>
  <colFields count="1">
    <field x="23"/>
  </colFields>
  <colItems count="3">
    <i>
      <x/>
    </i>
    <i>
      <x v="16"/>
    </i>
    <i t="grand">
      <x/>
    </i>
  </colItems>
  <dataFields count="1">
    <dataField name="Sum of Amt" fld="9" baseField="0" baseItem="0" numFmtId="40"/>
  </dataFields>
  <formats count="1">
    <format dxfId="8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4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5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XFD184"/>
  <sheetViews>
    <sheetView showZeros="0" zoomScale="87" zoomScaleNormal="87" workbookViewId="0">
      <selection activeCell="A58" sqref="A58"/>
    </sheetView>
  </sheetViews>
  <sheetFormatPr defaultRowHeight="13.2" outlineLevelRow="1" x14ac:dyDescent="0.25"/>
  <cols>
    <col min="1" max="1" width="5.44140625" style="1"/>
    <col min="2" max="2" width="12.5546875"/>
    <col min="3" max="3" width="36.5546875" style="2"/>
    <col min="4" max="4" width="29"/>
    <col min="5" max="5" width="14.5546875"/>
    <col min="6" max="10" width="14.5546875" style="3"/>
    <col min="11" max="11" width="13.44140625" style="3"/>
    <col min="12" max="1025" width="11"/>
  </cols>
  <sheetData>
    <row r="1" spans="1:10" ht="20.399999999999999" x14ac:dyDescent="0.35">
      <c r="A1" s="4"/>
      <c r="B1" s="4" t="s">
        <v>0</v>
      </c>
      <c r="C1" s="5"/>
      <c r="D1" s="5"/>
      <c r="E1" s="6"/>
      <c r="F1" s="7"/>
      <c r="G1" s="7"/>
      <c r="H1" s="7"/>
      <c r="I1" s="6" t="s">
        <v>1</v>
      </c>
      <c r="J1" s="8"/>
    </row>
    <row r="2" spans="1:10" ht="14.4" thickBot="1" x14ac:dyDescent="0.3">
      <c r="A2" s="9" t="s">
        <v>2</v>
      </c>
      <c r="B2" s="10" t="s">
        <v>3</v>
      </c>
      <c r="C2" s="11" t="s">
        <v>4</v>
      </c>
      <c r="D2" s="11" t="s">
        <v>5</v>
      </c>
      <c r="E2" s="12" t="s">
        <v>6</v>
      </c>
      <c r="F2" s="12" t="s">
        <v>7</v>
      </c>
      <c r="G2" s="12" t="s">
        <v>1</v>
      </c>
      <c r="H2" s="12" t="s">
        <v>8</v>
      </c>
      <c r="I2" s="12" t="s">
        <v>9</v>
      </c>
      <c r="J2" s="13" t="s">
        <v>10</v>
      </c>
    </row>
    <row r="3" spans="1:10" s="22" customFormat="1" hidden="1" outlineLevel="1" x14ac:dyDescent="0.25">
      <c r="A3" s="14">
        <v>1</v>
      </c>
      <c r="B3" s="15" t="s">
        <v>724</v>
      </c>
      <c r="C3" s="16" t="str">
        <f t="shared" ref="C3:C18" si="0">VLOOKUP(LEFT(B3,2)&amp;0,invCustomer,2)</f>
        <v>Paxus</v>
      </c>
      <c r="D3" s="16" t="str">
        <f t="shared" ref="D3:D18" si="1">VLOOKUP(LEFT(B3,4)&amp;0,invProject,2)</f>
        <v>Energy Queensland</v>
      </c>
      <c r="E3" s="17">
        <v>4895</v>
      </c>
      <c r="F3" s="18"/>
      <c r="G3" s="19">
        <f t="shared" ref="G3:G18" si="2">ROUND(SUM(E3:F3)*0.1,2)</f>
        <v>489.5</v>
      </c>
      <c r="H3" s="20">
        <f t="shared" ref="H3:H18" si="3">SUM(E3:G3)</f>
        <v>5384.5</v>
      </c>
      <c r="I3" s="18"/>
      <c r="J3" s="21">
        <f t="shared" ref="J3:J18" si="4">SUM(H3:I3)</f>
        <v>5384.5</v>
      </c>
    </row>
    <row r="4" spans="1:10" s="22" customFormat="1" hidden="1" outlineLevel="1" x14ac:dyDescent="0.25">
      <c r="A4" s="14">
        <v>5</v>
      </c>
      <c r="B4" s="15" t="s">
        <v>723</v>
      </c>
      <c r="C4" s="16" t="str">
        <f t="shared" si="0"/>
        <v>Mine Super</v>
      </c>
      <c r="D4" s="16" t="str">
        <f t="shared" si="1"/>
        <v>Mine Super</v>
      </c>
      <c r="E4" s="18">
        <v>9500</v>
      </c>
      <c r="F4" s="18"/>
      <c r="G4" s="18">
        <f t="shared" si="2"/>
        <v>950</v>
      </c>
      <c r="H4" s="20">
        <f t="shared" si="3"/>
        <v>10450</v>
      </c>
      <c r="I4" s="18"/>
      <c r="J4" s="21">
        <f t="shared" si="4"/>
        <v>10450</v>
      </c>
    </row>
    <row r="5" spans="1:10" s="22" customFormat="1" hidden="1" outlineLevel="1" x14ac:dyDescent="0.25">
      <c r="A5" s="14">
        <v>8</v>
      </c>
      <c r="B5" s="15" t="s">
        <v>725</v>
      </c>
      <c r="C5" s="16" t="str">
        <f t="shared" si="0"/>
        <v>Paxus</v>
      </c>
      <c r="D5" s="16" t="str">
        <f t="shared" si="1"/>
        <v>Energy Queensland</v>
      </c>
      <c r="E5" s="18">
        <v>4450</v>
      </c>
      <c r="F5" s="18"/>
      <c r="G5" s="18">
        <f t="shared" si="2"/>
        <v>445</v>
      </c>
      <c r="H5" s="20">
        <f t="shared" si="3"/>
        <v>4895</v>
      </c>
      <c r="I5" s="18"/>
      <c r="J5" s="21">
        <f t="shared" si="4"/>
        <v>4895</v>
      </c>
    </row>
    <row r="6" spans="1:10" s="22" customFormat="1" hidden="1" outlineLevel="1" x14ac:dyDescent="0.25">
      <c r="A6" s="14">
        <v>10</v>
      </c>
      <c r="B6" s="15" t="s">
        <v>733</v>
      </c>
      <c r="C6" s="16" t="str">
        <f t="shared" si="0"/>
        <v>Taggle Systems</v>
      </c>
      <c r="D6" s="16" t="str">
        <f t="shared" si="1"/>
        <v>Taggle</v>
      </c>
      <c r="E6" s="18">
        <v>7000</v>
      </c>
      <c r="F6" s="18"/>
      <c r="G6" s="18">
        <f t="shared" si="2"/>
        <v>700</v>
      </c>
      <c r="H6" s="20">
        <f t="shared" si="3"/>
        <v>7700</v>
      </c>
      <c r="I6" s="18"/>
      <c r="J6" s="21">
        <f t="shared" si="4"/>
        <v>7700</v>
      </c>
    </row>
    <row r="7" spans="1:10" s="22" customFormat="1" hidden="1" outlineLevel="1" x14ac:dyDescent="0.25">
      <c r="A7" s="14">
        <v>10</v>
      </c>
      <c r="B7" s="15" t="s">
        <v>732</v>
      </c>
      <c r="C7" s="16" t="str">
        <f t="shared" si="0"/>
        <v>Hays</v>
      </c>
      <c r="D7" s="16" t="str">
        <f t="shared" si="1"/>
        <v>MLC</v>
      </c>
      <c r="E7" s="18">
        <v>3430</v>
      </c>
      <c r="F7" s="18"/>
      <c r="G7" s="18">
        <f t="shared" si="2"/>
        <v>343</v>
      </c>
      <c r="H7" s="20">
        <f t="shared" si="3"/>
        <v>3773</v>
      </c>
      <c r="I7" s="18"/>
      <c r="J7" s="21">
        <f t="shared" si="4"/>
        <v>3773</v>
      </c>
    </row>
    <row r="8" spans="1:10" s="22" customFormat="1" hidden="1" outlineLevel="1" x14ac:dyDescent="0.25">
      <c r="A8" s="14">
        <v>11</v>
      </c>
      <c r="B8" s="15" t="s">
        <v>736</v>
      </c>
      <c r="C8" s="16" t="str">
        <f t="shared" ref="C8:C9" si="5">VLOOKUP(LEFT(B8,2)&amp;0,invCustomer,2)</f>
        <v>M&amp;T Resources</v>
      </c>
      <c r="D8" s="16" t="str">
        <f t="shared" ref="D8:D9" si="6">VLOOKUP(LEFT(B8,4)&amp;0,invProject,2)</f>
        <v>Energy Queensland</v>
      </c>
      <c r="E8" s="18">
        <v>9000</v>
      </c>
      <c r="F8" s="18"/>
      <c r="G8" s="18">
        <f t="shared" ref="G8:G9" si="7">ROUND(SUM(E8:F8)*0.1,2)</f>
        <v>900</v>
      </c>
      <c r="H8" s="20">
        <f t="shared" ref="H8:H9" si="8">SUM(E8:G8)</f>
        <v>9900</v>
      </c>
      <c r="I8" s="18"/>
      <c r="J8" s="21">
        <f t="shared" ref="J8:J9" si="9">SUM(H8:I8)</f>
        <v>9900</v>
      </c>
    </row>
    <row r="9" spans="1:10" s="22" customFormat="1" hidden="1" outlineLevel="1" x14ac:dyDescent="0.25">
      <c r="A9" s="14">
        <v>11</v>
      </c>
      <c r="B9" s="15" t="s">
        <v>737</v>
      </c>
      <c r="C9" s="16" t="str">
        <f t="shared" si="5"/>
        <v>M&amp;T Resources</v>
      </c>
      <c r="D9" s="16" t="str">
        <f t="shared" si="6"/>
        <v>Energy Queensland</v>
      </c>
      <c r="E9" s="18">
        <v>7200</v>
      </c>
      <c r="F9" s="18"/>
      <c r="G9" s="18">
        <f t="shared" si="7"/>
        <v>720</v>
      </c>
      <c r="H9" s="20">
        <f t="shared" si="8"/>
        <v>7920</v>
      </c>
      <c r="I9" s="18"/>
      <c r="J9" s="21">
        <f t="shared" si="9"/>
        <v>7920</v>
      </c>
    </row>
    <row r="10" spans="1:10" s="22" customFormat="1" hidden="1" outlineLevel="1" x14ac:dyDescent="0.25">
      <c r="A10" s="14">
        <v>12</v>
      </c>
      <c r="B10" s="15" t="s">
        <v>752</v>
      </c>
      <c r="C10" s="16" t="str">
        <f t="shared" si="0"/>
        <v>Hays</v>
      </c>
      <c r="D10" s="16" t="str">
        <f t="shared" si="1"/>
        <v>MLC</v>
      </c>
      <c r="E10" s="18">
        <v>3920</v>
      </c>
      <c r="F10" s="18"/>
      <c r="G10" s="18">
        <f t="shared" si="2"/>
        <v>392</v>
      </c>
      <c r="H10" s="20">
        <f t="shared" si="3"/>
        <v>4312</v>
      </c>
      <c r="I10" s="18"/>
      <c r="J10" s="21">
        <f t="shared" si="4"/>
        <v>4312</v>
      </c>
    </row>
    <row r="11" spans="1:10" s="22" customFormat="1" hidden="1" outlineLevel="1" x14ac:dyDescent="0.25">
      <c r="A11" s="14">
        <v>15</v>
      </c>
      <c r="B11" s="15" t="s">
        <v>772</v>
      </c>
      <c r="C11" s="16" t="str">
        <f t="shared" ref="C11:C15" si="10">VLOOKUP(LEFT(B11,2)&amp;0,invCustomer,2)</f>
        <v>Paxus</v>
      </c>
      <c r="D11" s="16" t="str">
        <f t="shared" ref="D11:D15" si="11">VLOOKUP(LEFT(B11,4)&amp;0,invProject,2)</f>
        <v>Energy Queensland</v>
      </c>
      <c r="E11" s="18">
        <v>4450</v>
      </c>
      <c r="F11" s="18"/>
      <c r="G11" s="18">
        <f t="shared" ref="G11:G15" si="12">ROUND(SUM(E11:F11)*0.1,2)</f>
        <v>445</v>
      </c>
      <c r="H11" s="20">
        <f t="shared" ref="H11:H15" si="13">SUM(E11:G11)</f>
        <v>4895</v>
      </c>
      <c r="I11" s="18"/>
      <c r="J11" s="21">
        <f t="shared" ref="J11:J15" si="14">SUM(H11:I11)</f>
        <v>4895</v>
      </c>
    </row>
    <row r="12" spans="1:10" s="22" customFormat="1" hidden="1" outlineLevel="1" x14ac:dyDescent="0.25">
      <c r="A12" s="14">
        <v>22</v>
      </c>
      <c r="B12" s="15" t="s">
        <v>779</v>
      </c>
      <c r="C12" s="16" t="str">
        <f t="shared" si="10"/>
        <v>Paxus</v>
      </c>
      <c r="D12" s="16" t="str">
        <f t="shared" si="11"/>
        <v>Energy Queensland</v>
      </c>
      <c r="E12" s="18">
        <v>4451.05</v>
      </c>
      <c r="F12" s="18"/>
      <c r="G12" s="18">
        <f t="shared" si="12"/>
        <v>445.11</v>
      </c>
      <c r="H12" s="20">
        <f t="shared" si="13"/>
        <v>4896.16</v>
      </c>
      <c r="I12" s="18"/>
      <c r="J12" s="21">
        <f t="shared" si="14"/>
        <v>4896.16</v>
      </c>
    </row>
    <row r="13" spans="1:10" s="22" customFormat="1" hidden="1" outlineLevel="1" x14ac:dyDescent="0.25">
      <c r="A13" s="14">
        <v>24</v>
      </c>
      <c r="B13" s="15" t="s">
        <v>784</v>
      </c>
      <c r="C13" s="16" t="str">
        <f t="shared" si="10"/>
        <v>Taggle Systems</v>
      </c>
      <c r="D13" s="16" t="str">
        <f t="shared" si="11"/>
        <v>Taggle</v>
      </c>
      <c r="E13" s="18">
        <v>6650</v>
      </c>
      <c r="F13" s="18"/>
      <c r="G13" s="18">
        <f t="shared" si="12"/>
        <v>665</v>
      </c>
      <c r="H13" s="20">
        <f t="shared" si="13"/>
        <v>7315</v>
      </c>
      <c r="I13" s="18"/>
      <c r="J13" s="21">
        <f t="shared" si="14"/>
        <v>7315</v>
      </c>
    </row>
    <row r="14" spans="1:10" s="22" customFormat="1" hidden="1" outlineLevel="1" x14ac:dyDescent="0.25">
      <c r="A14" s="14">
        <v>25</v>
      </c>
      <c r="B14" s="15" t="s">
        <v>785</v>
      </c>
      <c r="C14" s="16" t="str">
        <f t="shared" si="10"/>
        <v>Mine Super</v>
      </c>
      <c r="D14" s="16" t="str">
        <f t="shared" si="11"/>
        <v>Mine Super</v>
      </c>
      <c r="E14" s="18">
        <v>1900</v>
      </c>
      <c r="F14" s="18"/>
      <c r="G14" s="18">
        <f t="shared" si="12"/>
        <v>190</v>
      </c>
      <c r="H14" s="20">
        <f t="shared" si="13"/>
        <v>2090</v>
      </c>
      <c r="I14" s="18"/>
      <c r="J14" s="21">
        <f t="shared" si="14"/>
        <v>2090</v>
      </c>
    </row>
    <row r="15" spans="1:10" s="22" customFormat="1" hidden="1" outlineLevel="1" x14ac:dyDescent="0.25">
      <c r="A15" s="14">
        <v>25</v>
      </c>
      <c r="B15" s="15" t="s">
        <v>786</v>
      </c>
      <c r="C15" s="16" t="str">
        <f t="shared" si="10"/>
        <v>M&amp;T Resources</v>
      </c>
      <c r="D15" s="16" t="str">
        <f t="shared" si="11"/>
        <v>Energy Queensland</v>
      </c>
      <c r="E15" s="18">
        <v>13000</v>
      </c>
      <c r="F15" s="18"/>
      <c r="G15" s="18">
        <f t="shared" si="12"/>
        <v>1300</v>
      </c>
      <c r="H15" s="20">
        <f t="shared" si="13"/>
        <v>14300</v>
      </c>
      <c r="I15" s="18"/>
      <c r="J15" s="21">
        <f t="shared" si="14"/>
        <v>14300</v>
      </c>
    </row>
    <row r="16" spans="1:10" s="22" customFormat="1" hidden="1" outlineLevel="1" x14ac:dyDescent="0.25">
      <c r="A16" s="14">
        <v>25</v>
      </c>
      <c r="B16" s="15" t="s">
        <v>787</v>
      </c>
      <c r="C16" s="16" t="str">
        <f t="shared" ref="C16" si="15">VLOOKUP(LEFT(B16,2)&amp;0,invCustomer,2)</f>
        <v>M&amp;T Resources</v>
      </c>
      <c r="D16" s="16" t="str">
        <f t="shared" ref="D16" si="16">VLOOKUP(LEFT(B16,4)&amp;0,invProject,2)</f>
        <v>Energy Queensland</v>
      </c>
      <c r="E16" s="18">
        <v>11700</v>
      </c>
      <c r="F16" s="18"/>
      <c r="G16" s="18">
        <f t="shared" ref="G16" si="17">ROUND(SUM(E16:F16)*0.1,2)</f>
        <v>1170</v>
      </c>
      <c r="H16" s="20">
        <f t="shared" ref="H16" si="18">SUM(E16:G16)</f>
        <v>12870</v>
      </c>
      <c r="I16" s="18"/>
      <c r="J16" s="21">
        <f t="shared" ref="J16" si="19">SUM(H16:I16)</f>
        <v>12870</v>
      </c>
    </row>
    <row r="17" spans="1:10" s="22" customFormat="1" hidden="1" outlineLevel="1" x14ac:dyDescent="0.25">
      <c r="A17" s="14">
        <v>26</v>
      </c>
      <c r="B17" s="15" t="s">
        <v>791</v>
      </c>
      <c r="C17" s="16" t="str">
        <f t="shared" si="0"/>
        <v>Hays</v>
      </c>
      <c r="D17" s="16" t="str">
        <f t="shared" si="1"/>
        <v>MLC</v>
      </c>
      <c r="E17" s="18">
        <v>3920</v>
      </c>
      <c r="F17" s="18"/>
      <c r="G17" s="18">
        <f t="shared" si="2"/>
        <v>392</v>
      </c>
      <c r="H17" s="20">
        <f t="shared" si="3"/>
        <v>4312</v>
      </c>
      <c r="I17" s="18"/>
      <c r="J17" s="21">
        <f t="shared" si="4"/>
        <v>4312</v>
      </c>
    </row>
    <row r="18" spans="1:10" hidden="1" outlineLevel="1" x14ac:dyDescent="0.25">
      <c r="A18" s="23">
        <v>29</v>
      </c>
      <c r="B18" s="24" t="s">
        <v>796</v>
      </c>
      <c r="C18" s="25" t="str">
        <f t="shared" si="0"/>
        <v>Paxus</v>
      </c>
      <c r="D18" s="25" t="str">
        <f t="shared" si="1"/>
        <v>Energy Queensland</v>
      </c>
      <c r="E18" s="26">
        <v>4451.05</v>
      </c>
      <c r="F18" s="26"/>
      <c r="G18" s="26">
        <f t="shared" si="2"/>
        <v>445.11</v>
      </c>
      <c r="H18" s="27">
        <f t="shared" si="3"/>
        <v>4896.16</v>
      </c>
      <c r="I18" s="26"/>
      <c r="J18" s="28">
        <f t="shared" si="4"/>
        <v>4896.16</v>
      </c>
    </row>
    <row r="19" spans="1:10" s="35" customFormat="1" collapsed="1" x14ac:dyDescent="0.25">
      <c r="A19" s="29" t="s">
        <v>11</v>
      </c>
      <c r="B19" s="30"/>
      <c r="C19" s="31"/>
      <c r="D19" s="31"/>
      <c r="E19" s="32">
        <f t="shared" ref="E19:J19" si="20">SUBTOTAL(9,E3:E18)</f>
        <v>99917.1</v>
      </c>
      <c r="F19" s="32">
        <f t="shared" si="20"/>
        <v>0</v>
      </c>
      <c r="G19" s="32">
        <f t="shared" si="20"/>
        <v>9991.7200000000012</v>
      </c>
      <c r="H19" s="33">
        <f t="shared" si="20"/>
        <v>109908.82</v>
      </c>
      <c r="I19" s="32">
        <f t="shared" si="20"/>
        <v>0</v>
      </c>
      <c r="J19" s="34">
        <f t="shared" si="20"/>
        <v>109908.82</v>
      </c>
    </row>
    <row r="20" spans="1:10" s="22" customFormat="1" hidden="1" outlineLevel="1" x14ac:dyDescent="0.25">
      <c r="A20" s="36">
        <v>1</v>
      </c>
      <c r="B20" s="37" t="s">
        <v>801</v>
      </c>
      <c r="C20" s="38" t="str">
        <f t="shared" ref="C20:C36" si="21">VLOOKUP(LEFT(B20,2)&amp;0,invCustomer,2)</f>
        <v>Mine Super</v>
      </c>
      <c r="D20" s="38" t="str">
        <f t="shared" ref="D20:D36" si="22">VLOOKUP(LEFT(B20,4)&amp;0,invProject,2)</f>
        <v>Mine Super</v>
      </c>
      <c r="E20" s="17">
        <v>1425</v>
      </c>
      <c r="F20" s="17"/>
      <c r="G20" s="19">
        <f t="shared" ref="G20:G36" si="23">ROUND(SUM(E20:F20)*0.1,2)</f>
        <v>142.5</v>
      </c>
      <c r="H20" s="39">
        <f t="shared" ref="H20:H36" si="24">SUM(E20:G20)</f>
        <v>1567.5</v>
      </c>
      <c r="I20" s="17"/>
      <c r="J20" s="40">
        <f t="shared" ref="J20:J36" si="25">SUM(H20:I20)</f>
        <v>1567.5</v>
      </c>
    </row>
    <row r="21" spans="1:10" s="22" customFormat="1" hidden="1" outlineLevel="1" x14ac:dyDescent="0.25">
      <c r="A21" s="14">
        <v>2</v>
      </c>
      <c r="B21" s="15" t="s">
        <v>804</v>
      </c>
      <c r="C21" s="16" t="str">
        <f t="shared" si="21"/>
        <v>Hays</v>
      </c>
      <c r="D21" s="16" t="str">
        <f t="shared" si="22"/>
        <v>MLC</v>
      </c>
      <c r="E21" s="18">
        <v>3920</v>
      </c>
      <c r="F21" s="18"/>
      <c r="G21" s="18">
        <f t="shared" si="23"/>
        <v>392</v>
      </c>
      <c r="H21" s="20">
        <f t="shared" si="24"/>
        <v>4312</v>
      </c>
      <c r="I21" s="18"/>
      <c r="J21" s="21">
        <f t="shared" si="25"/>
        <v>4312</v>
      </c>
    </row>
    <row r="22" spans="1:10" s="22" customFormat="1" hidden="1" outlineLevel="1" x14ac:dyDescent="0.25">
      <c r="A22" s="14">
        <v>5</v>
      </c>
      <c r="B22" s="15" t="s">
        <v>805</v>
      </c>
      <c r="C22" s="16" t="str">
        <f t="shared" si="21"/>
        <v>Paxus</v>
      </c>
      <c r="D22" s="16" t="str">
        <f t="shared" si="22"/>
        <v>Energy Queensland</v>
      </c>
      <c r="E22" s="18">
        <v>4451.05</v>
      </c>
      <c r="F22" s="18"/>
      <c r="G22" s="18">
        <f t="shared" si="23"/>
        <v>445.11</v>
      </c>
      <c r="H22" s="20">
        <f t="shared" si="24"/>
        <v>4896.16</v>
      </c>
      <c r="I22" s="18"/>
      <c r="J22" s="21">
        <f t="shared" si="25"/>
        <v>4896.16</v>
      </c>
    </row>
    <row r="23" spans="1:10" s="22" customFormat="1" hidden="1" outlineLevel="1" x14ac:dyDescent="0.25">
      <c r="A23" s="14">
        <v>8</v>
      </c>
      <c r="B23" s="15" t="s">
        <v>806</v>
      </c>
      <c r="C23" s="16" t="str">
        <f t="shared" ref="C23:C26" si="26">VLOOKUP(LEFT(B23,2)&amp;0,invCustomer,2)</f>
        <v>M&amp;T Resources</v>
      </c>
      <c r="D23" s="16" t="str">
        <f t="shared" ref="D23:D26" si="27">VLOOKUP(LEFT(B23,4)&amp;0,invProject,2)</f>
        <v>Energy Queensland</v>
      </c>
      <c r="E23" s="18">
        <v>13000</v>
      </c>
      <c r="F23" s="18"/>
      <c r="G23" s="18">
        <f t="shared" ref="G23:G26" si="28">ROUND(SUM(E23:F23)*0.1,2)</f>
        <v>1300</v>
      </c>
      <c r="H23" s="20">
        <f t="shared" ref="H23:H26" si="29">SUM(E23:G23)</f>
        <v>14300</v>
      </c>
      <c r="I23" s="18"/>
      <c r="J23" s="21">
        <f t="shared" ref="J23:J26" si="30">SUM(H23:I23)</f>
        <v>14300</v>
      </c>
    </row>
    <row r="24" spans="1:10" s="22" customFormat="1" hidden="1" outlineLevel="1" x14ac:dyDescent="0.25">
      <c r="A24" s="14">
        <v>8</v>
      </c>
      <c r="B24" s="15" t="s">
        <v>807</v>
      </c>
      <c r="C24" s="16" t="str">
        <f t="shared" si="26"/>
        <v>M&amp;T Resources</v>
      </c>
      <c r="D24" s="16" t="str">
        <f t="shared" si="27"/>
        <v>Energy Queensland</v>
      </c>
      <c r="E24" s="18">
        <v>11250</v>
      </c>
      <c r="F24" s="18"/>
      <c r="G24" s="18">
        <f t="shared" si="28"/>
        <v>1125</v>
      </c>
      <c r="H24" s="20">
        <f t="shared" si="29"/>
        <v>12375</v>
      </c>
      <c r="I24" s="18"/>
      <c r="J24" s="21">
        <f t="shared" si="30"/>
        <v>12375</v>
      </c>
    </row>
    <row r="25" spans="1:10" s="22" customFormat="1" hidden="1" outlineLevel="1" x14ac:dyDescent="0.25">
      <c r="A25" s="14">
        <v>9</v>
      </c>
      <c r="B25" s="15" t="s">
        <v>821</v>
      </c>
      <c r="C25" s="16" t="str">
        <f t="shared" si="26"/>
        <v>Hays</v>
      </c>
      <c r="D25" s="16" t="str">
        <f t="shared" si="27"/>
        <v>MLC</v>
      </c>
      <c r="E25" s="18">
        <v>3920</v>
      </c>
      <c r="F25" s="18"/>
      <c r="G25" s="18">
        <f t="shared" si="28"/>
        <v>392</v>
      </c>
      <c r="H25" s="20">
        <f t="shared" si="29"/>
        <v>4312</v>
      </c>
      <c r="I25" s="18"/>
      <c r="J25" s="21">
        <f t="shared" si="30"/>
        <v>4312</v>
      </c>
    </row>
    <row r="26" spans="1:10" s="22" customFormat="1" hidden="1" outlineLevel="1" x14ac:dyDescent="0.25">
      <c r="A26" s="14">
        <v>12</v>
      </c>
      <c r="B26" s="15" t="s">
        <v>828</v>
      </c>
      <c r="C26" s="16" t="str">
        <f t="shared" si="26"/>
        <v>Paxus</v>
      </c>
      <c r="D26" s="16" t="str">
        <f t="shared" si="27"/>
        <v>Energy Queensland</v>
      </c>
      <c r="E26" s="18">
        <v>4451.05</v>
      </c>
      <c r="F26" s="18"/>
      <c r="G26" s="18">
        <f t="shared" si="28"/>
        <v>445.11</v>
      </c>
      <c r="H26" s="20">
        <f t="shared" si="29"/>
        <v>4896.16</v>
      </c>
      <c r="I26" s="18"/>
      <c r="J26" s="21">
        <f t="shared" si="30"/>
        <v>4896.16</v>
      </c>
    </row>
    <row r="27" spans="1:10" s="22" customFormat="1" hidden="1" outlineLevel="1" x14ac:dyDescent="0.25">
      <c r="A27" s="14">
        <v>14</v>
      </c>
      <c r="B27" s="15" t="s">
        <v>829</v>
      </c>
      <c r="C27" s="16" t="str">
        <f t="shared" si="21"/>
        <v>Taggle Systems</v>
      </c>
      <c r="D27" s="16" t="str">
        <f t="shared" si="22"/>
        <v>Taggle</v>
      </c>
      <c r="E27" s="18">
        <v>7000</v>
      </c>
      <c r="F27" s="18"/>
      <c r="G27" s="18">
        <f t="shared" si="23"/>
        <v>700</v>
      </c>
      <c r="H27" s="20">
        <f t="shared" si="24"/>
        <v>7700</v>
      </c>
      <c r="I27" s="18"/>
      <c r="J27" s="21">
        <f t="shared" si="25"/>
        <v>7700</v>
      </c>
    </row>
    <row r="28" spans="1:10" s="22" customFormat="1" hidden="1" outlineLevel="1" x14ac:dyDescent="0.25">
      <c r="A28" s="14">
        <v>16</v>
      </c>
      <c r="B28" s="15" t="s">
        <v>821</v>
      </c>
      <c r="C28" s="16" t="str">
        <f t="shared" si="21"/>
        <v>Hays</v>
      </c>
      <c r="D28" s="16" t="str">
        <f t="shared" si="22"/>
        <v>MLC</v>
      </c>
      <c r="E28" s="18">
        <v>3430</v>
      </c>
      <c r="F28" s="18"/>
      <c r="G28" s="18">
        <f t="shared" si="23"/>
        <v>343</v>
      </c>
      <c r="H28" s="20">
        <f t="shared" si="24"/>
        <v>3773</v>
      </c>
      <c r="I28" s="18"/>
      <c r="J28" s="21">
        <f t="shared" si="25"/>
        <v>3773</v>
      </c>
    </row>
    <row r="29" spans="1:10" s="22" customFormat="1" hidden="1" outlineLevel="1" x14ac:dyDescent="0.25">
      <c r="A29" s="14">
        <v>19</v>
      </c>
      <c r="B29" s="15" t="s">
        <v>839</v>
      </c>
      <c r="C29" s="16" t="str">
        <f t="shared" ref="C29:C30" si="31">VLOOKUP(LEFT(B29,2)&amp;0,invCustomer,2)</f>
        <v>Paxus</v>
      </c>
      <c r="D29" s="16" t="str">
        <f t="shared" ref="D29:D30" si="32">VLOOKUP(LEFT(B29,4)&amp;0,invProject,2)</f>
        <v>Energy Queensland</v>
      </c>
      <c r="E29" s="18">
        <v>4451.05</v>
      </c>
      <c r="F29" s="18"/>
      <c r="G29" s="18">
        <f t="shared" ref="G29:G30" si="33">ROUND(SUM(E29:F29)*0.1,2)</f>
        <v>445.11</v>
      </c>
      <c r="H29" s="20">
        <f t="shared" ref="H29:H30" si="34">SUM(E29:G29)</f>
        <v>4896.16</v>
      </c>
      <c r="I29" s="18"/>
      <c r="J29" s="21">
        <f t="shared" ref="J29:J30" si="35">SUM(H29:I29)</f>
        <v>4896.16</v>
      </c>
    </row>
    <row r="30" spans="1:10" s="22" customFormat="1" hidden="1" outlineLevel="1" x14ac:dyDescent="0.25">
      <c r="A30" s="14">
        <v>22</v>
      </c>
      <c r="B30" s="15" t="s">
        <v>840</v>
      </c>
      <c r="C30" s="16" t="str">
        <f t="shared" si="31"/>
        <v>Mine Super</v>
      </c>
      <c r="D30" s="16" t="str">
        <f t="shared" si="32"/>
        <v>Mine Super</v>
      </c>
      <c r="E30" s="18">
        <v>2850</v>
      </c>
      <c r="F30" s="18"/>
      <c r="G30" s="18">
        <f t="shared" si="33"/>
        <v>285</v>
      </c>
      <c r="H30" s="20">
        <f t="shared" si="34"/>
        <v>3135</v>
      </c>
      <c r="I30" s="18"/>
      <c r="J30" s="21">
        <f t="shared" si="35"/>
        <v>3135</v>
      </c>
    </row>
    <row r="31" spans="1:10" s="22" customFormat="1" hidden="1" outlineLevel="1" x14ac:dyDescent="0.25">
      <c r="A31" s="14">
        <v>22</v>
      </c>
      <c r="B31" s="15" t="s">
        <v>841</v>
      </c>
      <c r="C31" s="16" t="str">
        <f t="shared" si="21"/>
        <v>M&amp;T Resources</v>
      </c>
      <c r="D31" s="16" t="str">
        <f t="shared" si="22"/>
        <v>Energy Queensland</v>
      </c>
      <c r="E31" s="18">
        <v>12000</v>
      </c>
      <c r="F31" s="18"/>
      <c r="G31" s="18">
        <f t="shared" si="23"/>
        <v>1200</v>
      </c>
      <c r="H31" s="20">
        <f t="shared" si="24"/>
        <v>13200</v>
      </c>
      <c r="I31" s="18"/>
      <c r="J31" s="21">
        <f t="shared" si="25"/>
        <v>13200</v>
      </c>
    </row>
    <row r="32" spans="1:10" s="22" customFormat="1" hidden="1" outlineLevel="1" x14ac:dyDescent="0.25">
      <c r="A32" s="14">
        <v>22</v>
      </c>
      <c r="B32" s="15" t="s">
        <v>842</v>
      </c>
      <c r="C32" s="16" t="str">
        <f t="shared" ref="C32" si="36">VLOOKUP(LEFT(B32,2)&amp;0,invCustomer,2)</f>
        <v>M&amp;T Resources</v>
      </c>
      <c r="D32" s="16" t="str">
        <f t="shared" ref="D32" si="37">VLOOKUP(LEFT(B32,4)&amp;0,invProject,2)</f>
        <v>Energy Queensland</v>
      </c>
      <c r="E32" s="18">
        <v>9900</v>
      </c>
      <c r="F32" s="18"/>
      <c r="G32" s="18">
        <f t="shared" ref="G32" si="38">ROUND(SUM(E32:F32)*0.1,2)</f>
        <v>990</v>
      </c>
      <c r="H32" s="20">
        <f t="shared" ref="H32" si="39">SUM(E32:G32)</f>
        <v>10890</v>
      </c>
      <c r="I32" s="18"/>
      <c r="J32" s="21">
        <f t="shared" ref="J32" si="40">SUM(H32:I32)</f>
        <v>10890</v>
      </c>
    </row>
    <row r="33" spans="1:10" s="22" customFormat="1" hidden="1" outlineLevel="1" x14ac:dyDescent="0.25">
      <c r="A33" s="14">
        <v>23</v>
      </c>
      <c r="B33" s="15" t="s">
        <v>849</v>
      </c>
      <c r="C33" s="16" t="str">
        <f t="shared" ref="C33:C34" si="41">VLOOKUP(LEFT(B33,2)&amp;0,invCustomer,2)</f>
        <v>Hays</v>
      </c>
      <c r="D33" s="16" t="str">
        <f t="shared" ref="D33:D34" si="42">VLOOKUP(LEFT(B33,4)&amp;0,invProject,2)</f>
        <v>MLC</v>
      </c>
      <c r="E33" s="18">
        <v>3920</v>
      </c>
      <c r="F33" s="18"/>
      <c r="G33" s="18">
        <f t="shared" ref="G33:G34" si="43">ROUND(SUM(E33:F33)*0.1,2)</f>
        <v>392</v>
      </c>
      <c r="H33" s="20">
        <f t="shared" ref="H33:H34" si="44">SUM(E33:G33)</f>
        <v>4312</v>
      </c>
      <c r="I33" s="18"/>
      <c r="J33" s="21">
        <f t="shared" ref="J33:J34" si="45">SUM(H33:I33)</f>
        <v>4312</v>
      </c>
    </row>
    <row r="34" spans="1:10" s="22" customFormat="1" hidden="1" outlineLevel="1" x14ac:dyDescent="0.25">
      <c r="A34" s="14">
        <v>26</v>
      </c>
      <c r="B34" s="15" t="s">
        <v>852</v>
      </c>
      <c r="C34" s="16" t="str">
        <f t="shared" si="41"/>
        <v>Paxus</v>
      </c>
      <c r="D34" s="16" t="str">
        <f t="shared" si="42"/>
        <v>Energy Queensland</v>
      </c>
      <c r="E34" s="18">
        <v>4451.05</v>
      </c>
      <c r="F34" s="18"/>
      <c r="G34" s="18">
        <f t="shared" si="43"/>
        <v>445.11</v>
      </c>
      <c r="H34" s="20">
        <f t="shared" si="44"/>
        <v>4896.16</v>
      </c>
      <c r="I34" s="18"/>
      <c r="J34" s="21">
        <f t="shared" si="45"/>
        <v>4896.16</v>
      </c>
    </row>
    <row r="35" spans="1:10" s="22" customFormat="1" hidden="1" outlineLevel="1" x14ac:dyDescent="0.25">
      <c r="A35" s="14">
        <v>29</v>
      </c>
      <c r="B35" s="15" t="s">
        <v>853</v>
      </c>
      <c r="C35" s="16" t="str">
        <f t="shared" si="21"/>
        <v>Mine Super</v>
      </c>
      <c r="D35" s="16" t="str">
        <f t="shared" si="22"/>
        <v>Mine Super</v>
      </c>
      <c r="E35" s="18">
        <v>2375</v>
      </c>
      <c r="F35" s="18"/>
      <c r="G35" s="18">
        <f t="shared" si="23"/>
        <v>237.5</v>
      </c>
      <c r="H35" s="20">
        <f t="shared" si="24"/>
        <v>2612.5</v>
      </c>
      <c r="I35" s="18"/>
      <c r="J35" s="21">
        <f t="shared" si="25"/>
        <v>2612.5</v>
      </c>
    </row>
    <row r="36" spans="1:10" hidden="1" outlineLevel="1" x14ac:dyDescent="0.25">
      <c r="A36" s="23">
        <v>30</v>
      </c>
      <c r="B36" s="24" t="s">
        <v>857</v>
      </c>
      <c r="C36" s="25" t="str">
        <f t="shared" si="21"/>
        <v>Hays</v>
      </c>
      <c r="D36" s="25" t="str">
        <f t="shared" si="22"/>
        <v>MLC</v>
      </c>
      <c r="E36" s="26">
        <v>3920</v>
      </c>
      <c r="F36" s="26"/>
      <c r="G36" s="41">
        <f t="shared" si="23"/>
        <v>392</v>
      </c>
      <c r="H36" s="27">
        <f t="shared" si="24"/>
        <v>4312</v>
      </c>
      <c r="I36" s="26"/>
      <c r="J36" s="28">
        <f t="shared" si="25"/>
        <v>4312</v>
      </c>
    </row>
    <row r="37" spans="1:10" s="35" customFormat="1" collapsed="1" x14ac:dyDescent="0.25">
      <c r="A37" s="31" t="s">
        <v>12</v>
      </c>
      <c r="B37" s="30"/>
      <c r="C37" s="31"/>
      <c r="D37" s="31"/>
      <c r="E37" s="32">
        <f t="shared" ref="E37:J37" si="46">SUBTOTAL(9,E20:E36)</f>
        <v>96714.200000000012</v>
      </c>
      <c r="F37" s="32">
        <f t="shared" si="46"/>
        <v>0</v>
      </c>
      <c r="G37" s="32">
        <f t="shared" si="46"/>
        <v>9671.44</v>
      </c>
      <c r="H37" s="33">
        <f t="shared" si="46"/>
        <v>106385.64000000001</v>
      </c>
      <c r="I37" s="32">
        <f t="shared" si="46"/>
        <v>0</v>
      </c>
      <c r="J37" s="34">
        <f t="shared" si="46"/>
        <v>106385.64000000001</v>
      </c>
    </row>
    <row r="38" spans="1:10" s="22" customFormat="1" hidden="1" outlineLevel="1" x14ac:dyDescent="0.25">
      <c r="A38" s="36">
        <v>2</v>
      </c>
      <c r="B38" s="37" t="s">
        <v>864</v>
      </c>
      <c r="C38" s="38" t="str">
        <f t="shared" ref="C38:C52" si="47">VLOOKUP(LEFT(B38,2)&amp;0,invCustomer,2)</f>
        <v>Paxus</v>
      </c>
      <c r="D38" s="38" t="str">
        <f t="shared" ref="D38:D52" si="48">VLOOKUP(LEFT(B38,4)&amp;0,invProject,2)</f>
        <v>Energy Queensland</v>
      </c>
      <c r="E38" s="17">
        <v>4451.05</v>
      </c>
      <c r="F38" s="17"/>
      <c r="G38" s="19">
        <f t="shared" ref="G38:G48" si="49">ROUND(SUM(E38:F38)*0.1,2)</f>
        <v>445.11</v>
      </c>
      <c r="H38" s="39">
        <f t="shared" ref="H38:H52" si="50">SUM(E38:G38)</f>
        <v>4896.16</v>
      </c>
      <c r="I38" s="17"/>
      <c r="J38" s="40">
        <f t="shared" ref="J38:J52" si="51">SUM(H38:I38)</f>
        <v>4896.16</v>
      </c>
    </row>
    <row r="39" spans="1:10" s="22" customFormat="1" hidden="1" outlineLevel="1" x14ac:dyDescent="0.25">
      <c r="A39" s="14">
        <v>4</v>
      </c>
      <c r="B39" s="15" t="s">
        <v>866</v>
      </c>
      <c r="C39" s="16" t="str">
        <f t="shared" si="47"/>
        <v>Taggle Systems</v>
      </c>
      <c r="D39" s="16" t="str">
        <f t="shared" si="48"/>
        <v>Taggle</v>
      </c>
      <c r="E39" s="18">
        <v>11900</v>
      </c>
      <c r="F39" s="18"/>
      <c r="G39" s="18">
        <f t="shared" si="49"/>
        <v>1190</v>
      </c>
      <c r="H39" s="20">
        <f t="shared" si="50"/>
        <v>13090</v>
      </c>
      <c r="I39" s="18"/>
      <c r="J39" s="21">
        <f t="shared" si="51"/>
        <v>13090</v>
      </c>
    </row>
    <row r="40" spans="1:10" s="22" customFormat="1" hidden="1" outlineLevel="1" x14ac:dyDescent="0.25">
      <c r="A40" s="14">
        <v>5</v>
      </c>
      <c r="B40" s="15" t="s">
        <v>868</v>
      </c>
      <c r="C40" s="16" t="str">
        <f t="shared" si="47"/>
        <v>M&amp;T Resources</v>
      </c>
      <c r="D40" s="16" t="str">
        <f t="shared" si="48"/>
        <v>Energy Queensland</v>
      </c>
      <c r="E40" s="18">
        <v>14000</v>
      </c>
      <c r="F40" s="18"/>
      <c r="G40" s="18">
        <f t="shared" si="49"/>
        <v>1400</v>
      </c>
      <c r="H40" s="20">
        <f t="shared" si="50"/>
        <v>15400</v>
      </c>
      <c r="I40" s="18"/>
      <c r="J40" s="21">
        <f t="shared" si="51"/>
        <v>15400</v>
      </c>
    </row>
    <row r="41" spans="1:10" s="22" customFormat="1" hidden="1" outlineLevel="1" x14ac:dyDescent="0.25">
      <c r="A41" s="14">
        <v>5</v>
      </c>
      <c r="B41" s="15" t="s">
        <v>869</v>
      </c>
      <c r="C41" s="16" t="str">
        <f t="shared" si="47"/>
        <v>M&amp;T Resources</v>
      </c>
      <c r="D41" s="16" t="str">
        <f t="shared" si="48"/>
        <v>Energy Queensland</v>
      </c>
      <c r="E41" s="18">
        <v>12150</v>
      </c>
      <c r="F41" s="18"/>
      <c r="G41" s="18">
        <f t="shared" si="49"/>
        <v>1215</v>
      </c>
      <c r="H41" s="20">
        <f t="shared" si="50"/>
        <v>13365</v>
      </c>
      <c r="I41" s="18"/>
      <c r="J41" s="21">
        <f t="shared" si="51"/>
        <v>13365</v>
      </c>
    </row>
    <row r="42" spans="1:10" s="22" customFormat="1" hidden="1" outlineLevel="1" x14ac:dyDescent="0.25">
      <c r="A42" s="14">
        <v>9</v>
      </c>
      <c r="B42" s="15" t="s">
        <v>880</v>
      </c>
      <c r="C42" s="16" t="str">
        <f t="shared" ref="C42:C46" si="52">VLOOKUP(LEFT(B42,2)&amp;0,invCustomer,2)</f>
        <v>Paxus</v>
      </c>
      <c r="D42" s="16" t="str">
        <f t="shared" ref="D42:D44" si="53">VLOOKUP(LEFT(B42,4)&amp;0,invProject,2)</f>
        <v>Energy Queensland</v>
      </c>
      <c r="E42" s="18">
        <v>4451.05</v>
      </c>
      <c r="F42" s="18"/>
      <c r="G42" s="18">
        <f t="shared" ref="G42:G44" si="54">ROUND(SUM(E42:F42)*0.1,2)</f>
        <v>445.11</v>
      </c>
      <c r="H42" s="20">
        <f t="shared" ref="H42:H44" si="55">SUM(E42:G42)</f>
        <v>4896.16</v>
      </c>
      <c r="I42" s="18"/>
      <c r="J42" s="21">
        <f t="shared" ref="J42:J44" si="56">SUM(H42:I42)</f>
        <v>4896.16</v>
      </c>
    </row>
    <row r="43" spans="1:10" s="22" customFormat="1" hidden="1" outlineLevel="1" x14ac:dyDescent="0.25">
      <c r="A43" s="14">
        <v>10</v>
      </c>
      <c r="B43" s="15" t="s">
        <v>881</v>
      </c>
      <c r="C43" s="16" t="str">
        <f t="shared" si="52"/>
        <v>Taggle Systems</v>
      </c>
      <c r="D43" s="16" t="str">
        <f t="shared" si="53"/>
        <v>Taggle</v>
      </c>
      <c r="E43" s="18">
        <v>7000</v>
      </c>
      <c r="F43" s="18"/>
      <c r="G43" s="18">
        <f t="shared" si="54"/>
        <v>700</v>
      </c>
      <c r="H43" s="20">
        <f t="shared" si="55"/>
        <v>7700</v>
      </c>
      <c r="I43" s="18"/>
      <c r="J43" s="21">
        <f t="shared" si="56"/>
        <v>7700</v>
      </c>
    </row>
    <row r="44" spans="1:10" s="22" customFormat="1" hidden="1" outlineLevel="1" x14ac:dyDescent="0.25">
      <c r="A44" s="14">
        <v>11</v>
      </c>
      <c r="B44" s="15" t="s">
        <v>882</v>
      </c>
      <c r="C44" s="16" t="str">
        <f t="shared" si="52"/>
        <v>Hays</v>
      </c>
      <c r="D44" s="16" t="str">
        <f t="shared" si="53"/>
        <v>MLC</v>
      </c>
      <c r="E44" s="18">
        <v>3430</v>
      </c>
      <c r="F44" s="18"/>
      <c r="G44" s="18">
        <f t="shared" si="54"/>
        <v>343</v>
      </c>
      <c r="H44" s="20">
        <f t="shared" si="55"/>
        <v>3773</v>
      </c>
      <c r="I44" s="18"/>
      <c r="J44" s="21">
        <f t="shared" si="56"/>
        <v>3773</v>
      </c>
    </row>
    <row r="45" spans="1:10" s="22" customFormat="1" hidden="1" outlineLevel="1" x14ac:dyDescent="0.25">
      <c r="A45" s="14">
        <v>12</v>
      </c>
      <c r="B45" s="15" t="s">
        <v>883</v>
      </c>
      <c r="C45" s="16" t="str">
        <f t="shared" si="52"/>
        <v>Mine Super</v>
      </c>
      <c r="D45" s="16" t="str">
        <f>VLOOKUP(LEFT(B45,4)&amp;0,invProject,2)</f>
        <v>Mine Super</v>
      </c>
      <c r="E45" s="18">
        <v>2850</v>
      </c>
      <c r="F45" s="18"/>
      <c r="G45" s="18">
        <f>ROUND(SUM(E45:F45)*0.1,2)</f>
        <v>285</v>
      </c>
      <c r="H45" s="20">
        <f>SUM(E45:G45)</f>
        <v>3135</v>
      </c>
      <c r="I45" s="18"/>
      <c r="J45" s="21">
        <f>SUM(H45:I45)</f>
        <v>3135</v>
      </c>
    </row>
    <row r="46" spans="1:10" s="22" customFormat="1" hidden="1" outlineLevel="1" x14ac:dyDescent="0.25">
      <c r="A46" s="14">
        <v>16</v>
      </c>
      <c r="B46" s="15" t="s">
        <v>893</v>
      </c>
      <c r="C46" s="16" t="str">
        <f t="shared" si="52"/>
        <v>Paxus</v>
      </c>
      <c r="D46" s="16" t="str">
        <f t="shared" ref="D46" si="57">VLOOKUP(LEFT(B46,4)&amp;0,invProject,2)</f>
        <v>Energy Queensland</v>
      </c>
      <c r="E46" s="18">
        <v>4451.05</v>
      </c>
      <c r="F46" s="18"/>
      <c r="G46" s="18">
        <f t="shared" ref="G46" si="58">ROUND(SUM(E46:F46)*0.1,2)</f>
        <v>445.11</v>
      </c>
      <c r="H46" s="20">
        <f t="shared" ref="H46" si="59">SUM(E46:G46)</f>
        <v>4896.16</v>
      </c>
      <c r="I46" s="18"/>
      <c r="J46" s="21">
        <f t="shared" ref="J46" si="60">SUM(H46:I46)</f>
        <v>4896.16</v>
      </c>
    </row>
    <row r="47" spans="1:10" s="22" customFormat="1" hidden="1" outlineLevel="1" x14ac:dyDescent="0.25">
      <c r="A47" s="14">
        <v>16</v>
      </c>
      <c r="B47" s="15" t="s">
        <v>894</v>
      </c>
      <c r="C47" s="16" t="str">
        <f t="shared" si="47"/>
        <v>Hays</v>
      </c>
      <c r="D47" s="16" t="str">
        <f t="shared" si="48"/>
        <v>MLC</v>
      </c>
      <c r="E47" s="18">
        <v>4900</v>
      </c>
      <c r="F47" s="18"/>
      <c r="G47" s="18">
        <f t="shared" si="49"/>
        <v>490</v>
      </c>
      <c r="H47" s="20">
        <f t="shared" si="50"/>
        <v>5390</v>
      </c>
      <c r="I47" s="18"/>
      <c r="J47" s="21">
        <f t="shared" si="51"/>
        <v>5390</v>
      </c>
    </row>
    <row r="48" spans="1:10" s="22" customFormat="1" hidden="1" outlineLevel="1" x14ac:dyDescent="0.25">
      <c r="A48" s="14">
        <v>19</v>
      </c>
      <c r="B48" s="15" t="s">
        <v>897</v>
      </c>
      <c r="C48" s="16" t="str">
        <f t="shared" si="47"/>
        <v>M&amp;T Resources</v>
      </c>
      <c r="D48" s="16" t="str">
        <f t="shared" si="48"/>
        <v>Energy Queensland</v>
      </c>
      <c r="E48" s="18">
        <v>10000</v>
      </c>
      <c r="F48" s="18"/>
      <c r="G48" s="18">
        <f t="shared" si="49"/>
        <v>1000</v>
      </c>
      <c r="H48" s="20">
        <f t="shared" si="50"/>
        <v>11000</v>
      </c>
      <c r="I48" s="18"/>
      <c r="J48" s="21">
        <f t="shared" si="51"/>
        <v>11000</v>
      </c>
    </row>
    <row r="49" spans="1:10" s="22" customFormat="1" hidden="1" outlineLevel="1" x14ac:dyDescent="0.25">
      <c r="A49" s="14">
        <v>19</v>
      </c>
      <c r="B49" s="15" t="s">
        <v>896</v>
      </c>
      <c r="C49" s="16" t="str">
        <f t="shared" ref="C49" si="61">VLOOKUP(LEFT(B49,2)&amp;0,invCustomer,2)</f>
        <v>M&amp;T Resources</v>
      </c>
      <c r="D49" s="16" t="str">
        <f t="shared" ref="D49" si="62">VLOOKUP(LEFT(B49,4)&amp;0,invProject,2)</f>
        <v>Energy Queensland</v>
      </c>
      <c r="E49" s="18">
        <v>10350</v>
      </c>
      <c r="F49" s="18"/>
      <c r="G49" s="18">
        <f t="shared" ref="G49" si="63">ROUND(SUM(E49:F49)*0.1,2)</f>
        <v>1035</v>
      </c>
      <c r="H49" s="20">
        <f t="shared" ref="H49" si="64">SUM(E49:G49)</f>
        <v>11385</v>
      </c>
      <c r="I49" s="18"/>
      <c r="J49" s="21">
        <f t="shared" ref="J49" si="65">SUM(H49:I49)</f>
        <v>11385</v>
      </c>
    </row>
    <row r="50" spans="1:10" s="22" customFormat="1" hidden="1" outlineLevel="1" x14ac:dyDescent="0.25">
      <c r="A50" s="14">
        <v>20</v>
      </c>
      <c r="B50" s="15" t="s">
        <v>913</v>
      </c>
      <c r="C50" s="16" t="str">
        <f t="shared" ref="C50:C51" si="66">VLOOKUP(LEFT(B50,2)&amp;0,invCustomer,2)</f>
        <v>Hays</v>
      </c>
      <c r="D50" s="16" t="str">
        <f>VLOOKUP(LEFT(B50,4)&amp;0,invProject,2)</f>
        <v>MLC</v>
      </c>
      <c r="E50" s="18">
        <v>4900</v>
      </c>
      <c r="F50" s="18"/>
      <c r="G50" s="18">
        <f>ROUND(SUM(E50:F50)*0.1,2)</f>
        <v>490</v>
      </c>
      <c r="H50" s="20">
        <f>SUM(E50:G50)</f>
        <v>5390</v>
      </c>
      <c r="I50" s="18"/>
      <c r="J50" s="21">
        <f>SUM(H50:I50)</f>
        <v>5390</v>
      </c>
    </row>
    <row r="51" spans="1:10" s="22" customFormat="1" hidden="1" outlineLevel="1" x14ac:dyDescent="0.25">
      <c r="A51" s="14">
        <v>23</v>
      </c>
      <c r="B51" s="15" t="s">
        <v>915</v>
      </c>
      <c r="C51" s="16" t="str">
        <f t="shared" si="66"/>
        <v>Paxus</v>
      </c>
      <c r="D51" s="16" t="str">
        <f t="shared" ref="D51" si="67">VLOOKUP(LEFT(B51,4)&amp;0,invProject,2)</f>
        <v>Energy Queensland</v>
      </c>
      <c r="E51" s="18">
        <v>4451.05</v>
      </c>
      <c r="F51" s="18"/>
      <c r="G51" s="18">
        <f t="shared" ref="G51" si="68">ROUND(SUM(E51:F51)*0.1,2)</f>
        <v>445.11</v>
      </c>
      <c r="H51" s="20">
        <f t="shared" ref="H51" si="69">SUM(E51:G51)</f>
        <v>4896.16</v>
      </c>
      <c r="I51" s="18"/>
      <c r="J51" s="21">
        <f t="shared" ref="J51" si="70">SUM(H51:I51)</f>
        <v>4896.16</v>
      </c>
    </row>
    <row r="52" spans="1:10" s="22" customFormat="1" hidden="1" outlineLevel="1" x14ac:dyDescent="0.25">
      <c r="A52" s="23">
        <v>30</v>
      </c>
      <c r="B52" s="24" t="s">
        <v>920</v>
      </c>
      <c r="C52" s="25" t="str">
        <f t="shared" si="47"/>
        <v>Paxus</v>
      </c>
      <c r="D52" s="25" t="str">
        <f t="shared" si="48"/>
        <v>Energy Queensland</v>
      </c>
      <c r="E52" s="26">
        <v>4451.05</v>
      </c>
      <c r="F52" s="26"/>
      <c r="G52" s="41">
        <f>ROUND(SUM(E52:F52)*0.1,2)</f>
        <v>445.11</v>
      </c>
      <c r="H52" s="27">
        <f t="shared" si="50"/>
        <v>4896.16</v>
      </c>
      <c r="I52" s="26"/>
      <c r="J52" s="28">
        <f t="shared" si="51"/>
        <v>4896.16</v>
      </c>
    </row>
    <row r="53" spans="1:10" s="35" customFormat="1" collapsed="1" x14ac:dyDescent="0.25">
      <c r="A53" s="31" t="s">
        <v>13</v>
      </c>
      <c r="B53" s="30"/>
      <c r="C53" s="31"/>
      <c r="D53" s="31"/>
      <c r="E53" s="32">
        <f t="shared" ref="E53:J53" si="71">SUBTOTAL(9,E38:E52)</f>
        <v>103735.25000000001</v>
      </c>
      <c r="F53" s="32">
        <f t="shared" si="71"/>
        <v>0</v>
      </c>
      <c r="G53" s="32">
        <f t="shared" si="71"/>
        <v>10373.550000000001</v>
      </c>
      <c r="H53" s="42">
        <f t="shared" si="71"/>
        <v>114108.80000000002</v>
      </c>
      <c r="I53" s="32">
        <f t="shared" si="71"/>
        <v>0</v>
      </c>
      <c r="J53" s="34">
        <f t="shared" si="71"/>
        <v>114108.80000000002</v>
      </c>
    </row>
    <row r="54" spans="1:10" s="35" customFormat="1" x14ac:dyDescent="0.25">
      <c r="A54" s="43"/>
      <c r="B54" s="44" t="s">
        <v>14</v>
      </c>
      <c r="C54" s="43"/>
      <c r="D54" s="43"/>
      <c r="E54" s="44">
        <f t="shared" ref="E54:J54" si="72">SUBTOTAL(9,E3:E53)</f>
        <v>300366.54999999993</v>
      </c>
      <c r="F54" s="44">
        <f t="shared" si="72"/>
        <v>0</v>
      </c>
      <c r="G54" s="44">
        <f t="shared" si="72"/>
        <v>30036.710000000006</v>
      </c>
      <c r="H54" s="45">
        <f t="shared" si="72"/>
        <v>330403.25999999989</v>
      </c>
      <c r="I54" s="44">
        <f t="shared" si="72"/>
        <v>0</v>
      </c>
      <c r="J54" s="46">
        <f t="shared" si="72"/>
        <v>330403.25999999989</v>
      </c>
    </row>
    <row r="55" spans="1:10" s="22" customFormat="1" outlineLevel="1" x14ac:dyDescent="0.25">
      <c r="A55" s="36">
        <v>2</v>
      </c>
      <c r="B55" s="37" t="s">
        <v>922</v>
      </c>
      <c r="C55" s="38" t="str">
        <f t="shared" ref="C55:C65" si="73">VLOOKUP(LEFT(B55,2)&amp;0,invCustomer,2)</f>
        <v>Hays</v>
      </c>
      <c r="D55" s="38" t="str">
        <f t="shared" ref="D55:D65" si="74">VLOOKUP(LEFT(B55,4)&amp;0,invProject,2)</f>
        <v>MLC</v>
      </c>
      <c r="E55" s="17">
        <v>4900</v>
      </c>
      <c r="F55" s="17"/>
      <c r="G55" s="19">
        <f t="shared" ref="G55:G65" si="75">ROUND(SUM(E55:F55)*0.1,2)</f>
        <v>490</v>
      </c>
      <c r="H55" s="39">
        <f t="shared" ref="H55:H65" si="76">SUM(E55:G55)</f>
        <v>5390</v>
      </c>
      <c r="I55" s="17"/>
      <c r="J55" s="40">
        <f t="shared" ref="J55:J65" si="77">SUM(H55:I55)</f>
        <v>5390</v>
      </c>
    </row>
    <row r="56" spans="1:10" s="22" customFormat="1" outlineLevel="1" x14ac:dyDescent="0.25">
      <c r="A56" s="14">
        <v>3</v>
      </c>
      <c r="B56" s="15" t="s">
        <v>896</v>
      </c>
      <c r="C56" s="16" t="str">
        <f t="shared" si="73"/>
        <v>M&amp;T Resources</v>
      </c>
      <c r="D56" s="16" t="str">
        <f t="shared" si="74"/>
        <v>Energy Queensland</v>
      </c>
      <c r="E56" s="18">
        <v>10000</v>
      </c>
      <c r="F56" s="18"/>
      <c r="G56" s="47">
        <f t="shared" si="75"/>
        <v>1000</v>
      </c>
      <c r="H56" s="20">
        <f t="shared" si="76"/>
        <v>11000</v>
      </c>
      <c r="I56" s="18"/>
      <c r="J56" s="21">
        <f t="shared" si="77"/>
        <v>11000</v>
      </c>
    </row>
    <row r="57" spans="1:10" s="22" customFormat="1" outlineLevel="1" x14ac:dyDescent="0.25">
      <c r="A57" s="14">
        <v>3</v>
      </c>
      <c r="B57" s="15" t="s">
        <v>925</v>
      </c>
      <c r="C57" s="16" t="str">
        <f t="shared" si="73"/>
        <v>M&amp;T Resources</v>
      </c>
      <c r="D57" s="16" t="str">
        <f t="shared" si="74"/>
        <v>Energy Queensland</v>
      </c>
      <c r="E57" s="18">
        <v>9000</v>
      </c>
      <c r="F57" s="18"/>
      <c r="G57" s="47">
        <f t="shared" si="75"/>
        <v>900</v>
      </c>
      <c r="H57" s="20">
        <f t="shared" si="76"/>
        <v>9900</v>
      </c>
      <c r="I57" s="18"/>
      <c r="J57" s="21">
        <f t="shared" si="77"/>
        <v>9900</v>
      </c>
    </row>
    <row r="58" spans="1:10" s="22" customFormat="1" outlineLevel="1" x14ac:dyDescent="0.25">
      <c r="A58" s="14"/>
      <c r="B58" s="15"/>
      <c r="C58" s="16" t="str">
        <f t="shared" si="73"/>
        <v xml:space="preserve"> </v>
      </c>
      <c r="D58" s="16" t="str">
        <f t="shared" si="74"/>
        <v xml:space="preserve"> </v>
      </c>
      <c r="E58" s="18"/>
      <c r="F58" s="18"/>
      <c r="G58" s="47">
        <f t="shared" si="75"/>
        <v>0</v>
      </c>
      <c r="H58" s="20">
        <f t="shared" si="76"/>
        <v>0</v>
      </c>
      <c r="I58" s="18"/>
      <c r="J58" s="21">
        <f t="shared" si="77"/>
        <v>0</v>
      </c>
    </row>
    <row r="59" spans="1:10" s="22" customFormat="1" outlineLevel="1" x14ac:dyDescent="0.25">
      <c r="A59" s="14"/>
      <c r="B59" s="15"/>
      <c r="C59" s="16" t="str">
        <f t="shared" ref="C59:C63" si="78">VLOOKUP(LEFT(B59,2)&amp;0,invCustomer,2)</f>
        <v xml:space="preserve"> </v>
      </c>
      <c r="D59" s="16" t="str">
        <f t="shared" ref="D59:D63" si="79">VLOOKUP(LEFT(B59,4)&amp;0,invProject,2)</f>
        <v xml:space="preserve"> </v>
      </c>
      <c r="E59" s="18"/>
      <c r="F59" s="18"/>
      <c r="G59" s="47">
        <f t="shared" ref="G59:G63" si="80">ROUND(SUM(E59:F59)*0.1,2)</f>
        <v>0</v>
      </c>
      <c r="H59" s="20">
        <f t="shared" ref="H59:H63" si="81">SUM(E59:G59)</f>
        <v>0</v>
      </c>
      <c r="I59" s="18"/>
      <c r="J59" s="21">
        <f t="shared" ref="J59:J63" si="82">SUM(H59:I59)</f>
        <v>0</v>
      </c>
    </row>
    <row r="60" spans="1:10" s="22" customFormat="1" outlineLevel="1" x14ac:dyDescent="0.25">
      <c r="A60" s="14"/>
      <c r="B60" s="15"/>
      <c r="C60" s="16" t="str">
        <f t="shared" si="78"/>
        <v xml:space="preserve"> </v>
      </c>
      <c r="D60" s="16" t="str">
        <f t="shared" si="79"/>
        <v xml:space="preserve"> </v>
      </c>
      <c r="E60" s="18"/>
      <c r="F60" s="18"/>
      <c r="G60" s="47">
        <f t="shared" si="80"/>
        <v>0</v>
      </c>
      <c r="H60" s="20">
        <f t="shared" si="81"/>
        <v>0</v>
      </c>
      <c r="I60" s="18"/>
      <c r="J60" s="21">
        <f t="shared" si="82"/>
        <v>0</v>
      </c>
    </row>
    <row r="61" spans="1:10" s="22" customFormat="1" outlineLevel="1" x14ac:dyDescent="0.25">
      <c r="A61" s="14"/>
      <c r="B61" s="15"/>
      <c r="C61" s="16" t="str">
        <f t="shared" ref="C61" si="83">VLOOKUP(LEFT(B61,2)&amp;0,invCustomer,2)</f>
        <v xml:space="preserve"> </v>
      </c>
      <c r="D61" s="16" t="str">
        <f t="shared" ref="D61" si="84">VLOOKUP(LEFT(B61,4)&amp;0,invProject,2)</f>
        <v xml:space="preserve"> </v>
      </c>
      <c r="E61" s="18"/>
      <c r="F61" s="18"/>
      <c r="G61" s="47">
        <f t="shared" ref="G61" si="85">ROUND(SUM(E61:F61)*0.1,2)</f>
        <v>0</v>
      </c>
      <c r="H61" s="20">
        <f t="shared" ref="H61" si="86">SUM(E61:G61)</f>
        <v>0</v>
      </c>
      <c r="I61" s="18"/>
      <c r="J61" s="21">
        <f t="shared" ref="J61" si="87">SUM(H61:I61)</f>
        <v>0</v>
      </c>
    </row>
    <row r="62" spans="1:10" s="22" customFormat="1" outlineLevel="1" x14ac:dyDescent="0.25">
      <c r="A62" s="14"/>
      <c r="B62" s="15"/>
      <c r="C62" s="16" t="str">
        <f t="shared" si="78"/>
        <v xml:space="preserve"> </v>
      </c>
      <c r="D62" s="16" t="str">
        <f t="shared" si="79"/>
        <v xml:space="preserve"> </v>
      </c>
      <c r="E62" s="18"/>
      <c r="F62" s="18"/>
      <c r="G62" s="47">
        <f t="shared" si="80"/>
        <v>0</v>
      </c>
      <c r="H62" s="20">
        <f t="shared" si="81"/>
        <v>0</v>
      </c>
      <c r="I62" s="18"/>
      <c r="J62" s="21">
        <f t="shared" si="82"/>
        <v>0</v>
      </c>
    </row>
    <row r="63" spans="1:10" s="22" customFormat="1" outlineLevel="1" x14ac:dyDescent="0.25">
      <c r="A63" s="14"/>
      <c r="B63" s="15"/>
      <c r="C63" s="16" t="str">
        <f t="shared" si="78"/>
        <v xml:space="preserve"> </v>
      </c>
      <c r="D63" s="16" t="str">
        <f t="shared" si="79"/>
        <v xml:space="preserve"> </v>
      </c>
      <c r="E63" s="18"/>
      <c r="F63" s="18"/>
      <c r="G63" s="47">
        <f t="shared" si="80"/>
        <v>0</v>
      </c>
      <c r="H63" s="20">
        <f t="shared" si="81"/>
        <v>0</v>
      </c>
      <c r="I63" s="18"/>
      <c r="J63" s="21">
        <f t="shared" si="82"/>
        <v>0</v>
      </c>
    </row>
    <row r="64" spans="1:10" s="22" customFormat="1" outlineLevel="1" x14ac:dyDescent="0.25">
      <c r="A64" s="14"/>
      <c r="B64" s="15"/>
      <c r="C64" s="16" t="str">
        <f t="shared" si="73"/>
        <v xml:space="preserve"> </v>
      </c>
      <c r="D64" s="16" t="str">
        <f t="shared" si="74"/>
        <v xml:space="preserve"> </v>
      </c>
      <c r="E64" s="18"/>
      <c r="F64" s="18"/>
      <c r="G64" s="47">
        <f t="shared" si="75"/>
        <v>0</v>
      </c>
      <c r="H64" s="20">
        <f t="shared" si="76"/>
        <v>0</v>
      </c>
      <c r="I64" s="18"/>
      <c r="J64" s="21">
        <f t="shared" si="77"/>
        <v>0</v>
      </c>
    </row>
    <row r="65" spans="1:10" s="22" customFormat="1" outlineLevel="1" x14ac:dyDescent="0.25">
      <c r="A65" s="23"/>
      <c r="B65" s="24"/>
      <c r="C65" s="25" t="str">
        <f t="shared" si="73"/>
        <v xml:space="preserve"> </v>
      </c>
      <c r="D65" s="25" t="str">
        <f t="shared" si="74"/>
        <v xml:space="preserve"> </v>
      </c>
      <c r="E65" s="26"/>
      <c r="F65" s="26"/>
      <c r="G65" s="41">
        <f t="shared" si="75"/>
        <v>0</v>
      </c>
      <c r="H65" s="27">
        <f t="shared" si="76"/>
        <v>0</v>
      </c>
      <c r="I65" s="26"/>
      <c r="J65" s="28">
        <f t="shared" si="77"/>
        <v>0</v>
      </c>
    </row>
    <row r="66" spans="1:10" s="35" customFormat="1" x14ac:dyDescent="0.25">
      <c r="A66" s="31" t="s">
        <v>15</v>
      </c>
      <c r="B66" s="30"/>
      <c r="C66" s="31"/>
      <c r="D66" s="31"/>
      <c r="E66" s="32">
        <f t="shared" ref="E66:J66" si="88">SUBTOTAL(9,E55:E65)</f>
        <v>23900</v>
      </c>
      <c r="F66" s="32">
        <f t="shared" si="88"/>
        <v>0</v>
      </c>
      <c r="G66" s="32">
        <f t="shared" si="88"/>
        <v>2390</v>
      </c>
      <c r="H66" s="33">
        <f t="shared" si="88"/>
        <v>26290</v>
      </c>
      <c r="I66" s="32">
        <f t="shared" si="88"/>
        <v>0</v>
      </c>
      <c r="J66" s="34">
        <f t="shared" si="88"/>
        <v>26290</v>
      </c>
    </row>
    <row r="67" spans="1:10" s="22" customFormat="1" hidden="1" outlineLevel="1" x14ac:dyDescent="0.25">
      <c r="A67" s="36"/>
      <c r="B67" s="37"/>
      <c r="C67" s="38" t="str">
        <f t="shared" ref="C67:C81" si="89">VLOOKUP(LEFT(B67,2)&amp;0,invCustomer,2)</f>
        <v xml:space="preserve"> </v>
      </c>
      <c r="D67" s="38" t="str">
        <f t="shared" ref="D67:D81" si="90">VLOOKUP(LEFT(B67,4)&amp;0,invProject,2)</f>
        <v xml:space="preserve"> </v>
      </c>
      <c r="E67" s="17"/>
      <c r="F67" s="17"/>
      <c r="G67" s="19">
        <f t="shared" ref="G67:G81" si="91">ROUND(SUM(E67:F67)*0.1,2)</f>
        <v>0</v>
      </c>
      <c r="H67" s="39">
        <f t="shared" ref="H67:H81" si="92">SUM(E67:G67)</f>
        <v>0</v>
      </c>
      <c r="I67" s="17"/>
      <c r="J67" s="40">
        <f t="shared" ref="J67:J81" si="93">SUM(H67:I67)</f>
        <v>0</v>
      </c>
    </row>
    <row r="68" spans="1:10" s="22" customFormat="1" hidden="1" outlineLevel="1" x14ac:dyDescent="0.25">
      <c r="A68" s="14"/>
      <c r="B68" s="15"/>
      <c r="C68" s="16" t="str">
        <f t="shared" si="89"/>
        <v xml:space="preserve"> </v>
      </c>
      <c r="D68" s="16" t="str">
        <f t="shared" si="90"/>
        <v xml:space="preserve"> </v>
      </c>
      <c r="E68" s="18"/>
      <c r="F68" s="18"/>
      <c r="G68" s="47">
        <f t="shared" si="91"/>
        <v>0</v>
      </c>
      <c r="H68" s="20">
        <f t="shared" si="92"/>
        <v>0</v>
      </c>
      <c r="I68" s="18"/>
      <c r="J68" s="21">
        <f t="shared" si="93"/>
        <v>0</v>
      </c>
    </row>
    <row r="69" spans="1:10" s="22" customFormat="1" hidden="1" outlineLevel="1" x14ac:dyDescent="0.25">
      <c r="A69" s="14"/>
      <c r="B69" s="15"/>
      <c r="C69" s="16" t="str">
        <f t="shared" si="89"/>
        <v xml:space="preserve"> </v>
      </c>
      <c r="D69" s="16" t="str">
        <f t="shared" si="90"/>
        <v xml:space="preserve"> </v>
      </c>
      <c r="E69" s="18"/>
      <c r="F69" s="18"/>
      <c r="G69" s="47">
        <f t="shared" si="91"/>
        <v>0</v>
      </c>
      <c r="H69" s="20">
        <f t="shared" si="92"/>
        <v>0</v>
      </c>
      <c r="I69" s="18"/>
      <c r="J69" s="21">
        <f t="shared" si="93"/>
        <v>0</v>
      </c>
    </row>
    <row r="70" spans="1:10" s="22" customFormat="1" hidden="1" outlineLevel="1" x14ac:dyDescent="0.25">
      <c r="A70" s="14"/>
      <c r="B70" s="15"/>
      <c r="C70" s="16" t="str">
        <f t="shared" si="89"/>
        <v xml:space="preserve"> </v>
      </c>
      <c r="D70" s="16" t="str">
        <f t="shared" si="90"/>
        <v xml:space="preserve"> </v>
      </c>
      <c r="E70" s="18"/>
      <c r="F70" s="18"/>
      <c r="G70" s="47">
        <f t="shared" si="91"/>
        <v>0</v>
      </c>
      <c r="H70" s="20">
        <f t="shared" si="92"/>
        <v>0</v>
      </c>
      <c r="I70" s="18"/>
      <c r="J70" s="21">
        <f t="shared" si="93"/>
        <v>0</v>
      </c>
    </row>
    <row r="71" spans="1:10" s="22" customFormat="1" hidden="1" outlineLevel="1" x14ac:dyDescent="0.25">
      <c r="A71" s="14"/>
      <c r="B71" s="15"/>
      <c r="C71" s="16" t="str">
        <f t="shared" ref="C71:C73" si="94">VLOOKUP(LEFT(B71,2)&amp;0,invCustomer,2)</f>
        <v xml:space="preserve"> </v>
      </c>
      <c r="D71" s="16" t="str">
        <f t="shared" ref="D71:D73" si="95">VLOOKUP(LEFT(B71,4)&amp;0,invProject,2)</f>
        <v xml:space="preserve"> </v>
      </c>
      <c r="E71" s="18"/>
      <c r="F71" s="18"/>
      <c r="G71" s="47">
        <f t="shared" ref="G71:G73" si="96">ROUND(SUM(E71:F71)*0.1,2)</f>
        <v>0</v>
      </c>
      <c r="H71" s="20">
        <f t="shared" ref="H71:H73" si="97">SUM(E71:G71)</f>
        <v>0</v>
      </c>
      <c r="I71" s="18"/>
      <c r="J71" s="21">
        <f t="shared" ref="J71:J73" si="98">SUM(H71:I71)</f>
        <v>0</v>
      </c>
    </row>
    <row r="72" spans="1:10" s="22" customFormat="1" hidden="1" outlineLevel="1" x14ac:dyDescent="0.25">
      <c r="A72" s="14"/>
      <c r="B72" s="15"/>
      <c r="C72" s="16" t="str">
        <f>VLOOKUP(LEFT(B72,2)&amp;0,invCustomer,2)</f>
        <v xml:space="preserve"> </v>
      </c>
      <c r="D72" s="16" t="str">
        <f>VLOOKUP(LEFT(B72,4)&amp;0,invProject,2)</f>
        <v xml:space="preserve"> </v>
      </c>
      <c r="E72" s="18"/>
      <c r="F72" s="18"/>
      <c r="G72" s="47">
        <f>ROUND(SUM(E72:F72)*0.1,2)</f>
        <v>0</v>
      </c>
      <c r="H72" s="20">
        <f>SUM(E72:G72)</f>
        <v>0</v>
      </c>
      <c r="I72" s="18"/>
      <c r="J72" s="21">
        <f>SUM(H72:I72)</f>
        <v>0</v>
      </c>
    </row>
    <row r="73" spans="1:10" s="22" customFormat="1" hidden="1" outlineLevel="1" x14ac:dyDescent="0.25">
      <c r="A73" s="14"/>
      <c r="B73" s="15"/>
      <c r="C73" s="16" t="str">
        <f t="shared" si="94"/>
        <v xml:space="preserve"> </v>
      </c>
      <c r="D73" s="16" t="str">
        <f t="shared" si="95"/>
        <v xml:space="preserve"> </v>
      </c>
      <c r="E73" s="18"/>
      <c r="F73" s="18"/>
      <c r="G73" s="47">
        <f t="shared" si="96"/>
        <v>0</v>
      </c>
      <c r="H73" s="20">
        <f t="shared" si="97"/>
        <v>0</v>
      </c>
      <c r="I73" s="18"/>
      <c r="J73" s="21">
        <f t="shared" si="98"/>
        <v>0</v>
      </c>
    </row>
    <row r="74" spans="1:10" s="22" customFormat="1" hidden="1" outlineLevel="1" x14ac:dyDescent="0.25">
      <c r="A74" s="14"/>
      <c r="B74" s="15"/>
      <c r="C74" s="16" t="str">
        <f t="shared" si="89"/>
        <v xml:space="preserve"> </v>
      </c>
      <c r="D74" s="16" t="str">
        <f t="shared" si="90"/>
        <v xml:space="preserve"> </v>
      </c>
      <c r="E74" s="18"/>
      <c r="F74" s="18"/>
      <c r="G74" s="47">
        <f t="shared" si="91"/>
        <v>0</v>
      </c>
      <c r="H74" s="20">
        <f t="shared" si="92"/>
        <v>0</v>
      </c>
      <c r="I74" s="18"/>
      <c r="J74" s="21">
        <f t="shared" si="93"/>
        <v>0</v>
      </c>
    </row>
    <row r="75" spans="1:10" s="22" customFormat="1" hidden="1" outlineLevel="1" x14ac:dyDescent="0.25">
      <c r="A75" s="14"/>
      <c r="B75" s="15"/>
      <c r="C75" s="16" t="str">
        <f t="shared" si="89"/>
        <v xml:space="preserve"> </v>
      </c>
      <c r="D75" s="16" t="str">
        <f t="shared" si="90"/>
        <v xml:space="preserve"> </v>
      </c>
      <c r="E75" s="18"/>
      <c r="F75" s="18"/>
      <c r="G75" s="47">
        <f t="shared" si="91"/>
        <v>0</v>
      </c>
      <c r="H75" s="20">
        <f t="shared" si="92"/>
        <v>0</v>
      </c>
      <c r="I75" s="18"/>
      <c r="J75" s="21">
        <f t="shared" si="93"/>
        <v>0</v>
      </c>
    </row>
    <row r="76" spans="1:10" s="22" customFormat="1" hidden="1" outlineLevel="1" x14ac:dyDescent="0.25">
      <c r="A76" s="14"/>
      <c r="B76" s="15"/>
      <c r="C76" s="16" t="str">
        <f t="shared" si="89"/>
        <v xml:space="preserve"> </v>
      </c>
      <c r="D76" s="16" t="str">
        <f t="shared" si="90"/>
        <v xml:space="preserve"> </v>
      </c>
      <c r="E76" s="18"/>
      <c r="F76" s="18"/>
      <c r="G76" s="47">
        <f t="shared" si="91"/>
        <v>0</v>
      </c>
      <c r="H76" s="20">
        <f t="shared" si="92"/>
        <v>0</v>
      </c>
      <c r="I76" s="18"/>
      <c r="J76" s="21">
        <f t="shared" si="93"/>
        <v>0</v>
      </c>
    </row>
    <row r="77" spans="1:10" s="22" customFormat="1" hidden="1" outlineLevel="1" x14ac:dyDescent="0.25">
      <c r="A77" s="14"/>
      <c r="B77" s="15"/>
      <c r="C77" s="16" t="str">
        <f t="shared" ref="C77:C79" si="99">VLOOKUP(LEFT(B77,2)&amp;0,invCustomer,2)</f>
        <v xml:space="preserve"> </v>
      </c>
      <c r="D77" s="16" t="str">
        <f t="shared" ref="D77:D79" si="100">VLOOKUP(LEFT(B77,4)&amp;0,invProject,2)</f>
        <v xml:space="preserve"> </v>
      </c>
      <c r="E77" s="18"/>
      <c r="F77" s="18"/>
      <c r="G77" s="47">
        <f t="shared" ref="G77:G79" si="101">ROUND(SUM(E77:F77)*0.1,2)</f>
        <v>0</v>
      </c>
      <c r="H77" s="20">
        <f t="shared" ref="H77:H79" si="102">SUM(E77:G77)</f>
        <v>0</v>
      </c>
      <c r="I77" s="18"/>
      <c r="J77" s="21">
        <f t="shared" ref="J77:J79" si="103">SUM(H77:I77)</f>
        <v>0</v>
      </c>
    </row>
    <row r="78" spans="1:10" s="22" customFormat="1" hidden="1" outlineLevel="1" x14ac:dyDescent="0.25">
      <c r="A78" s="14"/>
      <c r="B78" s="15"/>
      <c r="C78" s="16" t="str">
        <f t="shared" si="99"/>
        <v xml:space="preserve"> </v>
      </c>
      <c r="D78" s="16" t="str">
        <f t="shared" si="100"/>
        <v xml:space="preserve"> </v>
      </c>
      <c r="E78" s="18"/>
      <c r="F78" s="18"/>
      <c r="G78" s="47">
        <f t="shared" si="101"/>
        <v>0</v>
      </c>
      <c r="H78" s="20">
        <f t="shared" si="102"/>
        <v>0</v>
      </c>
      <c r="I78" s="18"/>
      <c r="J78" s="21">
        <f t="shared" si="103"/>
        <v>0</v>
      </c>
    </row>
    <row r="79" spans="1:10" s="22" customFormat="1" hidden="1" outlineLevel="1" x14ac:dyDescent="0.25">
      <c r="A79" s="14"/>
      <c r="B79" s="15"/>
      <c r="C79" s="16" t="str">
        <f t="shared" si="99"/>
        <v xml:space="preserve"> </v>
      </c>
      <c r="D79" s="16" t="str">
        <f t="shared" si="100"/>
        <v xml:space="preserve"> </v>
      </c>
      <c r="E79" s="18"/>
      <c r="F79" s="18"/>
      <c r="G79" s="47">
        <f t="shared" si="101"/>
        <v>0</v>
      </c>
      <c r="H79" s="20">
        <f t="shared" si="102"/>
        <v>0</v>
      </c>
      <c r="I79" s="18"/>
      <c r="J79" s="21">
        <f t="shared" si="103"/>
        <v>0</v>
      </c>
    </row>
    <row r="80" spans="1:10" s="22" customFormat="1" hidden="1" outlineLevel="1" x14ac:dyDescent="0.25">
      <c r="A80" s="14"/>
      <c r="B80" s="15"/>
      <c r="C80" s="16" t="str">
        <f t="shared" si="89"/>
        <v xml:space="preserve"> </v>
      </c>
      <c r="D80" s="16" t="str">
        <f t="shared" si="90"/>
        <v xml:space="preserve"> </v>
      </c>
      <c r="E80" s="18"/>
      <c r="F80" s="18"/>
      <c r="G80" s="47">
        <f t="shared" si="91"/>
        <v>0</v>
      </c>
      <c r="H80" s="20">
        <f t="shared" si="92"/>
        <v>0</v>
      </c>
      <c r="I80" s="18"/>
      <c r="J80" s="21">
        <f t="shared" si="93"/>
        <v>0</v>
      </c>
    </row>
    <row r="81" spans="1:10" hidden="1" outlineLevel="1" x14ac:dyDescent="0.25">
      <c r="A81" s="23"/>
      <c r="B81" s="24"/>
      <c r="C81" s="25" t="str">
        <f t="shared" si="89"/>
        <v xml:space="preserve"> </v>
      </c>
      <c r="D81" s="25" t="str">
        <f t="shared" si="90"/>
        <v xml:space="preserve"> </v>
      </c>
      <c r="E81" s="26"/>
      <c r="F81" s="26"/>
      <c r="G81" s="41">
        <f t="shared" si="91"/>
        <v>0</v>
      </c>
      <c r="H81" s="27">
        <f t="shared" si="92"/>
        <v>0</v>
      </c>
      <c r="I81" s="26"/>
      <c r="J81" s="28">
        <f t="shared" si="93"/>
        <v>0</v>
      </c>
    </row>
    <row r="82" spans="1:10" collapsed="1" x14ac:dyDescent="0.25">
      <c r="A82" s="31" t="s">
        <v>16</v>
      </c>
      <c r="B82" s="30"/>
      <c r="C82" s="31"/>
      <c r="D82" s="31"/>
      <c r="E82" s="32">
        <f t="shared" ref="E82:J82" si="104">SUBTOTAL(9,E67:E81)</f>
        <v>0</v>
      </c>
      <c r="F82" s="32">
        <f t="shared" si="104"/>
        <v>0</v>
      </c>
      <c r="G82" s="32">
        <f t="shared" si="104"/>
        <v>0</v>
      </c>
      <c r="H82" s="33">
        <f t="shared" si="104"/>
        <v>0</v>
      </c>
      <c r="I82" s="32">
        <f t="shared" si="104"/>
        <v>0</v>
      </c>
      <c r="J82" s="34">
        <f t="shared" si="104"/>
        <v>0</v>
      </c>
    </row>
    <row r="83" spans="1:10" s="35" customFormat="1" hidden="1" outlineLevel="1" x14ac:dyDescent="0.25">
      <c r="A83" s="36"/>
      <c r="B83" s="37"/>
      <c r="C83" s="38" t="str">
        <f t="shared" ref="C83:C94" si="105">VLOOKUP(LEFT(B83,2)&amp;0,invCustomer,2)</f>
        <v xml:space="preserve"> </v>
      </c>
      <c r="D83" s="38" t="str">
        <f t="shared" ref="D83:D94" si="106">VLOOKUP(LEFT(B83,4)&amp;0,invProject,2)</f>
        <v xml:space="preserve"> </v>
      </c>
      <c r="E83" s="17"/>
      <c r="F83" s="17"/>
      <c r="G83" s="19">
        <f t="shared" ref="G83:G94" si="107">ROUND(SUM(E83:F83)*0.1,2)</f>
        <v>0</v>
      </c>
      <c r="H83" s="39">
        <f t="shared" ref="H83:H94" si="108">SUM(E83:G83)</f>
        <v>0</v>
      </c>
      <c r="I83" s="17"/>
      <c r="J83" s="40">
        <f t="shared" ref="J83:J94" si="109">SUM(H83:I83)</f>
        <v>0</v>
      </c>
    </row>
    <row r="84" spans="1:10" s="22" customFormat="1" hidden="1" outlineLevel="1" x14ac:dyDescent="0.25">
      <c r="A84" s="14"/>
      <c r="B84" s="15"/>
      <c r="C84" s="16" t="str">
        <f t="shared" si="105"/>
        <v xml:space="preserve"> </v>
      </c>
      <c r="D84" s="16" t="str">
        <f t="shared" si="106"/>
        <v xml:space="preserve"> </v>
      </c>
      <c r="E84" s="18"/>
      <c r="F84" s="18"/>
      <c r="G84" s="18">
        <f t="shared" si="107"/>
        <v>0</v>
      </c>
      <c r="H84" s="20">
        <f t="shared" si="108"/>
        <v>0</v>
      </c>
      <c r="I84" s="18"/>
      <c r="J84" s="21">
        <f t="shared" si="109"/>
        <v>0</v>
      </c>
    </row>
    <row r="85" spans="1:10" s="22" customFormat="1" hidden="1" outlineLevel="1" x14ac:dyDescent="0.25">
      <c r="A85" s="14"/>
      <c r="B85" s="15"/>
      <c r="C85" s="16" t="str">
        <f t="shared" si="105"/>
        <v xml:space="preserve"> </v>
      </c>
      <c r="D85" s="16" t="str">
        <f t="shared" si="106"/>
        <v xml:space="preserve"> </v>
      </c>
      <c r="E85" s="18"/>
      <c r="F85" s="18"/>
      <c r="G85" s="18">
        <f t="shared" si="107"/>
        <v>0</v>
      </c>
      <c r="H85" s="20">
        <f t="shared" si="108"/>
        <v>0</v>
      </c>
      <c r="I85" s="18"/>
      <c r="J85" s="21">
        <f t="shared" si="109"/>
        <v>0</v>
      </c>
    </row>
    <row r="86" spans="1:10" s="22" customFormat="1" hidden="1" outlineLevel="1" x14ac:dyDescent="0.25">
      <c r="A86" s="14"/>
      <c r="B86" s="15"/>
      <c r="C86" s="16" t="str">
        <f t="shared" si="105"/>
        <v xml:space="preserve"> </v>
      </c>
      <c r="D86" s="16" t="str">
        <f t="shared" si="106"/>
        <v xml:space="preserve"> </v>
      </c>
      <c r="E86" s="18"/>
      <c r="F86" s="18"/>
      <c r="G86" s="18">
        <f t="shared" si="107"/>
        <v>0</v>
      </c>
      <c r="H86" s="20">
        <f t="shared" si="108"/>
        <v>0</v>
      </c>
      <c r="I86" s="18"/>
      <c r="J86" s="21">
        <f t="shared" si="109"/>
        <v>0</v>
      </c>
    </row>
    <row r="87" spans="1:10" s="22" customFormat="1" hidden="1" outlineLevel="1" x14ac:dyDescent="0.25">
      <c r="A87" s="14"/>
      <c r="B87" s="15"/>
      <c r="C87" s="16" t="str">
        <f t="shared" si="105"/>
        <v xml:space="preserve"> </v>
      </c>
      <c r="D87" s="16" t="str">
        <f t="shared" si="106"/>
        <v xml:space="preserve"> </v>
      </c>
      <c r="E87" s="18"/>
      <c r="F87" s="18"/>
      <c r="G87" s="18">
        <f t="shared" si="107"/>
        <v>0</v>
      </c>
      <c r="H87" s="20">
        <f t="shared" si="108"/>
        <v>0</v>
      </c>
      <c r="I87" s="18"/>
      <c r="J87" s="21">
        <f t="shared" si="109"/>
        <v>0</v>
      </c>
    </row>
    <row r="88" spans="1:10" s="22" customFormat="1" hidden="1" outlineLevel="1" x14ac:dyDescent="0.25">
      <c r="A88" s="14"/>
      <c r="B88" s="15"/>
      <c r="C88" s="16" t="str">
        <f t="shared" ref="C88:C89" si="110">VLOOKUP(LEFT(B88,2)&amp;0,invCustomer,2)</f>
        <v xml:space="preserve"> </v>
      </c>
      <c r="D88" s="16" t="str">
        <f t="shared" ref="D88:D89" si="111">VLOOKUP(LEFT(B88,4)&amp;0,invProject,2)</f>
        <v xml:space="preserve"> </v>
      </c>
      <c r="E88" s="18"/>
      <c r="F88" s="18"/>
      <c r="G88" s="18">
        <f t="shared" ref="G88:G89" si="112">ROUND(SUM(E88:F88)*0.1,2)</f>
        <v>0</v>
      </c>
      <c r="H88" s="20">
        <f t="shared" ref="H88:H89" si="113">SUM(E88:G88)</f>
        <v>0</v>
      </c>
      <c r="I88" s="18"/>
      <c r="J88" s="21">
        <f t="shared" ref="J88:J89" si="114">SUM(H88:I88)</f>
        <v>0</v>
      </c>
    </row>
    <row r="89" spans="1:10" s="22" customFormat="1" hidden="1" outlineLevel="1" x14ac:dyDescent="0.25">
      <c r="A89" s="14"/>
      <c r="B89" s="15"/>
      <c r="C89" s="16" t="str">
        <f t="shared" si="110"/>
        <v xml:space="preserve"> </v>
      </c>
      <c r="D89" s="16" t="str">
        <f t="shared" si="111"/>
        <v xml:space="preserve"> </v>
      </c>
      <c r="E89" s="18"/>
      <c r="F89" s="18"/>
      <c r="G89" s="18">
        <f t="shared" si="112"/>
        <v>0</v>
      </c>
      <c r="H89" s="20">
        <f t="shared" si="113"/>
        <v>0</v>
      </c>
      <c r="I89" s="18"/>
      <c r="J89" s="21">
        <f t="shared" si="114"/>
        <v>0</v>
      </c>
    </row>
    <row r="90" spans="1:10" s="22" customFormat="1" hidden="1" outlineLevel="1" x14ac:dyDescent="0.25">
      <c r="A90" s="14"/>
      <c r="B90" s="15"/>
      <c r="C90" s="16" t="str">
        <f t="shared" ref="C90:C91" si="115">VLOOKUP(LEFT(B90,2)&amp;0,invCustomer,2)</f>
        <v xml:space="preserve"> </v>
      </c>
      <c r="D90" s="16" t="str">
        <f t="shared" ref="D90:D91" si="116">VLOOKUP(LEFT(B90,4)&amp;0,invProject,2)</f>
        <v xml:space="preserve"> </v>
      </c>
      <c r="E90" s="18"/>
      <c r="F90" s="18"/>
      <c r="G90" s="18">
        <f t="shared" ref="G90:G91" si="117">ROUND(SUM(E90:F90)*0.1,2)</f>
        <v>0</v>
      </c>
      <c r="H90" s="20">
        <f t="shared" ref="H90:H91" si="118">SUM(E90:G90)</f>
        <v>0</v>
      </c>
      <c r="I90" s="18"/>
      <c r="J90" s="21">
        <f t="shared" ref="J90:J91" si="119">SUM(H90:I90)</f>
        <v>0</v>
      </c>
    </row>
    <row r="91" spans="1:10" s="22" customFormat="1" hidden="1" outlineLevel="1" x14ac:dyDescent="0.25">
      <c r="A91" s="14"/>
      <c r="B91" s="15"/>
      <c r="C91" s="16" t="str">
        <f t="shared" si="115"/>
        <v xml:space="preserve"> </v>
      </c>
      <c r="D91" s="16" t="str">
        <f t="shared" si="116"/>
        <v xml:space="preserve"> </v>
      </c>
      <c r="E91" s="18"/>
      <c r="F91" s="18"/>
      <c r="G91" s="18">
        <f t="shared" si="117"/>
        <v>0</v>
      </c>
      <c r="H91" s="20">
        <f t="shared" si="118"/>
        <v>0</v>
      </c>
      <c r="I91" s="18"/>
      <c r="J91" s="21">
        <f t="shared" si="119"/>
        <v>0</v>
      </c>
    </row>
    <row r="92" spans="1:10" s="22" customFormat="1" hidden="1" outlineLevel="1" x14ac:dyDescent="0.25">
      <c r="A92" s="14"/>
      <c r="B92" s="15"/>
      <c r="C92" s="16" t="str">
        <f t="shared" si="105"/>
        <v xml:space="preserve"> </v>
      </c>
      <c r="D92" s="16" t="str">
        <f t="shared" si="106"/>
        <v xml:space="preserve"> </v>
      </c>
      <c r="E92" s="18"/>
      <c r="F92" s="18"/>
      <c r="G92" s="18">
        <f t="shared" si="107"/>
        <v>0</v>
      </c>
      <c r="H92" s="20">
        <f t="shared" si="108"/>
        <v>0</v>
      </c>
      <c r="I92" s="18"/>
      <c r="J92" s="21">
        <f t="shared" si="109"/>
        <v>0</v>
      </c>
    </row>
    <row r="93" spans="1:10" s="22" customFormat="1" hidden="1" outlineLevel="1" x14ac:dyDescent="0.25">
      <c r="A93" s="14"/>
      <c r="B93" s="15"/>
      <c r="C93" s="16" t="str">
        <f t="shared" si="105"/>
        <v xml:space="preserve"> </v>
      </c>
      <c r="D93" s="16" t="str">
        <f t="shared" si="106"/>
        <v xml:space="preserve"> </v>
      </c>
      <c r="E93" s="18"/>
      <c r="F93" s="18"/>
      <c r="G93" s="18">
        <f t="shared" si="107"/>
        <v>0</v>
      </c>
      <c r="H93" s="20">
        <f t="shared" si="108"/>
        <v>0</v>
      </c>
      <c r="I93" s="18"/>
      <c r="J93" s="21">
        <f t="shared" si="109"/>
        <v>0</v>
      </c>
    </row>
    <row r="94" spans="1:10" hidden="1" outlineLevel="1" x14ac:dyDescent="0.25">
      <c r="A94" s="23"/>
      <c r="B94" s="24"/>
      <c r="C94" s="25" t="str">
        <f t="shared" si="105"/>
        <v xml:space="preserve"> </v>
      </c>
      <c r="D94" s="25" t="str">
        <f t="shared" si="106"/>
        <v xml:space="preserve"> </v>
      </c>
      <c r="E94" s="26"/>
      <c r="F94" s="26"/>
      <c r="G94" s="41">
        <f t="shared" si="107"/>
        <v>0</v>
      </c>
      <c r="H94" s="27">
        <f t="shared" si="108"/>
        <v>0</v>
      </c>
      <c r="I94" s="26"/>
      <c r="J94" s="28">
        <f t="shared" si="109"/>
        <v>0</v>
      </c>
    </row>
    <row r="95" spans="1:10" collapsed="1" x14ac:dyDescent="0.25">
      <c r="A95" s="31" t="s">
        <v>17</v>
      </c>
      <c r="B95" s="30"/>
      <c r="C95" s="31"/>
      <c r="D95" s="31"/>
      <c r="E95" s="32">
        <f t="shared" ref="E95:J95" si="120">SUBTOTAL(9,E83:E94)</f>
        <v>0</v>
      </c>
      <c r="F95" s="32">
        <f t="shared" si="120"/>
        <v>0</v>
      </c>
      <c r="G95" s="32">
        <f t="shared" si="120"/>
        <v>0</v>
      </c>
      <c r="H95" s="33">
        <f t="shared" si="120"/>
        <v>0</v>
      </c>
      <c r="I95" s="32">
        <f t="shared" si="120"/>
        <v>0</v>
      </c>
      <c r="J95" s="34">
        <f t="shared" si="120"/>
        <v>0</v>
      </c>
    </row>
    <row r="96" spans="1:10" s="35" customFormat="1" x14ac:dyDescent="0.25">
      <c r="A96" s="43"/>
      <c r="B96" s="44" t="s">
        <v>18</v>
      </c>
      <c r="C96" s="43"/>
      <c r="D96" s="43"/>
      <c r="E96" s="44">
        <f t="shared" ref="E96:J96" si="121">SUBTOTAL(9,E55:E95)</f>
        <v>23900</v>
      </c>
      <c r="F96" s="44">
        <f t="shared" si="121"/>
        <v>0</v>
      </c>
      <c r="G96" s="44">
        <f t="shared" si="121"/>
        <v>2390</v>
      </c>
      <c r="H96" s="45">
        <f t="shared" si="121"/>
        <v>26290</v>
      </c>
      <c r="I96" s="44">
        <f t="shared" si="121"/>
        <v>0</v>
      </c>
      <c r="J96" s="46">
        <f t="shared" si="121"/>
        <v>26290</v>
      </c>
    </row>
    <row r="97" spans="1:10" s="35" customFormat="1" hidden="1" outlineLevel="1" x14ac:dyDescent="0.25">
      <c r="A97" s="14"/>
      <c r="B97" s="15"/>
      <c r="C97" s="38" t="str">
        <f t="shared" ref="C97:C109" si="122">VLOOKUP(LEFT(B97,2)&amp;0,invCustomer,2)</f>
        <v xml:space="preserve"> </v>
      </c>
      <c r="D97" s="38" t="str">
        <f t="shared" ref="D97:D109" si="123">VLOOKUP(LEFT(B97,4)&amp;0,invProject,2)</f>
        <v xml:space="preserve"> </v>
      </c>
      <c r="E97" s="17"/>
      <c r="F97" s="18"/>
      <c r="G97" s="19">
        <f t="shared" ref="G97:G109" si="124">ROUND(SUM(E97:F97)*0.1,2)</f>
        <v>0</v>
      </c>
      <c r="H97" s="39">
        <f t="shared" ref="H97:H109" si="125">SUM(E97:G97)</f>
        <v>0</v>
      </c>
      <c r="I97" s="18"/>
      <c r="J97" s="40">
        <f t="shared" ref="J97:J109" si="126">SUM(H97:I97)</f>
        <v>0</v>
      </c>
    </row>
    <row r="98" spans="1:10" hidden="1" outlineLevel="1" x14ac:dyDescent="0.25">
      <c r="A98" s="14"/>
      <c r="B98" s="15"/>
      <c r="C98" s="16" t="str">
        <f t="shared" si="122"/>
        <v xml:space="preserve"> </v>
      </c>
      <c r="D98" s="16" t="str">
        <f t="shared" si="123"/>
        <v xml:space="preserve"> </v>
      </c>
      <c r="E98" s="18"/>
      <c r="F98" s="18"/>
      <c r="G98" s="47">
        <f t="shared" si="124"/>
        <v>0</v>
      </c>
      <c r="H98" s="20">
        <f t="shared" si="125"/>
        <v>0</v>
      </c>
      <c r="I98" s="18"/>
      <c r="J98" s="21">
        <f t="shared" si="126"/>
        <v>0</v>
      </c>
    </row>
    <row r="99" spans="1:10" s="22" customFormat="1" hidden="1" outlineLevel="1" x14ac:dyDescent="0.25">
      <c r="A99" s="14"/>
      <c r="B99" s="15"/>
      <c r="C99" s="16" t="str">
        <f t="shared" si="122"/>
        <v xml:space="preserve"> </v>
      </c>
      <c r="D99" s="16" t="str">
        <f t="shared" si="123"/>
        <v xml:space="preserve"> </v>
      </c>
      <c r="E99" s="18"/>
      <c r="F99" s="18"/>
      <c r="G99" s="47">
        <f t="shared" si="124"/>
        <v>0</v>
      </c>
      <c r="H99" s="20">
        <f t="shared" si="125"/>
        <v>0</v>
      </c>
      <c r="I99" s="18"/>
      <c r="J99" s="21">
        <f t="shared" si="126"/>
        <v>0</v>
      </c>
    </row>
    <row r="100" spans="1:10" hidden="1" outlineLevel="1" x14ac:dyDescent="0.25">
      <c r="A100" s="14"/>
      <c r="B100" s="15"/>
      <c r="C100" s="16" t="str">
        <f t="shared" si="122"/>
        <v xml:space="preserve"> </v>
      </c>
      <c r="D100" s="16" t="str">
        <f t="shared" si="123"/>
        <v xml:space="preserve"> </v>
      </c>
      <c r="E100" s="18"/>
      <c r="F100" s="18"/>
      <c r="G100" s="47">
        <f t="shared" si="124"/>
        <v>0</v>
      </c>
      <c r="H100" s="20">
        <f t="shared" si="125"/>
        <v>0</v>
      </c>
      <c r="I100" s="18"/>
      <c r="J100" s="21">
        <f t="shared" si="126"/>
        <v>0</v>
      </c>
    </row>
    <row r="101" spans="1:10" s="22" customFormat="1" hidden="1" outlineLevel="1" x14ac:dyDescent="0.25">
      <c r="A101" s="14"/>
      <c r="B101" s="15"/>
      <c r="C101" s="16" t="str">
        <f t="shared" ref="C101:C102" si="127">VLOOKUP(LEFT(B101,2)&amp;0,invCustomer,2)</f>
        <v xml:space="preserve"> </v>
      </c>
      <c r="D101" s="16" t="str">
        <f t="shared" ref="D101:D102" si="128">VLOOKUP(LEFT(B101,4)&amp;0,invProject,2)</f>
        <v xml:space="preserve"> </v>
      </c>
      <c r="E101" s="18"/>
      <c r="F101" s="18"/>
      <c r="G101" s="47">
        <f t="shared" ref="G101:G102" si="129">ROUND(SUM(E101:F101)*0.1,2)</f>
        <v>0</v>
      </c>
      <c r="H101" s="20">
        <f t="shared" ref="H101:H102" si="130">SUM(E101:G101)</f>
        <v>0</v>
      </c>
      <c r="I101" s="18"/>
      <c r="J101" s="21">
        <f t="shared" ref="J101:J102" si="131">SUM(H101:I101)</f>
        <v>0</v>
      </c>
    </row>
    <row r="102" spans="1:10" hidden="1" outlineLevel="1" x14ac:dyDescent="0.25">
      <c r="A102" s="14"/>
      <c r="B102" s="15"/>
      <c r="C102" s="16" t="str">
        <f t="shared" si="127"/>
        <v xml:space="preserve"> </v>
      </c>
      <c r="D102" s="16" t="str">
        <f t="shared" si="128"/>
        <v xml:space="preserve"> </v>
      </c>
      <c r="E102" s="18"/>
      <c r="F102" s="18"/>
      <c r="G102" s="47">
        <f t="shared" si="129"/>
        <v>0</v>
      </c>
      <c r="H102" s="20">
        <f t="shared" si="130"/>
        <v>0</v>
      </c>
      <c r="I102" s="18"/>
      <c r="J102" s="21">
        <f t="shared" si="131"/>
        <v>0</v>
      </c>
    </row>
    <row r="103" spans="1:10" s="22" customFormat="1" hidden="1" outlineLevel="1" x14ac:dyDescent="0.25">
      <c r="A103" s="14"/>
      <c r="B103" s="15"/>
      <c r="C103" s="16" t="str">
        <f t="shared" ref="C103:C108" si="132">VLOOKUP(LEFT(B103,2)&amp;0,invCustomer,2)</f>
        <v xml:space="preserve"> </v>
      </c>
      <c r="D103" s="16" t="str">
        <f t="shared" ref="D103:D108" si="133">VLOOKUP(LEFT(B103,4)&amp;0,invProject,2)</f>
        <v xml:space="preserve"> </v>
      </c>
      <c r="E103" s="18"/>
      <c r="F103" s="18"/>
      <c r="G103" s="47">
        <f t="shared" ref="G103:G108" si="134">ROUND(SUM(E103:F103)*0.1,2)</f>
        <v>0</v>
      </c>
      <c r="H103" s="20">
        <f t="shared" ref="H103:H108" si="135">SUM(E103:G103)</f>
        <v>0</v>
      </c>
      <c r="I103" s="18"/>
      <c r="J103" s="21">
        <f t="shared" ref="J103:J108" si="136">SUM(H103:I103)</f>
        <v>0</v>
      </c>
    </row>
    <row r="104" spans="1:10" s="22" customFormat="1" hidden="1" outlineLevel="1" x14ac:dyDescent="0.25">
      <c r="A104" s="14"/>
      <c r="B104" s="15"/>
      <c r="C104" s="16" t="str">
        <f>VLOOKUP(LEFT(B104,2)&amp;0,invCustomer,2)</f>
        <v xml:space="preserve"> </v>
      </c>
      <c r="D104" s="16" t="str">
        <f>VLOOKUP(LEFT(B104,4)&amp;0,invProject,2)</f>
        <v xml:space="preserve"> </v>
      </c>
      <c r="E104" s="18"/>
      <c r="F104" s="18"/>
      <c r="G104" s="47">
        <f>ROUND(SUM(E104:F104)*0.1,2)</f>
        <v>0</v>
      </c>
      <c r="H104" s="20">
        <f>SUM(E104:G104)</f>
        <v>0</v>
      </c>
      <c r="I104" s="18"/>
      <c r="J104" s="21">
        <f>SUM(H104:I104)</f>
        <v>0</v>
      </c>
    </row>
    <row r="105" spans="1:10" hidden="1" outlineLevel="1" x14ac:dyDescent="0.25">
      <c r="A105" s="14"/>
      <c r="B105" s="15"/>
      <c r="C105" s="16" t="str">
        <f>VLOOKUP(LEFT(B105,2)&amp;0,invCustomer,2)</f>
        <v xml:space="preserve"> </v>
      </c>
      <c r="D105" s="16" t="str">
        <f>VLOOKUP(LEFT(B105,4)&amp;0,invProject,2)</f>
        <v xml:space="preserve"> </v>
      </c>
      <c r="E105" s="18"/>
      <c r="F105" s="18"/>
      <c r="G105" s="47">
        <f>ROUND(SUM(E105:F105)*0.1,2)</f>
        <v>0</v>
      </c>
      <c r="H105" s="20">
        <f>SUM(E105:G105)</f>
        <v>0</v>
      </c>
      <c r="I105" s="18"/>
      <c r="J105" s="21">
        <f>SUM(H105:I105)</f>
        <v>0</v>
      </c>
    </row>
    <row r="106" spans="1:10" hidden="1" outlineLevel="1" x14ac:dyDescent="0.25">
      <c r="A106" s="14"/>
      <c r="B106" s="15"/>
      <c r="C106" s="16" t="str">
        <f>VLOOKUP(LEFT(B106,2)&amp;0,invCustomer,2)</f>
        <v xml:space="preserve"> </v>
      </c>
      <c r="D106" s="16" t="str">
        <f>VLOOKUP(LEFT(B106,4)&amp;0,invProject,2)</f>
        <v xml:space="preserve"> </v>
      </c>
      <c r="E106" s="18"/>
      <c r="F106" s="18"/>
      <c r="G106" s="47">
        <f>ROUND(SUM(E106:F106)*0.1,2)</f>
        <v>0</v>
      </c>
      <c r="H106" s="20">
        <f>SUM(E106:G106)</f>
        <v>0</v>
      </c>
      <c r="I106" s="18"/>
      <c r="J106" s="21">
        <f>SUM(H106:I106)</f>
        <v>0</v>
      </c>
    </row>
    <row r="107" spans="1:10" hidden="1" outlineLevel="1" x14ac:dyDescent="0.25">
      <c r="A107" s="14"/>
      <c r="B107" s="15"/>
      <c r="C107" s="16" t="str">
        <f t="shared" si="132"/>
        <v xml:space="preserve"> </v>
      </c>
      <c r="D107" s="16" t="str">
        <f t="shared" si="133"/>
        <v xml:space="preserve"> </v>
      </c>
      <c r="E107" s="18"/>
      <c r="F107" s="18"/>
      <c r="G107" s="47">
        <f t="shared" si="134"/>
        <v>0</v>
      </c>
      <c r="H107" s="20">
        <f t="shared" si="135"/>
        <v>0</v>
      </c>
      <c r="I107" s="18"/>
      <c r="J107" s="21">
        <f t="shared" si="136"/>
        <v>0</v>
      </c>
    </row>
    <row r="108" spans="1:10" hidden="1" outlineLevel="1" x14ac:dyDescent="0.25">
      <c r="A108" s="14"/>
      <c r="B108" s="15"/>
      <c r="C108" s="16" t="str">
        <f t="shared" si="132"/>
        <v xml:space="preserve"> </v>
      </c>
      <c r="D108" s="16" t="str">
        <f t="shared" si="133"/>
        <v xml:space="preserve"> </v>
      </c>
      <c r="E108" s="18"/>
      <c r="F108" s="18"/>
      <c r="G108" s="47">
        <f t="shared" si="134"/>
        <v>0</v>
      </c>
      <c r="H108" s="20">
        <f t="shared" si="135"/>
        <v>0</v>
      </c>
      <c r="I108" s="18"/>
      <c r="J108" s="21">
        <f t="shared" si="136"/>
        <v>0</v>
      </c>
    </row>
    <row r="109" spans="1:10" hidden="1" outlineLevel="1" x14ac:dyDescent="0.25">
      <c r="A109" s="23"/>
      <c r="B109" s="24"/>
      <c r="C109" s="25" t="str">
        <f t="shared" si="122"/>
        <v xml:space="preserve"> </v>
      </c>
      <c r="D109" s="25" t="str">
        <f t="shared" si="123"/>
        <v xml:space="preserve"> </v>
      </c>
      <c r="E109" s="26"/>
      <c r="F109" s="26"/>
      <c r="G109" s="41">
        <f t="shared" si="124"/>
        <v>0</v>
      </c>
      <c r="H109" s="27">
        <f t="shared" si="125"/>
        <v>0</v>
      </c>
      <c r="I109" s="26"/>
      <c r="J109" s="28">
        <f t="shared" si="126"/>
        <v>0</v>
      </c>
    </row>
    <row r="110" spans="1:10" s="22" customFormat="1" collapsed="1" x14ac:dyDescent="0.25">
      <c r="A110" s="31" t="s">
        <v>19</v>
      </c>
      <c r="B110" s="30"/>
      <c r="C110" s="31"/>
      <c r="D110" s="31"/>
      <c r="E110" s="32">
        <f t="shared" ref="E110:J110" si="137">SUBTOTAL(9,E97:E109)</f>
        <v>0</v>
      </c>
      <c r="F110" s="32">
        <f t="shared" si="137"/>
        <v>0</v>
      </c>
      <c r="G110" s="32">
        <f t="shared" si="137"/>
        <v>0</v>
      </c>
      <c r="H110" s="48">
        <f t="shared" si="137"/>
        <v>0</v>
      </c>
      <c r="I110" s="32">
        <f t="shared" si="137"/>
        <v>0</v>
      </c>
      <c r="J110" s="49">
        <f t="shared" si="137"/>
        <v>0</v>
      </c>
    </row>
    <row r="111" spans="1:10" s="22" customFormat="1" hidden="1" outlineLevel="1" x14ac:dyDescent="0.25">
      <c r="A111" s="36"/>
      <c r="B111" s="37"/>
      <c r="C111" s="38" t="str">
        <f t="shared" ref="C111:C120" si="138">VLOOKUP(LEFT(B111,2)&amp;0,invCustomer,2)</f>
        <v xml:space="preserve"> </v>
      </c>
      <c r="D111" s="38" t="str">
        <f t="shared" ref="D111:D120" si="139">VLOOKUP(LEFT(B111,4)&amp;0,invProject,2)</f>
        <v xml:space="preserve"> </v>
      </c>
      <c r="E111" s="17"/>
      <c r="F111" s="17"/>
      <c r="G111" s="19">
        <f t="shared" ref="G111:G120" si="140">ROUND(SUM(E111:F111)*0.1,2)</f>
        <v>0</v>
      </c>
      <c r="H111" s="39">
        <f t="shared" ref="H111:H120" si="141">SUM(E111:G111)</f>
        <v>0</v>
      </c>
      <c r="I111" s="17"/>
      <c r="J111" s="40">
        <f t="shared" ref="J111:J120" si="142">SUM(H111:I111)</f>
        <v>0</v>
      </c>
    </row>
    <row r="112" spans="1:10" s="22" customFormat="1" hidden="1" outlineLevel="1" x14ac:dyDescent="0.25">
      <c r="A112" s="14"/>
      <c r="B112" s="15"/>
      <c r="C112" s="16" t="str">
        <f t="shared" ref="C112:C115" si="143">VLOOKUP(LEFT(B112,2)&amp;0,invCustomer,2)</f>
        <v xml:space="preserve"> </v>
      </c>
      <c r="D112" s="16" t="str">
        <f t="shared" ref="D112:D115" si="144">VLOOKUP(LEFT(B112,4)&amp;0,invProject,2)</f>
        <v xml:space="preserve"> </v>
      </c>
      <c r="E112" s="50"/>
      <c r="F112" s="18"/>
      <c r="G112" s="18">
        <f t="shared" ref="G112:G115" si="145">ROUND(SUM(E112:F112)*0.1,2)</f>
        <v>0</v>
      </c>
      <c r="H112" s="20">
        <f t="shared" ref="H112:H115" si="146">SUM(E112:G112)</f>
        <v>0</v>
      </c>
      <c r="I112" s="47"/>
      <c r="J112" s="21">
        <f t="shared" ref="J112:J115" si="147">SUM(H112:I112)</f>
        <v>0</v>
      </c>
    </row>
    <row r="113" spans="1:10" hidden="1" outlineLevel="1" x14ac:dyDescent="0.25">
      <c r="A113" s="14"/>
      <c r="B113" s="15"/>
      <c r="C113" s="16" t="str">
        <f t="shared" si="143"/>
        <v xml:space="preserve"> </v>
      </c>
      <c r="D113" s="16" t="str">
        <f t="shared" si="144"/>
        <v xml:space="preserve"> </v>
      </c>
      <c r="E113" s="18"/>
      <c r="F113" s="18"/>
      <c r="G113" s="18">
        <f t="shared" si="145"/>
        <v>0</v>
      </c>
      <c r="H113" s="20">
        <f t="shared" si="146"/>
        <v>0</v>
      </c>
      <c r="I113" s="47"/>
      <c r="J113" s="21">
        <f t="shared" si="147"/>
        <v>0</v>
      </c>
    </row>
    <row r="114" spans="1:10" hidden="1" outlineLevel="1" x14ac:dyDescent="0.25">
      <c r="A114" s="14"/>
      <c r="B114" s="15"/>
      <c r="C114" s="16" t="str">
        <f t="shared" si="143"/>
        <v xml:space="preserve"> </v>
      </c>
      <c r="D114" s="16" t="str">
        <f t="shared" si="144"/>
        <v xml:space="preserve"> </v>
      </c>
      <c r="E114" s="18"/>
      <c r="F114" s="18"/>
      <c r="G114" s="18">
        <f t="shared" si="145"/>
        <v>0</v>
      </c>
      <c r="H114" s="20">
        <f t="shared" si="146"/>
        <v>0</v>
      </c>
      <c r="I114" s="47"/>
      <c r="J114" s="21">
        <f t="shared" si="147"/>
        <v>0</v>
      </c>
    </row>
    <row r="115" spans="1:10" hidden="1" outlineLevel="1" x14ac:dyDescent="0.25">
      <c r="A115" s="14"/>
      <c r="B115" s="15"/>
      <c r="C115" s="16" t="str">
        <f t="shared" si="143"/>
        <v xml:space="preserve"> </v>
      </c>
      <c r="D115" s="16" t="str">
        <f t="shared" si="144"/>
        <v xml:space="preserve"> </v>
      </c>
      <c r="E115" s="18"/>
      <c r="F115" s="18"/>
      <c r="G115" s="18">
        <f t="shared" si="145"/>
        <v>0</v>
      </c>
      <c r="H115" s="20">
        <f t="shared" si="146"/>
        <v>0</v>
      </c>
      <c r="I115" s="47"/>
      <c r="J115" s="21">
        <f t="shared" si="147"/>
        <v>0</v>
      </c>
    </row>
    <row r="116" spans="1:10" s="22" customFormat="1" hidden="1" outlineLevel="1" x14ac:dyDescent="0.25">
      <c r="A116" s="14"/>
      <c r="B116" s="15"/>
      <c r="C116" s="16" t="str">
        <f t="shared" si="138"/>
        <v xml:space="preserve"> </v>
      </c>
      <c r="D116" s="16" t="str">
        <f t="shared" si="139"/>
        <v xml:space="preserve"> </v>
      </c>
      <c r="E116" s="50"/>
      <c r="F116" s="18"/>
      <c r="G116" s="18">
        <f t="shared" si="140"/>
        <v>0</v>
      </c>
      <c r="H116" s="20">
        <f t="shared" si="141"/>
        <v>0</v>
      </c>
      <c r="I116" s="47"/>
      <c r="J116" s="21">
        <f t="shared" si="142"/>
        <v>0</v>
      </c>
    </row>
    <row r="117" spans="1:10" hidden="1" outlineLevel="1" x14ac:dyDescent="0.25">
      <c r="A117" s="14"/>
      <c r="B117" s="15"/>
      <c r="C117" s="16" t="str">
        <f t="shared" si="138"/>
        <v xml:space="preserve"> </v>
      </c>
      <c r="D117" s="16" t="str">
        <f t="shared" si="139"/>
        <v xml:space="preserve"> </v>
      </c>
      <c r="E117" s="18"/>
      <c r="F117" s="18"/>
      <c r="G117" s="18">
        <f t="shared" si="140"/>
        <v>0</v>
      </c>
      <c r="H117" s="20">
        <f t="shared" si="141"/>
        <v>0</v>
      </c>
      <c r="I117" s="47"/>
      <c r="J117" s="21">
        <f t="shared" si="142"/>
        <v>0</v>
      </c>
    </row>
    <row r="118" spans="1:10" hidden="1" outlineLevel="1" x14ac:dyDescent="0.25">
      <c r="A118" s="14"/>
      <c r="B118" s="15"/>
      <c r="C118" s="16" t="str">
        <f t="shared" si="138"/>
        <v xml:space="preserve"> </v>
      </c>
      <c r="D118" s="16" t="str">
        <f t="shared" si="139"/>
        <v xml:space="preserve"> </v>
      </c>
      <c r="E118" s="18"/>
      <c r="F118" s="18"/>
      <c r="G118" s="18">
        <f t="shared" si="140"/>
        <v>0</v>
      </c>
      <c r="H118" s="20">
        <f t="shared" si="141"/>
        <v>0</v>
      </c>
      <c r="I118" s="47"/>
      <c r="J118" s="21">
        <f t="shared" si="142"/>
        <v>0</v>
      </c>
    </row>
    <row r="119" spans="1:10" hidden="1" outlineLevel="1" x14ac:dyDescent="0.25">
      <c r="A119" s="14"/>
      <c r="B119" s="15"/>
      <c r="C119" s="16" t="str">
        <f t="shared" ref="C119" si="148">VLOOKUP(LEFT(B119,2)&amp;0,invCustomer,2)</f>
        <v xml:space="preserve"> </v>
      </c>
      <c r="D119" s="16" t="str">
        <f t="shared" ref="D119" si="149">VLOOKUP(LEFT(B119,4)&amp;0,invProject,2)</f>
        <v xml:space="preserve"> </v>
      </c>
      <c r="E119" s="18"/>
      <c r="F119" s="18"/>
      <c r="G119" s="18">
        <f t="shared" ref="G119" si="150">ROUND(SUM(E119:F119)*0.1,2)</f>
        <v>0</v>
      </c>
      <c r="H119" s="20">
        <f t="shared" ref="H119" si="151">SUM(E119:G119)</f>
        <v>0</v>
      </c>
      <c r="I119" s="47"/>
      <c r="J119" s="21">
        <f t="shared" ref="J119" si="152">SUM(H119:I119)</f>
        <v>0</v>
      </c>
    </row>
    <row r="120" spans="1:10" s="22" customFormat="1" hidden="1" outlineLevel="1" x14ac:dyDescent="0.25">
      <c r="A120" s="23"/>
      <c r="B120" s="24"/>
      <c r="C120" s="25" t="str">
        <f t="shared" si="138"/>
        <v xml:space="preserve"> </v>
      </c>
      <c r="D120" s="25" t="str">
        <f t="shared" si="139"/>
        <v xml:space="preserve"> </v>
      </c>
      <c r="E120" s="26"/>
      <c r="F120" s="26"/>
      <c r="G120" s="41">
        <f t="shared" si="140"/>
        <v>0</v>
      </c>
      <c r="H120" s="27">
        <f t="shared" si="141"/>
        <v>0</v>
      </c>
      <c r="I120" s="26"/>
      <c r="J120" s="28">
        <f t="shared" si="142"/>
        <v>0</v>
      </c>
    </row>
    <row r="121" spans="1:10" s="22" customFormat="1" collapsed="1" x14ac:dyDescent="0.25">
      <c r="A121" s="31" t="s">
        <v>20</v>
      </c>
      <c r="B121" s="30"/>
      <c r="C121" s="31"/>
      <c r="D121" s="31"/>
      <c r="E121" s="32">
        <f t="shared" ref="E121:J121" si="153">SUBTOTAL(9,E111:E120)</f>
        <v>0</v>
      </c>
      <c r="F121" s="32">
        <f t="shared" si="153"/>
        <v>0</v>
      </c>
      <c r="G121" s="32">
        <f t="shared" si="153"/>
        <v>0</v>
      </c>
      <c r="H121" s="33">
        <f t="shared" si="153"/>
        <v>0</v>
      </c>
      <c r="I121" s="32">
        <f t="shared" si="153"/>
        <v>0</v>
      </c>
      <c r="J121" s="34">
        <f t="shared" si="153"/>
        <v>0</v>
      </c>
    </row>
    <row r="122" spans="1:10" hidden="1" outlineLevel="1" x14ac:dyDescent="0.25">
      <c r="A122" s="36"/>
      <c r="B122" s="37"/>
      <c r="C122" s="38" t="str">
        <f>VLOOKUP(LEFT(B122,2)&amp;0,invCustomer,2)</f>
        <v xml:space="preserve"> </v>
      </c>
      <c r="D122" s="38" t="str">
        <f>VLOOKUP(LEFT(B122,4)&amp;0,invProject,2)</f>
        <v xml:space="preserve"> </v>
      </c>
      <c r="E122" s="17"/>
      <c r="F122" s="17"/>
      <c r="G122" s="19">
        <f>ROUND(SUM(E122:F122)*0.1,2)</f>
        <v>0</v>
      </c>
      <c r="H122" s="39">
        <f>SUM(E122:G122)</f>
        <v>0</v>
      </c>
      <c r="I122" s="17"/>
      <c r="J122" s="40">
        <f>SUM(H122:I122)</f>
        <v>0</v>
      </c>
    </row>
    <row r="123" spans="1:10" hidden="1" outlineLevel="1" x14ac:dyDescent="0.25">
      <c r="A123" s="14"/>
      <c r="B123" s="15"/>
      <c r="C123" s="16" t="str">
        <f>VLOOKUP(LEFT(B123,2)&amp;0,invCustomer,2)</f>
        <v xml:space="preserve"> </v>
      </c>
      <c r="D123" s="16" t="str">
        <f>VLOOKUP(LEFT(B123,4)&amp;0,invProject,2)</f>
        <v xml:space="preserve"> </v>
      </c>
      <c r="E123" s="18"/>
      <c r="F123" s="18"/>
      <c r="G123" s="47">
        <f>ROUND(SUM(E123:F123)*0.1,2)</f>
        <v>0</v>
      </c>
      <c r="H123" s="20">
        <f>SUM(E123:G123)</f>
        <v>0</v>
      </c>
      <c r="I123" s="18"/>
      <c r="J123" s="21">
        <f>SUM(H123:I123)</f>
        <v>0</v>
      </c>
    </row>
    <row r="124" spans="1:10" hidden="1" outlineLevel="1" x14ac:dyDescent="0.25">
      <c r="A124" s="14"/>
      <c r="B124" s="15"/>
      <c r="C124" s="16" t="str">
        <f>VLOOKUP(LEFT(B124,2)&amp;0,invCustomer,2)</f>
        <v xml:space="preserve"> </v>
      </c>
      <c r="D124" s="16" t="str">
        <f>VLOOKUP(LEFT(B124,4)&amp;0,invProject,2)</f>
        <v xml:space="preserve"> </v>
      </c>
      <c r="E124" s="18"/>
      <c r="F124" s="18"/>
      <c r="G124" s="47">
        <f>ROUND(SUM(E124:F124)*0.1,2)</f>
        <v>0</v>
      </c>
      <c r="H124" s="20">
        <f>SUM(E124:G124)</f>
        <v>0</v>
      </c>
      <c r="I124" s="18"/>
      <c r="J124" s="21">
        <f>SUM(H124:I124)</f>
        <v>0</v>
      </c>
    </row>
    <row r="125" spans="1:10" s="22" customFormat="1" hidden="1" outlineLevel="1" x14ac:dyDescent="0.25">
      <c r="A125" s="14"/>
      <c r="B125" s="15"/>
      <c r="C125" s="16" t="str">
        <f t="shared" ref="C125" si="154">VLOOKUP(LEFT(B125,2)&amp;0,invCustomer,2)</f>
        <v xml:space="preserve"> </v>
      </c>
      <c r="D125" s="16" t="str">
        <f t="shared" ref="D125" si="155">VLOOKUP(LEFT(B125,4)&amp;0,invProject,2)</f>
        <v xml:space="preserve"> </v>
      </c>
      <c r="E125" s="18"/>
      <c r="F125" s="18"/>
      <c r="G125" s="47">
        <f t="shared" ref="G125" si="156">ROUND(SUM(E125:F125)*0.1,2)</f>
        <v>0</v>
      </c>
      <c r="H125" s="20">
        <f t="shared" ref="H125" si="157">SUM(E125:G125)</f>
        <v>0</v>
      </c>
      <c r="I125" s="18"/>
      <c r="J125" s="21">
        <f t="shared" ref="J125" si="158">SUM(H125:I125)</f>
        <v>0</v>
      </c>
    </row>
    <row r="126" spans="1:10" hidden="1" outlineLevel="1" x14ac:dyDescent="0.25">
      <c r="A126" s="14"/>
      <c r="B126" s="15"/>
      <c r="C126" s="16" t="str">
        <f>VLOOKUP(LEFT(B126,2)&amp;0,invCustomer,2)</f>
        <v xml:space="preserve"> </v>
      </c>
      <c r="D126" s="16" t="str">
        <f>VLOOKUP(LEFT(B126,4)&amp;0,invProject,2)</f>
        <v xml:space="preserve"> </v>
      </c>
      <c r="E126" s="18"/>
      <c r="F126" s="18"/>
      <c r="G126" s="47">
        <f>ROUND(SUM(E126:F126)*0.1,2)</f>
        <v>0</v>
      </c>
      <c r="H126" s="20">
        <f>SUM(E126:G126)</f>
        <v>0</v>
      </c>
      <c r="I126" s="18"/>
      <c r="J126" s="21">
        <f>SUM(H126:I126)</f>
        <v>0</v>
      </c>
    </row>
    <row r="127" spans="1:10" hidden="1" outlineLevel="1" x14ac:dyDescent="0.25">
      <c r="A127" s="14"/>
      <c r="B127" s="15"/>
      <c r="C127" s="16" t="str">
        <f>VLOOKUP(LEFT(B127,2)&amp;0,invCustomer,2)</f>
        <v xml:space="preserve"> </v>
      </c>
      <c r="D127" s="16" t="str">
        <f>VLOOKUP(LEFT(B127,4)&amp;0,invProject,2)</f>
        <v xml:space="preserve"> </v>
      </c>
      <c r="E127" s="18"/>
      <c r="F127" s="18"/>
      <c r="G127" s="47">
        <f>ROUND(SUM(E127:F127)*0.1,2)</f>
        <v>0</v>
      </c>
      <c r="H127" s="20">
        <f>SUM(E127:G127)</f>
        <v>0</v>
      </c>
      <c r="I127" s="18"/>
      <c r="J127" s="21">
        <f>SUM(H127:I127)</f>
        <v>0</v>
      </c>
    </row>
    <row r="128" spans="1:10" s="22" customFormat="1" hidden="1" outlineLevel="1" x14ac:dyDescent="0.25">
      <c r="A128" s="14"/>
      <c r="B128" s="15"/>
      <c r="C128" s="16" t="str">
        <f t="shared" ref="C128" si="159">VLOOKUP(LEFT(B128,2)&amp;0,invCustomer,2)</f>
        <v xml:space="preserve"> </v>
      </c>
      <c r="D128" s="16" t="str">
        <f t="shared" ref="D128" si="160">VLOOKUP(LEFT(B128,4)&amp;0,invProject,2)</f>
        <v xml:space="preserve"> </v>
      </c>
      <c r="E128" s="18"/>
      <c r="F128" s="18"/>
      <c r="G128" s="47">
        <f t="shared" ref="G128" si="161">ROUND(SUM(E128:F128)*0.1,2)</f>
        <v>0</v>
      </c>
      <c r="H128" s="20">
        <f t="shared" ref="H128" si="162">SUM(E128:G128)</f>
        <v>0</v>
      </c>
      <c r="I128" s="18"/>
      <c r="J128" s="21">
        <f t="shared" ref="J128" si="163">SUM(H128:I128)</f>
        <v>0</v>
      </c>
    </row>
    <row r="129" spans="1:16384" hidden="1" outlineLevel="1" x14ac:dyDescent="0.25">
      <c r="A129" s="14"/>
      <c r="B129" s="15"/>
      <c r="C129" s="16" t="str">
        <f>VLOOKUP(LEFT(B129,2)&amp;0,invCustomer,2)</f>
        <v xml:space="preserve"> </v>
      </c>
      <c r="D129" s="16" t="str">
        <f>VLOOKUP(LEFT(B129,4)&amp;0,invProject,2)</f>
        <v xml:space="preserve"> </v>
      </c>
      <c r="E129" s="18"/>
      <c r="F129" s="18"/>
      <c r="G129" s="47">
        <f>ROUND(SUM(E129:F129)*0.1,2)</f>
        <v>0</v>
      </c>
      <c r="H129" s="20">
        <f>SUM(E129:G129)</f>
        <v>0</v>
      </c>
      <c r="I129" s="18"/>
      <c r="J129" s="21">
        <f>SUM(H129:I129)</f>
        <v>0</v>
      </c>
    </row>
    <row r="130" spans="1:16384" s="22" customFormat="1" hidden="1" outlineLevel="1" x14ac:dyDescent="0.25">
      <c r="A130" s="14"/>
      <c r="B130" s="15"/>
      <c r="C130" s="16" t="str">
        <f t="shared" ref="C130" si="164">VLOOKUP(LEFT(B130,2)&amp;0,invCustomer,2)</f>
        <v xml:space="preserve"> </v>
      </c>
      <c r="D130" s="16" t="str">
        <f t="shared" ref="D130" si="165">VLOOKUP(LEFT(B130,4)&amp;0,invProject,2)</f>
        <v xml:space="preserve"> </v>
      </c>
      <c r="E130" s="18"/>
      <c r="F130" s="18"/>
      <c r="G130" s="47">
        <f t="shared" ref="G130" si="166">ROUND(SUM(E130:F130)*0.1,2)</f>
        <v>0</v>
      </c>
      <c r="H130" s="20">
        <f t="shared" ref="H130" si="167">SUM(E130:G130)</f>
        <v>0</v>
      </c>
      <c r="I130" s="18"/>
      <c r="J130" s="21">
        <f t="shared" ref="J130" si="168">SUM(H130:I130)</f>
        <v>0</v>
      </c>
    </row>
    <row r="131" spans="1:16384" hidden="1" outlineLevel="1" x14ac:dyDescent="0.25">
      <c r="A131" s="14"/>
      <c r="B131" s="15"/>
      <c r="C131" s="16" t="str">
        <f>VLOOKUP(LEFT(B131,2)&amp;0,invCustomer,2)</f>
        <v xml:space="preserve"> </v>
      </c>
      <c r="D131" s="16" t="str">
        <f>VLOOKUP(LEFT(B131,4)&amp;0,invProject,2)</f>
        <v xml:space="preserve"> </v>
      </c>
      <c r="E131" s="18"/>
      <c r="F131" s="18"/>
      <c r="G131" s="47">
        <f>ROUND(SUM(E131:F131)*0.1,2)</f>
        <v>0</v>
      </c>
      <c r="H131" s="20">
        <f>SUM(E131:G131)</f>
        <v>0</v>
      </c>
      <c r="I131" s="18"/>
      <c r="J131" s="21">
        <f>SUM(H131:I131)</f>
        <v>0</v>
      </c>
    </row>
    <row r="132" spans="1:16384" s="22" customFormat="1" hidden="1" outlineLevel="1" x14ac:dyDescent="0.25">
      <c r="A132" s="14"/>
      <c r="B132" s="15"/>
      <c r="C132" s="16" t="str">
        <f t="shared" ref="C132" si="169">VLOOKUP(LEFT(B132,2)&amp;0,invCustomer,2)</f>
        <v xml:space="preserve"> </v>
      </c>
      <c r="D132" s="16" t="str">
        <f t="shared" ref="D132" si="170">VLOOKUP(LEFT(B132,4)&amp;0,invProject,2)</f>
        <v xml:space="preserve"> </v>
      </c>
      <c r="E132" s="18"/>
      <c r="F132" s="18"/>
      <c r="G132" s="47">
        <f t="shared" ref="G132" si="171">ROUND(SUM(E132:F132)*0.1,2)</f>
        <v>0</v>
      </c>
      <c r="H132" s="20">
        <f t="shared" ref="H132" si="172">SUM(E132:G132)</f>
        <v>0</v>
      </c>
      <c r="I132" s="18"/>
      <c r="J132" s="21">
        <f t="shared" ref="J132" si="173">SUM(H132:I132)</f>
        <v>0</v>
      </c>
    </row>
    <row r="133" spans="1:16384" hidden="1" outlineLevel="1" x14ac:dyDescent="0.25">
      <c r="A133" s="14"/>
      <c r="B133" s="15"/>
      <c r="C133" s="16" t="str">
        <f>VLOOKUP(LEFT(B133,2)&amp;0,invCustomer,2)</f>
        <v xml:space="preserve"> </v>
      </c>
      <c r="D133" s="16" t="str">
        <f>VLOOKUP(LEFT(B133,4)&amp;0,invProject,2)</f>
        <v xml:space="preserve"> </v>
      </c>
      <c r="E133" s="18"/>
      <c r="F133" s="18"/>
      <c r="G133" s="47">
        <f>ROUND(SUM(E133:F133)*0.1,2)</f>
        <v>0</v>
      </c>
      <c r="H133" s="20">
        <f>SUM(E133:G133)</f>
        <v>0</v>
      </c>
      <c r="I133" s="18"/>
      <c r="J133" s="21">
        <f>SUM(H133:I133)</f>
        <v>0</v>
      </c>
    </row>
    <row r="134" spans="1:16384" s="22" customFormat="1" hidden="1" outlineLevel="1" x14ac:dyDescent="0.25">
      <c r="A134" s="14"/>
      <c r="B134" s="15"/>
      <c r="C134" s="16" t="str">
        <f t="shared" ref="C134" si="174">VLOOKUP(LEFT(B134,2)&amp;0,invCustomer,2)</f>
        <v xml:space="preserve"> </v>
      </c>
      <c r="D134" s="16" t="str">
        <f t="shared" ref="D134" si="175">VLOOKUP(LEFT(B134,4)&amp;0,invProject,2)</f>
        <v xml:space="preserve"> </v>
      </c>
      <c r="E134" s="18"/>
      <c r="F134" s="18"/>
      <c r="G134" s="47">
        <f t="shared" ref="G134" si="176">ROUND(SUM(E134:F134)*0.1,2)</f>
        <v>0</v>
      </c>
      <c r="H134" s="20">
        <f t="shared" ref="H134" si="177">SUM(E134:G134)</f>
        <v>0</v>
      </c>
      <c r="I134" s="18"/>
      <c r="J134" s="21">
        <f t="shared" ref="J134" si="178">SUM(H134:I134)</f>
        <v>0</v>
      </c>
    </row>
    <row r="135" spans="1:16384" s="22" customFormat="1" hidden="1" outlineLevel="1" x14ac:dyDescent="0.25">
      <c r="A135" s="14"/>
      <c r="B135" s="15"/>
      <c r="C135" s="16" t="str">
        <f t="shared" ref="C135:C136" si="179">VLOOKUP(LEFT(B135,2)&amp;0,invCustomer,2)</f>
        <v xml:space="preserve"> </v>
      </c>
      <c r="D135" s="16" t="str">
        <f t="shared" ref="D135:D136" si="180">VLOOKUP(LEFT(B135,4)&amp;0,invProject,2)</f>
        <v xml:space="preserve"> </v>
      </c>
      <c r="E135" s="18"/>
      <c r="F135" s="18"/>
      <c r="G135" s="47">
        <f t="shared" ref="G135:G136" si="181">ROUND(SUM(E135:F135)*0.1,2)</f>
        <v>0</v>
      </c>
      <c r="H135" s="20">
        <f t="shared" ref="H135:H136" si="182">SUM(E135:G135)</f>
        <v>0</v>
      </c>
      <c r="I135" s="18"/>
      <c r="J135" s="21">
        <f t="shared" ref="J135:J136" si="183">SUM(H135:I135)</f>
        <v>0</v>
      </c>
    </row>
    <row r="136" spans="1:16384" hidden="1" outlineLevel="1" x14ac:dyDescent="0.25">
      <c r="A136" s="23"/>
      <c r="B136" s="24"/>
      <c r="C136" s="25" t="str">
        <f t="shared" si="179"/>
        <v xml:space="preserve"> </v>
      </c>
      <c r="D136" s="25" t="str">
        <f t="shared" si="180"/>
        <v xml:space="preserve"> </v>
      </c>
      <c r="E136" s="26"/>
      <c r="F136" s="26"/>
      <c r="G136" s="41">
        <f t="shared" si="181"/>
        <v>0</v>
      </c>
      <c r="H136" s="27">
        <f t="shared" si="182"/>
        <v>0</v>
      </c>
      <c r="I136" s="26"/>
      <c r="J136" s="28">
        <f t="shared" si="183"/>
        <v>0</v>
      </c>
    </row>
    <row r="137" spans="1:16384" collapsed="1" x14ac:dyDescent="0.25">
      <c r="A137" s="31" t="s">
        <v>21</v>
      </c>
      <c r="B137" s="30"/>
      <c r="C137" s="31"/>
      <c r="D137" s="31"/>
      <c r="E137" s="32">
        <f t="shared" ref="E137:J137" si="184">SUBTOTAL(9,E122:E136)</f>
        <v>0</v>
      </c>
      <c r="F137" s="32">
        <f t="shared" si="184"/>
        <v>0</v>
      </c>
      <c r="G137" s="32">
        <f t="shared" si="184"/>
        <v>0</v>
      </c>
      <c r="H137" s="42">
        <f t="shared" si="184"/>
        <v>0</v>
      </c>
      <c r="I137" s="51">
        <f t="shared" si="184"/>
        <v>0</v>
      </c>
      <c r="J137" s="52">
        <f t="shared" si="184"/>
        <v>0</v>
      </c>
    </row>
    <row r="138" spans="1:16384" s="22" customFormat="1" x14ac:dyDescent="0.25">
      <c r="A138" s="43"/>
      <c r="B138" s="44" t="s">
        <v>22</v>
      </c>
      <c r="C138" s="43"/>
      <c r="D138" s="43"/>
      <c r="E138" s="44">
        <f t="shared" ref="E138:J138" si="185">SUBTOTAL(9,E97:E137)</f>
        <v>0</v>
      </c>
      <c r="F138" s="44">
        <f t="shared" si="185"/>
        <v>0</v>
      </c>
      <c r="G138" s="44">
        <f t="shared" si="185"/>
        <v>0</v>
      </c>
      <c r="H138" s="45">
        <f t="shared" si="185"/>
        <v>0</v>
      </c>
      <c r="I138" s="53">
        <f t="shared" si="185"/>
        <v>0</v>
      </c>
      <c r="J138" s="46">
        <f t="shared" si="185"/>
        <v>0</v>
      </c>
    </row>
    <row r="139" spans="1:16384" s="35" customFormat="1" hidden="1" outlineLevel="1" x14ac:dyDescent="0.25">
      <c r="A139" s="36"/>
      <c r="B139" s="37"/>
      <c r="C139" s="38" t="str">
        <f t="shared" ref="C139:C150" si="186">VLOOKUP(LEFT(B139,2)&amp;0,invCustomer,2)</f>
        <v xml:space="preserve"> </v>
      </c>
      <c r="D139" s="38" t="str">
        <f t="shared" ref="D139:D150" si="187">VLOOKUP(LEFT(B139,4)&amp;0,invProject,2)</f>
        <v xml:space="preserve"> </v>
      </c>
      <c r="E139" s="17"/>
      <c r="F139" s="17"/>
      <c r="G139" s="19">
        <f t="shared" ref="G139:G150" si="188">ROUND(SUM(E139:F139)*0.1,2)</f>
        <v>0</v>
      </c>
      <c r="H139" s="39">
        <f t="shared" ref="H139:H150" si="189">SUM(E139:G139)</f>
        <v>0</v>
      </c>
      <c r="I139" s="17"/>
      <c r="J139" s="40">
        <f t="shared" ref="J139:J150" si="190">SUM(H139:I139)</f>
        <v>0</v>
      </c>
    </row>
    <row r="140" spans="1:16384" s="35" customFormat="1" hidden="1" outlineLevel="1" x14ac:dyDescent="0.25">
      <c r="A140" s="14"/>
      <c r="B140" s="15"/>
      <c r="C140" s="16" t="str">
        <f t="shared" ref="C140" si="191">VLOOKUP(LEFT(B140,2)&amp;0,invCustomer,2)</f>
        <v xml:space="preserve"> </v>
      </c>
      <c r="D140" s="16" t="str">
        <f t="shared" ref="D140" si="192">VLOOKUP(LEFT(B140,4)&amp;0,invProject,2)</f>
        <v xml:space="preserve"> </v>
      </c>
      <c r="E140" s="18"/>
      <c r="F140" s="18"/>
      <c r="G140" s="47">
        <f t="shared" ref="G140" si="193">ROUND(SUM(E140:F140)*0.1,2)</f>
        <v>0</v>
      </c>
      <c r="H140" s="20">
        <f t="shared" ref="H140" si="194">SUM(E140:G140)</f>
        <v>0</v>
      </c>
      <c r="I140" s="18"/>
      <c r="J140" s="21">
        <f t="shared" ref="J140" si="195">SUM(H140:I140)</f>
        <v>0</v>
      </c>
    </row>
    <row r="141" spans="1:16384" s="22" customFormat="1" hidden="1" outlineLevel="1" x14ac:dyDescent="0.25">
      <c r="A141" s="14"/>
      <c r="B141" s="15"/>
      <c r="C141" s="16" t="str">
        <f>VLOOKUP(LEFT(B141,2)&amp;0,invCustomer,2)</f>
        <v xml:space="preserve"> </v>
      </c>
      <c r="D141" s="16" t="str">
        <f>VLOOKUP(LEFT(B141,4)&amp;0,invProject,2)</f>
        <v xml:space="preserve"> </v>
      </c>
      <c r="E141" s="18"/>
      <c r="F141" s="18"/>
      <c r="G141" s="47">
        <f>ROUND(SUM(E141:F141)*0.1,2)</f>
        <v>0</v>
      </c>
      <c r="H141" s="20">
        <f>SUM(E141:G141)</f>
        <v>0</v>
      </c>
      <c r="I141" s="18"/>
      <c r="J141" s="21">
        <f>SUM(H141:I141)</f>
        <v>0</v>
      </c>
      <c r="K141" s="318"/>
    </row>
    <row r="142" spans="1:16384" s="54" customFormat="1" hidden="1" outlineLevel="1" x14ac:dyDescent="0.25">
      <c r="A142" s="14"/>
      <c r="B142" s="15"/>
      <c r="C142" s="16" t="str">
        <f t="shared" ref="C142" si="196">VLOOKUP(LEFT(B142,2)&amp;0,invCustomer,2)</f>
        <v xml:space="preserve"> </v>
      </c>
      <c r="D142" s="16" t="str">
        <f t="shared" ref="D142" si="197">VLOOKUP(LEFT(B142,4)&amp;0,invProject,2)</f>
        <v xml:space="preserve"> </v>
      </c>
      <c r="E142" s="18"/>
      <c r="F142" s="18"/>
      <c r="G142" s="47">
        <f t="shared" ref="G142" si="198">ROUND(SUM(E142:F142)*0.1,2)</f>
        <v>0</v>
      </c>
      <c r="H142" s="20">
        <f t="shared" ref="H142" si="199">SUM(E142:G142)</f>
        <v>0</v>
      </c>
      <c r="I142" s="18"/>
      <c r="J142" s="21">
        <f t="shared" ref="J142" si="200">SUM(H142:I142)</f>
        <v>0</v>
      </c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2"/>
      <c r="AP142" s="22"/>
      <c r="AQ142" s="22"/>
      <c r="AR142" s="22"/>
      <c r="AS142" s="22"/>
      <c r="AT142" s="22"/>
      <c r="AU142" s="22"/>
      <c r="AV142" s="22"/>
      <c r="AW142" s="22"/>
      <c r="AX142" s="22"/>
      <c r="AY142" s="22"/>
      <c r="AZ142" s="22"/>
      <c r="BA142" s="22"/>
      <c r="BB142" s="22"/>
      <c r="BC142" s="22"/>
      <c r="BD142" s="22"/>
      <c r="BE142" s="22"/>
      <c r="BF142" s="22"/>
      <c r="BG142" s="22"/>
      <c r="BH142" s="22"/>
      <c r="BI142" s="22"/>
      <c r="BJ142" s="22"/>
      <c r="BK142" s="22"/>
      <c r="BL142" s="22"/>
      <c r="BM142" s="22"/>
      <c r="BN142" s="22"/>
      <c r="BO142" s="22"/>
      <c r="BP142" s="22"/>
      <c r="BQ142" s="22"/>
      <c r="BR142" s="22"/>
      <c r="BS142" s="22"/>
      <c r="BT142" s="22"/>
      <c r="BU142" s="22"/>
      <c r="BV142" s="22"/>
      <c r="BW142" s="22"/>
      <c r="BX142" s="22"/>
      <c r="BY142" s="22"/>
      <c r="BZ142" s="22"/>
      <c r="CA142" s="22"/>
      <c r="CB142" s="22"/>
      <c r="CC142" s="22"/>
      <c r="CD142" s="22"/>
      <c r="CE142" s="22"/>
      <c r="CF142" s="22"/>
      <c r="CG142" s="22"/>
      <c r="CH142" s="22"/>
      <c r="CI142" s="22"/>
      <c r="CJ142" s="22"/>
      <c r="CK142" s="22"/>
      <c r="CL142" s="22"/>
      <c r="CM142" s="22"/>
      <c r="CN142" s="22"/>
      <c r="CO142" s="22"/>
      <c r="CP142" s="22"/>
      <c r="CQ142" s="22"/>
      <c r="CR142" s="22"/>
      <c r="CS142" s="22"/>
      <c r="CT142" s="22"/>
      <c r="CU142" s="22"/>
      <c r="CV142" s="22"/>
      <c r="CW142" s="22"/>
      <c r="CX142" s="22"/>
      <c r="CY142" s="22"/>
      <c r="CZ142" s="22"/>
      <c r="DA142" s="22"/>
      <c r="DB142" s="22"/>
      <c r="DC142" s="22"/>
      <c r="DD142" s="22"/>
      <c r="DE142" s="22"/>
      <c r="DF142" s="22"/>
      <c r="DG142" s="22"/>
      <c r="DH142" s="22"/>
      <c r="DI142" s="22"/>
      <c r="DJ142" s="22"/>
      <c r="DK142" s="22"/>
      <c r="DL142" s="22"/>
      <c r="DM142" s="22"/>
      <c r="DN142" s="22"/>
      <c r="DO142" s="22"/>
      <c r="DP142" s="22"/>
      <c r="DQ142" s="22"/>
      <c r="DR142" s="22"/>
      <c r="DS142" s="22"/>
      <c r="DT142" s="22"/>
      <c r="DU142" s="22"/>
      <c r="DV142" s="22"/>
      <c r="DW142" s="22"/>
      <c r="DX142" s="22"/>
      <c r="DY142" s="22"/>
      <c r="DZ142" s="22"/>
      <c r="EA142" s="22"/>
      <c r="EB142" s="22"/>
      <c r="EC142" s="22"/>
      <c r="ED142" s="22"/>
      <c r="EE142" s="22"/>
      <c r="EF142" s="22"/>
      <c r="EG142" s="22"/>
      <c r="EH142" s="22"/>
      <c r="EI142" s="22"/>
      <c r="EJ142" s="22"/>
      <c r="EK142" s="22"/>
      <c r="EL142" s="22"/>
      <c r="EM142" s="22"/>
      <c r="EN142" s="22"/>
      <c r="EO142" s="22"/>
      <c r="EP142" s="22"/>
      <c r="EQ142" s="22"/>
      <c r="ER142" s="22"/>
      <c r="ES142" s="22"/>
      <c r="ET142" s="22"/>
      <c r="EU142" s="22"/>
      <c r="EV142" s="22"/>
      <c r="EW142" s="22"/>
      <c r="EX142" s="22"/>
      <c r="EY142" s="22"/>
      <c r="EZ142" s="22"/>
      <c r="FA142" s="22"/>
      <c r="FB142" s="22"/>
      <c r="FC142" s="22"/>
      <c r="FD142" s="22"/>
      <c r="FE142" s="22"/>
      <c r="FF142" s="22"/>
      <c r="FG142" s="22"/>
      <c r="FH142" s="22"/>
      <c r="FI142" s="22"/>
      <c r="FJ142" s="22"/>
      <c r="FK142" s="22"/>
      <c r="FL142" s="22"/>
      <c r="FM142" s="22"/>
      <c r="FN142" s="22"/>
      <c r="FO142" s="22"/>
      <c r="FP142" s="22"/>
      <c r="FQ142" s="22"/>
      <c r="FR142" s="22"/>
      <c r="FS142" s="22"/>
      <c r="FT142" s="22"/>
      <c r="FU142" s="22"/>
      <c r="FV142" s="22"/>
      <c r="FW142" s="22"/>
      <c r="FX142" s="22"/>
      <c r="FY142" s="22"/>
      <c r="FZ142" s="22"/>
      <c r="GA142" s="22"/>
      <c r="GB142" s="22"/>
      <c r="GC142" s="22"/>
      <c r="GD142" s="22"/>
      <c r="GE142" s="22"/>
      <c r="GF142" s="22"/>
      <c r="GG142" s="22"/>
      <c r="GH142" s="22"/>
      <c r="GI142" s="22"/>
      <c r="GJ142" s="22"/>
      <c r="GK142" s="22"/>
      <c r="GL142" s="22"/>
      <c r="GM142" s="22"/>
      <c r="GN142" s="22"/>
      <c r="GO142" s="22"/>
      <c r="GP142" s="22"/>
      <c r="GQ142" s="22"/>
      <c r="GR142" s="22"/>
      <c r="GS142" s="22"/>
      <c r="GT142" s="22"/>
      <c r="GU142" s="22"/>
      <c r="GV142" s="22"/>
      <c r="GW142" s="22"/>
      <c r="GX142" s="22"/>
      <c r="GY142" s="22"/>
      <c r="GZ142" s="22"/>
      <c r="HA142" s="22"/>
      <c r="HB142" s="22"/>
      <c r="HC142" s="22"/>
      <c r="HD142" s="22"/>
      <c r="HE142" s="22"/>
      <c r="HF142" s="22"/>
      <c r="HG142" s="22"/>
      <c r="HH142" s="22"/>
      <c r="HI142" s="22"/>
      <c r="HJ142" s="22"/>
      <c r="HK142" s="22"/>
      <c r="HL142" s="22"/>
      <c r="HM142" s="22"/>
      <c r="HN142" s="22"/>
      <c r="HO142" s="22"/>
      <c r="HP142" s="22"/>
      <c r="HQ142" s="22"/>
      <c r="HR142" s="22"/>
      <c r="HS142" s="22"/>
      <c r="HT142" s="22"/>
      <c r="HU142" s="22"/>
      <c r="HV142" s="22"/>
      <c r="HW142" s="22"/>
      <c r="HX142" s="22"/>
      <c r="HY142" s="22"/>
      <c r="HZ142" s="22"/>
      <c r="IA142" s="22"/>
      <c r="IB142" s="22"/>
      <c r="IC142" s="22"/>
      <c r="ID142" s="22"/>
      <c r="IE142" s="22"/>
      <c r="IF142" s="22"/>
      <c r="IG142" s="22"/>
      <c r="IH142" s="22"/>
      <c r="II142" s="22"/>
      <c r="IJ142" s="22"/>
      <c r="IK142" s="22"/>
      <c r="IL142" s="22"/>
      <c r="IM142" s="22"/>
      <c r="IN142" s="22"/>
      <c r="IO142" s="22"/>
      <c r="IP142" s="22"/>
      <c r="IQ142" s="22"/>
      <c r="IR142" s="22"/>
      <c r="IS142" s="22"/>
      <c r="IT142" s="22"/>
      <c r="IU142" s="22"/>
      <c r="IV142" s="22"/>
      <c r="IW142" s="22"/>
      <c r="IX142" s="22"/>
      <c r="IY142" s="22"/>
      <c r="IZ142" s="22"/>
      <c r="JA142" s="22"/>
      <c r="JB142" s="22"/>
      <c r="JC142" s="22"/>
      <c r="JD142" s="22"/>
      <c r="JE142" s="22"/>
      <c r="JF142" s="22"/>
      <c r="JG142" s="22"/>
      <c r="JH142" s="22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2"/>
      <c r="LK142" s="22"/>
      <c r="LL142" s="22"/>
      <c r="LM142" s="22"/>
      <c r="LN142" s="22"/>
      <c r="LO142" s="22"/>
      <c r="LP142" s="22"/>
      <c r="LQ142" s="22"/>
      <c r="LR142" s="22"/>
      <c r="LS142" s="22"/>
      <c r="LT142" s="22"/>
      <c r="LU142" s="22"/>
      <c r="LV142" s="22"/>
      <c r="LW142" s="22"/>
      <c r="LX142" s="22"/>
      <c r="LY142" s="22"/>
      <c r="LZ142" s="22"/>
      <c r="MA142" s="22"/>
      <c r="MB142" s="22"/>
      <c r="MC142" s="22"/>
      <c r="MD142" s="22"/>
      <c r="ME142" s="22"/>
      <c r="MF142" s="22"/>
      <c r="MG142" s="22"/>
      <c r="MH142" s="22"/>
      <c r="MI142" s="22"/>
      <c r="MJ142" s="22"/>
      <c r="MK142" s="22"/>
      <c r="ML142" s="22"/>
      <c r="MM142" s="22"/>
      <c r="MN142" s="22"/>
      <c r="MO142" s="22"/>
      <c r="MP142" s="22"/>
      <c r="MQ142" s="22"/>
      <c r="MR142" s="22"/>
      <c r="MS142" s="22"/>
      <c r="MT142" s="22"/>
      <c r="MU142" s="22"/>
      <c r="MV142" s="22"/>
      <c r="MW142" s="22"/>
      <c r="MX142" s="22"/>
      <c r="MY142" s="22"/>
      <c r="MZ142" s="22"/>
      <c r="NA142" s="22"/>
      <c r="NB142" s="22"/>
      <c r="NC142" s="22"/>
      <c r="ND142" s="22"/>
      <c r="NE142" s="22"/>
      <c r="NF142" s="22"/>
      <c r="NG142" s="22"/>
      <c r="NH142" s="22"/>
      <c r="NI142" s="22"/>
      <c r="NJ142" s="22"/>
      <c r="NK142" s="22"/>
      <c r="NL142" s="22"/>
      <c r="NM142" s="22"/>
      <c r="NN142" s="22"/>
      <c r="NO142" s="22"/>
      <c r="NP142" s="22"/>
      <c r="NQ142" s="22"/>
      <c r="NR142" s="22"/>
      <c r="NS142" s="22"/>
      <c r="NT142" s="22"/>
      <c r="NU142" s="22"/>
      <c r="NV142" s="22"/>
      <c r="NW142" s="22"/>
      <c r="NX142" s="22"/>
      <c r="NY142" s="22"/>
      <c r="NZ142" s="22"/>
      <c r="OA142" s="22"/>
      <c r="OB142" s="22"/>
      <c r="OC142" s="22"/>
      <c r="OD142" s="22"/>
      <c r="OE142" s="22"/>
      <c r="OF142" s="22"/>
      <c r="OG142" s="22"/>
      <c r="OH142" s="22"/>
      <c r="OI142" s="22"/>
      <c r="OJ142" s="22"/>
      <c r="OK142" s="22"/>
      <c r="OL142" s="22"/>
      <c r="OM142" s="22"/>
      <c r="ON142" s="22"/>
      <c r="OO142" s="22"/>
      <c r="OP142" s="22"/>
      <c r="OQ142" s="22"/>
      <c r="OR142" s="22"/>
      <c r="OS142" s="22"/>
      <c r="OT142" s="22"/>
      <c r="OU142" s="22"/>
      <c r="OV142" s="22"/>
      <c r="OW142" s="22"/>
      <c r="OX142" s="22"/>
      <c r="OY142" s="22"/>
      <c r="OZ142" s="22"/>
      <c r="PA142" s="22"/>
      <c r="PB142" s="22"/>
      <c r="PC142" s="22"/>
      <c r="PD142" s="22"/>
      <c r="PE142" s="22"/>
      <c r="PF142" s="22"/>
      <c r="PG142" s="22"/>
      <c r="PH142" s="22"/>
      <c r="PI142" s="22"/>
      <c r="PJ142" s="22"/>
      <c r="PK142" s="22"/>
      <c r="PL142" s="22"/>
      <c r="PM142" s="22"/>
      <c r="PN142" s="22"/>
      <c r="PO142" s="22"/>
      <c r="PP142" s="22"/>
      <c r="PQ142" s="22"/>
      <c r="PR142" s="22"/>
      <c r="PS142" s="22"/>
      <c r="PT142" s="22"/>
      <c r="PU142" s="22"/>
      <c r="PV142" s="22"/>
      <c r="PW142" s="22"/>
      <c r="PX142" s="22"/>
      <c r="PY142" s="22"/>
      <c r="PZ142" s="22"/>
      <c r="QA142" s="22"/>
      <c r="QB142" s="22"/>
      <c r="QC142" s="22"/>
      <c r="QD142" s="22"/>
      <c r="QE142" s="22"/>
      <c r="QF142" s="22"/>
      <c r="QG142" s="22"/>
      <c r="QH142" s="22"/>
      <c r="QI142" s="22"/>
      <c r="QJ142" s="22"/>
      <c r="QK142" s="22"/>
      <c r="QL142" s="22"/>
      <c r="QM142" s="22"/>
      <c r="QN142" s="22"/>
      <c r="QO142" s="22"/>
      <c r="QP142" s="22"/>
      <c r="QQ142" s="22"/>
      <c r="QR142" s="22"/>
      <c r="QS142" s="22"/>
      <c r="QT142" s="22"/>
      <c r="QU142" s="22"/>
      <c r="QV142" s="22"/>
      <c r="QW142" s="22"/>
      <c r="QX142" s="22"/>
      <c r="QY142" s="22"/>
      <c r="QZ142" s="22"/>
      <c r="RA142" s="22"/>
      <c r="RB142" s="22"/>
      <c r="RC142" s="22"/>
      <c r="RD142" s="22"/>
      <c r="RE142" s="22"/>
      <c r="RF142" s="22"/>
      <c r="RG142" s="22"/>
      <c r="RH142" s="22"/>
      <c r="RI142" s="22"/>
      <c r="RJ142" s="22"/>
      <c r="RK142" s="22"/>
      <c r="RL142" s="22"/>
      <c r="RM142" s="22"/>
      <c r="RN142" s="22"/>
      <c r="RO142" s="22"/>
      <c r="RP142" s="22"/>
      <c r="RQ142" s="22"/>
      <c r="RR142" s="22"/>
      <c r="RS142" s="22"/>
      <c r="RT142" s="22"/>
      <c r="RU142" s="22"/>
      <c r="RV142" s="22"/>
      <c r="RW142" s="22"/>
      <c r="RX142" s="22"/>
      <c r="RY142" s="22"/>
      <c r="RZ142" s="22"/>
      <c r="SA142" s="22"/>
      <c r="SB142" s="22"/>
      <c r="SC142" s="22"/>
      <c r="SD142" s="22"/>
      <c r="SE142" s="22"/>
      <c r="SF142" s="22"/>
      <c r="SG142" s="22"/>
      <c r="SH142" s="22"/>
      <c r="SI142" s="22"/>
      <c r="SJ142" s="22"/>
      <c r="SK142" s="22"/>
      <c r="SL142" s="22"/>
      <c r="SM142" s="22"/>
      <c r="SN142" s="22"/>
      <c r="SO142" s="22"/>
      <c r="SP142" s="22"/>
      <c r="SQ142" s="22"/>
      <c r="SR142" s="22"/>
      <c r="SS142" s="22"/>
      <c r="ST142" s="22"/>
      <c r="SU142" s="22"/>
      <c r="SV142" s="22"/>
      <c r="SW142" s="22"/>
      <c r="SX142" s="22"/>
      <c r="SY142" s="22"/>
      <c r="SZ142" s="22"/>
      <c r="TA142" s="22"/>
      <c r="TB142" s="22"/>
      <c r="TC142" s="22"/>
      <c r="TD142" s="22"/>
      <c r="TE142" s="22"/>
      <c r="TF142" s="22"/>
      <c r="TG142" s="22"/>
      <c r="TH142" s="22"/>
      <c r="TI142" s="22"/>
      <c r="TJ142" s="22"/>
      <c r="TK142" s="22"/>
      <c r="TL142" s="22"/>
      <c r="TM142" s="22"/>
      <c r="TN142" s="22"/>
      <c r="TO142" s="22"/>
      <c r="TP142" s="22"/>
      <c r="TQ142" s="22"/>
      <c r="TR142" s="22"/>
      <c r="TS142" s="22"/>
      <c r="TT142" s="22"/>
      <c r="TU142" s="22"/>
      <c r="TV142" s="22"/>
      <c r="TW142" s="22"/>
      <c r="TX142" s="22"/>
      <c r="TY142" s="22"/>
      <c r="TZ142" s="22"/>
      <c r="UA142" s="22"/>
      <c r="UB142" s="22"/>
      <c r="UC142" s="22"/>
      <c r="UD142" s="22"/>
      <c r="UE142" s="22"/>
      <c r="UF142" s="22"/>
      <c r="UG142" s="22"/>
      <c r="UH142" s="22"/>
      <c r="UI142" s="22"/>
      <c r="UJ142" s="22"/>
      <c r="UK142" s="22"/>
      <c r="UL142" s="22"/>
      <c r="UM142" s="22"/>
      <c r="UN142" s="22"/>
      <c r="UO142" s="22"/>
      <c r="UP142" s="22"/>
      <c r="UQ142" s="22"/>
      <c r="UR142" s="22"/>
      <c r="US142" s="22"/>
      <c r="UT142" s="22"/>
      <c r="UU142" s="22"/>
      <c r="UV142" s="22"/>
      <c r="UW142" s="22"/>
      <c r="UX142" s="22"/>
      <c r="UY142" s="22"/>
      <c r="UZ142" s="22"/>
      <c r="VA142" s="22"/>
      <c r="VB142" s="22"/>
      <c r="VC142" s="22"/>
      <c r="VD142" s="22"/>
      <c r="VE142" s="22"/>
      <c r="VF142" s="22"/>
      <c r="VG142" s="22"/>
      <c r="VH142" s="22"/>
      <c r="VI142" s="22"/>
      <c r="VJ142" s="22"/>
      <c r="VK142" s="22"/>
      <c r="VL142" s="22"/>
      <c r="VM142" s="22"/>
      <c r="VN142" s="22"/>
      <c r="VO142" s="22"/>
      <c r="VP142" s="22"/>
      <c r="VQ142" s="22"/>
      <c r="VR142" s="22"/>
      <c r="VS142" s="22"/>
      <c r="VT142" s="22"/>
      <c r="VU142" s="22"/>
      <c r="VV142" s="22"/>
      <c r="VW142" s="22"/>
      <c r="VX142" s="22"/>
      <c r="VY142" s="22"/>
      <c r="VZ142" s="22"/>
      <c r="WA142" s="22"/>
      <c r="WB142" s="22"/>
      <c r="WC142" s="22"/>
      <c r="WD142" s="22"/>
      <c r="WE142" s="22"/>
      <c r="WF142" s="22"/>
      <c r="WG142" s="22"/>
      <c r="WH142" s="22"/>
      <c r="WI142" s="22"/>
      <c r="WJ142" s="22"/>
      <c r="WK142" s="22"/>
      <c r="WL142" s="22"/>
      <c r="WM142" s="22"/>
      <c r="WN142" s="22"/>
      <c r="WO142" s="22"/>
      <c r="WP142" s="22"/>
      <c r="WQ142" s="22"/>
      <c r="WR142" s="22"/>
      <c r="WS142" s="22"/>
      <c r="WT142" s="22"/>
      <c r="WU142" s="22"/>
      <c r="WV142" s="22"/>
      <c r="WW142" s="22"/>
      <c r="WX142" s="22"/>
      <c r="WY142" s="22"/>
      <c r="WZ142" s="22"/>
      <c r="XA142" s="22"/>
      <c r="XB142" s="22"/>
      <c r="XC142" s="22"/>
      <c r="XD142" s="22"/>
      <c r="XE142" s="22"/>
      <c r="XF142" s="22"/>
      <c r="XG142" s="22"/>
      <c r="XH142" s="22"/>
      <c r="XI142" s="22"/>
      <c r="XJ142" s="22"/>
      <c r="XK142" s="22"/>
      <c r="XL142" s="22"/>
      <c r="XM142" s="22"/>
      <c r="XN142" s="22"/>
      <c r="XO142" s="22"/>
      <c r="XP142" s="22"/>
      <c r="XQ142" s="22"/>
      <c r="XR142" s="22"/>
      <c r="XS142" s="22"/>
      <c r="XT142" s="22"/>
      <c r="XU142" s="22"/>
      <c r="XV142" s="22"/>
      <c r="XW142" s="22"/>
      <c r="XX142" s="22"/>
      <c r="XY142" s="22"/>
      <c r="XZ142" s="22"/>
      <c r="YA142" s="22"/>
      <c r="YB142" s="22"/>
      <c r="YC142" s="22"/>
      <c r="YD142" s="22"/>
      <c r="YE142" s="22"/>
      <c r="YF142" s="22"/>
      <c r="YG142" s="22"/>
      <c r="YH142" s="22"/>
      <c r="YI142" s="22"/>
      <c r="YJ142" s="22"/>
      <c r="YK142" s="22"/>
      <c r="YL142" s="22"/>
      <c r="YM142" s="22"/>
      <c r="YN142" s="22"/>
      <c r="YO142" s="22"/>
      <c r="YP142" s="22"/>
      <c r="YQ142" s="22"/>
      <c r="YR142" s="22"/>
      <c r="YS142" s="22"/>
      <c r="YT142" s="22"/>
      <c r="YU142" s="22"/>
      <c r="YV142" s="22"/>
      <c r="YW142" s="22"/>
      <c r="YX142" s="22"/>
      <c r="YY142" s="22"/>
      <c r="YZ142" s="22"/>
      <c r="ZA142" s="22"/>
      <c r="ZB142" s="22"/>
      <c r="ZC142" s="22"/>
      <c r="ZD142" s="22"/>
      <c r="ZE142" s="22"/>
      <c r="ZF142" s="22"/>
      <c r="ZG142" s="22"/>
      <c r="ZH142" s="22"/>
      <c r="ZI142" s="22"/>
      <c r="ZJ142" s="22"/>
      <c r="ZK142" s="22"/>
      <c r="ZL142" s="22"/>
      <c r="ZM142" s="22"/>
      <c r="ZN142" s="22"/>
      <c r="ZO142" s="22"/>
      <c r="ZP142" s="22"/>
      <c r="ZQ142" s="22"/>
      <c r="ZR142" s="22"/>
      <c r="ZS142" s="22"/>
      <c r="ZT142" s="22"/>
      <c r="ZU142" s="22"/>
      <c r="ZV142" s="22"/>
      <c r="ZW142" s="22"/>
      <c r="ZX142" s="22"/>
      <c r="ZY142" s="22"/>
      <c r="ZZ142" s="22"/>
      <c r="AAA142" s="22"/>
      <c r="AAB142" s="22"/>
      <c r="AAC142" s="22"/>
      <c r="AAD142" s="22"/>
      <c r="AAE142" s="22"/>
      <c r="AAF142" s="22"/>
      <c r="AAG142" s="22"/>
      <c r="AAH142" s="22"/>
      <c r="AAI142" s="22"/>
      <c r="AAJ142" s="22"/>
      <c r="AAK142" s="22"/>
      <c r="AAL142" s="22"/>
      <c r="AAM142" s="22"/>
      <c r="AAN142" s="22"/>
      <c r="AAO142" s="22"/>
      <c r="AAP142" s="22"/>
      <c r="AAQ142" s="22"/>
      <c r="AAR142" s="22"/>
      <c r="AAS142" s="22"/>
      <c r="AAT142" s="22"/>
      <c r="AAU142" s="22"/>
      <c r="AAV142" s="22"/>
      <c r="AAW142" s="22"/>
      <c r="AAX142" s="22"/>
      <c r="AAY142" s="22"/>
      <c r="AAZ142" s="22"/>
      <c r="ABA142" s="22"/>
      <c r="ABB142" s="22"/>
      <c r="ABC142" s="22"/>
      <c r="ABD142" s="22"/>
      <c r="ABE142" s="22"/>
      <c r="ABF142" s="22"/>
      <c r="ABG142" s="22"/>
      <c r="ABH142" s="22"/>
      <c r="ABI142" s="22"/>
      <c r="ABJ142" s="22"/>
      <c r="ABK142" s="22"/>
      <c r="ABL142" s="22"/>
      <c r="ABM142" s="22"/>
      <c r="ABN142" s="22"/>
      <c r="ABO142" s="22"/>
      <c r="ABP142" s="22"/>
      <c r="ABQ142" s="22"/>
      <c r="ABR142" s="22"/>
      <c r="ABS142" s="22"/>
      <c r="ABT142" s="22"/>
      <c r="ABU142" s="22"/>
      <c r="ABV142" s="22"/>
      <c r="ABW142" s="22"/>
      <c r="ABX142" s="22"/>
      <c r="ABY142" s="22"/>
      <c r="ABZ142" s="22"/>
      <c r="ACA142" s="22"/>
      <c r="ACB142" s="22"/>
      <c r="ACC142" s="22"/>
      <c r="ACD142" s="22"/>
      <c r="ACE142" s="22"/>
      <c r="ACF142" s="22"/>
      <c r="ACG142" s="22"/>
      <c r="ACH142" s="22"/>
      <c r="ACI142" s="22"/>
      <c r="ACJ142" s="22"/>
      <c r="ACK142" s="22"/>
      <c r="ACL142" s="22"/>
      <c r="ACM142" s="22"/>
      <c r="ACN142" s="22"/>
      <c r="ACO142" s="22"/>
      <c r="ACP142" s="22"/>
      <c r="ACQ142" s="22"/>
      <c r="ACR142" s="22"/>
      <c r="ACS142" s="22"/>
      <c r="ACT142" s="22"/>
      <c r="ACU142" s="22"/>
      <c r="ACV142" s="22"/>
      <c r="ACW142" s="22"/>
      <c r="ACX142" s="22"/>
      <c r="ACY142" s="22"/>
      <c r="ACZ142" s="22"/>
      <c r="ADA142" s="22"/>
      <c r="ADB142" s="22"/>
      <c r="ADC142" s="22"/>
      <c r="ADD142" s="22"/>
      <c r="ADE142" s="22"/>
      <c r="ADF142" s="22"/>
      <c r="ADG142" s="22"/>
      <c r="ADH142" s="22"/>
      <c r="ADI142" s="22"/>
      <c r="ADJ142" s="22"/>
      <c r="ADK142" s="22"/>
      <c r="ADL142" s="22"/>
      <c r="ADM142" s="22"/>
      <c r="ADN142" s="22"/>
      <c r="ADO142" s="22"/>
      <c r="ADP142" s="22"/>
      <c r="ADQ142" s="22"/>
      <c r="ADR142" s="22"/>
      <c r="ADS142" s="22"/>
      <c r="ADT142" s="22"/>
      <c r="ADU142" s="22"/>
      <c r="ADV142" s="22"/>
      <c r="ADW142" s="22"/>
      <c r="ADX142" s="22"/>
      <c r="ADY142" s="22"/>
      <c r="ADZ142" s="22"/>
      <c r="AEA142" s="22"/>
      <c r="AEB142" s="22"/>
      <c r="AEC142" s="22"/>
      <c r="AED142" s="22"/>
      <c r="AEE142" s="22"/>
      <c r="AEF142" s="22"/>
      <c r="AEG142" s="22"/>
      <c r="AEH142" s="22"/>
      <c r="AEI142" s="22"/>
      <c r="AEJ142" s="22"/>
      <c r="AEK142" s="22"/>
      <c r="AEL142" s="22"/>
      <c r="AEM142" s="22"/>
      <c r="AEN142" s="22"/>
      <c r="AEO142" s="22"/>
      <c r="AEP142" s="22"/>
      <c r="AEQ142" s="22"/>
      <c r="AER142" s="22"/>
      <c r="AES142" s="22"/>
      <c r="AET142" s="22"/>
      <c r="AEU142" s="22"/>
      <c r="AEV142" s="22"/>
      <c r="AEW142" s="22"/>
      <c r="AEX142" s="22"/>
      <c r="AEY142" s="22"/>
      <c r="AEZ142" s="22"/>
      <c r="AFA142" s="22"/>
      <c r="AFB142" s="22"/>
      <c r="AFC142" s="22"/>
      <c r="AFD142" s="22"/>
      <c r="AFE142" s="22"/>
      <c r="AFF142" s="22"/>
      <c r="AFG142" s="22"/>
      <c r="AFH142" s="22"/>
      <c r="AFI142" s="22"/>
      <c r="AFJ142" s="22"/>
      <c r="AFK142" s="22"/>
      <c r="AFL142" s="22"/>
      <c r="AFM142" s="22"/>
      <c r="AFN142" s="22"/>
      <c r="AFO142" s="22"/>
      <c r="AFP142" s="22"/>
      <c r="AFQ142" s="22"/>
      <c r="AFR142" s="22"/>
      <c r="AFS142" s="22"/>
      <c r="AFT142" s="22"/>
      <c r="AFU142" s="22"/>
      <c r="AFV142" s="22"/>
      <c r="AFW142" s="22"/>
      <c r="AFX142" s="22"/>
      <c r="AFY142" s="22"/>
      <c r="AFZ142" s="22"/>
      <c r="AGA142" s="22"/>
      <c r="AGB142" s="22"/>
      <c r="AGC142" s="22"/>
      <c r="AGD142" s="22"/>
      <c r="AGE142" s="22"/>
      <c r="AGF142" s="22"/>
      <c r="AGG142" s="22"/>
      <c r="AGH142" s="22"/>
      <c r="AGI142" s="22"/>
      <c r="AGJ142" s="22"/>
      <c r="AGK142" s="22"/>
      <c r="AGL142" s="22"/>
      <c r="AGM142" s="22"/>
      <c r="AGN142" s="22"/>
      <c r="AGO142" s="22"/>
      <c r="AGP142" s="22"/>
      <c r="AGQ142" s="22"/>
      <c r="AGR142" s="22"/>
      <c r="AGS142" s="22"/>
      <c r="AGT142" s="22"/>
      <c r="AGU142" s="22"/>
      <c r="AGV142" s="22"/>
      <c r="AGW142" s="22"/>
      <c r="AGX142" s="22"/>
      <c r="AGY142" s="22"/>
      <c r="AGZ142" s="22"/>
      <c r="AHA142" s="22"/>
      <c r="AHB142" s="22"/>
      <c r="AHC142" s="22"/>
      <c r="AHD142" s="22"/>
      <c r="AHE142" s="22"/>
      <c r="AHF142" s="22"/>
      <c r="AHG142" s="22"/>
      <c r="AHH142" s="22"/>
      <c r="AHI142" s="22"/>
      <c r="AHJ142" s="22"/>
      <c r="AHK142" s="22"/>
      <c r="AHL142" s="22"/>
      <c r="AHM142" s="22"/>
      <c r="AHN142" s="22"/>
      <c r="AHO142" s="22"/>
      <c r="AHP142" s="22"/>
      <c r="AHQ142" s="22"/>
      <c r="AHR142" s="22"/>
      <c r="AHS142" s="22"/>
      <c r="AHT142" s="22"/>
      <c r="AHU142" s="22"/>
      <c r="AHV142" s="22"/>
      <c r="AHW142" s="22"/>
      <c r="AHX142" s="22"/>
      <c r="AHY142" s="22"/>
      <c r="AHZ142" s="22"/>
      <c r="AIA142" s="22"/>
      <c r="AIB142" s="22"/>
      <c r="AIC142" s="22"/>
      <c r="AID142" s="22"/>
      <c r="AIE142" s="22"/>
      <c r="AIF142" s="22"/>
      <c r="AIG142" s="22"/>
      <c r="AIH142" s="22"/>
      <c r="AII142" s="22"/>
      <c r="AIJ142" s="22"/>
      <c r="AIK142" s="22"/>
      <c r="AIL142" s="22"/>
      <c r="AIM142" s="22"/>
      <c r="AIN142" s="22"/>
      <c r="AIO142" s="22"/>
      <c r="AIP142" s="22"/>
      <c r="AIQ142" s="22"/>
      <c r="AIR142" s="22"/>
      <c r="AIS142" s="22"/>
      <c r="AIT142" s="22"/>
      <c r="AIU142" s="22"/>
      <c r="AIV142" s="22"/>
      <c r="AIW142" s="22"/>
      <c r="AIX142" s="22"/>
      <c r="AIY142" s="22"/>
      <c r="AIZ142" s="22"/>
      <c r="AJA142" s="22"/>
      <c r="AJB142" s="22"/>
      <c r="AJC142" s="22"/>
      <c r="AJD142" s="22"/>
      <c r="AJE142" s="22"/>
      <c r="AJF142" s="22"/>
      <c r="AJG142" s="22"/>
      <c r="AJH142" s="22"/>
      <c r="AJI142" s="22"/>
      <c r="AJJ142" s="22"/>
      <c r="AJK142" s="22"/>
      <c r="AJL142" s="22"/>
      <c r="AJM142" s="22"/>
      <c r="AJN142" s="22"/>
      <c r="AJO142" s="22"/>
      <c r="AJP142" s="22"/>
      <c r="AJQ142" s="22"/>
      <c r="AJR142" s="22"/>
      <c r="AJS142" s="22"/>
      <c r="AJT142" s="22"/>
      <c r="AJU142" s="22"/>
      <c r="AJV142" s="22"/>
      <c r="AJW142" s="22"/>
      <c r="AJX142" s="22"/>
      <c r="AJY142" s="22"/>
      <c r="AJZ142" s="22"/>
      <c r="AKA142" s="22"/>
      <c r="AKB142" s="22"/>
      <c r="AKC142" s="22"/>
      <c r="AKD142" s="22"/>
      <c r="AKE142" s="22"/>
      <c r="AKF142" s="22"/>
      <c r="AKG142" s="22"/>
      <c r="AKH142" s="22"/>
      <c r="AKI142" s="22"/>
      <c r="AKJ142" s="22"/>
      <c r="AKK142" s="22"/>
      <c r="AKL142" s="22"/>
      <c r="AKM142" s="22"/>
      <c r="AKN142" s="22"/>
      <c r="AKO142" s="22"/>
      <c r="AKP142" s="22"/>
      <c r="AKQ142" s="22"/>
      <c r="AKR142" s="22"/>
      <c r="AKS142" s="22"/>
      <c r="AKT142" s="22"/>
      <c r="AKU142" s="22"/>
      <c r="AKV142" s="22"/>
      <c r="AKW142" s="22"/>
      <c r="AKX142" s="22"/>
      <c r="AKY142" s="22"/>
      <c r="AKZ142" s="22"/>
      <c r="ALA142" s="22"/>
      <c r="ALB142" s="22"/>
      <c r="ALC142" s="22"/>
      <c r="ALD142" s="22"/>
      <c r="ALE142" s="22"/>
      <c r="ALF142" s="22"/>
      <c r="ALG142" s="22"/>
      <c r="ALH142" s="22"/>
      <c r="ALI142" s="22"/>
      <c r="ALJ142" s="22"/>
      <c r="ALK142" s="22"/>
      <c r="ALL142" s="22"/>
      <c r="ALM142" s="22"/>
      <c r="ALN142" s="22"/>
      <c r="ALO142" s="22"/>
      <c r="ALP142" s="22"/>
      <c r="ALQ142" s="22"/>
      <c r="ALR142" s="22"/>
      <c r="ALS142" s="22"/>
      <c r="ALT142" s="22"/>
      <c r="ALU142" s="22"/>
      <c r="ALV142" s="22"/>
      <c r="ALW142" s="22"/>
      <c r="ALX142" s="22"/>
      <c r="ALY142" s="22"/>
      <c r="ALZ142" s="22"/>
      <c r="AMA142" s="22"/>
      <c r="AMB142" s="22"/>
      <c r="AMC142" s="22"/>
      <c r="AMD142" s="22"/>
      <c r="AME142" s="22"/>
      <c r="AMF142" s="22"/>
      <c r="AMG142" s="22"/>
      <c r="AMH142" s="22"/>
      <c r="AMI142" s="22"/>
      <c r="AMJ142" s="22"/>
      <c r="AMK142" s="22"/>
      <c r="AML142" s="22"/>
      <c r="AMM142" s="22"/>
      <c r="AMN142" s="22"/>
      <c r="AMO142" s="22"/>
      <c r="AMP142" s="22"/>
      <c r="AMQ142" s="22"/>
      <c r="AMR142" s="22"/>
      <c r="AMS142" s="22"/>
      <c r="AMT142" s="22"/>
      <c r="AMU142" s="22"/>
      <c r="AMV142" s="22"/>
      <c r="AMW142" s="22"/>
      <c r="AMX142" s="22"/>
      <c r="AMY142" s="22"/>
      <c r="AMZ142" s="22"/>
      <c r="ANA142" s="22"/>
      <c r="ANB142" s="22"/>
      <c r="ANC142" s="22"/>
      <c r="AND142" s="22"/>
      <c r="ANE142" s="22"/>
      <c r="ANF142" s="22"/>
      <c r="ANG142" s="22"/>
      <c r="ANH142" s="22"/>
      <c r="ANI142" s="22"/>
      <c r="ANJ142" s="22"/>
      <c r="ANK142" s="22"/>
      <c r="ANL142" s="22"/>
      <c r="ANM142" s="22"/>
      <c r="ANN142" s="22"/>
      <c r="ANO142" s="22"/>
      <c r="ANP142" s="22"/>
      <c r="ANQ142" s="22"/>
      <c r="ANR142" s="22"/>
      <c r="ANS142" s="22"/>
      <c r="ANT142" s="22"/>
      <c r="ANU142" s="22"/>
      <c r="ANV142" s="22"/>
      <c r="ANW142" s="22"/>
      <c r="ANX142" s="22"/>
      <c r="ANY142" s="22"/>
      <c r="ANZ142" s="22"/>
      <c r="AOA142" s="22"/>
      <c r="AOB142" s="22"/>
      <c r="AOC142" s="22"/>
      <c r="AOD142" s="22"/>
      <c r="AOE142" s="22"/>
      <c r="AOF142" s="22"/>
      <c r="AOG142" s="22"/>
      <c r="AOH142" s="22"/>
      <c r="AOI142" s="22"/>
      <c r="AOJ142" s="22"/>
      <c r="AOK142" s="22"/>
      <c r="AOL142" s="22"/>
      <c r="AOM142" s="22"/>
      <c r="AON142" s="22"/>
      <c r="AOO142" s="22"/>
      <c r="AOP142" s="22"/>
      <c r="AOQ142" s="22"/>
      <c r="AOR142" s="22"/>
      <c r="AOS142" s="22"/>
      <c r="AOT142" s="22"/>
      <c r="AOU142" s="22"/>
      <c r="AOV142" s="22"/>
      <c r="AOW142" s="22"/>
      <c r="AOX142" s="22"/>
      <c r="AOY142" s="22"/>
      <c r="AOZ142" s="22"/>
      <c r="APA142" s="22"/>
      <c r="APB142" s="22"/>
      <c r="APC142" s="22"/>
      <c r="APD142" s="22"/>
      <c r="APE142" s="22"/>
      <c r="APF142" s="22"/>
      <c r="APG142" s="22"/>
      <c r="APH142" s="22"/>
      <c r="API142" s="22"/>
      <c r="APJ142" s="22"/>
      <c r="APK142" s="22"/>
      <c r="APL142" s="22"/>
      <c r="APM142" s="22"/>
      <c r="APN142" s="22"/>
      <c r="APO142" s="22"/>
      <c r="APP142" s="22"/>
      <c r="APQ142" s="22"/>
      <c r="APR142" s="22"/>
      <c r="APS142" s="22"/>
      <c r="APT142" s="22"/>
      <c r="APU142" s="22"/>
      <c r="APV142" s="22"/>
      <c r="APW142" s="22"/>
      <c r="APX142" s="22"/>
      <c r="APY142" s="22"/>
      <c r="APZ142" s="22"/>
      <c r="AQA142" s="22"/>
      <c r="AQB142" s="22"/>
      <c r="AQC142" s="22"/>
      <c r="AQD142" s="22"/>
      <c r="AQE142" s="22"/>
      <c r="AQF142" s="22"/>
      <c r="AQG142" s="22"/>
      <c r="AQH142" s="22"/>
      <c r="AQI142" s="22"/>
      <c r="AQJ142" s="22"/>
      <c r="AQK142" s="22"/>
      <c r="AQL142" s="22"/>
      <c r="AQM142" s="22"/>
      <c r="AQN142" s="22"/>
      <c r="AQO142" s="22"/>
      <c r="AQP142" s="22"/>
      <c r="AQQ142" s="22"/>
      <c r="AQR142" s="22"/>
      <c r="AQS142" s="22"/>
      <c r="AQT142" s="22"/>
      <c r="AQU142" s="22"/>
      <c r="AQV142" s="22"/>
      <c r="AQW142" s="22"/>
      <c r="AQX142" s="22"/>
      <c r="AQY142" s="22"/>
      <c r="AQZ142" s="22"/>
      <c r="ARA142" s="22"/>
      <c r="ARB142" s="22"/>
      <c r="ARC142" s="22"/>
      <c r="ARD142" s="22"/>
      <c r="ARE142" s="22"/>
      <c r="ARF142" s="22"/>
      <c r="ARG142" s="22"/>
      <c r="ARH142" s="22"/>
      <c r="ARI142" s="22"/>
      <c r="ARJ142" s="22"/>
      <c r="ARK142" s="22"/>
      <c r="ARL142" s="22"/>
      <c r="ARM142" s="22"/>
      <c r="ARN142" s="22"/>
      <c r="ARO142" s="22"/>
      <c r="ARP142" s="22"/>
      <c r="ARQ142" s="22"/>
      <c r="ARR142" s="22"/>
      <c r="ARS142" s="22"/>
      <c r="ART142" s="22"/>
      <c r="ARU142" s="22"/>
      <c r="ARV142" s="22"/>
      <c r="ARW142" s="22"/>
      <c r="ARX142" s="22"/>
      <c r="ARY142" s="22"/>
      <c r="ARZ142" s="22"/>
      <c r="ASA142" s="22"/>
      <c r="ASB142" s="22"/>
      <c r="ASC142" s="22"/>
      <c r="ASD142" s="22"/>
      <c r="ASE142" s="22"/>
      <c r="ASF142" s="22"/>
      <c r="ASG142" s="22"/>
      <c r="ASH142" s="22"/>
      <c r="ASI142" s="22"/>
      <c r="ASJ142" s="22"/>
      <c r="ASK142" s="22"/>
      <c r="ASL142" s="22"/>
      <c r="ASM142" s="22"/>
      <c r="ASN142" s="22"/>
      <c r="ASO142" s="22"/>
      <c r="ASP142" s="22"/>
      <c r="ASQ142" s="22"/>
      <c r="ASR142" s="22"/>
      <c r="ASS142" s="22"/>
      <c r="AST142" s="22"/>
      <c r="ASU142" s="22"/>
      <c r="ASV142" s="22"/>
      <c r="ASW142" s="22"/>
      <c r="ASX142" s="22"/>
      <c r="ASY142" s="22"/>
      <c r="ASZ142" s="22"/>
      <c r="ATA142" s="22"/>
      <c r="ATB142" s="22"/>
      <c r="ATC142" s="22"/>
      <c r="ATD142" s="22"/>
      <c r="ATE142" s="22"/>
      <c r="ATF142" s="22"/>
      <c r="ATG142" s="22"/>
      <c r="ATH142" s="22"/>
      <c r="ATI142" s="22"/>
      <c r="ATJ142" s="22"/>
      <c r="ATK142" s="22"/>
      <c r="ATL142" s="22"/>
      <c r="ATM142" s="22"/>
      <c r="ATN142" s="22"/>
      <c r="ATO142" s="22"/>
      <c r="ATP142" s="22"/>
      <c r="ATQ142" s="22"/>
      <c r="ATR142" s="22"/>
      <c r="ATS142" s="22"/>
      <c r="ATT142" s="22"/>
      <c r="ATU142" s="22"/>
      <c r="ATV142" s="22"/>
      <c r="ATW142" s="22"/>
      <c r="ATX142" s="22"/>
      <c r="ATY142" s="22"/>
      <c r="ATZ142" s="22"/>
      <c r="AUA142" s="22"/>
      <c r="AUB142" s="22"/>
      <c r="AUC142" s="22"/>
      <c r="AUD142" s="22"/>
      <c r="AUE142" s="22"/>
      <c r="AUF142" s="22"/>
      <c r="AUG142" s="22"/>
      <c r="AUH142" s="22"/>
      <c r="AUI142" s="22"/>
      <c r="AUJ142" s="22"/>
      <c r="AUK142" s="22"/>
      <c r="AUL142" s="22"/>
      <c r="AUM142" s="22"/>
      <c r="AUN142" s="22"/>
      <c r="AUO142" s="22"/>
      <c r="AUP142" s="22"/>
      <c r="AUQ142" s="22"/>
      <c r="AUR142" s="22"/>
      <c r="AUS142" s="22"/>
      <c r="AUT142" s="22"/>
      <c r="AUU142" s="22"/>
      <c r="AUV142" s="22"/>
      <c r="AUW142" s="22"/>
      <c r="AUX142" s="22"/>
      <c r="AUY142" s="22"/>
      <c r="AUZ142" s="22"/>
      <c r="AVA142" s="22"/>
      <c r="AVB142" s="22"/>
      <c r="AVC142" s="22"/>
      <c r="AVD142" s="22"/>
      <c r="AVE142" s="22"/>
      <c r="AVF142" s="22"/>
      <c r="AVG142" s="22"/>
      <c r="AVH142" s="22"/>
      <c r="AVI142" s="22"/>
      <c r="AVJ142" s="22"/>
      <c r="AVK142" s="22"/>
      <c r="AVL142" s="22"/>
      <c r="AVM142" s="22"/>
      <c r="AVN142" s="22"/>
      <c r="AVO142" s="22"/>
      <c r="AVP142" s="22"/>
      <c r="AVQ142" s="22"/>
      <c r="AVR142" s="22"/>
      <c r="AVS142" s="22"/>
      <c r="AVT142" s="22"/>
      <c r="AVU142" s="22"/>
      <c r="AVV142" s="22"/>
      <c r="AVW142" s="22"/>
      <c r="AVX142" s="22"/>
      <c r="AVY142" s="22"/>
      <c r="AVZ142" s="22"/>
      <c r="AWA142" s="22"/>
      <c r="AWB142" s="22"/>
      <c r="AWC142" s="22"/>
      <c r="AWD142" s="22"/>
      <c r="AWE142" s="22"/>
      <c r="AWF142" s="22"/>
      <c r="AWG142" s="22"/>
      <c r="AWH142" s="22"/>
      <c r="AWI142" s="22"/>
      <c r="AWJ142" s="22"/>
      <c r="AWK142" s="22"/>
      <c r="AWL142" s="22"/>
      <c r="AWM142" s="22"/>
      <c r="AWN142" s="22"/>
      <c r="AWO142" s="22"/>
      <c r="AWP142" s="22"/>
      <c r="AWQ142" s="22"/>
      <c r="AWR142" s="22"/>
      <c r="AWS142" s="22"/>
      <c r="AWT142" s="22"/>
      <c r="AWU142" s="22"/>
      <c r="AWV142" s="22"/>
      <c r="AWW142" s="22"/>
      <c r="AWX142" s="22"/>
      <c r="AWY142" s="22"/>
      <c r="AWZ142" s="22"/>
      <c r="AXA142" s="22"/>
      <c r="AXB142" s="22"/>
      <c r="AXC142" s="22"/>
      <c r="AXD142" s="22"/>
      <c r="AXE142" s="22"/>
      <c r="AXF142" s="22"/>
      <c r="AXG142" s="22"/>
      <c r="AXH142" s="22"/>
      <c r="AXI142" s="22"/>
      <c r="AXJ142" s="22"/>
      <c r="AXK142" s="22"/>
      <c r="AXL142" s="22"/>
      <c r="AXM142" s="22"/>
      <c r="AXN142" s="22"/>
      <c r="AXO142" s="22"/>
      <c r="AXP142" s="22"/>
      <c r="AXQ142" s="22"/>
      <c r="AXR142" s="22"/>
      <c r="AXS142" s="22"/>
      <c r="AXT142" s="22"/>
      <c r="AXU142" s="22"/>
      <c r="AXV142" s="22"/>
      <c r="AXW142" s="22"/>
      <c r="AXX142" s="22"/>
      <c r="AXY142" s="22"/>
      <c r="AXZ142" s="22"/>
      <c r="AYA142" s="22"/>
      <c r="AYB142" s="22"/>
      <c r="AYC142" s="22"/>
      <c r="AYD142" s="22"/>
      <c r="AYE142" s="22"/>
      <c r="AYF142" s="22"/>
      <c r="AYG142" s="22"/>
      <c r="AYH142" s="22"/>
      <c r="AYI142" s="22"/>
      <c r="AYJ142" s="22"/>
      <c r="AYK142" s="22"/>
      <c r="AYL142" s="22"/>
      <c r="AYM142" s="22"/>
      <c r="AYN142" s="22"/>
      <c r="AYO142" s="22"/>
      <c r="AYP142" s="22"/>
      <c r="AYQ142" s="22"/>
      <c r="AYR142" s="22"/>
      <c r="AYS142" s="22"/>
      <c r="AYT142" s="22"/>
      <c r="AYU142" s="22"/>
      <c r="AYV142" s="22"/>
      <c r="AYW142" s="22"/>
      <c r="AYX142" s="22"/>
      <c r="AYY142" s="22"/>
      <c r="AYZ142" s="22"/>
      <c r="AZA142" s="22"/>
      <c r="AZB142" s="22"/>
      <c r="AZC142" s="22"/>
      <c r="AZD142" s="22"/>
      <c r="AZE142" s="22"/>
      <c r="AZF142" s="22"/>
      <c r="AZG142" s="22"/>
      <c r="AZH142" s="22"/>
      <c r="AZI142" s="22"/>
      <c r="AZJ142" s="22"/>
      <c r="AZK142" s="22"/>
      <c r="AZL142" s="22"/>
      <c r="AZM142" s="22"/>
      <c r="AZN142" s="22"/>
      <c r="AZO142" s="22"/>
      <c r="AZP142" s="22"/>
      <c r="AZQ142" s="22"/>
      <c r="AZR142" s="22"/>
      <c r="AZS142" s="22"/>
      <c r="AZT142" s="22"/>
      <c r="AZU142" s="22"/>
      <c r="AZV142" s="22"/>
      <c r="AZW142" s="22"/>
      <c r="AZX142" s="22"/>
      <c r="AZY142" s="22"/>
      <c r="AZZ142" s="22"/>
      <c r="BAA142" s="22"/>
      <c r="BAB142" s="22"/>
      <c r="BAC142" s="22"/>
      <c r="BAD142" s="22"/>
      <c r="BAE142" s="22"/>
      <c r="BAF142" s="22"/>
      <c r="BAG142" s="22"/>
      <c r="BAH142" s="22"/>
      <c r="BAI142" s="22"/>
      <c r="BAJ142" s="22"/>
      <c r="BAK142" s="22"/>
      <c r="BAL142" s="22"/>
      <c r="BAM142" s="22"/>
      <c r="BAN142" s="22"/>
      <c r="BAO142" s="22"/>
      <c r="BAP142" s="22"/>
      <c r="BAQ142" s="22"/>
      <c r="BAR142" s="22"/>
      <c r="BAS142" s="22"/>
      <c r="BAT142" s="22"/>
      <c r="BAU142" s="22"/>
      <c r="BAV142" s="22"/>
      <c r="BAW142" s="22"/>
      <c r="BAX142" s="22"/>
      <c r="BAY142" s="22"/>
      <c r="BAZ142" s="22"/>
      <c r="BBA142" s="22"/>
      <c r="BBB142" s="22"/>
      <c r="BBC142" s="22"/>
      <c r="BBD142" s="22"/>
      <c r="BBE142" s="22"/>
      <c r="BBF142" s="22"/>
      <c r="BBG142" s="22"/>
      <c r="BBH142" s="22"/>
      <c r="BBI142" s="22"/>
      <c r="BBJ142" s="22"/>
      <c r="BBK142" s="22"/>
      <c r="BBL142" s="22"/>
      <c r="BBM142" s="22"/>
      <c r="BBN142" s="22"/>
      <c r="BBO142" s="22"/>
      <c r="BBP142" s="22"/>
      <c r="BBQ142" s="22"/>
      <c r="BBR142" s="22"/>
      <c r="BBS142" s="22"/>
      <c r="BBT142" s="22"/>
      <c r="BBU142" s="22"/>
      <c r="BBV142" s="22"/>
      <c r="BBW142" s="22"/>
      <c r="BBX142" s="22"/>
      <c r="BBY142" s="22"/>
      <c r="BBZ142" s="22"/>
      <c r="BCA142" s="22"/>
      <c r="BCB142" s="22"/>
      <c r="BCC142" s="22"/>
      <c r="BCD142" s="22"/>
      <c r="BCE142" s="22"/>
      <c r="BCF142" s="22"/>
      <c r="BCG142" s="22"/>
      <c r="BCH142" s="22"/>
      <c r="BCI142" s="22"/>
      <c r="BCJ142" s="22"/>
      <c r="BCK142" s="22"/>
      <c r="BCL142" s="22"/>
      <c r="BCM142" s="22"/>
      <c r="BCN142" s="22"/>
      <c r="BCO142" s="22"/>
      <c r="BCP142" s="22"/>
      <c r="BCQ142" s="22"/>
      <c r="BCR142" s="22"/>
      <c r="BCS142" s="22"/>
      <c r="BCT142" s="22"/>
      <c r="BCU142" s="22"/>
      <c r="BCV142" s="22"/>
      <c r="BCW142" s="22"/>
      <c r="BCX142" s="22"/>
      <c r="BCY142" s="22"/>
      <c r="BCZ142" s="22"/>
      <c r="BDA142" s="22"/>
      <c r="BDB142" s="22"/>
      <c r="BDC142" s="22"/>
      <c r="BDD142" s="22"/>
      <c r="BDE142" s="22"/>
      <c r="BDF142" s="22"/>
      <c r="BDG142" s="22"/>
      <c r="BDH142" s="22"/>
      <c r="BDI142" s="22"/>
      <c r="BDJ142" s="22"/>
      <c r="BDK142" s="22"/>
      <c r="BDL142" s="22"/>
      <c r="BDM142" s="22"/>
      <c r="BDN142" s="22"/>
      <c r="BDO142" s="22"/>
      <c r="BDP142" s="22"/>
      <c r="BDQ142" s="22"/>
      <c r="BDR142" s="22"/>
      <c r="BDS142" s="22"/>
      <c r="BDT142" s="22"/>
      <c r="BDU142" s="22"/>
      <c r="BDV142" s="22"/>
      <c r="BDW142" s="22"/>
      <c r="BDX142" s="22"/>
      <c r="BDY142" s="22"/>
      <c r="BDZ142" s="22"/>
      <c r="BEA142" s="22"/>
      <c r="BEB142" s="22"/>
      <c r="BEC142" s="22"/>
      <c r="BED142" s="22"/>
      <c r="BEE142" s="22"/>
      <c r="BEF142" s="22"/>
      <c r="BEG142" s="22"/>
      <c r="BEH142" s="22"/>
      <c r="BEI142" s="22"/>
      <c r="BEJ142" s="22"/>
      <c r="BEK142" s="22"/>
      <c r="BEL142" s="22"/>
      <c r="BEM142" s="22"/>
      <c r="BEN142" s="22"/>
      <c r="BEO142" s="22"/>
      <c r="BEP142" s="22"/>
      <c r="BEQ142" s="22"/>
      <c r="BER142" s="22"/>
      <c r="BES142" s="22"/>
      <c r="BET142" s="22"/>
      <c r="BEU142" s="22"/>
      <c r="BEV142" s="22"/>
      <c r="BEW142" s="22"/>
      <c r="BEX142" s="22"/>
      <c r="BEY142" s="22"/>
      <c r="BEZ142" s="22"/>
      <c r="BFA142" s="22"/>
      <c r="BFB142" s="22"/>
      <c r="BFC142" s="22"/>
      <c r="BFD142" s="22"/>
      <c r="BFE142" s="22"/>
      <c r="BFF142" s="22"/>
      <c r="BFG142" s="22"/>
      <c r="BFH142" s="22"/>
      <c r="BFI142" s="22"/>
      <c r="BFJ142" s="22"/>
      <c r="BFK142" s="22"/>
      <c r="BFL142" s="22"/>
      <c r="BFM142" s="22"/>
      <c r="BFN142" s="22"/>
      <c r="BFO142" s="22"/>
      <c r="BFP142" s="22"/>
      <c r="BFQ142" s="22"/>
      <c r="BFR142" s="22"/>
      <c r="BFS142" s="22"/>
      <c r="BFT142" s="22"/>
      <c r="BFU142" s="22"/>
      <c r="BFV142" s="22"/>
      <c r="BFW142" s="22"/>
      <c r="BFX142" s="22"/>
      <c r="BFY142" s="22"/>
      <c r="BFZ142" s="22"/>
      <c r="BGA142" s="22"/>
      <c r="BGB142" s="22"/>
      <c r="BGC142" s="22"/>
      <c r="BGD142" s="22"/>
      <c r="BGE142" s="22"/>
      <c r="BGF142" s="22"/>
      <c r="BGG142" s="22"/>
      <c r="BGH142" s="22"/>
      <c r="BGI142" s="22"/>
      <c r="BGJ142" s="22"/>
      <c r="BGK142" s="22"/>
      <c r="BGL142" s="22"/>
      <c r="BGM142" s="22"/>
      <c r="BGN142" s="22"/>
      <c r="BGO142" s="22"/>
      <c r="BGP142" s="22"/>
      <c r="BGQ142" s="22"/>
      <c r="BGR142" s="22"/>
      <c r="BGS142" s="22"/>
      <c r="BGT142" s="22"/>
      <c r="BGU142" s="22"/>
      <c r="BGV142" s="22"/>
      <c r="BGW142" s="22"/>
      <c r="BGX142" s="22"/>
      <c r="BGY142" s="22"/>
      <c r="BGZ142" s="22"/>
      <c r="BHA142" s="22"/>
      <c r="BHB142" s="22"/>
      <c r="BHC142" s="22"/>
      <c r="BHD142" s="22"/>
      <c r="BHE142" s="22"/>
      <c r="BHF142" s="22"/>
      <c r="BHG142" s="22"/>
      <c r="BHH142" s="22"/>
      <c r="BHI142" s="22"/>
      <c r="BHJ142" s="22"/>
      <c r="BHK142" s="22"/>
      <c r="BHL142" s="22"/>
      <c r="BHM142" s="22"/>
      <c r="BHN142" s="22"/>
      <c r="BHO142" s="22"/>
      <c r="BHP142" s="22"/>
      <c r="BHQ142" s="22"/>
      <c r="BHR142" s="22"/>
      <c r="BHS142" s="22"/>
      <c r="BHT142" s="22"/>
      <c r="BHU142" s="22"/>
      <c r="BHV142" s="22"/>
      <c r="BHW142" s="22"/>
      <c r="BHX142" s="22"/>
      <c r="BHY142" s="22"/>
      <c r="BHZ142" s="22"/>
      <c r="BIA142" s="22"/>
      <c r="BIB142" s="22"/>
      <c r="BIC142" s="22"/>
      <c r="BID142" s="22"/>
      <c r="BIE142" s="22"/>
      <c r="BIF142" s="22"/>
      <c r="BIG142" s="22"/>
      <c r="BIH142" s="22"/>
      <c r="BII142" s="22"/>
      <c r="BIJ142" s="22"/>
      <c r="BIK142" s="22"/>
      <c r="BIL142" s="22"/>
      <c r="BIM142" s="22"/>
      <c r="BIN142" s="22"/>
      <c r="BIO142" s="22"/>
      <c r="BIP142" s="22"/>
      <c r="BIQ142" s="22"/>
      <c r="BIR142" s="22"/>
      <c r="BIS142" s="22"/>
      <c r="BIT142" s="22"/>
      <c r="BIU142" s="22"/>
      <c r="BIV142" s="22"/>
      <c r="BIW142" s="22"/>
      <c r="BIX142" s="22"/>
      <c r="BIY142" s="22"/>
      <c r="BIZ142" s="22"/>
      <c r="BJA142" s="22"/>
      <c r="BJB142" s="22"/>
      <c r="BJC142" s="22"/>
      <c r="BJD142" s="22"/>
      <c r="BJE142" s="22"/>
      <c r="BJF142" s="22"/>
      <c r="BJG142" s="22"/>
      <c r="BJH142" s="22"/>
      <c r="BJI142" s="22"/>
      <c r="BJJ142" s="22"/>
      <c r="BJK142" s="22"/>
      <c r="BJL142" s="22"/>
      <c r="BJM142" s="22"/>
      <c r="BJN142" s="22"/>
      <c r="BJO142" s="22"/>
      <c r="BJP142" s="22"/>
      <c r="BJQ142" s="22"/>
      <c r="BJR142" s="22"/>
      <c r="BJS142" s="22"/>
      <c r="BJT142" s="22"/>
      <c r="BJU142" s="22"/>
      <c r="BJV142" s="22"/>
      <c r="BJW142" s="22"/>
      <c r="BJX142" s="22"/>
      <c r="BJY142" s="22"/>
      <c r="BJZ142" s="22"/>
      <c r="BKA142" s="22"/>
      <c r="BKB142" s="22"/>
      <c r="BKC142" s="22"/>
      <c r="BKD142" s="22"/>
      <c r="BKE142" s="22"/>
      <c r="BKF142" s="22"/>
      <c r="BKG142" s="22"/>
      <c r="BKH142" s="22"/>
      <c r="BKI142" s="22"/>
      <c r="BKJ142" s="22"/>
      <c r="BKK142" s="22"/>
      <c r="BKL142" s="22"/>
      <c r="BKM142" s="22"/>
      <c r="BKN142" s="22"/>
      <c r="BKO142" s="22"/>
      <c r="BKP142" s="22"/>
      <c r="BKQ142" s="22"/>
      <c r="BKR142" s="22"/>
      <c r="BKS142" s="22"/>
      <c r="BKT142" s="22"/>
      <c r="BKU142" s="22"/>
      <c r="BKV142" s="22"/>
      <c r="BKW142" s="22"/>
      <c r="BKX142" s="22"/>
      <c r="BKY142" s="22"/>
      <c r="BKZ142" s="22"/>
      <c r="BLA142" s="22"/>
      <c r="BLB142" s="22"/>
      <c r="BLC142" s="22"/>
      <c r="BLD142" s="22"/>
      <c r="BLE142" s="22"/>
      <c r="BLF142" s="22"/>
      <c r="BLG142" s="22"/>
      <c r="BLH142" s="22"/>
      <c r="BLI142" s="22"/>
      <c r="BLJ142" s="22"/>
      <c r="BLK142" s="22"/>
      <c r="BLL142" s="22"/>
      <c r="BLM142" s="22"/>
      <c r="BLN142" s="22"/>
      <c r="BLO142" s="22"/>
      <c r="BLP142" s="22"/>
      <c r="BLQ142" s="22"/>
      <c r="BLR142" s="22"/>
      <c r="BLS142" s="22"/>
      <c r="BLT142" s="22"/>
      <c r="BLU142" s="22"/>
      <c r="BLV142" s="22"/>
      <c r="BLW142" s="22"/>
      <c r="BLX142" s="22"/>
      <c r="BLY142" s="22"/>
      <c r="BLZ142" s="22"/>
      <c r="BMA142" s="22"/>
      <c r="BMB142" s="22"/>
      <c r="BMC142" s="22"/>
      <c r="BMD142" s="22"/>
      <c r="BME142" s="22"/>
      <c r="BMF142" s="22"/>
      <c r="BMG142" s="22"/>
      <c r="BMH142" s="22"/>
      <c r="BMI142" s="22"/>
      <c r="BMJ142" s="22"/>
      <c r="BMK142" s="22"/>
      <c r="BML142" s="22"/>
      <c r="BMM142" s="22"/>
      <c r="BMN142" s="22"/>
      <c r="BMO142" s="22"/>
      <c r="BMP142" s="22"/>
      <c r="BMQ142" s="22"/>
      <c r="BMR142" s="22"/>
      <c r="BMS142" s="22"/>
      <c r="BMT142" s="22"/>
      <c r="BMU142" s="22"/>
      <c r="BMV142" s="22"/>
      <c r="BMW142" s="22"/>
      <c r="BMX142" s="22"/>
      <c r="BMY142" s="22"/>
      <c r="BMZ142" s="22"/>
      <c r="BNA142" s="22"/>
      <c r="BNB142" s="22"/>
      <c r="BNC142" s="22"/>
      <c r="BND142" s="22"/>
      <c r="BNE142" s="22"/>
      <c r="BNF142" s="22"/>
      <c r="BNG142" s="22"/>
      <c r="BNH142" s="22"/>
      <c r="BNI142" s="22"/>
      <c r="BNJ142" s="22"/>
      <c r="BNK142" s="22"/>
      <c r="BNL142" s="22"/>
      <c r="BNM142" s="22"/>
      <c r="BNN142" s="22"/>
      <c r="BNO142" s="22"/>
      <c r="BNP142" s="22"/>
      <c r="BNQ142" s="22"/>
      <c r="BNR142" s="22"/>
      <c r="BNS142" s="22"/>
      <c r="BNT142" s="22"/>
      <c r="BNU142" s="22"/>
      <c r="BNV142" s="22"/>
      <c r="BNW142" s="22"/>
      <c r="BNX142" s="22"/>
      <c r="BNY142" s="22"/>
      <c r="BNZ142" s="22"/>
      <c r="BOA142" s="22"/>
      <c r="BOB142" s="22"/>
      <c r="BOC142" s="22"/>
      <c r="BOD142" s="22"/>
      <c r="BOE142" s="22"/>
      <c r="BOF142" s="22"/>
      <c r="BOG142" s="22"/>
      <c r="BOH142" s="22"/>
      <c r="BOI142" s="22"/>
      <c r="BOJ142" s="22"/>
      <c r="BOK142" s="22"/>
      <c r="BOL142" s="22"/>
      <c r="BOM142" s="22"/>
      <c r="BON142" s="22"/>
      <c r="BOO142" s="22"/>
      <c r="BOP142" s="22"/>
      <c r="BOQ142" s="22"/>
      <c r="BOR142" s="22"/>
      <c r="BOS142" s="22"/>
      <c r="BOT142" s="22"/>
      <c r="BOU142" s="22"/>
      <c r="BOV142" s="22"/>
      <c r="BOW142" s="22"/>
      <c r="BOX142" s="22"/>
      <c r="BOY142" s="22"/>
      <c r="BOZ142" s="22"/>
      <c r="BPA142" s="22"/>
      <c r="BPB142" s="22"/>
      <c r="BPC142" s="22"/>
      <c r="BPD142" s="22"/>
      <c r="BPE142" s="22"/>
      <c r="BPF142" s="22"/>
      <c r="BPG142" s="22"/>
      <c r="BPH142" s="22"/>
      <c r="BPI142" s="22"/>
      <c r="BPJ142" s="22"/>
      <c r="BPK142" s="22"/>
      <c r="BPL142" s="22"/>
      <c r="BPM142" s="22"/>
      <c r="BPN142" s="22"/>
      <c r="BPO142" s="22"/>
      <c r="BPP142" s="22"/>
      <c r="BPQ142" s="22"/>
      <c r="BPR142" s="22"/>
      <c r="BPS142" s="22"/>
      <c r="BPT142" s="22"/>
      <c r="BPU142" s="22"/>
      <c r="BPV142" s="22"/>
      <c r="BPW142" s="22"/>
      <c r="BPX142" s="22"/>
      <c r="BPY142" s="22"/>
      <c r="BPZ142" s="22"/>
      <c r="BQA142" s="22"/>
      <c r="BQB142" s="22"/>
      <c r="BQC142" s="22"/>
      <c r="BQD142" s="22"/>
      <c r="BQE142" s="22"/>
      <c r="BQF142" s="22"/>
      <c r="BQG142" s="22"/>
      <c r="BQH142" s="22"/>
      <c r="BQI142" s="22"/>
      <c r="BQJ142" s="22"/>
      <c r="BQK142" s="22"/>
      <c r="BQL142" s="22"/>
      <c r="BQM142" s="22"/>
      <c r="BQN142" s="22"/>
      <c r="BQO142" s="22"/>
      <c r="BQP142" s="22"/>
      <c r="BQQ142" s="22"/>
      <c r="BQR142" s="22"/>
      <c r="BQS142" s="22"/>
      <c r="BQT142" s="22"/>
      <c r="BQU142" s="22"/>
      <c r="BQV142" s="22"/>
      <c r="BQW142" s="22"/>
      <c r="BQX142" s="22"/>
      <c r="BQY142" s="22"/>
      <c r="BQZ142" s="22"/>
      <c r="BRA142" s="22"/>
      <c r="BRB142" s="22"/>
      <c r="BRC142" s="22"/>
      <c r="BRD142" s="22"/>
      <c r="BRE142" s="22"/>
      <c r="BRF142" s="22"/>
      <c r="BRG142" s="22"/>
      <c r="BRH142" s="22"/>
      <c r="BRI142" s="22"/>
      <c r="BRJ142" s="22"/>
      <c r="BRK142" s="22"/>
      <c r="BRL142" s="22"/>
      <c r="BRM142" s="22"/>
      <c r="BRN142" s="22"/>
      <c r="BRO142" s="22"/>
      <c r="BRP142" s="22"/>
      <c r="BRQ142" s="22"/>
      <c r="BRR142" s="22"/>
      <c r="BRS142" s="22"/>
      <c r="BRT142" s="22"/>
      <c r="BRU142" s="22"/>
      <c r="BRV142" s="22"/>
      <c r="BRW142" s="22"/>
      <c r="BRX142" s="22"/>
      <c r="BRY142" s="22"/>
      <c r="BRZ142" s="22"/>
      <c r="BSA142" s="22"/>
      <c r="BSB142" s="22"/>
      <c r="BSC142" s="22"/>
      <c r="BSD142" s="22"/>
      <c r="BSE142" s="22"/>
      <c r="BSF142" s="22"/>
      <c r="BSG142" s="22"/>
      <c r="BSH142" s="22"/>
      <c r="BSI142" s="22"/>
      <c r="BSJ142" s="22"/>
      <c r="BSK142" s="22"/>
      <c r="BSL142" s="22"/>
      <c r="BSM142" s="22"/>
      <c r="BSN142" s="22"/>
      <c r="BSO142" s="22"/>
      <c r="BSP142" s="22"/>
      <c r="BSQ142" s="22"/>
      <c r="BSR142" s="22"/>
      <c r="BSS142" s="22"/>
      <c r="BST142" s="22"/>
      <c r="BSU142" s="22"/>
      <c r="BSV142" s="22"/>
      <c r="BSW142" s="22"/>
      <c r="BSX142" s="22"/>
      <c r="BSY142" s="22"/>
      <c r="BSZ142" s="22"/>
      <c r="BTA142" s="22"/>
      <c r="BTB142" s="22"/>
      <c r="BTC142" s="22"/>
      <c r="BTD142" s="22"/>
      <c r="BTE142" s="22"/>
      <c r="BTF142" s="22"/>
      <c r="BTG142" s="22"/>
      <c r="BTH142" s="22"/>
      <c r="BTI142" s="22"/>
      <c r="BTJ142" s="22"/>
      <c r="BTK142" s="22"/>
      <c r="BTL142" s="22"/>
      <c r="BTM142" s="22"/>
      <c r="BTN142" s="22"/>
      <c r="BTO142" s="22"/>
      <c r="BTP142" s="22"/>
      <c r="BTQ142" s="22"/>
      <c r="BTR142" s="22"/>
      <c r="BTS142" s="22"/>
      <c r="BTT142" s="22"/>
      <c r="BTU142" s="22"/>
      <c r="BTV142" s="22"/>
      <c r="BTW142" s="22"/>
      <c r="BTX142" s="22"/>
      <c r="BTY142" s="22"/>
      <c r="BTZ142" s="22"/>
      <c r="BUA142" s="22"/>
      <c r="BUB142" s="22"/>
      <c r="BUC142" s="22"/>
      <c r="BUD142" s="22"/>
      <c r="BUE142" s="22"/>
      <c r="BUF142" s="22"/>
      <c r="BUG142" s="22"/>
      <c r="BUH142" s="22"/>
      <c r="BUI142" s="22"/>
      <c r="BUJ142" s="22"/>
      <c r="BUK142" s="22"/>
      <c r="BUL142" s="22"/>
      <c r="BUM142" s="22"/>
      <c r="BUN142" s="22"/>
      <c r="BUO142" s="22"/>
      <c r="BUP142" s="22"/>
      <c r="BUQ142" s="22"/>
      <c r="BUR142" s="22"/>
      <c r="BUS142" s="22"/>
      <c r="BUT142" s="22"/>
      <c r="BUU142" s="22"/>
      <c r="BUV142" s="22"/>
      <c r="BUW142" s="22"/>
      <c r="BUX142" s="22"/>
      <c r="BUY142" s="22"/>
      <c r="BUZ142" s="22"/>
      <c r="BVA142" s="22"/>
      <c r="BVB142" s="22"/>
      <c r="BVC142" s="22"/>
      <c r="BVD142" s="22"/>
      <c r="BVE142" s="22"/>
      <c r="BVF142" s="22"/>
      <c r="BVG142" s="22"/>
      <c r="BVH142" s="22"/>
      <c r="BVI142" s="22"/>
      <c r="BVJ142" s="22"/>
      <c r="BVK142" s="22"/>
      <c r="BVL142" s="22"/>
      <c r="BVM142" s="22"/>
      <c r="BVN142" s="22"/>
      <c r="BVO142" s="22"/>
      <c r="BVP142" s="22"/>
      <c r="BVQ142" s="22"/>
      <c r="BVR142" s="22"/>
      <c r="BVS142" s="22"/>
      <c r="BVT142" s="22"/>
      <c r="BVU142" s="22"/>
      <c r="BVV142" s="22"/>
      <c r="BVW142" s="22"/>
      <c r="BVX142" s="22"/>
      <c r="BVY142" s="22"/>
      <c r="BVZ142" s="22"/>
      <c r="BWA142" s="22"/>
      <c r="BWB142" s="22"/>
      <c r="BWC142" s="22"/>
      <c r="BWD142" s="22"/>
      <c r="BWE142" s="22"/>
      <c r="BWF142" s="22"/>
      <c r="BWG142" s="22"/>
      <c r="BWH142" s="22"/>
      <c r="BWI142" s="22"/>
      <c r="BWJ142" s="22"/>
      <c r="BWK142" s="22"/>
      <c r="BWL142" s="22"/>
      <c r="BWM142" s="22"/>
      <c r="BWN142" s="22"/>
      <c r="BWO142" s="22"/>
      <c r="BWP142" s="22"/>
      <c r="BWQ142" s="22"/>
      <c r="BWR142" s="22"/>
      <c r="BWS142" s="22"/>
      <c r="BWT142" s="22"/>
      <c r="BWU142" s="22"/>
      <c r="BWV142" s="22"/>
      <c r="BWW142" s="22"/>
      <c r="BWX142" s="22"/>
      <c r="BWY142" s="22"/>
      <c r="BWZ142" s="22"/>
      <c r="BXA142" s="22"/>
      <c r="BXB142" s="22"/>
      <c r="BXC142" s="22"/>
      <c r="BXD142" s="22"/>
      <c r="BXE142" s="22"/>
      <c r="BXF142" s="22"/>
      <c r="BXG142" s="22"/>
      <c r="BXH142" s="22"/>
      <c r="BXI142" s="22"/>
      <c r="BXJ142" s="22"/>
      <c r="BXK142" s="22"/>
      <c r="BXL142" s="22"/>
      <c r="BXM142" s="22"/>
      <c r="BXN142" s="22"/>
      <c r="BXO142" s="22"/>
      <c r="BXP142" s="22"/>
      <c r="BXQ142" s="22"/>
      <c r="BXR142" s="22"/>
      <c r="BXS142" s="22"/>
      <c r="BXT142" s="22"/>
      <c r="BXU142" s="22"/>
      <c r="BXV142" s="22"/>
      <c r="BXW142" s="22"/>
      <c r="BXX142" s="22"/>
      <c r="BXY142" s="22"/>
      <c r="BXZ142" s="22"/>
      <c r="BYA142" s="22"/>
      <c r="BYB142" s="22"/>
      <c r="BYC142" s="22"/>
      <c r="BYD142" s="22"/>
      <c r="BYE142" s="22"/>
      <c r="BYF142" s="22"/>
      <c r="BYG142" s="22"/>
      <c r="BYH142" s="22"/>
      <c r="BYI142" s="22"/>
      <c r="BYJ142" s="22"/>
      <c r="BYK142" s="22"/>
      <c r="BYL142" s="22"/>
      <c r="BYM142" s="22"/>
      <c r="BYN142" s="22"/>
      <c r="BYO142" s="22"/>
      <c r="BYP142" s="22"/>
      <c r="BYQ142" s="22"/>
      <c r="BYR142" s="22"/>
      <c r="BYS142" s="22"/>
      <c r="BYT142" s="22"/>
      <c r="BYU142" s="22"/>
      <c r="BYV142" s="22"/>
      <c r="BYW142" s="22"/>
      <c r="BYX142" s="22"/>
      <c r="BYY142" s="22"/>
      <c r="BYZ142" s="22"/>
      <c r="BZA142" s="22"/>
      <c r="BZB142" s="22"/>
      <c r="BZC142" s="22"/>
      <c r="BZD142" s="22"/>
      <c r="BZE142" s="22"/>
      <c r="BZF142" s="22"/>
      <c r="BZG142" s="22"/>
      <c r="BZH142" s="22"/>
      <c r="BZI142" s="22"/>
      <c r="BZJ142" s="22"/>
      <c r="BZK142" s="22"/>
      <c r="BZL142" s="22"/>
      <c r="BZM142" s="22"/>
      <c r="BZN142" s="22"/>
      <c r="BZO142" s="22"/>
      <c r="BZP142" s="22"/>
      <c r="BZQ142" s="22"/>
      <c r="BZR142" s="22"/>
      <c r="BZS142" s="22"/>
      <c r="BZT142" s="22"/>
      <c r="BZU142" s="22"/>
      <c r="BZV142" s="22"/>
      <c r="BZW142" s="22"/>
      <c r="BZX142" s="22"/>
      <c r="BZY142" s="22"/>
      <c r="BZZ142" s="22"/>
      <c r="CAA142" s="22"/>
      <c r="CAB142" s="22"/>
      <c r="CAC142" s="22"/>
      <c r="CAD142" s="22"/>
      <c r="CAE142" s="22"/>
      <c r="CAF142" s="22"/>
      <c r="CAG142" s="22"/>
      <c r="CAH142" s="22"/>
      <c r="CAI142" s="22"/>
      <c r="CAJ142" s="22"/>
      <c r="CAK142" s="22"/>
      <c r="CAL142" s="22"/>
      <c r="CAM142" s="22"/>
      <c r="CAN142" s="22"/>
      <c r="CAO142" s="22"/>
      <c r="CAP142" s="22"/>
      <c r="CAQ142" s="22"/>
      <c r="CAR142" s="22"/>
      <c r="CAS142" s="22"/>
      <c r="CAT142" s="22"/>
      <c r="CAU142" s="22"/>
      <c r="CAV142" s="22"/>
      <c r="CAW142" s="22"/>
      <c r="CAX142" s="22"/>
      <c r="CAY142" s="22"/>
      <c r="CAZ142" s="22"/>
      <c r="CBA142" s="22"/>
      <c r="CBB142" s="22"/>
      <c r="CBC142" s="22"/>
      <c r="CBD142" s="22"/>
      <c r="CBE142" s="22"/>
      <c r="CBF142" s="22"/>
      <c r="CBG142" s="22"/>
      <c r="CBH142" s="22"/>
      <c r="CBI142" s="22"/>
      <c r="CBJ142" s="22"/>
      <c r="CBK142" s="22"/>
      <c r="CBL142" s="22"/>
      <c r="CBM142" s="22"/>
      <c r="CBN142" s="22"/>
      <c r="CBO142" s="22"/>
      <c r="CBP142" s="22"/>
      <c r="CBQ142" s="22"/>
      <c r="CBR142" s="22"/>
      <c r="CBS142" s="22"/>
      <c r="CBT142" s="22"/>
      <c r="CBU142" s="22"/>
      <c r="CBV142" s="22"/>
      <c r="CBW142" s="22"/>
      <c r="CBX142" s="22"/>
      <c r="CBY142" s="22"/>
      <c r="CBZ142" s="22"/>
      <c r="CCA142" s="22"/>
      <c r="CCB142" s="22"/>
      <c r="CCC142" s="22"/>
      <c r="CCD142" s="22"/>
      <c r="CCE142" s="22"/>
      <c r="CCF142" s="22"/>
      <c r="CCG142" s="22"/>
      <c r="CCH142" s="22"/>
      <c r="CCI142" s="22"/>
      <c r="CCJ142" s="22"/>
      <c r="CCK142" s="22"/>
      <c r="CCL142" s="22"/>
      <c r="CCM142" s="22"/>
      <c r="CCN142" s="22"/>
      <c r="CCO142" s="22"/>
      <c r="CCP142" s="22"/>
      <c r="CCQ142" s="22"/>
      <c r="CCR142" s="22"/>
      <c r="CCS142" s="22"/>
      <c r="CCT142" s="22"/>
      <c r="CCU142" s="22"/>
      <c r="CCV142" s="22"/>
      <c r="CCW142" s="22"/>
      <c r="CCX142" s="22"/>
      <c r="CCY142" s="22"/>
      <c r="CCZ142" s="22"/>
      <c r="CDA142" s="22"/>
      <c r="CDB142" s="22"/>
      <c r="CDC142" s="22"/>
      <c r="CDD142" s="22"/>
      <c r="CDE142" s="22"/>
      <c r="CDF142" s="22"/>
      <c r="CDG142" s="22"/>
      <c r="CDH142" s="22"/>
      <c r="CDI142" s="22"/>
      <c r="CDJ142" s="22"/>
      <c r="CDK142" s="22"/>
      <c r="CDL142" s="22"/>
      <c r="CDM142" s="22"/>
      <c r="CDN142" s="22"/>
      <c r="CDO142" s="22"/>
      <c r="CDP142" s="22"/>
      <c r="CDQ142" s="22"/>
      <c r="CDR142" s="22"/>
      <c r="CDS142" s="22"/>
      <c r="CDT142" s="22"/>
      <c r="CDU142" s="22"/>
      <c r="CDV142" s="22"/>
      <c r="CDW142" s="22"/>
      <c r="CDX142" s="22"/>
      <c r="CDY142" s="22"/>
      <c r="CDZ142" s="22"/>
      <c r="CEA142" s="22"/>
      <c r="CEB142" s="22"/>
      <c r="CEC142" s="22"/>
      <c r="CED142" s="22"/>
      <c r="CEE142" s="22"/>
      <c r="CEF142" s="22"/>
      <c r="CEG142" s="22"/>
      <c r="CEH142" s="22"/>
      <c r="CEI142" s="22"/>
      <c r="CEJ142" s="22"/>
      <c r="CEK142" s="22"/>
      <c r="CEL142" s="22"/>
      <c r="CEM142" s="22"/>
      <c r="CEN142" s="22"/>
      <c r="CEO142" s="22"/>
      <c r="CEP142" s="22"/>
      <c r="CEQ142" s="22"/>
      <c r="CER142" s="22"/>
      <c r="CES142" s="22"/>
      <c r="CET142" s="22"/>
      <c r="CEU142" s="22"/>
      <c r="CEV142" s="22"/>
      <c r="CEW142" s="22"/>
      <c r="CEX142" s="22"/>
      <c r="CEY142" s="22"/>
      <c r="CEZ142" s="22"/>
      <c r="CFA142" s="22"/>
      <c r="CFB142" s="22"/>
      <c r="CFC142" s="22"/>
      <c r="CFD142" s="22"/>
      <c r="CFE142" s="22"/>
      <c r="CFF142" s="22"/>
      <c r="CFG142" s="22"/>
      <c r="CFH142" s="22"/>
      <c r="CFI142" s="22"/>
      <c r="CFJ142" s="22"/>
      <c r="CFK142" s="22"/>
      <c r="CFL142" s="22"/>
      <c r="CFM142" s="22"/>
      <c r="CFN142" s="22"/>
      <c r="CFO142" s="22"/>
      <c r="CFP142" s="22"/>
      <c r="CFQ142" s="22"/>
      <c r="CFR142" s="22"/>
      <c r="CFS142" s="22"/>
      <c r="CFT142" s="22"/>
      <c r="CFU142" s="22"/>
      <c r="CFV142" s="22"/>
      <c r="CFW142" s="22"/>
      <c r="CFX142" s="22"/>
      <c r="CFY142" s="22"/>
      <c r="CFZ142" s="22"/>
      <c r="CGA142" s="22"/>
      <c r="CGB142" s="22"/>
      <c r="CGC142" s="22"/>
      <c r="CGD142" s="22"/>
      <c r="CGE142" s="22"/>
      <c r="CGF142" s="22"/>
      <c r="CGG142" s="22"/>
      <c r="CGH142" s="22"/>
      <c r="CGI142" s="22"/>
      <c r="CGJ142" s="22"/>
      <c r="CGK142" s="22"/>
      <c r="CGL142" s="22"/>
      <c r="CGM142" s="22"/>
      <c r="CGN142" s="22"/>
      <c r="CGO142" s="22"/>
      <c r="CGP142" s="22"/>
      <c r="CGQ142" s="22"/>
      <c r="CGR142" s="22"/>
      <c r="CGS142" s="22"/>
      <c r="CGT142" s="22"/>
      <c r="CGU142" s="22"/>
      <c r="CGV142" s="22"/>
      <c r="CGW142" s="22"/>
      <c r="CGX142" s="22"/>
      <c r="CGY142" s="22"/>
      <c r="CGZ142" s="22"/>
      <c r="CHA142" s="22"/>
      <c r="CHB142" s="22"/>
      <c r="CHC142" s="22"/>
      <c r="CHD142" s="22"/>
      <c r="CHE142" s="22"/>
      <c r="CHF142" s="22"/>
      <c r="CHG142" s="22"/>
      <c r="CHH142" s="22"/>
      <c r="CHI142" s="22"/>
      <c r="CHJ142" s="22"/>
      <c r="CHK142" s="22"/>
      <c r="CHL142" s="22"/>
      <c r="CHM142" s="22"/>
      <c r="CHN142" s="22"/>
      <c r="CHO142" s="22"/>
      <c r="CHP142" s="22"/>
      <c r="CHQ142" s="22"/>
      <c r="CHR142" s="22"/>
      <c r="CHS142" s="22"/>
      <c r="CHT142" s="22"/>
      <c r="CHU142" s="22"/>
      <c r="CHV142" s="22"/>
      <c r="CHW142" s="22"/>
      <c r="CHX142" s="22"/>
      <c r="CHY142" s="22"/>
      <c r="CHZ142" s="22"/>
      <c r="CIA142" s="22"/>
      <c r="CIB142" s="22"/>
      <c r="CIC142" s="22"/>
      <c r="CID142" s="22"/>
      <c r="CIE142" s="22"/>
      <c r="CIF142" s="22"/>
      <c r="CIG142" s="22"/>
      <c r="CIH142" s="22"/>
      <c r="CII142" s="22"/>
      <c r="CIJ142" s="22"/>
      <c r="CIK142" s="22"/>
      <c r="CIL142" s="22"/>
      <c r="CIM142" s="22"/>
      <c r="CIN142" s="22"/>
      <c r="CIO142" s="22"/>
      <c r="CIP142" s="22"/>
      <c r="CIQ142" s="22"/>
      <c r="CIR142" s="22"/>
      <c r="CIS142" s="22"/>
      <c r="CIT142" s="22"/>
      <c r="CIU142" s="22"/>
      <c r="CIV142" s="22"/>
      <c r="CIW142" s="22"/>
      <c r="CIX142" s="22"/>
      <c r="CIY142" s="22"/>
      <c r="CIZ142" s="22"/>
      <c r="CJA142" s="22"/>
      <c r="CJB142" s="22"/>
      <c r="CJC142" s="22"/>
      <c r="CJD142" s="22"/>
      <c r="CJE142" s="22"/>
      <c r="CJF142" s="22"/>
      <c r="CJG142" s="22"/>
      <c r="CJH142" s="22"/>
      <c r="CJI142" s="22"/>
      <c r="CJJ142" s="22"/>
      <c r="CJK142" s="22"/>
      <c r="CJL142" s="22"/>
      <c r="CJM142" s="22"/>
      <c r="CJN142" s="22"/>
      <c r="CJO142" s="22"/>
      <c r="CJP142" s="22"/>
      <c r="CJQ142" s="22"/>
      <c r="CJR142" s="22"/>
      <c r="CJS142" s="22"/>
      <c r="CJT142" s="22"/>
      <c r="CJU142" s="22"/>
      <c r="CJV142" s="22"/>
      <c r="CJW142" s="22"/>
      <c r="CJX142" s="22"/>
      <c r="CJY142" s="22"/>
      <c r="CJZ142" s="22"/>
      <c r="CKA142" s="22"/>
      <c r="CKB142" s="22"/>
      <c r="CKC142" s="22"/>
      <c r="CKD142" s="22"/>
      <c r="CKE142" s="22"/>
      <c r="CKF142" s="22"/>
      <c r="CKG142" s="22"/>
      <c r="CKH142" s="22"/>
      <c r="CKI142" s="22"/>
      <c r="CKJ142" s="22"/>
      <c r="CKK142" s="22"/>
      <c r="CKL142" s="22"/>
      <c r="CKM142" s="22"/>
      <c r="CKN142" s="22"/>
      <c r="CKO142" s="22"/>
      <c r="CKP142" s="22"/>
      <c r="CKQ142" s="22"/>
      <c r="CKR142" s="22"/>
      <c r="CKS142" s="22"/>
      <c r="CKT142" s="22"/>
      <c r="CKU142" s="22"/>
      <c r="CKV142" s="22"/>
      <c r="CKW142" s="22"/>
      <c r="CKX142" s="22"/>
      <c r="CKY142" s="22"/>
      <c r="CKZ142" s="22"/>
      <c r="CLA142" s="22"/>
      <c r="CLB142" s="22"/>
      <c r="CLC142" s="22"/>
      <c r="CLD142" s="22"/>
      <c r="CLE142" s="22"/>
      <c r="CLF142" s="22"/>
      <c r="CLG142" s="22"/>
      <c r="CLH142" s="22"/>
      <c r="CLI142" s="22"/>
      <c r="CLJ142" s="22"/>
      <c r="CLK142" s="22"/>
      <c r="CLL142" s="22"/>
      <c r="CLM142" s="22"/>
      <c r="CLN142" s="22"/>
      <c r="CLO142" s="22"/>
      <c r="CLP142" s="22"/>
      <c r="CLQ142" s="22"/>
      <c r="CLR142" s="22"/>
      <c r="CLS142" s="22"/>
      <c r="CLT142" s="22"/>
      <c r="CLU142" s="22"/>
      <c r="CLV142" s="22"/>
      <c r="CLW142" s="22"/>
      <c r="CLX142" s="22"/>
      <c r="CLY142" s="22"/>
      <c r="CLZ142" s="22"/>
      <c r="CMA142" s="22"/>
      <c r="CMB142" s="22"/>
      <c r="CMC142" s="22"/>
      <c r="CMD142" s="22"/>
      <c r="CME142" s="22"/>
      <c r="CMF142" s="22"/>
      <c r="CMG142" s="22"/>
      <c r="CMH142" s="22"/>
      <c r="CMI142" s="22"/>
      <c r="CMJ142" s="22"/>
      <c r="CMK142" s="22"/>
      <c r="CML142" s="22"/>
      <c r="CMM142" s="22"/>
      <c r="CMN142" s="22"/>
      <c r="CMO142" s="22"/>
      <c r="CMP142" s="22"/>
      <c r="CMQ142" s="22"/>
      <c r="CMR142" s="22"/>
      <c r="CMS142" s="22"/>
      <c r="CMT142" s="22"/>
      <c r="CMU142" s="22"/>
      <c r="CMV142" s="22"/>
      <c r="CMW142" s="22"/>
      <c r="CMX142" s="22"/>
      <c r="CMY142" s="22"/>
      <c r="CMZ142" s="22"/>
      <c r="CNA142" s="22"/>
      <c r="CNB142" s="22"/>
      <c r="CNC142" s="22"/>
      <c r="CND142" s="22"/>
      <c r="CNE142" s="22"/>
      <c r="CNF142" s="22"/>
      <c r="CNG142" s="22"/>
      <c r="CNH142" s="22"/>
      <c r="CNI142" s="22"/>
      <c r="CNJ142" s="22"/>
      <c r="CNK142" s="22"/>
      <c r="CNL142" s="22"/>
      <c r="CNM142" s="22"/>
      <c r="CNN142" s="22"/>
      <c r="CNO142" s="22"/>
      <c r="CNP142" s="22"/>
      <c r="CNQ142" s="22"/>
      <c r="CNR142" s="22"/>
      <c r="CNS142" s="22"/>
      <c r="CNT142" s="22"/>
      <c r="CNU142" s="22"/>
      <c r="CNV142" s="22"/>
      <c r="CNW142" s="22"/>
      <c r="CNX142" s="22"/>
      <c r="CNY142" s="22"/>
      <c r="CNZ142" s="22"/>
      <c r="COA142" s="22"/>
      <c r="COB142" s="22"/>
      <c r="COC142" s="22"/>
      <c r="COD142" s="22"/>
      <c r="COE142" s="22"/>
      <c r="COF142" s="22"/>
      <c r="COG142" s="22"/>
      <c r="COH142" s="22"/>
      <c r="COI142" s="22"/>
      <c r="COJ142" s="22"/>
      <c r="COK142" s="22"/>
      <c r="COL142" s="22"/>
      <c r="COM142" s="22"/>
      <c r="CON142" s="22"/>
      <c r="COO142" s="22"/>
      <c r="COP142" s="22"/>
      <c r="COQ142" s="22"/>
      <c r="COR142" s="22"/>
      <c r="COS142" s="22"/>
      <c r="COT142" s="22"/>
      <c r="COU142" s="22"/>
      <c r="COV142" s="22"/>
      <c r="COW142" s="22"/>
      <c r="COX142" s="22"/>
      <c r="COY142" s="22"/>
      <c r="COZ142" s="22"/>
      <c r="CPA142" s="22"/>
      <c r="CPB142" s="22"/>
      <c r="CPC142" s="22"/>
      <c r="CPD142" s="22"/>
      <c r="CPE142" s="22"/>
      <c r="CPF142" s="22"/>
      <c r="CPG142" s="22"/>
      <c r="CPH142" s="22"/>
      <c r="CPI142" s="22"/>
      <c r="CPJ142" s="22"/>
      <c r="CPK142" s="22"/>
      <c r="CPL142" s="22"/>
      <c r="CPM142" s="22"/>
      <c r="CPN142" s="22"/>
      <c r="CPO142" s="22"/>
      <c r="CPP142" s="22"/>
      <c r="CPQ142" s="22"/>
      <c r="CPR142" s="22"/>
      <c r="CPS142" s="22"/>
      <c r="CPT142" s="22"/>
      <c r="CPU142" s="22"/>
      <c r="CPV142" s="22"/>
      <c r="CPW142" s="22"/>
      <c r="CPX142" s="22"/>
      <c r="CPY142" s="22"/>
      <c r="CPZ142" s="22"/>
      <c r="CQA142" s="22"/>
      <c r="CQB142" s="22"/>
      <c r="CQC142" s="22"/>
      <c r="CQD142" s="22"/>
      <c r="CQE142" s="22"/>
      <c r="CQF142" s="22"/>
      <c r="CQG142" s="22"/>
      <c r="CQH142" s="22"/>
      <c r="CQI142" s="22"/>
      <c r="CQJ142" s="22"/>
      <c r="CQK142" s="22"/>
      <c r="CQL142" s="22"/>
      <c r="CQM142" s="22"/>
      <c r="CQN142" s="22"/>
      <c r="CQO142" s="22"/>
      <c r="CQP142" s="22"/>
      <c r="CQQ142" s="22"/>
      <c r="CQR142" s="22"/>
      <c r="CQS142" s="22"/>
      <c r="CQT142" s="22"/>
      <c r="CQU142" s="22"/>
      <c r="CQV142" s="22"/>
      <c r="CQW142" s="22"/>
      <c r="CQX142" s="22"/>
      <c r="CQY142" s="22"/>
      <c r="CQZ142" s="22"/>
      <c r="CRA142" s="22"/>
      <c r="CRB142" s="22"/>
      <c r="CRC142" s="22"/>
      <c r="CRD142" s="22"/>
      <c r="CRE142" s="22"/>
      <c r="CRF142" s="22"/>
      <c r="CRG142" s="22"/>
      <c r="CRH142" s="22"/>
      <c r="CRI142" s="22"/>
      <c r="CRJ142" s="22"/>
      <c r="CRK142" s="22"/>
      <c r="CRL142" s="22"/>
      <c r="CRM142" s="22"/>
      <c r="CRN142" s="22"/>
      <c r="CRO142" s="22"/>
      <c r="CRP142" s="22"/>
      <c r="CRQ142" s="22"/>
      <c r="CRR142" s="22"/>
      <c r="CRS142" s="22"/>
      <c r="CRT142" s="22"/>
      <c r="CRU142" s="22"/>
      <c r="CRV142" s="22"/>
      <c r="CRW142" s="22"/>
      <c r="CRX142" s="22"/>
      <c r="CRY142" s="22"/>
      <c r="CRZ142" s="22"/>
      <c r="CSA142" s="22"/>
      <c r="CSB142" s="22"/>
      <c r="CSC142" s="22"/>
      <c r="CSD142" s="22"/>
      <c r="CSE142" s="22"/>
      <c r="CSF142" s="22"/>
      <c r="CSG142" s="22"/>
      <c r="CSH142" s="22"/>
      <c r="CSI142" s="22"/>
      <c r="CSJ142" s="22"/>
      <c r="CSK142" s="22"/>
      <c r="CSL142" s="22"/>
      <c r="CSM142" s="22"/>
      <c r="CSN142" s="22"/>
      <c r="CSO142" s="22"/>
      <c r="CSP142" s="22"/>
      <c r="CSQ142" s="22"/>
      <c r="CSR142" s="22"/>
      <c r="CSS142" s="22"/>
      <c r="CST142" s="22"/>
      <c r="CSU142" s="22"/>
      <c r="CSV142" s="22"/>
      <c r="CSW142" s="22"/>
      <c r="CSX142" s="22"/>
      <c r="CSY142" s="22"/>
      <c r="CSZ142" s="22"/>
      <c r="CTA142" s="22"/>
      <c r="CTB142" s="22"/>
      <c r="CTC142" s="22"/>
      <c r="CTD142" s="22"/>
      <c r="CTE142" s="22"/>
      <c r="CTF142" s="22"/>
      <c r="CTG142" s="22"/>
      <c r="CTH142" s="22"/>
      <c r="CTI142" s="22"/>
      <c r="CTJ142" s="22"/>
      <c r="CTK142" s="22"/>
      <c r="CTL142" s="22"/>
      <c r="CTM142" s="22"/>
      <c r="CTN142" s="22"/>
      <c r="CTO142" s="22"/>
      <c r="CTP142" s="22"/>
      <c r="CTQ142" s="22"/>
      <c r="CTR142" s="22"/>
      <c r="CTS142" s="22"/>
      <c r="CTT142" s="22"/>
      <c r="CTU142" s="22"/>
      <c r="CTV142" s="22"/>
      <c r="CTW142" s="22"/>
      <c r="CTX142" s="22"/>
      <c r="CTY142" s="22"/>
      <c r="CTZ142" s="22"/>
      <c r="CUA142" s="22"/>
      <c r="CUB142" s="22"/>
      <c r="CUC142" s="22"/>
      <c r="CUD142" s="22"/>
      <c r="CUE142" s="22"/>
      <c r="CUF142" s="22"/>
      <c r="CUG142" s="22"/>
      <c r="CUH142" s="22"/>
      <c r="CUI142" s="22"/>
      <c r="CUJ142" s="22"/>
      <c r="CUK142" s="22"/>
      <c r="CUL142" s="22"/>
      <c r="CUM142" s="22"/>
      <c r="CUN142" s="22"/>
      <c r="CUO142" s="22"/>
      <c r="CUP142" s="22"/>
      <c r="CUQ142" s="22"/>
      <c r="CUR142" s="22"/>
      <c r="CUS142" s="22"/>
      <c r="CUT142" s="22"/>
      <c r="CUU142" s="22"/>
      <c r="CUV142" s="22"/>
      <c r="CUW142" s="22"/>
      <c r="CUX142" s="22"/>
      <c r="CUY142" s="22"/>
      <c r="CUZ142" s="22"/>
      <c r="CVA142" s="22"/>
      <c r="CVB142" s="22"/>
      <c r="CVC142" s="22"/>
      <c r="CVD142" s="22"/>
      <c r="CVE142" s="22"/>
      <c r="CVF142" s="22"/>
      <c r="CVG142" s="22"/>
      <c r="CVH142" s="22"/>
      <c r="CVI142" s="22"/>
      <c r="CVJ142" s="22"/>
      <c r="CVK142" s="22"/>
      <c r="CVL142" s="22"/>
      <c r="CVM142" s="22"/>
      <c r="CVN142" s="22"/>
      <c r="CVO142" s="22"/>
      <c r="CVP142" s="22"/>
      <c r="CVQ142" s="22"/>
      <c r="CVR142" s="22"/>
      <c r="CVS142" s="22"/>
      <c r="CVT142" s="22"/>
      <c r="CVU142" s="22"/>
      <c r="CVV142" s="22"/>
      <c r="CVW142" s="22"/>
      <c r="CVX142" s="22"/>
      <c r="CVY142" s="22"/>
      <c r="CVZ142" s="22"/>
      <c r="CWA142" s="22"/>
      <c r="CWB142" s="22"/>
      <c r="CWC142" s="22"/>
      <c r="CWD142" s="22"/>
      <c r="CWE142" s="22"/>
      <c r="CWF142" s="22"/>
      <c r="CWG142" s="22"/>
      <c r="CWH142" s="22"/>
      <c r="CWI142" s="22"/>
      <c r="CWJ142" s="22"/>
      <c r="CWK142" s="22"/>
      <c r="CWL142" s="22"/>
      <c r="CWM142" s="22"/>
      <c r="CWN142" s="22"/>
      <c r="CWO142" s="22"/>
      <c r="CWP142" s="22"/>
      <c r="CWQ142" s="22"/>
      <c r="CWR142" s="22"/>
      <c r="CWS142" s="22"/>
      <c r="CWT142" s="22"/>
      <c r="CWU142" s="22"/>
      <c r="CWV142" s="22"/>
      <c r="CWW142" s="22"/>
      <c r="CWX142" s="22"/>
      <c r="CWY142" s="22"/>
      <c r="CWZ142" s="22"/>
      <c r="CXA142" s="22"/>
      <c r="CXB142" s="22"/>
      <c r="CXC142" s="22"/>
      <c r="CXD142" s="22"/>
      <c r="CXE142" s="22"/>
      <c r="CXF142" s="22"/>
      <c r="CXG142" s="22"/>
      <c r="CXH142" s="22"/>
      <c r="CXI142" s="22"/>
      <c r="CXJ142" s="22"/>
      <c r="CXK142" s="22"/>
      <c r="CXL142" s="22"/>
      <c r="CXM142" s="22"/>
      <c r="CXN142" s="22"/>
      <c r="CXO142" s="22"/>
      <c r="CXP142" s="22"/>
      <c r="CXQ142" s="22"/>
      <c r="CXR142" s="22"/>
      <c r="CXS142" s="22"/>
      <c r="CXT142" s="22"/>
      <c r="CXU142" s="22"/>
      <c r="CXV142" s="22"/>
      <c r="CXW142" s="22"/>
      <c r="CXX142" s="22"/>
      <c r="CXY142" s="22"/>
      <c r="CXZ142" s="22"/>
      <c r="CYA142" s="22"/>
      <c r="CYB142" s="22"/>
      <c r="CYC142" s="22"/>
      <c r="CYD142" s="22"/>
      <c r="CYE142" s="22"/>
      <c r="CYF142" s="22"/>
      <c r="CYG142" s="22"/>
      <c r="CYH142" s="22"/>
      <c r="CYI142" s="22"/>
      <c r="CYJ142" s="22"/>
      <c r="CYK142" s="22"/>
      <c r="CYL142" s="22"/>
      <c r="CYM142" s="22"/>
      <c r="CYN142" s="22"/>
      <c r="CYO142" s="22"/>
      <c r="CYP142" s="22"/>
      <c r="CYQ142" s="22"/>
      <c r="CYR142" s="22"/>
      <c r="CYS142" s="22"/>
      <c r="CYT142" s="22"/>
      <c r="CYU142" s="22"/>
      <c r="CYV142" s="22"/>
      <c r="CYW142" s="22"/>
      <c r="CYX142" s="22"/>
      <c r="CYY142" s="22"/>
      <c r="CYZ142" s="22"/>
      <c r="CZA142" s="22"/>
      <c r="CZB142" s="22"/>
      <c r="CZC142" s="22"/>
      <c r="CZD142" s="22"/>
      <c r="CZE142" s="22"/>
      <c r="CZF142" s="22"/>
      <c r="CZG142" s="22"/>
      <c r="CZH142" s="22"/>
      <c r="CZI142" s="22"/>
      <c r="CZJ142" s="22"/>
      <c r="CZK142" s="22"/>
      <c r="CZL142" s="22"/>
      <c r="CZM142" s="22"/>
      <c r="CZN142" s="22"/>
      <c r="CZO142" s="22"/>
      <c r="CZP142" s="22"/>
      <c r="CZQ142" s="22"/>
      <c r="CZR142" s="22"/>
      <c r="CZS142" s="22"/>
      <c r="CZT142" s="22"/>
      <c r="CZU142" s="22"/>
      <c r="CZV142" s="22"/>
      <c r="CZW142" s="22"/>
      <c r="CZX142" s="22"/>
      <c r="CZY142" s="22"/>
      <c r="CZZ142" s="22"/>
      <c r="DAA142" s="22"/>
      <c r="DAB142" s="22"/>
      <c r="DAC142" s="22"/>
      <c r="DAD142" s="22"/>
      <c r="DAE142" s="22"/>
      <c r="DAF142" s="22"/>
      <c r="DAG142" s="22"/>
      <c r="DAH142" s="22"/>
      <c r="DAI142" s="22"/>
      <c r="DAJ142" s="22"/>
      <c r="DAK142" s="22"/>
      <c r="DAL142" s="22"/>
      <c r="DAM142" s="22"/>
      <c r="DAN142" s="22"/>
      <c r="DAO142" s="22"/>
      <c r="DAP142" s="22"/>
      <c r="DAQ142" s="22"/>
      <c r="DAR142" s="22"/>
      <c r="DAS142" s="22"/>
      <c r="DAT142" s="22"/>
      <c r="DAU142" s="22"/>
      <c r="DAV142" s="22"/>
      <c r="DAW142" s="22"/>
      <c r="DAX142" s="22"/>
      <c r="DAY142" s="22"/>
      <c r="DAZ142" s="22"/>
      <c r="DBA142" s="22"/>
      <c r="DBB142" s="22"/>
      <c r="DBC142" s="22"/>
      <c r="DBD142" s="22"/>
      <c r="DBE142" s="22"/>
      <c r="DBF142" s="22"/>
      <c r="DBG142" s="22"/>
      <c r="DBH142" s="22"/>
      <c r="DBI142" s="22"/>
      <c r="DBJ142" s="22"/>
      <c r="DBK142" s="22"/>
      <c r="DBL142" s="22"/>
      <c r="DBM142" s="22"/>
      <c r="DBN142" s="22"/>
      <c r="DBO142" s="22"/>
      <c r="DBP142" s="22"/>
      <c r="DBQ142" s="22"/>
      <c r="DBR142" s="22"/>
      <c r="DBS142" s="22"/>
      <c r="DBT142" s="22"/>
      <c r="DBU142" s="22"/>
      <c r="DBV142" s="22"/>
      <c r="DBW142" s="22"/>
      <c r="DBX142" s="22"/>
      <c r="DBY142" s="22"/>
      <c r="DBZ142" s="22"/>
      <c r="DCA142" s="22"/>
      <c r="DCB142" s="22"/>
      <c r="DCC142" s="22"/>
      <c r="DCD142" s="22"/>
      <c r="DCE142" s="22"/>
      <c r="DCF142" s="22"/>
      <c r="DCG142" s="22"/>
      <c r="DCH142" s="22"/>
      <c r="DCI142" s="22"/>
      <c r="DCJ142" s="22"/>
      <c r="DCK142" s="22"/>
      <c r="DCL142" s="22"/>
      <c r="DCM142" s="22"/>
      <c r="DCN142" s="22"/>
      <c r="DCO142" s="22"/>
      <c r="DCP142" s="22"/>
      <c r="DCQ142" s="22"/>
      <c r="DCR142" s="22"/>
      <c r="DCS142" s="22"/>
      <c r="DCT142" s="22"/>
      <c r="DCU142" s="22"/>
      <c r="DCV142" s="22"/>
      <c r="DCW142" s="22"/>
      <c r="DCX142" s="22"/>
      <c r="DCY142" s="22"/>
      <c r="DCZ142" s="22"/>
      <c r="DDA142" s="22"/>
      <c r="DDB142" s="22"/>
      <c r="DDC142" s="22"/>
      <c r="DDD142" s="22"/>
      <c r="DDE142" s="22"/>
      <c r="DDF142" s="22"/>
      <c r="DDG142" s="22"/>
      <c r="DDH142" s="22"/>
      <c r="DDI142" s="22"/>
      <c r="DDJ142" s="22"/>
      <c r="DDK142" s="22"/>
      <c r="DDL142" s="22"/>
      <c r="DDM142" s="22"/>
      <c r="DDN142" s="22"/>
      <c r="DDO142" s="22"/>
      <c r="DDP142" s="22"/>
      <c r="DDQ142" s="22"/>
      <c r="DDR142" s="22"/>
      <c r="DDS142" s="22"/>
      <c r="DDT142" s="22"/>
      <c r="DDU142" s="22"/>
      <c r="DDV142" s="22"/>
      <c r="DDW142" s="22"/>
      <c r="DDX142" s="22"/>
      <c r="DDY142" s="22"/>
      <c r="DDZ142" s="22"/>
      <c r="DEA142" s="22"/>
      <c r="DEB142" s="22"/>
      <c r="DEC142" s="22"/>
      <c r="DED142" s="22"/>
      <c r="DEE142" s="22"/>
      <c r="DEF142" s="22"/>
      <c r="DEG142" s="22"/>
      <c r="DEH142" s="22"/>
      <c r="DEI142" s="22"/>
      <c r="DEJ142" s="22"/>
      <c r="DEK142" s="22"/>
      <c r="DEL142" s="22"/>
      <c r="DEM142" s="22"/>
      <c r="DEN142" s="22"/>
      <c r="DEO142" s="22"/>
      <c r="DEP142" s="22"/>
      <c r="DEQ142" s="22"/>
      <c r="DER142" s="22"/>
      <c r="DES142" s="22"/>
      <c r="DET142" s="22"/>
      <c r="DEU142" s="22"/>
      <c r="DEV142" s="22"/>
      <c r="DEW142" s="22"/>
      <c r="DEX142" s="22"/>
      <c r="DEY142" s="22"/>
      <c r="DEZ142" s="22"/>
      <c r="DFA142" s="22"/>
      <c r="DFB142" s="22"/>
      <c r="DFC142" s="22"/>
      <c r="DFD142" s="22"/>
      <c r="DFE142" s="22"/>
      <c r="DFF142" s="22"/>
      <c r="DFG142" s="22"/>
      <c r="DFH142" s="22"/>
      <c r="DFI142" s="22"/>
      <c r="DFJ142" s="22"/>
      <c r="DFK142" s="22"/>
      <c r="DFL142" s="22"/>
      <c r="DFM142" s="22"/>
      <c r="DFN142" s="22"/>
      <c r="DFO142" s="22"/>
      <c r="DFP142" s="22"/>
      <c r="DFQ142" s="22"/>
      <c r="DFR142" s="22"/>
      <c r="DFS142" s="22"/>
      <c r="DFT142" s="22"/>
      <c r="DFU142" s="22"/>
      <c r="DFV142" s="22"/>
      <c r="DFW142" s="22"/>
      <c r="DFX142" s="22"/>
      <c r="DFY142" s="22"/>
      <c r="DFZ142" s="22"/>
      <c r="DGA142" s="22"/>
      <c r="DGB142" s="22"/>
      <c r="DGC142" s="22"/>
      <c r="DGD142" s="22"/>
      <c r="DGE142" s="22"/>
      <c r="DGF142" s="22"/>
      <c r="DGG142" s="22"/>
      <c r="DGH142" s="22"/>
      <c r="DGI142" s="22"/>
      <c r="DGJ142" s="22"/>
      <c r="DGK142" s="22"/>
      <c r="DGL142" s="22"/>
      <c r="DGM142" s="22"/>
      <c r="DGN142" s="22"/>
      <c r="DGO142" s="22"/>
      <c r="DGP142" s="22"/>
      <c r="DGQ142" s="22"/>
      <c r="DGR142" s="22"/>
      <c r="DGS142" s="22"/>
      <c r="DGT142" s="22"/>
      <c r="DGU142" s="22"/>
      <c r="DGV142" s="22"/>
      <c r="DGW142" s="22"/>
      <c r="DGX142" s="22"/>
      <c r="DGY142" s="22"/>
      <c r="DGZ142" s="22"/>
      <c r="DHA142" s="22"/>
      <c r="DHB142" s="22"/>
      <c r="DHC142" s="22"/>
      <c r="DHD142" s="22"/>
      <c r="DHE142" s="22"/>
      <c r="DHF142" s="22"/>
      <c r="DHG142" s="22"/>
      <c r="DHH142" s="22"/>
      <c r="DHI142" s="22"/>
      <c r="DHJ142" s="22"/>
      <c r="DHK142" s="22"/>
      <c r="DHL142" s="22"/>
      <c r="DHM142" s="22"/>
      <c r="DHN142" s="22"/>
      <c r="DHO142" s="22"/>
      <c r="DHP142" s="22"/>
      <c r="DHQ142" s="22"/>
      <c r="DHR142" s="22"/>
      <c r="DHS142" s="22"/>
      <c r="DHT142" s="22"/>
      <c r="DHU142" s="22"/>
      <c r="DHV142" s="22"/>
      <c r="DHW142" s="22"/>
      <c r="DHX142" s="22"/>
      <c r="DHY142" s="22"/>
      <c r="DHZ142" s="22"/>
      <c r="DIA142" s="22"/>
      <c r="DIB142" s="22"/>
      <c r="DIC142" s="22"/>
      <c r="DID142" s="22"/>
      <c r="DIE142" s="22"/>
      <c r="DIF142" s="22"/>
      <c r="DIG142" s="22"/>
      <c r="DIH142" s="22"/>
      <c r="DII142" s="22"/>
      <c r="DIJ142" s="22"/>
      <c r="DIK142" s="22"/>
      <c r="DIL142" s="22"/>
      <c r="DIM142" s="22"/>
      <c r="DIN142" s="22"/>
      <c r="DIO142" s="22"/>
      <c r="DIP142" s="22"/>
      <c r="DIQ142" s="22"/>
      <c r="DIR142" s="22"/>
      <c r="DIS142" s="22"/>
      <c r="DIT142" s="22"/>
      <c r="DIU142" s="22"/>
      <c r="DIV142" s="22"/>
      <c r="DIW142" s="22"/>
      <c r="DIX142" s="22"/>
      <c r="DIY142" s="22"/>
      <c r="DIZ142" s="22"/>
      <c r="DJA142" s="22"/>
      <c r="DJB142" s="22"/>
      <c r="DJC142" s="22"/>
      <c r="DJD142" s="22"/>
      <c r="DJE142" s="22"/>
      <c r="DJF142" s="22"/>
      <c r="DJG142" s="22"/>
      <c r="DJH142" s="22"/>
      <c r="DJI142" s="22"/>
      <c r="DJJ142" s="22"/>
      <c r="DJK142" s="22"/>
      <c r="DJL142" s="22"/>
      <c r="DJM142" s="22"/>
      <c r="DJN142" s="22"/>
      <c r="DJO142" s="22"/>
      <c r="DJP142" s="22"/>
      <c r="DJQ142" s="22"/>
      <c r="DJR142" s="22"/>
      <c r="DJS142" s="22"/>
      <c r="DJT142" s="22"/>
      <c r="DJU142" s="22"/>
      <c r="DJV142" s="22"/>
      <c r="DJW142" s="22"/>
      <c r="DJX142" s="22"/>
      <c r="DJY142" s="22"/>
      <c r="DJZ142" s="22"/>
      <c r="DKA142" s="22"/>
      <c r="DKB142" s="22"/>
      <c r="DKC142" s="22"/>
      <c r="DKD142" s="22"/>
      <c r="DKE142" s="22"/>
      <c r="DKF142" s="22"/>
      <c r="DKG142" s="22"/>
      <c r="DKH142" s="22"/>
      <c r="DKI142" s="22"/>
      <c r="DKJ142" s="22"/>
      <c r="DKK142" s="22"/>
      <c r="DKL142" s="22"/>
      <c r="DKM142" s="22"/>
      <c r="DKN142" s="22"/>
      <c r="DKO142" s="22"/>
      <c r="DKP142" s="22"/>
      <c r="DKQ142" s="22"/>
      <c r="DKR142" s="22"/>
      <c r="DKS142" s="22"/>
      <c r="DKT142" s="22"/>
      <c r="DKU142" s="22"/>
      <c r="DKV142" s="22"/>
      <c r="DKW142" s="22"/>
      <c r="DKX142" s="22"/>
      <c r="DKY142" s="22"/>
      <c r="DKZ142" s="22"/>
      <c r="DLA142" s="22"/>
      <c r="DLB142" s="22"/>
      <c r="DLC142" s="22"/>
      <c r="DLD142" s="22"/>
      <c r="DLE142" s="22"/>
      <c r="DLF142" s="22"/>
      <c r="DLG142" s="22"/>
      <c r="DLH142" s="22"/>
      <c r="DLI142" s="22"/>
      <c r="DLJ142" s="22"/>
      <c r="DLK142" s="22"/>
      <c r="DLL142" s="22"/>
      <c r="DLM142" s="22"/>
      <c r="DLN142" s="22"/>
      <c r="DLO142" s="22"/>
      <c r="DLP142" s="22"/>
      <c r="DLQ142" s="22"/>
      <c r="DLR142" s="22"/>
      <c r="DLS142" s="22"/>
      <c r="DLT142" s="22"/>
      <c r="DLU142" s="22"/>
      <c r="DLV142" s="22"/>
      <c r="DLW142" s="22"/>
      <c r="DLX142" s="22"/>
      <c r="DLY142" s="22"/>
      <c r="DLZ142" s="22"/>
      <c r="DMA142" s="22"/>
      <c r="DMB142" s="22"/>
      <c r="DMC142" s="22"/>
      <c r="DMD142" s="22"/>
      <c r="DME142" s="22"/>
      <c r="DMF142" s="22"/>
      <c r="DMG142" s="22"/>
      <c r="DMH142" s="22"/>
      <c r="DMI142" s="22"/>
      <c r="DMJ142" s="22"/>
      <c r="DMK142" s="22"/>
      <c r="DML142" s="22"/>
      <c r="DMM142" s="22"/>
      <c r="DMN142" s="22"/>
      <c r="DMO142" s="22"/>
      <c r="DMP142" s="22"/>
      <c r="DMQ142" s="22"/>
      <c r="DMR142" s="22"/>
      <c r="DMS142" s="22"/>
      <c r="DMT142" s="22"/>
      <c r="DMU142" s="22"/>
      <c r="DMV142" s="22"/>
      <c r="DMW142" s="22"/>
      <c r="DMX142" s="22"/>
      <c r="DMY142" s="22"/>
      <c r="DMZ142" s="22"/>
      <c r="DNA142" s="22"/>
      <c r="DNB142" s="22"/>
      <c r="DNC142" s="22"/>
      <c r="DND142" s="22"/>
      <c r="DNE142" s="22"/>
      <c r="DNF142" s="22"/>
      <c r="DNG142" s="22"/>
      <c r="DNH142" s="22"/>
      <c r="DNI142" s="22"/>
      <c r="DNJ142" s="22"/>
      <c r="DNK142" s="22"/>
      <c r="DNL142" s="22"/>
      <c r="DNM142" s="22"/>
      <c r="DNN142" s="22"/>
      <c r="DNO142" s="22"/>
      <c r="DNP142" s="22"/>
      <c r="DNQ142" s="22"/>
      <c r="DNR142" s="22"/>
      <c r="DNS142" s="22"/>
      <c r="DNT142" s="22"/>
      <c r="DNU142" s="22"/>
      <c r="DNV142" s="22"/>
      <c r="DNW142" s="22"/>
      <c r="DNX142" s="22"/>
      <c r="DNY142" s="22"/>
      <c r="DNZ142" s="22"/>
      <c r="DOA142" s="22"/>
      <c r="DOB142" s="22"/>
      <c r="DOC142" s="22"/>
      <c r="DOD142" s="22"/>
      <c r="DOE142" s="22"/>
      <c r="DOF142" s="22"/>
      <c r="DOG142" s="22"/>
      <c r="DOH142" s="22"/>
      <c r="DOI142" s="22"/>
      <c r="DOJ142" s="22"/>
      <c r="DOK142" s="22"/>
      <c r="DOL142" s="22"/>
      <c r="DOM142" s="22"/>
      <c r="DON142" s="22"/>
      <c r="DOO142" s="22"/>
      <c r="DOP142" s="22"/>
      <c r="DOQ142" s="22"/>
      <c r="DOR142" s="22"/>
      <c r="DOS142" s="22"/>
      <c r="DOT142" s="22"/>
      <c r="DOU142" s="22"/>
      <c r="DOV142" s="22"/>
      <c r="DOW142" s="22"/>
      <c r="DOX142" s="22"/>
      <c r="DOY142" s="22"/>
      <c r="DOZ142" s="22"/>
      <c r="DPA142" s="22"/>
      <c r="DPB142" s="22"/>
      <c r="DPC142" s="22"/>
      <c r="DPD142" s="22"/>
      <c r="DPE142" s="22"/>
      <c r="DPF142" s="22"/>
      <c r="DPG142" s="22"/>
      <c r="DPH142" s="22"/>
      <c r="DPI142" s="22"/>
      <c r="DPJ142" s="22"/>
      <c r="DPK142" s="22"/>
      <c r="DPL142" s="22"/>
      <c r="DPM142" s="22"/>
      <c r="DPN142" s="22"/>
      <c r="DPO142" s="22"/>
      <c r="DPP142" s="22"/>
      <c r="DPQ142" s="22"/>
      <c r="DPR142" s="22"/>
      <c r="DPS142" s="22"/>
      <c r="DPT142" s="22"/>
      <c r="DPU142" s="22"/>
      <c r="DPV142" s="22"/>
      <c r="DPW142" s="22"/>
      <c r="DPX142" s="22"/>
      <c r="DPY142" s="22"/>
      <c r="DPZ142" s="22"/>
      <c r="DQA142" s="22"/>
      <c r="DQB142" s="22"/>
      <c r="DQC142" s="22"/>
      <c r="DQD142" s="22"/>
      <c r="DQE142" s="22"/>
      <c r="DQF142" s="22"/>
      <c r="DQG142" s="22"/>
      <c r="DQH142" s="22"/>
      <c r="DQI142" s="22"/>
      <c r="DQJ142" s="22"/>
      <c r="DQK142" s="22"/>
      <c r="DQL142" s="22"/>
      <c r="DQM142" s="22"/>
      <c r="DQN142" s="22"/>
      <c r="DQO142" s="22"/>
      <c r="DQP142" s="22"/>
      <c r="DQQ142" s="22"/>
      <c r="DQR142" s="22"/>
      <c r="DQS142" s="22"/>
      <c r="DQT142" s="22"/>
      <c r="DQU142" s="22"/>
      <c r="DQV142" s="22"/>
      <c r="DQW142" s="22"/>
      <c r="DQX142" s="22"/>
      <c r="DQY142" s="22"/>
      <c r="DQZ142" s="22"/>
      <c r="DRA142" s="22"/>
      <c r="DRB142" s="22"/>
      <c r="DRC142" s="22"/>
      <c r="DRD142" s="22"/>
      <c r="DRE142" s="22"/>
      <c r="DRF142" s="22"/>
      <c r="DRG142" s="22"/>
      <c r="DRH142" s="22"/>
      <c r="DRI142" s="22"/>
      <c r="DRJ142" s="22"/>
      <c r="DRK142" s="22"/>
      <c r="DRL142" s="22"/>
      <c r="DRM142" s="22"/>
      <c r="DRN142" s="22"/>
      <c r="DRO142" s="22"/>
      <c r="DRP142" s="22"/>
      <c r="DRQ142" s="22"/>
      <c r="DRR142" s="22"/>
      <c r="DRS142" s="22"/>
      <c r="DRT142" s="22"/>
      <c r="DRU142" s="22"/>
      <c r="DRV142" s="22"/>
      <c r="DRW142" s="22"/>
      <c r="DRX142" s="22"/>
      <c r="DRY142" s="22"/>
      <c r="DRZ142" s="22"/>
      <c r="DSA142" s="22"/>
      <c r="DSB142" s="22"/>
      <c r="DSC142" s="22"/>
      <c r="DSD142" s="22"/>
      <c r="DSE142" s="22"/>
      <c r="DSF142" s="22"/>
      <c r="DSG142" s="22"/>
      <c r="DSH142" s="22"/>
      <c r="DSI142" s="22"/>
      <c r="DSJ142" s="22"/>
      <c r="DSK142" s="22"/>
      <c r="DSL142" s="22"/>
      <c r="DSM142" s="22"/>
      <c r="DSN142" s="22"/>
      <c r="DSO142" s="22"/>
      <c r="DSP142" s="22"/>
      <c r="DSQ142" s="22"/>
      <c r="DSR142" s="22"/>
      <c r="DSS142" s="22"/>
      <c r="DST142" s="22"/>
      <c r="DSU142" s="22"/>
      <c r="DSV142" s="22"/>
      <c r="DSW142" s="22"/>
      <c r="DSX142" s="22"/>
      <c r="DSY142" s="22"/>
      <c r="DSZ142" s="22"/>
      <c r="DTA142" s="22"/>
      <c r="DTB142" s="22"/>
      <c r="DTC142" s="22"/>
      <c r="DTD142" s="22"/>
      <c r="DTE142" s="22"/>
      <c r="DTF142" s="22"/>
      <c r="DTG142" s="22"/>
      <c r="DTH142" s="22"/>
      <c r="DTI142" s="22"/>
      <c r="DTJ142" s="22"/>
      <c r="DTK142" s="22"/>
      <c r="DTL142" s="22"/>
      <c r="DTM142" s="22"/>
      <c r="DTN142" s="22"/>
      <c r="DTO142" s="22"/>
      <c r="DTP142" s="22"/>
      <c r="DTQ142" s="22"/>
      <c r="DTR142" s="22"/>
      <c r="DTS142" s="22"/>
      <c r="DTT142" s="22"/>
      <c r="DTU142" s="22"/>
      <c r="DTV142" s="22"/>
      <c r="DTW142" s="22"/>
      <c r="DTX142" s="22"/>
      <c r="DTY142" s="22"/>
      <c r="DTZ142" s="22"/>
      <c r="DUA142" s="22"/>
      <c r="DUB142" s="22"/>
      <c r="DUC142" s="22"/>
      <c r="DUD142" s="22"/>
      <c r="DUE142" s="22"/>
      <c r="DUF142" s="22"/>
      <c r="DUG142" s="22"/>
      <c r="DUH142" s="22"/>
      <c r="DUI142" s="22"/>
      <c r="DUJ142" s="22"/>
      <c r="DUK142" s="22"/>
      <c r="DUL142" s="22"/>
      <c r="DUM142" s="22"/>
      <c r="DUN142" s="22"/>
      <c r="DUO142" s="22"/>
      <c r="DUP142" s="22"/>
      <c r="DUQ142" s="22"/>
      <c r="DUR142" s="22"/>
      <c r="DUS142" s="22"/>
      <c r="DUT142" s="22"/>
      <c r="DUU142" s="22"/>
      <c r="DUV142" s="22"/>
      <c r="DUW142" s="22"/>
      <c r="DUX142" s="22"/>
      <c r="DUY142" s="22"/>
      <c r="DUZ142" s="22"/>
      <c r="DVA142" s="22"/>
      <c r="DVB142" s="22"/>
      <c r="DVC142" s="22"/>
      <c r="DVD142" s="22"/>
      <c r="DVE142" s="22"/>
      <c r="DVF142" s="22"/>
      <c r="DVG142" s="22"/>
      <c r="DVH142" s="22"/>
      <c r="DVI142" s="22"/>
      <c r="DVJ142" s="22"/>
      <c r="DVK142" s="22"/>
      <c r="DVL142" s="22"/>
      <c r="DVM142" s="22"/>
      <c r="DVN142" s="22"/>
      <c r="DVO142" s="22"/>
      <c r="DVP142" s="22"/>
      <c r="DVQ142" s="22"/>
      <c r="DVR142" s="22"/>
      <c r="DVS142" s="22"/>
      <c r="DVT142" s="22"/>
      <c r="DVU142" s="22"/>
      <c r="DVV142" s="22"/>
      <c r="DVW142" s="22"/>
      <c r="DVX142" s="22"/>
      <c r="DVY142" s="22"/>
      <c r="DVZ142" s="22"/>
      <c r="DWA142" s="22"/>
      <c r="DWB142" s="22"/>
      <c r="DWC142" s="22"/>
      <c r="DWD142" s="22"/>
      <c r="DWE142" s="22"/>
      <c r="DWF142" s="22"/>
      <c r="DWG142" s="22"/>
      <c r="DWH142" s="22"/>
      <c r="DWI142" s="22"/>
      <c r="DWJ142" s="22"/>
      <c r="DWK142" s="22"/>
      <c r="DWL142" s="22"/>
      <c r="DWM142" s="22"/>
      <c r="DWN142" s="22"/>
      <c r="DWO142" s="22"/>
      <c r="DWP142" s="22"/>
      <c r="DWQ142" s="22"/>
      <c r="DWR142" s="22"/>
      <c r="DWS142" s="22"/>
      <c r="DWT142" s="22"/>
      <c r="DWU142" s="22"/>
      <c r="DWV142" s="22"/>
      <c r="DWW142" s="22"/>
      <c r="DWX142" s="22"/>
      <c r="DWY142" s="22"/>
      <c r="DWZ142" s="22"/>
      <c r="DXA142" s="22"/>
      <c r="DXB142" s="22"/>
      <c r="DXC142" s="22"/>
      <c r="DXD142" s="22"/>
      <c r="DXE142" s="22"/>
      <c r="DXF142" s="22"/>
      <c r="DXG142" s="22"/>
      <c r="DXH142" s="22"/>
      <c r="DXI142" s="22"/>
      <c r="DXJ142" s="22"/>
      <c r="DXK142" s="22"/>
      <c r="DXL142" s="22"/>
      <c r="DXM142" s="22"/>
      <c r="DXN142" s="22"/>
      <c r="DXO142" s="22"/>
      <c r="DXP142" s="22"/>
      <c r="DXQ142" s="22"/>
      <c r="DXR142" s="22"/>
      <c r="DXS142" s="22"/>
      <c r="DXT142" s="22"/>
      <c r="DXU142" s="22"/>
      <c r="DXV142" s="22"/>
      <c r="DXW142" s="22"/>
      <c r="DXX142" s="22"/>
      <c r="DXY142" s="22"/>
      <c r="DXZ142" s="22"/>
      <c r="DYA142" s="22"/>
      <c r="DYB142" s="22"/>
      <c r="DYC142" s="22"/>
      <c r="DYD142" s="22"/>
      <c r="DYE142" s="22"/>
      <c r="DYF142" s="22"/>
      <c r="DYG142" s="22"/>
      <c r="DYH142" s="22"/>
      <c r="DYI142" s="22"/>
      <c r="DYJ142" s="22"/>
      <c r="DYK142" s="22"/>
      <c r="DYL142" s="22"/>
      <c r="DYM142" s="22"/>
      <c r="DYN142" s="22"/>
      <c r="DYO142" s="22"/>
      <c r="DYP142" s="22"/>
      <c r="DYQ142" s="22"/>
      <c r="DYR142" s="22"/>
      <c r="DYS142" s="22"/>
      <c r="DYT142" s="22"/>
      <c r="DYU142" s="22"/>
      <c r="DYV142" s="22"/>
      <c r="DYW142" s="22"/>
      <c r="DYX142" s="22"/>
      <c r="DYY142" s="22"/>
      <c r="DYZ142" s="22"/>
      <c r="DZA142" s="22"/>
      <c r="DZB142" s="22"/>
      <c r="DZC142" s="22"/>
      <c r="DZD142" s="22"/>
      <c r="DZE142" s="22"/>
      <c r="DZF142" s="22"/>
      <c r="DZG142" s="22"/>
      <c r="DZH142" s="22"/>
      <c r="DZI142" s="22"/>
      <c r="DZJ142" s="22"/>
      <c r="DZK142" s="22"/>
      <c r="DZL142" s="22"/>
      <c r="DZM142" s="22"/>
      <c r="DZN142" s="22"/>
      <c r="DZO142" s="22"/>
      <c r="DZP142" s="22"/>
      <c r="DZQ142" s="22"/>
      <c r="DZR142" s="22"/>
      <c r="DZS142" s="22"/>
      <c r="DZT142" s="22"/>
      <c r="DZU142" s="22"/>
      <c r="DZV142" s="22"/>
      <c r="DZW142" s="22"/>
      <c r="DZX142" s="22"/>
      <c r="DZY142" s="22"/>
      <c r="DZZ142" s="22"/>
      <c r="EAA142" s="22"/>
      <c r="EAB142" s="22"/>
      <c r="EAC142" s="22"/>
      <c r="EAD142" s="22"/>
      <c r="EAE142" s="22"/>
      <c r="EAF142" s="22"/>
      <c r="EAG142" s="22"/>
      <c r="EAH142" s="22"/>
      <c r="EAI142" s="22"/>
      <c r="EAJ142" s="22"/>
      <c r="EAK142" s="22"/>
      <c r="EAL142" s="22"/>
      <c r="EAM142" s="22"/>
      <c r="EAN142" s="22"/>
      <c r="EAO142" s="22"/>
      <c r="EAP142" s="22"/>
      <c r="EAQ142" s="22"/>
      <c r="EAR142" s="22"/>
      <c r="EAS142" s="22"/>
      <c r="EAT142" s="22"/>
      <c r="EAU142" s="22"/>
      <c r="EAV142" s="22"/>
      <c r="EAW142" s="22"/>
      <c r="EAX142" s="22"/>
      <c r="EAY142" s="22"/>
      <c r="EAZ142" s="22"/>
      <c r="EBA142" s="22"/>
      <c r="EBB142" s="22"/>
      <c r="EBC142" s="22"/>
      <c r="EBD142" s="22"/>
      <c r="EBE142" s="22"/>
      <c r="EBF142" s="22"/>
      <c r="EBG142" s="22"/>
      <c r="EBH142" s="22"/>
      <c r="EBI142" s="22"/>
      <c r="EBJ142" s="22"/>
      <c r="EBK142" s="22"/>
      <c r="EBL142" s="22"/>
      <c r="EBM142" s="22"/>
      <c r="EBN142" s="22"/>
      <c r="EBO142" s="22"/>
      <c r="EBP142" s="22"/>
      <c r="EBQ142" s="22"/>
      <c r="EBR142" s="22"/>
      <c r="EBS142" s="22"/>
      <c r="EBT142" s="22"/>
      <c r="EBU142" s="22"/>
      <c r="EBV142" s="22"/>
      <c r="EBW142" s="22"/>
      <c r="EBX142" s="22"/>
      <c r="EBY142" s="22"/>
      <c r="EBZ142" s="22"/>
      <c r="ECA142" s="22"/>
      <c r="ECB142" s="22"/>
      <c r="ECC142" s="22"/>
      <c r="ECD142" s="22"/>
      <c r="ECE142" s="22"/>
      <c r="ECF142" s="22"/>
      <c r="ECG142" s="22"/>
      <c r="ECH142" s="22"/>
      <c r="ECI142" s="22"/>
      <c r="ECJ142" s="22"/>
      <c r="ECK142" s="22"/>
      <c r="ECL142" s="22"/>
      <c r="ECM142" s="22"/>
      <c r="ECN142" s="22"/>
      <c r="ECO142" s="22"/>
      <c r="ECP142" s="22"/>
      <c r="ECQ142" s="22"/>
      <c r="ECR142" s="22"/>
      <c r="ECS142" s="22"/>
      <c r="ECT142" s="22"/>
      <c r="ECU142" s="22"/>
      <c r="ECV142" s="22"/>
      <c r="ECW142" s="22"/>
      <c r="ECX142" s="22"/>
      <c r="ECY142" s="22"/>
      <c r="ECZ142" s="22"/>
      <c r="EDA142" s="22"/>
      <c r="EDB142" s="22"/>
      <c r="EDC142" s="22"/>
      <c r="EDD142" s="22"/>
      <c r="EDE142" s="22"/>
      <c r="EDF142" s="22"/>
      <c r="EDG142" s="22"/>
      <c r="EDH142" s="22"/>
      <c r="EDI142" s="22"/>
      <c r="EDJ142" s="22"/>
      <c r="EDK142" s="22"/>
      <c r="EDL142" s="22"/>
      <c r="EDM142" s="22"/>
      <c r="EDN142" s="22"/>
      <c r="EDO142" s="22"/>
      <c r="EDP142" s="22"/>
      <c r="EDQ142" s="22"/>
      <c r="EDR142" s="22"/>
      <c r="EDS142" s="22"/>
      <c r="EDT142" s="22"/>
      <c r="EDU142" s="22"/>
      <c r="EDV142" s="22"/>
      <c r="EDW142" s="22"/>
      <c r="EDX142" s="22"/>
      <c r="EDY142" s="22"/>
      <c r="EDZ142" s="22"/>
      <c r="EEA142" s="22"/>
      <c r="EEB142" s="22"/>
      <c r="EEC142" s="22"/>
      <c r="EED142" s="22"/>
      <c r="EEE142" s="22"/>
      <c r="EEF142" s="22"/>
      <c r="EEG142" s="22"/>
      <c r="EEH142" s="22"/>
      <c r="EEI142" s="22"/>
      <c r="EEJ142" s="22"/>
      <c r="EEK142" s="22"/>
      <c r="EEL142" s="22"/>
      <c r="EEM142" s="22"/>
      <c r="EEN142" s="22"/>
      <c r="EEO142" s="22"/>
      <c r="EEP142" s="22"/>
      <c r="EEQ142" s="22"/>
      <c r="EER142" s="22"/>
      <c r="EES142" s="22"/>
      <c r="EET142" s="22"/>
      <c r="EEU142" s="22"/>
      <c r="EEV142" s="22"/>
      <c r="EEW142" s="22"/>
      <c r="EEX142" s="22"/>
      <c r="EEY142" s="22"/>
      <c r="EEZ142" s="22"/>
      <c r="EFA142" s="22"/>
      <c r="EFB142" s="22"/>
      <c r="EFC142" s="22"/>
      <c r="EFD142" s="22"/>
      <c r="EFE142" s="22"/>
      <c r="EFF142" s="22"/>
      <c r="EFG142" s="22"/>
      <c r="EFH142" s="22"/>
      <c r="EFI142" s="22"/>
      <c r="EFJ142" s="22"/>
      <c r="EFK142" s="22"/>
      <c r="EFL142" s="22"/>
      <c r="EFM142" s="22"/>
      <c r="EFN142" s="22"/>
      <c r="EFO142" s="22"/>
      <c r="EFP142" s="22"/>
      <c r="EFQ142" s="22"/>
      <c r="EFR142" s="22"/>
      <c r="EFS142" s="22"/>
      <c r="EFT142" s="22"/>
      <c r="EFU142" s="22"/>
      <c r="EFV142" s="22"/>
      <c r="EFW142" s="22"/>
      <c r="EFX142" s="22"/>
      <c r="EFY142" s="22"/>
      <c r="EFZ142" s="22"/>
      <c r="EGA142" s="22"/>
      <c r="EGB142" s="22"/>
      <c r="EGC142" s="22"/>
      <c r="EGD142" s="22"/>
      <c r="EGE142" s="22"/>
      <c r="EGF142" s="22"/>
      <c r="EGG142" s="22"/>
      <c r="EGH142" s="22"/>
      <c r="EGI142" s="22"/>
      <c r="EGJ142" s="22"/>
      <c r="EGK142" s="22"/>
      <c r="EGL142" s="22"/>
      <c r="EGM142" s="22"/>
      <c r="EGN142" s="22"/>
      <c r="EGO142" s="22"/>
      <c r="EGP142" s="22"/>
      <c r="EGQ142" s="22"/>
      <c r="EGR142" s="22"/>
      <c r="EGS142" s="22"/>
      <c r="EGT142" s="22"/>
      <c r="EGU142" s="22"/>
      <c r="EGV142" s="22"/>
      <c r="EGW142" s="22"/>
      <c r="EGX142" s="22"/>
      <c r="EGY142" s="22"/>
      <c r="EGZ142" s="22"/>
      <c r="EHA142" s="22"/>
      <c r="EHB142" s="22"/>
      <c r="EHC142" s="22"/>
      <c r="EHD142" s="22"/>
      <c r="EHE142" s="22"/>
      <c r="EHF142" s="22"/>
      <c r="EHG142" s="22"/>
      <c r="EHH142" s="22"/>
      <c r="EHI142" s="22"/>
      <c r="EHJ142" s="22"/>
      <c r="EHK142" s="22"/>
      <c r="EHL142" s="22"/>
      <c r="EHM142" s="22"/>
      <c r="EHN142" s="22"/>
      <c r="EHO142" s="22"/>
      <c r="EHP142" s="22"/>
      <c r="EHQ142" s="22"/>
      <c r="EHR142" s="22"/>
      <c r="EHS142" s="22"/>
      <c r="EHT142" s="22"/>
      <c r="EHU142" s="22"/>
      <c r="EHV142" s="22"/>
      <c r="EHW142" s="22"/>
      <c r="EHX142" s="22"/>
      <c r="EHY142" s="22"/>
      <c r="EHZ142" s="22"/>
      <c r="EIA142" s="22"/>
      <c r="EIB142" s="22"/>
      <c r="EIC142" s="22"/>
      <c r="EID142" s="22"/>
      <c r="EIE142" s="22"/>
      <c r="EIF142" s="22"/>
      <c r="EIG142" s="22"/>
      <c r="EIH142" s="22"/>
      <c r="EII142" s="22"/>
      <c r="EIJ142" s="22"/>
      <c r="EIK142" s="22"/>
      <c r="EIL142" s="22"/>
      <c r="EIM142" s="22"/>
      <c r="EIN142" s="22"/>
      <c r="EIO142" s="22"/>
      <c r="EIP142" s="22"/>
      <c r="EIQ142" s="22"/>
      <c r="EIR142" s="22"/>
      <c r="EIS142" s="22"/>
      <c r="EIT142" s="22"/>
      <c r="EIU142" s="22"/>
      <c r="EIV142" s="22"/>
      <c r="EIW142" s="22"/>
      <c r="EIX142" s="22"/>
      <c r="EIY142" s="22"/>
      <c r="EIZ142" s="22"/>
      <c r="EJA142" s="22"/>
      <c r="EJB142" s="22"/>
      <c r="EJC142" s="22"/>
      <c r="EJD142" s="22"/>
      <c r="EJE142" s="22"/>
      <c r="EJF142" s="22"/>
      <c r="EJG142" s="22"/>
      <c r="EJH142" s="22"/>
      <c r="EJI142" s="22"/>
      <c r="EJJ142" s="22"/>
      <c r="EJK142" s="22"/>
      <c r="EJL142" s="22"/>
      <c r="EJM142" s="22"/>
      <c r="EJN142" s="22"/>
      <c r="EJO142" s="22"/>
      <c r="EJP142" s="22"/>
      <c r="EJQ142" s="22"/>
      <c r="EJR142" s="22"/>
      <c r="EJS142" s="22"/>
      <c r="EJT142" s="22"/>
      <c r="EJU142" s="22"/>
      <c r="EJV142" s="22"/>
      <c r="EJW142" s="22"/>
      <c r="EJX142" s="22"/>
      <c r="EJY142" s="22"/>
      <c r="EJZ142" s="22"/>
      <c r="EKA142" s="22"/>
      <c r="EKB142" s="22"/>
      <c r="EKC142" s="22"/>
      <c r="EKD142" s="22"/>
      <c r="EKE142" s="22"/>
      <c r="EKF142" s="22"/>
      <c r="EKG142" s="22"/>
      <c r="EKH142" s="22"/>
      <c r="EKI142" s="22"/>
      <c r="EKJ142" s="22"/>
      <c r="EKK142" s="22"/>
      <c r="EKL142" s="22"/>
      <c r="EKM142" s="22"/>
      <c r="EKN142" s="22"/>
      <c r="EKO142" s="22"/>
      <c r="EKP142" s="22"/>
      <c r="EKQ142" s="22"/>
      <c r="EKR142" s="22"/>
      <c r="EKS142" s="22"/>
      <c r="EKT142" s="22"/>
      <c r="EKU142" s="22"/>
      <c r="EKV142" s="22"/>
      <c r="EKW142" s="22"/>
      <c r="EKX142" s="22"/>
      <c r="EKY142" s="22"/>
      <c r="EKZ142" s="22"/>
      <c r="ELA142" s="22"/>
      <c r="ELB142" s="22"/>
      <c r="ELC142" s="22"/>
      <c r="ELD142" s="22"/>
      <c r="ELE142" s="22"/>
      <c r="ELF142" s="22"/>
      <c r="ELG142" s="22"/>
      <c r="ELH142" s="22"/>
      <c r="ELI142" s="22"/>
      <c r="ELJ142" s="22"/>
      <c r="ELK142" s="22"/>
      <c r="ELL142" s="22"/>
      <c r="ELM142" s="22"/>
      <c r="ELN142" s="22"/>
      <c r="ELO142" s="22"/>
      <c r="ELP142" s="22"/>
      <c r="ELQ142" s="22"/>
      <c r="ELR142" s="22"/>
      <c r="ELS142" s="22"/>
      <c r="ELT142" s="22"/>
      <c r="ELU142" s="22"/>
      <c r="ELV142" s="22"/>
      <c r="ELW142" s="22"/>
      <c r="ELX142" s="22"/>
      <c r="ELY142" s="22"/>
      <c r="ELZ142" s="22"/>
      <c r="EMA142" s="22"/>
      <c r="EMB142" s="22"/>
      <c r="EMC142" s="22"/>
      <c r="EMD142" s="22"/>
      <c r="EME142" s="22"/>
      <c r="EMF142" s="22"/>
      <c r="EMG142" s="22"/>
      <c r="EMH142" s="22"/>
      <c r="EMI142" s="22"/>
      <c r="EMJ142" s="22"/>
      <c r="EMK142" s="22"/>
      <c r="EML142" s="22"/>
      <c r="EMM142" s="22"/>
      <c r="EMN142" s="22"/>
      <c r="EMO142" s="22"/>
      <c r="EMP142" s="22"/>
      <c r="EMQ142" s="22"/>
      <c r="EMR142" s="22"/>
      <c r="EMS142" s="22"/>
      <c r="EMT142" s="22"/>
      <c r="EMU142" s="22"/>
      <c r="EMV142" s="22"/>
      <c r="EMW142" s="22"/>
      <c r="EMX142" s="22"/>
      <c r="EMY142" s="22"/>
      <c r="EMZ142" s="22"/>
      <c r="ENA142" s="22"/>
      <c r="ENB142" s="22"/>
      <c r="ENC142" s="22"/>
      <c r="END142" s="22"/>
      <c r="ENE142" s="22"/>
      <c r="ENF142" s="22"/>
      <c r="ENG142" s="22"/>
      <c r="ENH142" s="22"/>
      <c r="ENI142" s="22"/>
      <c r="ENJ142" s="22"/>
      <c r="ENK142" s="22"/>
      <c r="ENL142" s="22"/>
      <c r="ENM142" s="22"/>
      <c r="ENN142" s="22"/>
      <c r="ENO142" s="22"/>
      <c r="ENP142" s="22"/>
      <c r="ENQ142" s="22"/>
      <c r="ENR142" s="22"/>
      <c r="ENS142" s="22"/>
      <c r="ENT142" s="22"/>
      <c r="ENU142" s="22"/>
      <c r="ENV142" s="22"/>
      <c r="ENW142" s="22"/>
      <c r="ENX142" s="22"/>
      <c r="ENY142" s="22"/>
      <c r="ENZ142" s="22"/>
      <c r="EOA142" s="22"/>
      <c r="EOB142" s="22"/>
      <c r="EOC142" s="22"/>
      <c r="EOD142" s="22"/>
      <c r="EOE142" s="22"/>
      <c r="EOF142" s="22"/>
      <c r="EOG142" s="22"/>
      <c r="EOH142" s="22"/>
      <c r="EOI142" s="22"/>
      <c r="EOJ142" s="22"/>
      <c r="EOK142" s="22"/>
      <c r="EOL142" s="22"/>
      <c r="EOM142" s="22"/>
      <c r="EON142" s="22"/>
      <c r="EOO142" s="22"/>
      <c r="EOP142" s="22"/>
      <c r="EOQ142" s="22"/>
      <c r="EOR142" s="22"/>
      <c r="EOS142" s="22"/>
      <c r="EOT142" s="22"/>
      <c r="EOU142" s="22"/>
      <c r="EOV142" s="22"/>
      <c r="EOW142" s="22"/>
      <c r="EOX142" s="22"/>
      <c r="EOY142" s="22"/>
      <c r="EOZ142" s="22"/>
      <c r="EPA142" s="22"/>
      <c r="EPB142" s="22"/>
      <c r="EPC142" s="22"/>
      <c r="EPD142" s="22"/>
      <c r="EPE142" s="22"/>
      <c r="EPF142" s="22"/>
      <c r="EPG142" s="22"/>
      <c r="EPH142" s="22"/>
      <c r="EPI142" s="22"/>
      <c r="EPJ142" s="22"/>
      <c r="EPK142" s="22"/>
      <c r="EPL142" s="22"/>
      <c r="EPM142" s="22"/>
      <c r="EPN142" s="22"/>
      <c r="EPO142" s="22"/>
      <c r="EPP142" s="22"/>
      <c r="EPQ142" s="22"/>
      <c r="EPR142" s="22"/>
      <c r="EPS142" s="22"/>
      <c r="EPT142" s="22"/>
      <c r="EPU142" s="22"/>
      <c r="EPV142" s="22"/>
      <c r="EPW142" s="22"/>
      <c r="EPX142" s="22"/>
      <c r="EPY142" s="22"/>
      <c r="EPZ142" s="22"/>
      <c r="EQA142" s="22"/>
      <c r="EQB142" s="22"/>
      <c r="EQC142" s="22"/>
      <c r="EQD142" s="22"/>
      <c r="EQE142" s="22"/>
      <c r="EQF142" s="22"/>
      <c r="EQG142" s="22"/>
      <c r="EQH142" s="22"/>
      <c r="EQI142" s="22"/>
      <c r="EQJ142" s="22"/>
      <c r="EQK142" s="22"/>
      <c r="EQL142" s="22"/>
      <c r="EQM142" s="22"/>
      <c r="EQN142" s="22"/>
      <c r="EQO142" s="22"/>
      <c r="EQP142" s="22"/>
      <c r="EQQ142" s="22"/>
      <c r="EQR142" s="22"/>
      <c r="EQS142" s="22"/>
      <c r="EQT142" s="22"/>
      <c r="EQU142" s="22"/>
      <c r="EQV142" s="22"/>
      <c r="EQW142" s="22"/>
      <c r="EQX142" s="22"/>
      <c r="EQY142" s="22"/>
      <c r="EQZ142" s="22"/>
      <c r="ERA142" s="22"/>
      <c r="ERB142" s="22"/>
      <c r="ERC142" s="22"/>
      <c r="ERD142" s="22"/>
      <c r="ERE142" s="22"/>
      <c r="ERF142" s="22"/>
      <c r="ERG142" s="22"/>
      <c r="ERH142" s="22"/>
      <c r="ERI142" s="22"/>
      <c r="ERJ142" s="22"/>
      <c r="ERK142" s="22"/>
      <c r="ERL142" s="22"/>
      <c r="ERM142" s="22"/>
      <c r="ERN142" s="22"/>
      <c r="ERO142" s="22"/>
      <c r="ERP142" s="22"/>
      <c r="ERQ142" s="22"/>
      <c r="ERR142" s="22"/>
      <c r="ERS142" s="22"/>
      <c r="ERT142" s="22"/>
      <c r="ERU142" s="22"/>
      <c r="ERV142" s="22"/>
      <c r="ERW142" s="22"/>
      <c r="ERX142" s="22"/>
      <c r="ERY142" s="22"/>
      <c r="ERZ142" s="22"/>
      <c r="ESA142" s="22"/>
      <c r="ESB142" s="22"/>
      <c r="ESC142" s="22"/>
      <c r="ESD142" s="22"/>
      <c r="ESE142" s="22"/>
      <c r="ESF142" s="22"/>
      <c r="ESG142" s="22"/>
      <c r="ESH142" s="22"/>
      <c r="ESI142" s="22"/>
      <c r="ESJ142" s="22"/>
      <c r="ESK142" s="22"/>
      <c r="ESL142" s="22"/>
      <c r="ESM142" s="22"/>
      <c r="ESN142" s="22"/>
      <c r="ESO142" s="22"/>
      <c r="ESP142" s="22"/>
      <c r="ESQ142" s="22"/>
      <c r="ESR142" s="22"/>
      <c r="ESS142" s="22"/>
      <c r="EST142" s="22"/>
      <c r="ESU142" s="22"/>
      <c r="ESV142" s="22"/>
      <c r="ESW142" s="22"/>
      <c r="ESX142" s="22"/>
      <c r="ESY142" s="22"/>
      <c r="ESZ142" s="22"/>
      <c r="ETA142" s="22"/>
      <c r="ETB142" s="22"/>
      <c r="ETC142" s="22"/>
      <c r="ETD142" s="22"/>
      <c r="ETE142" s="22"/>
      <c r="ETF142" s="22"/>
      <c r="ETG142" s="22"/>
      <c r="ETH142" s="22"/>
      <c r="ETI142" s="22"/>
      <c r="ETJ142" s="22"/>
      <c r="ETK142" s="22"/>
      <c r="ETL142" s="22"/>
      <c r="ETM142" s="22"/>
      <c r="ETN142" s="22"/>
      <c r="ETO142" s="22"/>
      <c r="ETP142" s="22"/>
      <c r="ETQ142" s="22"/>
      <c r="ETR142" s="22"/>
      <c r="ETS142" s="22"/>
      <c r="ETT142" s="22"/>
      <c r="ETU142" s="22"/>
      <c r="ETV142" s="22"/>
      <c r="ETW142" s="22"/>
      <c r="ETX142" s="22"/>
      <c r="ETY142" s="22"/>
      <c r="ETZ142" s="22"/>
      <c r="EUA142" s="22"/>
      <c r="EUB142" s="22"/>
      <c r="EUC142" s="22"/>
      <c r="EUD142" s="22"/>
      <c r="EUE142" s="22"/>
      <c r="EUF142" s="22"/>
      <c r="EUG142" s="22"/>
      <c r="EUH142" s="22"/>
      <c r="EUI142" s="22"/>
      <c r="EUJ142" s="22"/>
      <c r="EUK142" s="22"/>
      <c r="EUL142" s="22"/>
      <c r="EUM142" s="22"/>
      <c r="EUN142" s="22"/>
      <c r="EUO142" s="22"/>
      <c r="EUP142" s="22"/>
      <c r="EUQ142" s="22"/>
      <c r="EUR142" s="22"/>
      <c r="EUS142" s="22"/>
      <c r="EUT142" s="22"/>
      <c r="EUU142" s="22"/>
      <c r="EUV142" s="22"/>
      <c r="EUW142" s="22"/>
      <c r="EUX142" s="22"/>
      <c r="EUY142" s="22"/>
      <c r="EUZ142" s="22"/>
      <c r="EVA142" s="22"/>
      <c r="EVB142" s="22"/>
      <c r="EVC142" s="22"/>
      <c r="EVD142" s="22"/>
      <c r="EVE142" s="22"/>
      <c r="EVF142" s="22"/>
      <c r="EVG142" s="22"/>
      <c r="EVH142" s="22"/>
      <c r="EVI142" s="22"/>
      <c r="EVJ142" s="22"/>
      <c r="EVK142" s="22"/>
      <c r="EVL142" s="22"/>
      <c r="EVM142" s="22"/>
      <c r="EVN142" s="22"/>
      <c r="EVO142" s="22"/>
      <c r="EVP142" s="22"/>
      <c r="EVQ142" s="22"/>
      <c r="EVR142" s="22"/>
      <c r="EVS142" s="22"/>
      <c r="EVT142" s="22"/>
      <c r="EVU142" s="22"/>
      <c r="EVV142" s="22"/>
      <c r="EVW142" s="22"/>
      <c r="EVX142" s="22"/>
      <c r="EVY142" s="22"/>
      <c r="EVZ142" s="22"/>
      <c r="EWA142" s="22"/>
      <c r="EWB142" s="22"/>
      <c r="EWC142" s="22"/>
      <c r="EWD142" s="22"/>
      <c r="EWE142" s="22"/>
      <c r="EWF142" s="22"/>
      <c r="EWG142" s="22"/>
      <c r="EWH142" s="22"/>
      <c r="EWI142" s="22"/>
      <c r="EWJ142" s="22"/>
      <c r="EWK142" s="22"/>
      <c r="EWL142" s="22"/>
      <c r="EWM142" s="22"/>
      <c r="EWN142" s="22"/>
      <c r="EWO142" s="22"/>
      <c r="EWP142" s="22"/>
      <c r="EWQ142" s="22"/>
      <c r="EWR142" s="22"/>
      <c r="EWS142" s="22"/>
      <c r="EWT142" s="22"/>
      <c r="EWU142" s="22"/>
      <c r="EWV142" s="22"/>
      <c r="EWW142" s="22"/>
      <c r="EWX142" s="22"/>
      <c r="EWY142" s="22"/>
      <c r="EWZ142" s="22"/>
      <c r="EXA142" s="22"/>
      <c r="EXB142" s="22"/>
      <c r="EXC142" s="22"/>
      <c r="EXD142" s="22"/>
      <c r="EXE142" s="22"/>
      <c r="EXF142" s="22"/>
      <c r="EXG142" s="22"/>
      <c r="EXH142" s="22"/>
      <c r="EXI142" s="22"/>
      <c r="EXJ142" s="22"/>
      <c r="EXK142" s="22"/>
      <c r="EXL142" s="22"/>
      <c r="EXM142" s="22"/>
      <c r="EXN142" s="22"/>
      <c r="EXO142" s="22"/>
      <c r="EXP142" s="22"/>
      <c r="EXQ142" s="22"/>
      <c r="EXR142" s="22"/>
      <c r="EXS142" s="22"/>
      <c r="EXT142" s="22"/>
      <c r="EXU142" s="22"/>
      <c r="EXV142" s="22"/>
      <c r="EXW142" s="22"/>
      <c r="EXX142" s="22"/>
      <c r="EXY142" s="22"/>
      <c r="EXZ142" s="22"/>
      <c r="EYA142" s="22"/>
      <c r="EYB142" s="22"/>
      <c r="EYC142" s="22"/>
      <c r="EYD142" s="22"/>
      <c r="EYE142" s="22"/>
      <c r="EYF142" s="22"/>
      <c r="EYG142" s="22"/>
      <c r="EYH142" s="22"/>
      <c r="EYI142" s="22"/>
      <c r="EYJ142" s="22"/>
      <c r="EYK142" s="22"/>
      <c r="EYL142" s="22"/>
      <c r="EYM142" s="22"/>
      <c r="EYN142" s="22"/>
      <c r="EYO142" s="22"/>
      <c r="EYP142" s="22"/>
      <c r="EYQ142" s="22"/>
      <c r="EYR142" s="22"/>
      <c r="EYS142" s="22"/>
      <c r="EYT142" s="22"/>
      <c r="EYU142" s="22"/>
      <c r="EYV142" s="22"/>
      <c r="EYW142" s="22"/>
      <c r="EYX142" s="22"/>
      <c r="EYY142" s="22"/>
      <c r="EYZ142" s="22"/>
      <c r="EZA142" s="22"/>
      <c r="EZB142" s="22"/>
      <c r="EZC142" s="22"/>
      <c r="EZD142" s="22"/>
      <c r="EZE142" s="22"/>
      <c r="EZF142" s="22"/>
      <c r="EZG142" s="22"/>
      <c r="EZH142" s="22"/>
      <c r="EZI142" s="22"/>
      <c r="EZJ142" s="22"/>
      <c r="EZK142" s="22"/>
      <c r="EZL142" s="22"/>
      <c r="EZM142" s="22"/>
      <c r="EZN142" s="22"/>
      <c r="EZO142" s="22"/>
      <c r="EZP142" s="22"/>
      <c r="EZQ142" s="22"/>
      <c r="EZR142" s="22"/>
      <c r="EZS142" s="22"/>
      <c r="EZT142" s="22"/>
      <c r="EZU142" s="22"/>
      <c r="EZV142" s="22"/>
      <c r="EZW142" s="22"/>
      <c r="EZX142" s="22"/>
      <c r="EZY142" s="22"/>
      <c r="EZZ142" s="22"/>
      <c r="FAA142" s="22"/>
      <c r="FAB142" s="22"/>
      <c r="FAC142" s="22"/>
      <c r="FAD142" s="22"/>
      <c r="FAE142" s="22"/>
      <c r="FAF142" s="22"/>
      <c r="FAG142" s="22"/>
      <c r="FAH142" s="22"/>
      <c r="FAI142" s="22"/>
      <c r="FAJ142" s="22"/>
      <c r="FAK142" s="22"/>
      <c r="FAL142" s="22"/>
      <c r="FAM142" s="22"/>
      <c r="FAN142" s="22"/>
      <c r="FAO142" s="22"/>
      <c r="FAP142" s="22"/>
      <c r="FAQ142" s="22"/>
      <c r="FAR142" s="22"/>
      <c r="FAS142" s="22"/>
      <c r="FAT142" s="22"/>
      <c r="FAU142" s="22"/>
      <c r="FAV142" s="22"/>
      <c r="FAW142" s="22"/>
      <c r="FAX142" s="22"/>
      <c r="FAY142" s="22"/>
      <c r="FAZ142" s="22"/>
      <c r="FBA142" s="22"/>
      <c r="FBB142" s="22"/>
      <c r="FBC142" s="22"/>
      <c r="FBD142" s="22"/>
      <c r="FBE142" s="22"/>
      <c r="FBF142" s="22"/>
      <c r="FBG142" s="22"/>
      <c r="FBH142" s="22"/>
      <c r="FBI142" s="22"/>
      <c r="FBJ142" s="22"/>
      <c r="FBK142" s="22"/>
      <c r="FBL142" s="22"/>
      <c r="FBM142" s="22"/>
      <c r="FBN142" s="22"/>
      <c r="FBO142" s="22"/>
      <c r="FBP142" s="22"/>
      <c r="FBQ142" s="22"/>
      <c r="FBR142" s="22"/>
      <c r="FBS142" s="22"/>
      <c r="FBT142" s="22"/>
      <c r="FBU142" s="22"/>
      <c r="FBV142" s="22"/>
      <c r="FBW142" s="22"/>
      <c r="FBX142" s="22"/>
      <c r="FBY142" s="22"/>
      <c r="FBZ142" s="22"/>
      <c r="FCA142" s="22"/>
      <c r="FCB142" s="22"/>
      <c r="FCC142" s="22"/>
      <c r="FCD142" s="22"/>
      <c r="FCE142" s="22"/>
      <c r="FCF142" s="22"/>
      <c r="FCG142" s="22"/>
      <c r="FCH142" s="22"/>
      <c r="FCI142" s="22"/>
      <c r="FCJ142" s="22"/>
      <c r="FCK142" s="22"/>
      <c r="FCL142" s="22"/>
      <c r="FCM142" s="22"/>
      <c r="FCN142" s="22"/>
      <c r="FCO142" s="22"/>
      <c r="FCP142" s="22"/>
      <c r="FCQ142" s="22"/>
      <c r="FCR142" s="22"/>
      <c r="FCS142" s="22"/>
      <c r="FCT142" s="22"/>
      <c r="FCU142" s="22"/>
      <c r="FCV142" s="22"/>
      <c r="FCW142" s="22"/>
      <c r="FCX142" s="22"/>
      <c r="FCY142" s="22"/>
      <c r="FCZ142" s="22"/>
      <c r="FDA142" s="22"/>
      <c r="FDB142" s="22"/>
      <c r="FDC142" s="22"/>
      <c r="FDD142" s="22"/>
      <c r="FDE142" s="22"/>
      <c r="FDF142" s="22"/>
      <c r="FDG142" s="22"/>
      <c r="FDH142" s="22"/>
      <c r="FDI142" s="22"/>
      <c r="FDJ142" s="22"/>
      <c r="FDK142" s="22"/>
      <c r="FDL142" s="22"/>
      <c r="FDM142" s="22"/>
      <c r="FDN142" s="22"/>
      <c r="FDO142" s="22"/>
      <c r="FDP142" s="22"/>
      <c r="FDQ142" s="22"/>
      <c r="FDR142" s="22"/>
      <c r="FDS142" s="22"/>
      <c r="FDT142" s="22"/>
      <c r="FDU142" s="22"/>
      <c r="FDV142" s="22"/>
      <c r="FDW142" s="22"/>
      <c r="FDX142" s="22"/>
      <c r="FDY142" s="22"/>
      <c r="FDZ142" s="22"/>
      <c r="FEA142" s="22"/>
      <c r="FEB142" s="22"/>
      <c r="FEC142" s="22"/>
      <c r="FED142" s="22"/>
      <c r="FEE142" s="22"/>
      <c r="FEF142" s="22"/>
      <c r="FEG142" s="22"/>
      <c r="FEH142" s="22"/>
      <c r="FEI142" s="22"/>
      <c r="FEJ142" s="22"/>
      <c r="FEK142" s="22"/>
      <c r="FEL142" s="22"/>
      <c r="FEM142" s="22"/>
      <c r="FEN142" s="22"/>
      <c r="FEO142" s="22"/>
      <c r="FEP142" s="22"/>
      <c r="FEQ142" s="22"/>
      <c r="FER142" s="22"/>
      <c r="FES142" s="22"/>
      <c r="FET142" s="22"/>
      <c r="FEU142" s="22"/>
      <c r="FEV142" s="22"/>
      <c r="FEW142" s="22"/>
      <c r="FEX142" s="22"/>
      <c r="FEY142" s="22"/>
      <c r="FEZ142" s="22"/>
      <c r="FFA142" s="22"/>
      <c r="FFB142" s="22"/>
      <c r="FFC142" s="22"/>
      <c r="FFD142" s="22"/>
      <c r="FFE142" s="22"/>
      <c r="FFF142" s="22"/>
      <c r="FFG142" s="22"/>
      <c r="FFH142" s="22"/>
      <c r="FFI142" s="22"/>
      <c r="FFJ142" s="22"/>
      <c r="FFK142" s="22"/>
      <c r="FFL142" s="22"/>
      <c r="FFM142" s="22"/>
      <c r="FFN142" s="22"/>
      <c r="FFO142" s="22"/>
      <c r="FFP142" s="22"/>
      <c r="FFQ142" s="22"/>
      <c r="FFR142" s="22"/>
      <c r="FFS142" s="22"/>
      <c r="FFT142" s="22"/>
      <c r="FFU142" s="22"/>
      <c r="FFV142" s="22"/>
      <c r="FFW142" s="22"/>
      <c r="FFX142" s="22"/>
      <c r="FFY142" s="22"/>
      <c r="FFZ142" s="22"/>
      <c r="FGA142" s="22"/>
      <c r="FGB142" s="22"/>
      <c r="FGC142" s="22"/>
      <c r="FGD142" s="22"/>
      <c r="FGE142" s="22"/>
      <c r="FGF142" s="22"/>
      <c r="FGG142" s="22"/>
      <c r="FGH142" s="22"/>
      <c r="FGI142" s="22"/>
      <c r="FGJ142" s="22"/>
      <c r="FGK142" s="22"/>
      <c r="FGL142" s="22"/>
      <c r="FGM142" s="22"/>
      <c r="FGN142" s="22"/>
      <c r="FGO142" s="22"/>
      <c r="FGP142" s="22"/>
      <c r="FGQ142" s="22"/>
      <c r="FGR142" s="22"/>
      <c r="FGS142" s="22"/>
      <c r="FGT142" s="22"/>
      <c r="FGU142" s="22"/>
      <c r="FGV142" s="22"/>
      <c r="FGW142" s="22"/>
      <c r="FGX142" s="22"/>
      <c r="FGY142" s="22"/>
      <c r="FGZ142" s="22"/>
      <c r="FHA142" s="22"/>
      <c r="FHB142" s="22"/>
      <c r="FHC142" s="22"/>
      <c r="FHD142" s="22"/>
      <c r="FHE142" s="22"/>
      <c r="FHF142" s="22"/>
      <c r="FHG142" s="22"/>
      <c r="FHH142" s="22"/>
      <c r="FHI142" s="22"/>
      <c r="FHJ142" s="22"/>
      <c r="FHK142" s="22"/>
      <c r="FHL142" s="22"/>
      <c r="FHM142" s="22"/>
      <c r="FHN142" s="22"/>
      <c r="FHO142" s="22"/>
      <c r="FHP142" s="22"/>
      <c r="FHQ142" s="22"/>
      <c r="FHR142" s="22"/>
      <c r="FHS142" s="22"/>
      <c r="FHT142" s="22"/>
      <c r="FHU142" s="22"/>
      <c r="FHV142" s="22"/>
      <c r="FHW142" s="22"/>
      <c r="FHX142" s="22"/>
      <c r="FHY142" s="22"/>
      <c r="FHZ142" s="22"/>
      <c r="FIA142" s="22"/>
      <c r="FIB142" s="22"/>
      <c r="FIC142" s="22"/>
      <c r="FID142" s="22"/>
      <c r="FIE142" s="22"/>
      <c r="FIF142" s="22"/>
      <c r="FIG142" s="22"/>
      <c r="FIH142" s="22"/>
      <c r="FII142" s="22"/>
      <c r="FIJ142" s="22"/>
      <c r="FIK142" s="22"/>
      <c r="FIL142" s="22"/>
      <c r="FIM142" s="22"/>
      <c r="FIN142" s="22"/>
      <c r="FIO142" s="22"/>
      <c r="FIP142" s="22"/>
      <c r="FIQ142" s="22"/>
      <c r="FIR142" s="22"/>
      <c r="FIS142" s="22"/>
      <c r="FIT142" s="22"/>
      <c r="FIU142" s="22"/>
      <c r="FIV142" s="22"/>
      <c r="FIW142" s="22"/>
      <c r="FIX142" s="22"/>
      <c r="FIY142" s="22"/>
      <c r="FIZ142" s="22"/>
      <c r="FJA142" s="22"/>
      <c r="FJB142" s="22"/>
      <c r="FJC142" s="22"/>
      <c r="FJD142" s="22"/>
      <c r="FJE142" s="22"/>
      <c r="FJF142" s="22"/>
      <c r="FJG142" s="22"/>
      <c r="FJH142" s="22"/>
      <c r="FJI142" s="22"/>
      <c r="FJJ142" s="22"/>
      <c r="FJK142" s="22"/>
      <c r="FJL142" s="22"/>
      <c r="FJM142" s="22"/>
      <c r="FJN142" s="22"/>
      <c r="FJO142" s="22"/>
      <c r="FJP142" s="22"/>
      <c r="FJQ142" s="22"/>
      <c r="FJR142" s="22"/>
      <c r="FJS142" s="22"/>
      <c r="FJT142" s="22"/>
      <c r="FJU142" s="22"/>
      <c r="FJV142" s="22"/>
      <c r="FJW142" s="22"/>
      <c r="FJX142" s="22"/>
      <c r="FJY142" s="22"/>
      <c r="FJZ142" s="22"/>
      <c r="FKA142" s="22"/>
      <c r="FKB142" s="22"/>
      <c r="FKC142" s="22"/>
      <c r="FKD142" s="22"/>
      <c r="FKE142" s="22"/>
      <c r="FKF142" s="22"/>
      <c r="FKG142" s="22"/>
      <c r="FKH142" s="22"/>
      <c r="FKI142" s="22"/>
      <c r="FKJ142" s="22"/>
      <c r="FKK142" s="22"/>
      <c r="FKL142" s="22"/>
      <c r="FKM142" s="22"/>
      <c r="FKN142" s="22"/>
      <c r="FKO142" s="22"/>
      <c r="FKP142" s="22"/>
      <c r="FKQ142" s="22"/>
      <c r="FKR142" s="22"/>
      <c r="FKS142" s="22"/>
      <c r="FKT142" s="22"/>
      <c r="FKU142" s="22"/>
      <c r="FKV142" s="22"/>
      <c r="FKW142" s="22"/>
      <c r="FKX142" s="22"/>
      <c r="FKY142" s="22"/>
      <c r="FKZ142" s="22"/>
      <c r="FLA142" s="22"/>
      <c r="FLB142" s="22"/>
      <c r="FLC142" s="22"/>
      <c r="FLD142" s="22"/>
      <c r="FLE142" s="22"/>
      <c r="FLF142" s="22"/>
      <c r="FLG142" s="22"/>
      <c r="FLH142" s="22"/>
      <c r="FLI142" s="22"/>
      <c r="FLJ142" s="22"/>
      <c r="FLK142" s="22"/>
      <c r="FLL142" s="22"/>
      <c r="FLM142" s="22"/>
      <c r="FLN142" s="22"/>
      <c r="FLO142" s="22"/>
      <c r="FLP142" s="22"/>
      <c r="FLQ142" s="22"/>
      <c r="FLR142" s="22"/>
      <c r="FLS142" s="22"/>
      <c r="FLT142" s="22"/>
      <c r="FLU142" s="22"/>
      <c r="FLV142" s="22"/>
      <c r="FLW142" s="22"/>
      <c r="FLX142" s="22"/>
      <c r="FLY142" s="22"/>
      <c r="FLZ142" s="22"/>
      <c r="FMA142" s="22"/>
      <c r="FMB142" s="22"/>
      <c r="FMC142" s="22"/>
      <c r="FMD142" s="22"/>
      <c r="FME142" s="22"/>
      <c r="FMF142" s="22"/>
      <c r="FMG142" s="22"/>
      <c r="FMH142" s="22"/>
      <c r="FMI142" s="22"/>
      <c r="FMJ142" s="22"/>
      <c r="FMK142" s="22"/>
      <c r="FML142" s="22"/>
      <c r="FMM142" s="22"/>
      <c r="FMN142" s="22"/>
      <c r="FMO142" s="22"/>
      <c r="FMP142" s="22"/>
      <c r="FMQ142" s="22"/>
      <c r="FMR142" s="22"/>
      <c r="FMS142" s="22"/>
      <c r="FMT142" s="22"/>
      <c r="FMU142" s="22"/>
      <c r="FMV142" s="22"/>
      <c r="FMW142" s="22"/>
      <c r="FMX142" s="22"/>
      <c r="FMY142" s="22"/>
      <c r="FMZ142" s="22"/>
      <c r="FNA142" s="22"/>
      <c r="FNB142" s="22"/>
      <c r="FNC142" s="22"/>
      <c r="FND142" s="22"/>
      <c r="FNE142" s="22"/>
      <c r="FNF142" s="22"/>
      <c r="FNG142" s="22"/>
      <c r="FNH142" s="22"/>
      <c r="FNI142" s="22"/>
      <c r="FNJ142" s="22"/>
      <c r="FNK142" s="22"/>
      <c r="FNL142" s="22"/>
      <c r="FNM142" s="22"/>
      <c r="FNN142" s="22"/>
      <c r="FNO142" s="22"/>
      <c r="FNP142" s="22"/>
      <c r="FNQ142" s="22"/>
      <c r="FNR142" s="22"/>
      <c r="FNS142" s="22"/>
      <c r="FNT142" s="22"/>
      <c r="FNU142" s="22"/>
      <c r="FNV142" s="22"/>
      <c r="FNW142" s="22"/>
      <c r="FNX142" s="22"/>
      <c r="FNY142" s="22"/>
      <c r="FNZ142" s="22"/>
      <c r="FOA142" s="22"/>
      <c r="FOB142" s="22"/>
      <c r="FOC142" s="22"/>
      <c r="FOD142" s="22"/>
      <c r="FOE142" s="22"/>
      <c r="FOF142" s="22"/>
      <c r="FOG142" s="22"/>
      <c r="FOH142" s="22"/>
      <c r="FOI142" s="22"/>
      <c r="FOJ142" s="22"/>
      <c r="FOK142" s="22"/>
      <c r="FOL142" s="22"/>
      <c r="FOM142" s="22"/>
      <c r="FON142" s="22"/>
      <c r="FOO142" s="22"/>
      <c r="FOP142" s="22"/>
      <c r="FOQ142" s="22"/>
      <c r="FOR142" s="22"/>
      <c r="FOS142" s="22"/>
      <c r="FOT142" s="22"/>
      <c r="FOU142" s="22"/>
      <c r="FOV142" s="22"/>
      <c r="FOW142" s="22"/>
      <c r="FOX142" s="22"/>
      <c r="FOY142" s="22"/>
      <c r="FOZ142" s="22"/>
      <c r="FPA142" s="22"/>
      <c r="FPB142" s="22"/>
      <c r="FPC142" s="22"/>
      <c r="FPD142" s="22"/>
      <c r="FPE142" s="22"/>
      <c r="FPF142" s="22"/>
      <c r="FPG142" s="22"/>
      <c r="FPH142" s="22"/>
      <c r="FPI142" s="22"/>
      <c r="FPJ142" s="22"/>
      <c r="FPK142" s="22"/>
      <c r="FPL142" s="22"/>
      <c r="FPM142" s="22"/>
      <c r="FPN142" s="22"/>
      <c r="FPO142" s="22"/>
      <c r="FPP142" s="22"/>
      <c r="FPQ142" s="22"/>
      <c r="FPR142" s="22"/>
      <c r="FPS142" s="22"/>
      <c r="FPT142" s="22"/>
      <c r="FPU142" s="22"/>
      <c r="FPV142" s="22"/>
      <c r="FPW142" s="22"/>
      <c r="FPX142" s="22"/>
      <c r="FPY142" s="22"/>
      <c r="FPZ142" s="22"/>
      <c r="FQA142" s="22"/>
      <c r="FQB142" s="22"/>
      <c r="FQC142" s="22"/>
      <c r="FQD142" s="22"/>
      <c r="FQE142" s="22"/>
      <c r="FQF142" s="22"/>
      <c r="FQG142" s="22"/>
      <c r="FQH142" s="22"/>
      <c r="FQI142" s="22"/>
      <c r="FQJ142" s="22"/>
      <c r="FQK142" s="22"/>
      <c r="FQL142" s="22"/>
      <c r="FQM142" s="22"/>
      <c r="FQN142" s="22"/>
      <c r="FQO142" s="22"/>
      <c r="FQP142" s="22"/>
      <c r="FQQ142" s="22"/>
      <c r="FQR142" s="22"/>
      <c r="FQS142" s="22"/>
      <c r="FQT142" s="22"/>
      <c r="FQU142" s="22"/>
      <c r="FQV142" s="22"/>
      <c r="FQW142" s="22"/>
      <c r="FQX142" s="22"/>
      <c r="FQY142" s="22"/>
      <c r="FQZ142" s="22"/>
      <c r="FRA142" s="22"/>
      <c r="FRB142" s="22"/>
      <c r="FRC142" s="22"/>
      <c r="FRD142" s="22"/>
      <c r="FRE142" s="22"/>
      <c r="FRF142" s="22"/>
      <c r="FRG142" s="22"/>
      <c r="FRH142" s="22"/>
      <c r="FRI142" s="22"/>
      <c r="FRJ142" s="22"/>
      <c r="FRK142" s="22"/>
      <c r="FRL142" s="22"/>
      <c r="FRM142" s="22"/>
      <c r="FRN142" s="22"/>
      <c r="FRO142" s="22"/>
      <c r="FRP142" s="22"/>
      <c r="FRQ142" s="22"/>
      <c r="FRR142" s="22"/>
      <c r="FRS142" s="22"/>
      <c r="FRT142" s="22"/>
      <c r="FRU142" s="22"/>
      <c r="FRV142" s="22"/>
      <c r="FRW142" s="22"/>
      <c r="FRX142" s="22"/>
      <c r="FRY142" s="22"/>
      <c r="FRZ142" s="22"/>
      <c r="FSA142" s="22"/>
      <c r="FSB142" s="22"/>
      <c r="FSC142" s="22"/>
      <c r="FSD142" s="22"/>
      <c r="FSE142" s="22"/>
      <c r="FSF142" s="22"/>
      <c r="FSG142" s="22"/>
      <c r="FSH142" s="22"/>
      <c r="FSI142" s="22"/>
      <c r="FSJ142" s="22"/>
      <c r="FSK142" s="22"/>
      <c r="FSL142" s="22"/>
      <c r="FSM142" s="22"/>
      <c r="FSN142" s="22"/>
      <c r="FSO142" s="22"/>
      <c r="FSP142" s="22"/>
      <c r="FSQ142" s="22"/>
      <c r="FSR142" s="22"/>
      <c r="FSS142" s="22"/>
      <c r="FST142" s="22"/>
      <c r="FSU142" s="22"/>
      <c r="FSV142" s="22"/>
      <c r="FSW142" s="22"/>
      <c r="FSX142" s="22"/>
      <c r="FSY142" s="22"/>
      <c r="FSZ142" s="22"/>
      <c r="FTA142" s="22"/>
      <c r="FTB142" s="22"/>
      <c r="FTC142" s="22"/>
      <c r="FTD142" s="22"/>
      <c r="FTE142" s="22"/>
      <c r="FTF142" s="22"/>
      <c r="FTG142" s="22"/>
      <c r="FTH142" s="22"/>
      <c r="FTI142" s="22"/>
      <c r="FTJ142" s="22"/>
      <c r="FTK142" s="22"/>
      <c r="FTL142" s="22"/>
      <c r="FTM142" s="22"/>
      <c r="FTN142" s="22"/>
      <c r="FTO142" s="22"/>
      <c r="FTP142" s="22"/>
      <c r="FTQ142" s="22"/>
      <c r="FTR142" s="22"/>
      <c r="FTS142" s="22"/>
      <c r="FTT142" s="22"/>
      <c r="FTU142" s="22"/>
      <c r="FTV142" s="22"/>
      <c r="FTW142" s="22"/>
      <c r="FTX142" s="22"/>
      <c r="FTY142" s="22"/>
      <c r="FTZ142" s="22"/>
      <c r="FUA142" s="22"/>
      <c r="FUB142" s="22"/>
      <c r="FUC142" s="22"/>
      <c r="FUD142" s="22"/>
      <c r="FUE142" s="22"/>
      <c r="FUF142" s="22"/>
      <c r="FUG142" s="22"/>
      <c r="FUH142" s="22"/>
      <c r="FUI142" s="22"/>
      <c r="FUJ142" s="22"/>
      <c r="FUK142" s="22"/>
      <c r="FUL142" s="22"/>
      <c r="FUM142" s="22"/>
      <c r="FUN142" s="22"/>
      <c r="FUO142" s="22"/>
      <c r="FUP142" s="22"/>
      <c r="FUQ142" s="22"/>
      <c r="FUR142" s="22"/>
      <c r="FUS142" s="22"/>
      <c r="FUT142" s="22"/>
      <c r="FUU142" s="22"/>
      <c r="FUV142" s="22"/>
      <c r="FUW142" s="22"/>
      <c r="FUX142" s="22"/>
      <c r="FUY142" s="22"/>
      <c r="FUZ142" s="22"/>
      <c r="FVA142" s="22"/>
      <c r="FVB142" s="22"/>
      <c r="FVC142" s="22"/>
      <c r="FVD142" s="22"/>
      <c r="FVE142" s="22"/>
      <c r="FVF142" s="22"/>
      <c r="FVG142" s="22"/>
      <c r="FVH142" s="22"/>
      <c r="FVI142" s="22"/>
      <c r="FVJ142" s="22"/>
      <c r="FVK142" s="22"/>
      <c r="FVL142" s="22"/>
      <c r="FVM142" s="22"/>
      <c r="FVN142" s="22"/>
      <c r="FVO142" s="22"/>
      <c r="FVP142" s="22"/>
      <c r="FVQ142" s="22"/>
      <c r="FVR142" s="22"/>
      <c r="FVS142" s="22"/>
      <c r="FVT142" s="22"/>
      <c r="FVU142" s="22"/>
      <c r="FVV142" s="22"/>
      <c r="FVW142" s="22"/>
      <c r="FVX142" s="22"/>
      <c r="FVY142" s="22"/>
      <c r="FVZ142" s="22"/>
      <c r="FWA142" s="22"/>
      <c r="FWB142" s="22"/>
      <c r="FWC142" s="22"/>
      <c r="FWD142" s="22"/>
      <c r="FWE142" s="22"/>
      <c r="FWF142" s="22"/>
      <c r="FWG142" s="22"/>
      <c r="FWH142" s="22"/>
      <c r="FWI142" s="22"/>
      <c r="FWJ142" s="22"/>
      <c r="FWK142" s="22"/>
      <c r="FWL142" s="22"/>
      <c r="FWM142" s="22"/>
      <c r="FWN142" s="22"/>
      <c r="FWO142" s="22"/>
      <c r="FWP142" s="22"/>
      <c r="FWQ142" s="22"/>
      <c r="FWR142" s="22"/>
      <c r="FWS142" s="22"/>
      <c r="FWT142" s="22"/>
      <c r="FWU142" s="22"/>
      <c r="FWV142" s="22"/>
      <c r="FWW142" s="22"/>
      <c r="FWX142" s="22"/>
      <c r="FWY142" s="22"/>
      <c r="FWZ142" s="22"/>
      <c r="FXA142" s="22"/>
      <c r="FXB142" s="22"/>
      <c r="FXC142" s="22"/>
      <c r="FXD142" s="22"/>
      <c r="FXE142" s="22"/>
      <c r="FXF142" s="22"/>
      <c r="FXG142" s="22"/>
      <c r="FXH142" s="22"/>
      <c r="FXI142" s="22"/>
      <c r="FXJ142" s="22"/>
      <c r="FXK142" s="22"/>
      <c r="FXL142" s="22"/>
      <c r="FXM142" s="22"/>
      <c r="FXN142" s="22"/>
      <c r="FXO142" s="22"/>
      <c r="FXP142" s="22"/>
      <c r="FXQ142" s="22"/>
      <c r="FXR142" s="22"/>
      <c r="FXS142" s="22"/>
      <c r="FXT142" s="22"/>
      <c r="FXU142" s="22"/>
      <c r="FXV142" s="22"/>
      <c r="FXW142" s="22"/>
      <c r="FXX142" s="22"/>
      <c r="FXY142" s="22"/>
      <c r="FXZ142" s="22"/>
      <c r="FYA142" s="22"/>
      <c r="FYB142" s="22"/>
      <c r="FYC142" s="22"/>
      <c r="FYD142" s="22"/>
      <c r="FYE142" s="22"/>
      <c r="FYF142" s="22"/>
      <c r="FYG142" s="22"/>
      <c r="FYH142" s="22"/>
      <c r="FYI142" s="22"/>
      <c r="FYJ142" s="22"/>
      <c r="FYK142" s="22"/>
      <c r="FYL142" s="22"/>
      <c r="FYM142" s="22"/>
      <c r="FYN142" s="22"/>
      <c r="FYO142" s="22"/>
      <c r="FYP142" s="22"/>
      <c r="FYQ142" s="22"/>
      <c r="FYR142" s="22"/>
      <c r="FYS142" s="22"/>
      <c r="FYT142" s="22"/>
      <c r="FYU142" s="22"/>
      <c r="FYV142" s="22"/>
      <c r="FYW142" s="22"/>
      <c r="FYX142" s="22"/>
      <c r="FYY142" s="22"/>
      <c r="FYZ142" s="22"/>
      <c r="FZA142" s="22"/>
      <c r="FZB142" s="22"/>
      <c r="FZC142" s="22"/>
      <c r="FZD142" s="22"/>
      <c r="FZE142" s="22"/>
      <c r="FZF142" s="22"/>
      <c r="FZG142" s="22"/>
      <c r="FZH142" s="22"/>
      <c r="FZI142" s="22"/>
      <c r="FZJ142" s="22"/>
      <c r="FZK142" s="22"/>
      <c r="FZL142" s="22"/>
      <c r="FZM142" s="22"/>
      <c r="FZN142" s="22"/>
      <c r="FZO142" s="22"/>
      <c r="FZP142" s="22"/>
      <c r="FZQ142" s="22"/>
      <c r="FZR142" s="22"/>
      <c r="FZS142" s="22"/>
      <c r="FZT142" s="22"/>
      <c r="FZU142" s="22"/>
      <c r="FZV142" s="22"/>
      <c r="FZW142" s="22"/>
      <c r="FZX142" s="22"/>
      <c r="FZY142" s="22"/>
      <c r="FZZ142" s="22"/>
      <c r="GAA142" s="22"/>
      <c r="GAB142" s="22"/>
      <c r="GAC142" s="22"/>
      <c r="GAD142" s="22"/>
      <c r="GAE142" s="22"/>
      <c r="GAF142" s="22"/>
      <c r="GAG142" s="22"/>
      <c r="GAH142" s="22"/>
      <c r="GAI142" s="22"/>
      <c r="GAJ142" s="22"/>
      <c r="GAK142" s="22"/>
      <c r="GAL142" s="22"/>
      <c r="GAM142" s="22"/>
      <c r="GAN142" s="22"/>
      <c r="GAO142" s="22"/>
      <c r="GAP142" s="22"/>
      <c r="GAQ142" s="22"/>
      <c r="GAR142" s="22"/>
      <c r="GAS142" s="22"/>
      <c r="GAT142" s="22"/>
      <c r="GAU142" s="22"/>
      <c r="GAV142" s="22"/>
      <c r="GAW142" s="22"/>
      <c r="GAX142" s="22"/>
      <c r="GAY142" s="22"/>
      <c r="GAZ142" s="22"/>
      <c r="GBA142" s="22"/>
      <c r="GBB142" s="22"/>
      <c r="GBC142" s="22"/>
      <c r="GBD142" s="22"/>
      <c r="GBE142" s="22"/>
      <c r="GBF142" s="22"/>
      <c r="GBG142" s="22"/>
      <c r="GBH142" s="22"/>
      <c r="GBI142" s="22"/>
      <c r="GBJ142" s="22"/>
      <c r="GBK142" s="22"/>
      <c r="GBL142" s="22"/>
      <c r="GBM142" s="22"/>
      <c r="GBN142" s="22"/>
      <c r="GBO142" s="22"/>
      <c r="GBP142" s="22"/>
      <c r="GBQ142" s="22"/>
      <c r="GBR142" s="22"/>
      <c r="GBS142" s="22"/>
      <c r="GBT142" s="22"/>
      <c r="GBU142" s="22"/>
      <c r="GBV142" s="22"/>
      <c r="GBW142" s="22"/>
      <c r="GBX142" s="22"/>
      <c r="GBY142" s="22"/>
      <c r="GBZ142" s="22"/>
      <c r="GCA142" s="22"/>
      <c r="GCB142" s="22"/>
      <c r="GCC142" s="22"/>
      <c r="GCD142" s="22"/>
      <c r="GCE142" s="22"/>
      <c r="GCF142" s="22"/>
      <c r="GCG142" s="22"/>
      <c r="GCH142" s="22"/>
      <c r="GCI142" s="22"/>
      <c r="GCJ142" s="22"/>
      <c r="GCK142" s="22"/>
      <c r="GCL142" s="22"/>
      <c r="GCM142" s="22"/>
      <c r="GCN142" s="22"/>
      <c r="GCO142" s="22"/>
      <c r="GCP142" s="22"/>
      <c r="GCQ142" s="22"/>
      <c r="GCR142" s="22"/>
      <c r="GCS142" s="22"/>
      <c r="GCT142" s="22"/>
      <c r="GCU142" s="22"/>
      <c r="GCV142" s="22"/>
      <c r="GCW142" s="22"/>
      <c r="GCX142" s="22"/>
      <c r="GCY142" s="22"/>
      <c r="GCZ142" s="22"/>
      <c r="GDA142" s="22"/>
      <c r="GDB142" s="22"/>
      <c r="GDC142" s="22"/>
      <c r="GDD142" s="22"/>
      <c r="GDE142" s="22"/>
      <c r="GDF142" s="22"/>
      <c r="GDG142" s="22"/>
      <c r="GDH142" s="22"/>
      <c r="GDI142" s="22"/>
      <c r="GDJ142" s="22"/>
      <c r="GDK142" s="22"/>
      <c r="GDL142" s="22"/>
      <c r="GDM142" s="22"/>
      <c r="GDN142" s="22"/>
      <c r="GDO142" s="22"/>
      <c r="GDP142" s="22"/>
      <c r="GDQ142" s="22"/>
      <c r="GDR142" s="22"/>
      <c r="GDS142" s="22"/>
      <c r="GDT142" s="22"/>
      <c r="GDU142" s="22"/>
      <c r="GDV142" s="22"/>
      <c r="GDW142" s="22"/>
      <c r="GDX142" s="22"/>
      <c r="GDY142" s="22"/>
      <c r="GDZ142" s="22"/>
      <c r="GEA142" s="22"/>
      <c r="GEB142" s="22"/>
      <c r="GEC142" s="22"/>
      <c r="GED142" s="22"/>
      <c r="GEE142" s="22"/>
      <c r="GEF142" s="22"/>
      <c r="GEG142" s="22"/>
      <c r="GEH142" s="22"/>
      <c r="GEI142" s="22"/>
      <c r="GEJ142" s="22"/>
      <c r="GEK142" s="22"/>
      <c r="GEL142" s="22"/>
      <c r="GEM142" s="22"/>
      <c r="GEN142" s="22"/>
      <c r="GEO142" s="22"/>
      <c r="GEP142" s="22"/>
      <c r="GEQ142" s="22"/>
      <c r="GER142" s="22"/>
      <c r="GES142" s="22"/>
      <c r="GET142" s="22"/>
      <c r="GEU142" s="22"/>
      <c r="GEV142" s="22"/>
      <c r="GEW142" s="22"/>
      <c r="GEX142" s="22"/>
      <c r="GEY142" s="22"/>
      <c r="GEZ142" s="22"/>
      <c r="GFA142" s="22"/>
      <c r="GFB142" s="22"/>
      <c r="GFC142" s="22"/>
      <c r="GFD142" s="22"/>
      <c r="GFE142" s="22"/>
      <c r="GFF142" s="22"/>
      <c r="GFG142" s="22"/>
      <c r="GFH142" s="22"/>
      <c r="GFI142" s="22"/>
      <c r="GFJ142" s="22"/>
      <c r="GFK142" s="22"/>
      <c r="GFL142" s="22"/>
      <c r="GFM142" s="22"/>
      <c r="GFN142" s="22"/>
      <c r="GFO142" s="22"/>
      <c r="GFP142" s="22"/>
      <c r="GFQ142" s="22"/>
      <c r="GFR142" s="22"/>
      <c r="GFS142" s="22"/>
      <c r="GFT142" s="22"/>
      <c r="GFU142" s="22"/>
      <c r="GFV142" s="22"/>
      <c r="GFW142" s="22"/>
      <c r="GFX142" s="22"/>
      <c r="GFY142" s="22"/>
      <c r="GFZ142" s="22"/>
      <c r="GGA142" s="22"/>
      <c r="GGB142" s="22"/>
      <c r="GGC142" s="22"/>
      <c r="GGD142" s="22"/>
      <c r="GGE142" s="22"/>
      <c r="GGF142" s="22"/>
      <c r="GGG142" s="22"/>
      <c r="GGH142" s="22"/>
      <c r="GGI142" s="22"/>
      <c r="GGJ142" s="22"/>
      <c r="GGK142" s="22"/>
      <c r="GGL142" s="22"/>
      <c r="GGM142" s="22"/>
      <c r="GGN142" s="22"/>
      <c r="GGO142" s="22"/>
      <c r="GGP142" s="22"/>
      <c r="GGQ142" s="22"/>
      <c r="GGR142" s="22"/>
      <c r="GGS142" s="22"/>
      <c r="GGT142" s="22"/>
      <c r="GGU142" s="22"/>
      <c r="GGV142" s="22"/>
      <c r="GGW142" s="22"/>
      <c r="GGX142" s="22"/>
      <c r="GGY142" s="22"/>
      <c r="GGZ142" s="22"/>
      <c r="GHA142" s="22"/>
      <c r="GHB142" s="22"/>
      <c r="GHC142" s="22"/>
      <c r="GHD142" s="22"/>
      <c r="GHE142" s="22"/>
      <c r="GHF142" s="22"/>
      <c r="GHG142" s="22"/>
      <c r="GHH142" s="22"/>
      <c r="GHI142" s="22"/>
      <c r="GHJ142" s="22"/>
      <c r="GHK142" s="22"/>
      <c r="GHL142" s="22"/>
      <c r="GHM142" s="22"/>
      <c r="GHN142" s="22"/>
      <c r="GHO142" s="22"/>
      <c r="GHP142" s="22"/>
      <c r="GHQ142" s="22"/>
      <c r="GHR142" s="22"/>
      <c r="GHS142" s="22"/>
      <c r="GHT142" s="22"/>
      <c r="GHU142" s="22"/>
      <c r="GHV142" s="22"/>
      <c r="GHW142" s="22"/>
      <c r="GHX142" s="22"/>
      <c r="GHY142" s="22"/>
      <c r="GHZ142" s="22"/>
      <c r="GIA142" s="22"/>
      <c r="GIB142" s="22"/>
      <c r="GIC142" s="22"/>
      <c r="GID142" s="22"/>
      <c r="GIE142" s="22"/>
      <c r="GIF142" s="22"/>
      <c r="GIG142" s="22"/>
      <c r="GIH142" s="22"/>
      <c r="GII142" s="22"/>
      <c r="GIJ142" s="22"/>
      <c r="GIK142" s="22"/>
      <c r="GIL142" s="22"/>
      <c r="GIM142" s="22"/>
      <c r="GIN142" s="22"/>
      <c r="GIO142" s="22"/>
      <c r="GIP142" s="22"/>
      <c r="GIQ142" s="22"/>
      <c r="GIR142" s="22"/>
      <c r="GIS142" s="22"/>
      <c r="GIT142" s="22"/>
      <c r="GIU142" s="22"/>
      <c r="GIV142" s="22"/>
      <c r="GIW142" s="22"/>
      <c r="GIX142" s="22"/>
      <c r="GIY142" s="22"/>
      <c r="GIZ142" s="22"/>
      <c r="GJA142" s="22"/>
      <c r="GJB142" s="22"/>
      <c r="GJC142" s="22"/>
      <c r="GJD142" s="22"/>
      <c r="GJE142" s="22"/>
      <c r="GJF142" s="22"/>
      <c r="GJG142" s="22"/>
      <c r="GJH142" s="22"/>
      <c r="GJI142" s="22"/>
      <c r="GJJ142" s="22"/>
      <c r="GJK142" s="22"/>
      <c r="GJL142" s="22"/>
      <c r="GJM142" s="22"/>
      <c r="GJN142" s="22"/>
      <c r="GJO142" s="22"/>
      <c r="GJP142" s="22"/>
      <c r="GJQ142" s="22"/>
      <c r="GJR142" s="22"/>
      <c r="GJS142" s="22"/>
      <c r="GJT142" s="22"/>
      <c r="GJU142" s="22"/>
      <c r="GJV142" s="22"/>
      <c r="GJW142" s="22"/>
      <c r="GJX142" s="22"/>
      <c r="GJY142" s="22"/>
      <c r="GJZ142" s="22"/>
      <c r="GKA142" s="22"/>
      <c r="GKB142" s="22"/>
      <c r="GKC142" s="22"/>
      <c r="GKD142" s="22"/>
      <c r="GKE142" s="22"/>
      <c r="GKF142" s="22"/>
      <c r="GKG142" s="22"/>
      <c r="GKH142" s="22"/>
      <c r="GKI142" s="22"/>
      <c r="GKJ142" s="22"/>
      <c r="GKK142" s="22"/>
      <c r="GKL142" s="22"/>
      <c r="GKM142" s="22"/>
      <c r="GKN142" s="22"/>
      <c r="GKO142" s="22"/>
      <c r="GKP142" s="22"/>
      <c r="GKQ142" s="22"/>
      <c r="GKR142" s="22"/>
      <c r="GKS142" s="22"/>
      <c r="GKT142" s="22"/>
      <c r="GKU142" s="22"/>
      <c r="GKV142" s="22"/>
      <c r="GKW142" s="22"/>
      <c r="GKX142" s="22"/>
      <c r="GKY142" s="22"/>
      <c r="GKZ142" s="22"/>
      <c r="GLA142" s="22"/>
      <c r="GLB142" s="22"/>
      <c r="GLC142" s="22"/>
      <c r="GLD142" s="22"/>
      <c r="GLE142" s="22"/>
      <c r="GLF142" s="22"/>
      <c r="GLG142" s="22"/>
      <c r="GLH142" s="22"/>
      <c r="GLI142" s="22"/>
      <c r="GLJ142" s="22"/>
      <c r="GLK142" s="22"/>
      <c r="GLL142" s="22"/>
      <c r="GLM142" s="22"/>
      <c r="GLN142" s="22"/>
      <c r="GLO142" s="22"/>
      <c r="GLP142" s="22"/>
      <c r="GLQ142" s="22"/>
      <c r="GLR142" s="22"/>
      <c r="GLS142" s="22"/>
      <c r="GLT142" s="22"/>
      <c r="GLU142" s="22"/>
      <c r="GLV142" s="22"/>
      <c r="GLW142" s="22"/>
      <c r="GLX142" s="22"/>
      <c r="GLY142" s="22"/>
      <c r="GLZ142" s="22"/>
      <c r="GMA142" s="22"/>
      <c r="GMB142" s="22"/>
      <c r="GMC142" s="22"/>
      <c r="GMD142" s="22"/>
      <c r="GME142" s="22"/>
      <c r="GMF142" s="22"/>
      <c r="GMG142" s="22"/>
      <c r="GMH142" s="22"/>
      <c r="GMI142" s="22"/>
      <c r="GMJ142" s="22"/>
      <c r="GMK142" s="22"/>
      <c r="GML142" s="22"/>
      <c r="GMM142" s="22"/>
      <c r="GMN142" s="22"/>
      <c r="GMO142" s="22"/>
      <c r="GMP142" s="22"/>
      <c r="GMQ142" s="22"/>
      <c r="GMR142" s="22"/>
      <c r="GMS142" s="22"/>
      <c r="GMT142" s="22"/>
      <c r="GMU142" s="22"/>
      <c r="GMV142" s="22"/>
      <c r="GMW142" s="22"/>
      <c r="GMX142" s="22"/>
      <c r="GMY142" s="22"/>
      <c r="GMZ142" s="22"/>
      <c r="GNA142" s="22"/>
      <c r="GNB142" s="22"/>
      <c r="GNC142" s="22"/>
      <c r="GND142" s="22"/>
      <c r="GNE142" s="22"/>
      <c r="GNF142" s="22"/>
      <c r="GNG142" s="22"/>
      <c r="GNH142" s="22"/>
      <c r="GNI142" s="22"/>
      <c r="GNJ142" s="22"/>
      <c r="GNK142" s="22"/>
      <c r="GNL142" s="22"/>
      <c r="GNM142" s="22"/>
      <c r="GNN142" s="22"/>
      <c r="GNO142" s="22"/>
      <c r="GNP142" s="22"/>
      <c r="GNQ142" s="22"/>
      <c r="GNR142" s="22"/>
      <c r="GNS142" s="22"/>
      <c r="GNT142" s="22"/>
      <c r="GNU142" s="22"/>
      <c r="GNV142" s="22"/>
      <c r="GNW142" s="22"/>
      <c r="GNX142" s="22"/>
      <c r="GNY142" s="22"/>
      <c r="GNZ142" s="22"/>
      <c r="GOA142" s="22"/>
      <c r="GOB142" s="22"/>
      <c r="GOC142" s="22"/>
      <c r="GOD142" s="22"/>
      <c r="GOE142" s="22"/>
      <c r="GOF142" s="22"/>
      <c r="GOG142" s="22"/>
      <c r="GOH142" s="22"/>
      <c r="GOI142" s="22"/>
      <c r="GOJ142" s="22"/>
      <c r="GOK142" s="22"/>
      <c r="GOL142" s="22"/>
      <c r="GOM142" s="22"/>
      <c r="GON142" s="22"/>
      <c r="GOO142" s="22"/>
      <c r="GOP142" s="22"/>
      <c r="GOQ142" s="22"/>
      <c r="GOR142" s="22"/>
      <c r="GOS142" s="22"/>
      <c r="GOT142" s="22"/>
      <c r="GOU142" s="22"/>
      <c r="GOV142" s="22"/>
      <c r="GOW142" s="22"/>
      <c r="GOX142" s="22"/>
      <c r="GOY142" s="22"/>
      <c r="GOZ142" s="22"/>
      <c r="GPA142" s="22"/>
      <c r="GPB142" s="22"/>
      <c r="GPC142" s="22"/>
      <c r="GPD142" s="22"/>
      <c r="GPE142" s="22"/>
      <c r="GPF142" s="22"/>
      <c r="GPG142" s="22"/>
      <c r="GPH142" s="22"/>
      <c r="GPI142" s="22"/>
      <c r="GPJ142" s="22"/>
      <c r="GPK142" s="22"/>
      <c r="GPL142" s="22"/>
      <c r="GPM142" s="22"/>
      <c r="GPN142" s="22"/>
      <c r="GPO142" s="22"/>
      <c r="GPP142" s="22"/>
      <c r="GPQ142" s="22"/>
      <c r="GPR142" s="22"/>
      <c r="GPS142" s="22"/>
      <c r="GPT142" s="22"/>
      <c r="GPU142" s="22"/>
      <c r="GPV142" s="22"/>
      <c r="GPW142" s="22"/>
      <c r="GPX142" s="22"/>
      <c r="GPY142" s="22"/>
      <c r="GPZ142" s="22"/>
      <c r="GQA142" s="22"/>
      <c r="GQB142" s="22"/>
      <c r="GQC142" s="22"/>
      <c r="GQD142" s="22"/>
      <c r="GQE142" s="22"/>
      <c r="GQF142" s="22"/>
      <c r="GQG142" s="22"/>
      <c r="GQH142" s="22"/>
      <c r="GQI142" s="22"/>
      <c r="GQJ142" s="22"/>
      <c r="GQK142" s="22"/>
      <c r="GQL142" s="22"/>
      <c r="GQM142" s="22"/>
      <c r="GQN142" s="22"/>
      <c r="GQO142" s="22"/>
      <c r="GQP142" s="22"/>
      <c r="GQQ142" s="22"/>
      <c r="GQR142" s="22"/>
      <c r="GQS142" s="22"/>
      <c r="GQT142" s="22"/>
      <c r="GQU142" s="22"/>
      <c r="GQV142" s="22"/>
      <c r="GQW142" s="22"/>
      <c r="GQX142" s="22"/>
      <c r="GQY142" s="22"/>
      <c r="GQZ142" s="22"/>
      <c r="GRA142" s="22"/>
      <c r="GRB142" s="22"/>
      <c r="GRC142" s="22"/>
      <c r="GRD142" s="22"/>
      <c r="GRE142" s="22"/>
      <c r="GRF142" s="22"/>
      <c r="GRG142" s="22"/>
      <c r="GRH142" s="22"/>
      <c r="GRI142" s="22"/>
      <c r="GRJ142" s="22"/>
      <c r="GRK142" s="22"/>
      <c r="GRL142" s="22"/>
      <c r="GRM142" s="22"/>
      <c r="GRN142" s="22"/>
      <c r="GRO142" s="22"/>
      <c r="GRP142" s="22"/>
      <c r="GRQ142" s="22"/>
      <c r="GRR142" s="22"/>
      <c r="GRS142" s="22"/>
      <c r="GRT142" s="22"/>
      <c r="GRU142" s="22"/>
      <c r="GRV142" s="22"/>
      <c r="GRW142" s="22"/>
      <c r="GRX142" s="22"/>
      <c r="GRY142" s="22"/>
      <c r="GRZ142" s="22"/>
      <c r="GSA142" s="22"/>
      <c r="GSB142" s="22"/>
      <c r="GSC142" s="22"/>
      <c r="GSD142" s="22"/>
      <c r="GSE142" s="22"/>
      <c r="GSF142" s="22"/>
      <c r="GSG142" s="22"/>
      <c r="GSH142" s="22"/>
      <c r="GSI142" s="22"/>
      <c r="GSJ142" s="22"/>
      <c r="GSK142" s="22"/>
      <c r="GSL142" s="22"/>
      <c r="GSM142" s="22"/>
      <c r="GSN142" s="22"/>
      <c r="GSO142" s="22"/>
      <c r="GSP142" s="22"/>
      <c r="GSQ142" s="22"/>
      <c r="GSR142" s="22"/>
      <c r="GSS142" s="22"/>
      <c r="GST142" s="22"/>
      <c r="GSU142" s="22"/>
      <c r="GSV142" s="22"/>
      <c r="GSW142" s="22"/>
      <c r="GSX142" s="22"/>
      <c r="GSY142" s="22"/>
      <c r="GSZ142" s="22"/>
      <c r="GTA142" s="22"/>
      <c r="GTB142" s="22"/>
      <c r="GTC142" s="22"/>
      <c r="GTD142" s="22"/>
      <c r="GTE142" s="22"/>
      <c r="GTF142" s="22"/>
      <c r="GTG142" s="22"/>
      <c r="GTH142" s="22"/>
      <c r="GTI142" s="22"/>
      <c r="GTJ142" s="22"/>
      <c r="GTK142" s="22"/>
      <c r="GTL142" s="22"/>
      <c r="GTM142" s="22"/>
      <c r="GTN142" s="22"/>
      <c r="GTO142" s="22"/>
      <c r="GTP142" s="22"/>
      <c r="GTQ142" s="22"/>
      <c r="GTR142" s="22"/>
      <c r="GTS142" s="22"/>
      <c r="GTT142" s="22"/>
      <c r="GTU142" s="22"/>
      <c r="GTV142" s="22"/>
      <c r="GTW142" s="22"/>
      <c r="GTX142" s="22"/>
      <c r="GTY142" s="22"/>
      <c r="GTZ142" s="22"/>
      <c r="GUA142" s="22"/>
      <c r="GUB142" s="22"/>
      <c r="GUC142" s="22"/>
      <c r="GUD142" s="22"/>
      <c r="GUE142" s="22"/>
      <c r="GUF142" s="22"/>
      <c r="GUG142" s="22"/>
      <c r="GUH142" s="22"/>
      <c r="GUI142" s="22"/>
      <c r="GUJ142" s="22"/>
      <c r="GUK142" s="22"/>
      <c r="GUL142" s="22"/>
      <c r="GUM142" s="22"/>
      <c r="GUN142" s="22"/>
      <c r="GUO142" s="22"/>
      <c r="GUP142" s="22"/>
      <c r="GUQ142" s="22"/>
      <c r="GUR142" s="22"/>
      <c r="GUS142" s="22"/>
      <c r="GUT142" s="22"/>
      <c r="GUU142" s="22"/>
      <c r="GUV142" s="22"/>
      <c r="GUW142" s="22"/>
      <c r="GUX142" s="22"/>
      <c r="GUY142" s="22"/>
      <c r="GUZ142" s="22"/>
      <c r="GVA142" s="22"/>
      <c r="GVB142" s="22"/>
      <c r="GVC142" s="22"/>
      <c r="GVD142" s="22"/>
      <c r="GVE142" s="22"/>
      <c r="GVF142" s="22"/>
      <c r="GVG142" s="22"/>
      <c r="GVH142" s="22"/>
      <c r="GVI142" s="22"/>
      <c r="GVJ142" s="22"/>
      <c r="GVK142" s="22"/>
      <c r="GVL142" s="22"/>
      <c r="GVM142" s="22"/>
      <c r="GVN142" s="22"/>
      <c r="GVO142" s="22"/>
      <c r="GVP142" s="22"/>
      <c r="GVQ142" s="22"/>
      <c r="GVR142" s="22"/>
      <c r="GVS142" s="22"/>
      <c r="GVT142" s="22"/>
      <c r="GVU142" s="22"/>
      <c r="GVV142" s="22"/>
      <c r="GVW142" s="22"/>
      <c r="GVX142" s="22"/>
      <c r="GVY142" s="22"/>
      <c r="GVZ142" s="22"/>
      <c r="GWA142" s="22"/>
      <c r="GWB142" s="22"/>
      <c r="GWC142" s="22"/>
      <c r="GWD142" s="22"/>
      <c r="GWE142" s="22"/>
      <c r="GWF142" s="22"/>
      <c r="GWG142" s="22"/>
      <c r="GWH142" s="22"/>
      <c r="GWI142" s="22"/>
      <c r="GWJ142" s="22"/>
      <c r="GWK142" s="22"/>
      <c r="GWL142" s="22"/>
      <c r="GWM142" s="22"/>
      <c r="GWN142" s="22"/>
      <c r="GWO142" s="22"/>
      <c r="GWP142" s="22"/>
      <c r="GWQ142" s="22"/>
      <c r="GWR142" s="22"/>
      <c r="GWS142" s="22"/>
      <c r="GWT142" s="22"/>
      <c r="GWU142" s="22"/>
      <c r="GWV142" s="22"/>
      <c r="GWW142" s="22"/>
      <c r="GWX142" s="22"/>
      <c r="GWY142" s="22"/>
      <c r="GWZ142" s="22"/>
      <c r="GXA142" s="22"/>
      <c r="GXB142" s="22"/>
      <c r="GXC142" s="22"/>
      <c r="GXD142" s="22"/>
      <c r="GXE142" s="22"/>
      <c r="GXF142" s="22"/>
      <c r="GXG142" s="22"/>
      <c r="GXH142" s="22"/>
      <c r="GXI142" s="22"/>
      <c r="GXJ142" s="22"/>
      <c r="GXK142" s="22"/>
      <c r="GXL142" s="22"/>
      <c r="GXM142" s="22"/>
      <c r="GXN142" s="22"/>
      <c r="GXO142" s="22"/>
      <c r="GXP142" s="22"/>
      <c r="GXQ142" s="22"/>
      <c r="GXR142" s="22"/>
      <c r="GXS142" s="22"/>
      <c r="GXT142" s="22"/>
      <c r="GXU142" s="22"/>
      <c r="GXV142" s="22"/>
      <c r="GXW142" s="22"/>
      <c r="GXX142" s="22"/>
      <c r="GXY142" s="22"/>
      <c r="GXZ142" s="22"/>
      <c r="GYA142" s="22"/>
      <c r="GYB142" s="22"/>
      <c r="GYC142" s="22"/>
      <c r="GYD142" s="22"/>
      <c r="GYE142" s="22"/>
      <c r="GYF142" s="22"/>
      <c r="GYG142" s="22"/>
      <c r="GYH142" s="22"/>
      <c r="GYI142" s="22"/>
      <c r="GYJ142" s="22"/>
      <c r="GYK142" s="22"/>
      <c r="GYL142" s="22"/>
      <c r="GYM142" s="22"/>
      <c r="GYN142" s="22"/>
      <c r="GYO142" s="22"/>
      <c r="GYP142" s="22"/>
      <c r="GYQ142" s="22"/>
      <c r="GYR142" s="22"/>
      <c r="GYS142" s="22"/>
      <c r="GYT142" s="22"/>
      <c r="GYU142" s="22"/>
      <c r="GYV142" s="22"/>
      <c r="GYW142" s="22"/>
      <c r="GYX142" s="22"/>
      <c r="GYY142" s="22"/>
      <c r="GYZ142" s="22"/>
      <c r="GZA142" s="22"/>
      <c r="GZB142" s="22"/>
      <c r="GZC142" s="22"/>
      <c r="GZD142" s="22"/>
      <c r="GZE142" s="22"/>
      <c r="GZF142" s="22"/>
      <c r="GZG142" s="22"/>
      <c r="GZH142" s="22"/>
      <c r="GZI142" s="22"/>
      <c r="GZJ142" s="22"/>
      <c r="GZK142" s="22"/>
      <c r="GZL142" s="22"/>
      <c r="GZM142" s="22"/>
      <c r="GZN142" s="22"/>
      <c r="GZO142" s="22"/>
      <c r="GZP142" s="22"/>
      <c r="GZQ142" s="22"/>
      <c r="GZR142" s="22"/>
      <c r="GZS142" s="22"/>
      <c r="GZT142" s="22"/>
      <c r="GZU142" s="22"/>
      <c r="GZV142" s="22"/>
      <c r="GZW142" s="22"/>
      <c r="GZX142" s="22"/>
      <c r="GZY142" s="22"/>
      <c r="GZZ142" s="22"/>
      <c r="HAA142" s="22"/>
      <c r="HAB142" s="22"/>
      <c r="HAC142" s="22"/>
      <c r="HAD142" s="22"/>
      <c r="HAE142" s="22"/>
      <c r="HAF142" s="22"/>
      <c r="HAG142" s="22"/>
      <c r="HAH142" s="22"/>
      <c r="HAI142" s="22"/>
      <c r="HAJ142" s="22"/>
      <c r="HAK142" s="22"/>
      <c r="HAL142" s="22"/>
      <c r="HAM142" s="22"/>
      <c r="HAN142" s="22"/>
      <c r="HAO142" s="22"/>
      <c r="HAP142" s="22"/>
      <c r="HAQ142" s="22"/>
      <c r="HAR142" s="22"/>
      <c r="HAS142" s="22"/>
      <c r="HAT142" s="22"/>
      <c r="HAU142" s="22"/>
      <c r="HAV142" s="22"/>
      <c r="HAW142" s="22"/>
      <c r="HAX142" s="22"/>
      <c r="HAY142" s="22"/>
      <c r="HAZ142" s="22"/>
      <c r="HBA142" s="22"/>
      <c r="HBB142" s="22"/>
      <c r="HBC142" s="22"/>
      <c r="HBD142" s="22"/>
      <c r="HBE142" s="22"/>
      <c r="HBF142" s="22"/>
      <c r="HBG142" s="22"/>
      <c r="HBH142" s="22"/>
      <c r="HBI142" s="22"/>
      <c r="HBJ142" s="22"/>
      <c r="HBK142" s="22"/>
      <c r="HBL142" s="22"/>
      <c r="HBM142" s="22"/>
      <c r="HBN142" s="22"/>
      <c r="HBO142" s="22"/>
      <c r="HBP142" s="22"/>
      <c r="HBQ142" s="22"/>
      <c r="HBR142" s="22"/>
      <c r="HBS142" s="22"/>
      <c r="HBT142" s="22"/>
      <c r="HBU142" s="22"/>
      <c r="HBV142" s="22"/>
      <c r="HBW142" s="22"/>
      <c r="HBX142" s="22"/>
      <c r="HBY142" s="22"/>
      <c r="HBZ142" s="22"/>
      <c r="HCA142" s="22"/>
      <c r="HCB142" s="22"/>
      <c r="HCC142" s="22"/>
      <c r="HCD142" s="22"/>
      <c r="HCE142" s="22"/>
      <c r="HCF142" s="22"/>
      <c r="HCG142" s="22"/>
      <c r="HCH142" s="22"/>
      <c r="HCI142" s="22"/>
      <c r="HCJ142" s="22"/>
      <c r="HCK142" s="22"/>
      <c r="HCL142" s="22"/>
      <c r="HCM142" s="22"/>
      <c r="HCN142" s="22"/>
      <c r="HCO142" s="22"/>
      <c r="HCP142" s="22"/>
      <c r="HCQ142" s="22"/>
      <c r="HCR142" s="22"/>
      <c r="HCS142" s="22"/>
      <c r="HCT142" s="22"/>
      <c r="HCU142" s="22"/>
      <c r="HCV142" s="22"/>
      <c r="HCW142" s="22"/>
      <c r="HCX142" s="22"/>
      <c r="HCY142" s="22"/>
      <c r="HCZ142" s="22"/>
      <c r="HDA142" s="22"/>
      <c r="HDB142" s="22"/>
      <c r="HDC142" s="22"/>
      <c r="HDD142" s="22"/>
      <c r="HDE142" s="22"/>
      <c r="HDF142" s="22"/>
      <c r="HDG142" s="22"/>
      <c r="HDH142" s="22"/>
      <c r="HDI142" s="22"/>
      <c r="HDJ142" s="22"/>
      <c r="HDK142" s="22"/>
      <c r="HDL142" s="22"/>
      <c r="HDM142" s="22"/>
      <c r="HDN142" s="22"/>
      <c r="HDO142" s="22"/>
      <c r="HDP142" s="22"/>
      <c r="HDQ142" s="22"/>
      <c r="HDR142" s="22"/>
      <c r="HDS142" s="22"/>
      <c r="HDT142" s="22"/>
      <c r="HDU142" s="22"/>
      <c r="HDV142" s="22"/>
      <c r="HDW142" s="22"/>
      <c r="HDX142" s="22"/>
      <c r="HDY142" s="22"/>
      <c r="HDZ142" s="22"/>
      <c r="HEA142" s="22"/>
      <c r="HEB142" s="22"/>
      <c r="HEC142" s="22"/>
      <c r="HED142" s="22"/>
      <c r="HEE142" s="22"/>
      <c r="HEF142" s="22"/>
      <c r="HEG142" s="22"/>
      <c r="HEH142" s="22"/>
      <c r="HEI142" s="22"/>
      <c r="HEJ142" s="22"/>
      <c r="HEK142" s="22"/>
      <c r="HEL142" s="22"/>
      <c r="HEM142" s="22"/>
      <c r="HEN142" s="22"/>
      <c r="HEO142" s="22"/>
      <c r="HEP142" s="22"/>
      <c r="HEQ142" s="22"/>
      <c r="HER142" s="22"/>
      <c r="HES142" s="22"/>
      <c r="HET142" s="22"/>
      <c r="HEU142" s="22"/>
      <c r="HEV142" s="22"/>
      <c r="HEW142" s="22"/>
      <c r="HEX142" s="22"/>
      <c r="HEY142" s="22"/>
      <c r="HEZ142" s="22"/>
      <c r="HFA142" s="22"/>
      <c r="HFB142" s="22"/>
      <c r="HFC142" s="22"/>
      <c r="HFD142" s="22"/>
      <c r="HFE142" s="22"/>
      <c r="HFF142" s="22"/>
      <c r="HFG142" s="22"/>
      <c r="HFH142" s="22"/>
      <c r="HFI142" s="22"/>
      <c r="HFJ142" s="22"/>
      <c r="HFK142" s="22"/>
      <c r="HFL142" s="22"/>
      <c r="HFM142" s="22"/>
      <c r="HFN142" s="22"/>
      <c r="HFO142" s="22"/>
      <c r="HFP142" s="22"/>
      <c r="HFQ142" s="22"/>
      <c r="HFR142" s="22"/>
      <c r="HFS142" s="22"/>
      <c r="HFT142" s="22"/>
      <c r="HFU142" s="22"/>
      <c r="HFV142" s="22"/>
      <c r="HFW142" s="22"/>
      <c r="HFX142" s="22"/>
      <c r="HFY142" s="22"/>
      <c r="HFZ142" s="22"/>
      <c r="HGA142" s="22"/>
      <c r="HGB142" s="22"/>
      <c r="HGC142" s="22"/>
      <c r="HGD142" s="22"/>
      <c r="HGE142" s="22"/>
      <c r="HGF142" s="22"/>
      <c r="HGG142" s="22"/>
      <c r="HGH142" s="22"/>
      <c r="HGI142" s="22"/>
      <c r="HGJ142" s="22"/>
      <c r="HGK142" s="22"/>
      <c r="HGL142" s="22"/>
      <c r="HGM142" s="22"/>
      <c r="HGN142" s="22"/>
      <c r="HGO142" s="22"/>
      <c r="HGP142" s="22"/>
      <c r="HGQ142" s="22"/>
      <c r="HGR142" s="22"/>
      <c r="HGS142" s="22"/>
      <c r="HGT142" s="22"/>
      <c r="HGU142" s="22"/>
      <c r="HGV142" s="22"/>
      <c r="HGW142" s="22"/>
      <c r="HGX142" s="22"/>
      <c r="HGY142" s="22"/>
      <c r="HGZ142" s="22"/>
      <c r="HHA142" s="22"/>
      <c r="HHB142" s="22"/>
      <c r="HHC142" s="22"/>
      <c r="HHD142" s="22"/>
      <c r="HHE142" s="22"/>
      <c r="HHF142" s="22"/>
      <c r="HHG142" s="22"/>
      <c r="HHH142" s="22"/>
      <c r="HHI142" s="22"/>
      <c r="HHJ142" s="22"/>
      <c r="HHK142" s="22"/>
      <c r="HHL142" s="22"/>
      <c r="HHM142" s="22"/>
      <c r="HHN142" s="22"/>
      <c r="HHO142" s="22"/>
      <c r="HHP142" s="22"/>
      <c r="HHQ142" s="22"/>
      <c r="HHR142" s="22"/>
      <c r="HHS142" s="22"/>
      <c r="HHT142" s="22"/>
      <c r="HHU142" s="22"/>
      <c r="HHV142" s="22"/>
      <c r="HHW142" s="22"/>
      <c r="HHX142" s="22"/>
      <c r="HHY142" s="22"/>
      <c r="HHZ142" s="22"/>
      <c r="HIA142" s="22"/>
      <c r="HIB142" s="22"/>
      <c r="HIC142" s="22"/>
      <c r="HID142" s="22"/>
      <c r="HIE142" s="22"/>
      <c r="HIF142" s="22"/>
      <c r="HIG142" s="22"/>
      <c r="HIH142" s="22"/>
      <c r="HII142" s="22"/>
      <c r="HIJ142" s="22"/>
      <c r="HIK142" s="22"/>
      <c r="HIL142" s="22"/>
      <c r="HIM142" s="22"/>
      <c r="HIN142" s="22"/>
      <c r="HIO142" s="22"/>
      <c r="HIP142" s="22"/>
      <c r="HIQ142" s="22"/>
      <c r="HIR142" s="22"/>
      <c r="HIS142" s="22"/>
      <c r="HIT142" s="22"/>
      <c r="HIU142" s="22"/>
      <c r="HIV142" s="22"/>
      <c r="HIW142" s="22"/>
      <c r="HIX142" s="22"/>
      <c r="HIY142" s="22"/>
      <c r="HIZ142" s="22"/>
      <c r="HJA142" s="22"/>
      <c r="HJB142" s="22"/>
      <c r="HJC142" s="22"/>
      <c r="HJD142" s="22"/>
      <c r="HJE142" s="22"/>
      <c r="HJF142" s="22"/>
      <c r="HJG142" s="22"/>
      <c r="HJH142" s="22"/>
      <c r="HJI142" s="22"/>
      <c r="HJJ142" s="22"/>
      <c r="HJK142" s="22"/>
      <c r="HJL142" s="22"/>
      <c r="HJM142" s="22"/>
      <c r="HJN142" s="22"/>
      <c r="HJO142" s="22"/>
      <c r="HJP142" s="22"/>
      <c r="HJQ142" s="22"/>
      <c r="HJR142" s="22"/>
      <c r="HJS142" s="22"/>
      <c r="HJT142" s="22"/>
      <c r="HJU142" s="22"/>
      <c r="HJV142" s="22"/>
      <c r="HJW142" s="22"/>
      <c r="HJX142" s="22"/>
      <c r="HJY142" s="22"/>
      <c r="HJZ142" s="22"/>
      <c r="HKA142" s="22"/>
      <c r="HKB142" s="22"/>
      <c r="HKC142" s="22"/>
      <c r="HKD142" s="22"/>
      <c r="HKE142" s="22"/>
      <c r="HKF142" s="22"/>
      <c r="HKG142" s="22"/>
      <c r="HKH142" s="22"/>
      <c r="HKI142" s="22"/>
      <c r="HKJ142" s="22"/>
      <c r="HKK142" s="22"/>
      <c r="HKL142" s="22"/>
      <c r="HKM142" s="22"/>
      <c r="HKN142" s="22"/>
      <c r="HKO142" s="22"/>
      <c r="HKP142" s="22"/>
      <c r="HKQ142" s="22"/>
      <c r="HKR142" s="22"/>
      <c r="HKS142" s="22"/>
      <c r="HKT142" s="22"/>
      <c r="HKU142" s="22"/>
      <c r="HKV142" s="22"/>
      <c r="HKW142" s="22"/>
      <c r="HKX142" s="22"/>
      <c r="HKY142" s="22"/>
      <c r="HKZ142" s="22"/>
      <c r="HLA142" s="22"/>
      <c r="HLB142" s="22"/>
      <c r="HLC142" s="22"/>
      <c r="HLD142" s="22"/>
      <c r="HLE142" s="22"/>
      <c r="HLF142" s="22"/>
      <c r="HLG142" s="22"/>
      <c r="HLH142" s="22"/>
      <c r="HLI142" s="22"/>
      <c r="HLJ142" s="22"/>
      <c r="HLK142" s="22"/>
      <c r="HLL142" s="22"/>
      <c r="HLM142" s="22"/>
      <c r="HLN142" s="22"/>
      <c r="HLO142" s="22"/>
      <c r="HLP142" s="22"/>
      <c r="HLQ142" s="22"/>
      <c r="HLR142" s="22"/>
      <c r="HLS142" s="22"/>
      <c r="HLT142" s="22"/>
      <c r="HLU142" s="22"/>
      <c r="HLV142" s="22"/>
      <c r="HLW142" s="22"/>
      <c r="HLX142" s="22"/>
      <c r="HLY142" s="22"/>
      <c r="HLZ142" s="22"/>
      <c r="HMA142" s="22"/>
      <c r="HMB142" s="22"/>
      <c r="HMC142" s="22"/>
      <c r="HMD142" s="22"/>
      <c r="HME142" s="22"/>
      <c r="HMF142" s="22"/>
      <c r="HMG142" s="22"/>
      <c r="HMH142" s="22"/>
      <c r="HMI142" s="22"/>
      <c r="HMJ142" s="22"/>
      <c r="HMK142" s="22"/>
      <c r="HML142" s="22"/>
      <c r="HMM142" s="22"/>
      <c r="HMN142" s="22"/>
      <c r="HMO142" s="22"/>
      <c r="HMP142" s="22"/>
      <c r="HMQ142" s="22"/>
      <c r="HMR142" s="22"/>
      <c r="HMS142" s="22"/>
      <c r="HMT142" s="22"/>
      <c r="HMU142" s="22"/>
      <c r="HMV142" s="22"/>
      <c r="HMW142" s="22"/>
      <c r="HMX142" s="22"/>
      <c r="HMY142" s="22"/>
      <c r="HMZ142" s="22"/>
      <c r="HNA142" s="22"/>
      <c r="HNB142" s="22"/>
      <c r="HNC142" s="22"/>
      <c r="HND142" s="22"/>
      <c r="HNE142" s="22"/>
      <c r="HNF142" s="22"/>
      <c r="HNG142" s="22"/>
      <c r="HNH142" s="22"/>
      <c r="HNI142" s="22"/>
      <c r="HNJ142" s="22"/>
      <c r="HNK142" s="22"/>
      <c r="HNL142" s="22"/>
      <c r="HNM142" s="22"/>
      <c r="HNN142" s="22"/>
      <c r="HNO142" s="22"/>
      <c r="HNP142" s="22"/>
      <c r="HNQ142" s="22"/>
      <c r="HNR142" s="22"/>
      <c r="HNS142" s="22"/>
      <c r="HNT142" s="22"/>
      <c r="HNU142" s="22"/>
      <c r="HNV142" s="22"/>
      <c r="HNW142" s="22"/>
      <c r="HNX142" s="22"/>
      <c r="HNY142" s="22"/>
      <c r="HNZ142" s="22"/>
      <c r="HOA142" s="22"/>
      <c r="HOB142" s="22"/>
      <c r="HOC142" s="22"/>
      <c r="HOD142" s="22"/>
      <c r="HOE142" s="22"/>
      <c r="HOF142" s="22"/>
      <c r="HOG142" s="22"/>
      <c r="HOH142" s="22"/>
      <c r="HOI142" s="22"/>
      <c r="HOJ142" s="22"/>
      <c r="HOK142" s="22"/>
      <c r="HOL142" s="22"/>
      <c r="HOM142" s="22"/>
      <c r="HON142" s="22"/>
      <c r="HOO142" s="22"/>
      <c r="HOP142" s="22"/>
      <c r="HOQ142" s="22"/>
      <c r="HOR142" s="22"/>
      <c r="HOS142" s="22"/>
      <c r="HOT142" s="22"/>
      <c r="HOU142" s="22"/>
      <c r="HOV142" s="22"/>
      <c r="HOW142" s="22"/>
      <c r="HOX142" s="22"/>
      <c r="HOY142" s="22"/>
      <c r="HOZ142" s="22"/>
      <c r="HPA142" s="22"/>
      <c r="HPB142" s="22"/>
      <c r="HPC142" s="22"/>
      <c r="HPD142" s="22"/>
      <c r="HPE142" s="22"/>
      <c r="HPF142" s="22"/>
      <c r="HPG142" s="22"/>
      <c r="HPH142" s="22"/>
      <c r="HPI142" s="22"/>
      <c r="HPJ142" s="22"/>
      <c r="HPK142" s="22"/>
      <c r="HPL142" s="22"/>
      <c r="HPM142" s="22"/>
      <c r="HPN142" s="22"/>
      <c r="HPO142" s="22"/>
      <c r="HPP142" s="22"/>
      <c r="HPQ142" s="22"/>
      <c r="HPR142" s="22"/>
      <c r="HPS142" s="22"/>
      <c r="HPT142" s="22"/>
      <c r="HPU142" s="22"/>
      <c r="HPV142" s="22"/>
      <c r="HPW142" s="22"/>
      <c r="HPX142" s="22"/>
      <c r="HPY142" s="22"/>
      <c r="HPZ142" s="22"/>
      <c r="HQA142" s="22"/>
      <c r="HQB142" s="22"/>
      <c r="HQC142" s="22"/>
      <c r="HQD142" s="22"/>
      <c r="HQE142" s="22"/>
      <c r="HQF142" s="22"/>
      <c r="HQG142" s="22"/>
      <c r="HQH142" s="22"/>
      <c r="HQI142" s="22"/>
      <c r="HQJ142" s="22"/>
      <c r="HQK142" s="22"/>
      <c r="HQL142" s="22"/>
      <c r="HQM142" s="22"/>
      <c r="HQN142" s="22"/>
      <c r="HQO142" s="22"/>
      <c r="HQP142" s="22"/>
      <c r="HQQ142" s="22"/>
      <c r="HQR142" s="22"/>
      <c r="HQS142" s="22"/>
      <c r="HQT142" s="22"/>
      <c r="HQU142" s="22"/>
      <c r="HQV142" s="22"/>
      <c r="HQW142" s="22"/>
      <c r="HQX142" s="22"/>
      <c r="HQY142" s="22"/>
      <c r="HQZ142" s="22"/>
      <c r="HRA142" s="22"/>
      <c r="HRB142" s="22"/>
      <c r="HRC142" s="22"/>
      <c r="HRD142" s="22"/>
      <c r="HRE142" s="22"/>
      <c r="HRF142" s="22"/>
      <c r="HRG142" s="22"/>
      <c r="HRH142" s="22"/>
      <c r="HRI142" s="22"/>
      <c r="HRJ142" s="22"/>
      <c r="HRK142" s="22"/>
      <c r="HRL142" s="22"/>
      <c r="HRM142" s="22"/>
      <c r="HRN142" s="22"/>
      <c r="HRO142" s="22"/>
      <c r="HRP142" s="22"/>
      <c r="HRQ142" s="22"/>
      <c r="HRR142" s="22"/>
      <c r="HRS142" s="22"/>
      <c r="HRT142" s="22"/>
      <c r="HRU142" s="22"/>
      <c r="HRV142" s="22"/>
      <c r="HRW142" s="22"/>
      <c r="HRX142" s="22"/>
      <c r="HRY142" s="22"/>
      <c r="HRZ142" s="22"/>
      <c r="HSA142" s="22"/>
      <c r="HSB142" s="22"/>
      <c r="HSC142" s="22"/>
      <c r="HSD142" s="22"/>
      <c r="HSE142" s="22"/>
      <c r="HSF142" s="22"/>
      <c r="HSG142" s="22"/>
      <c r="HSH142" s="22"/>
      <c r="HSI142" s="22"/>
      <c r="HSJ142" s="22"/>
      <c r="HSK142" s="22"/>
      <c r="HSL142" s="22"/>
      <c r="HSM142" s="22"/>
      <c r="HSN142" s="22"/>
      <c r="HSO142" s="22"/>
      <c r="HSP142" s="22"/>
      <c r="HSQ142" s="22"/>
      <c r="HSR142" s="22"/>
      <c r="HSS142" s="22"/>
      <c r="HST142" s="22"/>
      <c r="HSU142" s="22"/>
      <c r="HSV142" s="22"/>
      <c r="HSW142" s="22"/>
      <c r="HSX142" s="22"/>
      <c r="HSY142" s="22"/>
      <c r="HSZ142" s="22"/>
      <c r="HTA142" s="22"/>
      <c r="HTB142" s="22"/>
      <c r="HTC142" s="22"/>
      <c r="HTD142" s="22"/>
      <c r="HTE142" s="22"/>
      <c r="HTF142" s="22"/>
      <c r="HTG142" s="22"/>
      <c r="HTH142" s="22"/>
      <c r="HTI142" s="22"/>
      <c r="HTJ142" s="22"/>
      <c r="HTK142" s="22"/>
      <c r="HTL142" s="22"/>
      <c r="HTM142" s="22"/>
      <c r="HTN142" s="22"/>
      <c r="HTO142" s="22"/>
      <c r="HTP142" s="22"/>
      <c r="HTQ142" s="22"/>
      <c r="HTR142" s="22"/>
      <c r="HTS142" s="22"/>
      <c r="HTT142" s="22"/>
      <c r="HTU142" s="22"/>
      <c r="HTV142" s="22"/>
      <c r="HTW142" s="22"/>
      <c r="HTX142" s="22"/>
      <c r="HTY142" s="22"/>
      <c r="HTZ142" s="22"/>
      <c r="HUA142" s="22"/>
      <c r="HUB142" s="22"/>
      <c r="HUC142" s="22"/>
      <c r="HUD142" s="22"/>
      <c r="HUE142" s="22"/>
      <c r="HUF142" s="22"/>
      <c r="HUG142" s="22"/>
      <c r="HUH142" s="22"/>
      <c r="HUI142" s="22"/>
      <c r="HUJ142" s="22"/>
      <c r="HUK142" s="22"/>
      <c r="HUL142" s="22"/>
      <c r="HUM142" s="22"/>
      <c r="HUN142" s="22"/>
      <c r="HUO142" s="22"/>
      <c r="HUP142" s="22"/>
      <c r="HUQ142" s="22"/>
      <c r="HUR142" s="22"/>
      <c r="HUS142" s="22"/>
      <c r="HUT142" s="22"/>
      <c r="HUU142" s="22"/>
      <c r="HUV142" s="22"/>
      <c r="HUW142" s="22"/>
      <c r="HUX142" s="22"/>
      <c r="HUY142" s="22"/>
      <c r="HUZ142" s="22"/>
      <c r="HVA142" s="22"/>
      <c r="HVB142" s="22"/>
      <c r="HVC142" s="22"/>
      <c r="HVD142" s="22"/>
      <c r="HVE142" s="22"/>
      <c r="HVF142" s="22"/>
      <c r="HVG142" s="22"/>
      <c r="HVH142" s="22"/>
      <c r="HVI142" s="22"/>
      <c r="HVJ142" s="22"/>
      <c r="HVK142" s="22"/>
      <c r="HVL142" s="22"/>
      <c r="HVM142" s="22"/>
      <c r="HVN142" s="22"/>
      <c r="HVO142" s="22"/>
      <c r="HVP142" s="22"/>
      <c r="HVQ142" s="22"/>
      <c r="HVR142" s="22"/>
      <c r="HVS142" s="22"/>
      <c r="HVT142" s="22"/>
      <c r="HVU142" s="22"/>
      <c r="HVV142" s="22"/>
      <c r="HVW142" s="22"/>
      <c r="HVX142" s="22"/>
      <c r="HVY142" s="22"/>
      <c r="HVZ142" s="22"/>
      <c r="HWA142" s="22"/>
      <c r="HWB142" s="22"/>
      <c r="HWC142" s="22"/>
      <c r="HWD142" s="22"/>
      <c r="HWE142" s="22"/>
      <c r="HWF142" s="22"/>
      <c r="HWG142" s="22"/>
      <c r="HWH142" s="22"/>
      <c r="HWI142" s="22"/>
      <c r="HWJ142" s="22"/>
      <c r="HWK142" s="22"/>
      <c r="HWL142" s="22"/>
      <c r="HWM142" s="22"/>
      <c r="HWN142" s="22"/>
      <c r="HWO142" s="22"/>
      <c r="HWP142" s="22"/>
      <c r="HWQ142" s="22"/>
      <c r="HWR142" s="22"/>
      <c r="HWS142" s="22"/>
      <c r="HWT142" s="22"/>
      <c r="HWU142" s="22"/>
      <c r="HWV142" s="22"/>
      <c r="HWW142" s="22"/>
      <c r="HWX142" s="22"/>
      <c r="HWY142" s="22"/>
      <c r="HWZ142" s="22"/>
      <c r="HXA142" s="22"/>
      <c r="HXB142" s="22"/>
      <c r="HXC142" s="22"/>
      <c r="HXD142" s="22"/>
      <c r="HXE142" s="22"/>
      <c r="HXF142" s="22"/>
      <c r="HXG142" s="22"/>
      <c r="HXH142" s="22"/>
      <c r="HXI142" s="22"/>
      <c r="HXJ142" s="22"/>
      <c r="HXK142" s="22"/>
      <c r="HXL142" s="22"/>
      <c r="HXM142" s="22"/>
      <c r="HXN142" s="22"/>
      <c r="HXO142" s="22"/>
      <c r="HXP142" s="22"/>
      <c r="HXQ142" s="22"/>
      <c r="HXR142" s="22"/>
      <c r="HXS142" s="22"/>
      <c r="HXT142" s="22"/>
      <c r="HXU142" s="22"/>
      <c r="HXV142" s="22"/>
      <c r="HXW142" s="22"/>
      <c r="HXX142" s="22"/>
      <c r="HXY142" s="22"/>
      <c r="HXZ142" s="22"/>
      <c r="HYA142" s="22"/>
      <c r="HYB142" s="22"/>
      <c r="HYC142" s="22"/>
      <c r="HYD142" s="22"/>
      <c r="HYE142" s="22"/>
      <c r="HYF142" s="22"/>
      <c r="HYG142" s="22"/>
      <c r="HYH142" s="22"/>
      <c r="HYI142" s="22"/>
      <c r="HYJ142" s="22"/>
      <c r="HYK142" s="22"/>
      <c r="HYL142" s="22"/>
      <c r="HYM142" s="22"/>
      <c r="HYN142" s="22"/>
      <c r="HYO142" s="22"/>
      <c r="HYP142" s="22"/>
      <c r="HYQ142" s="22"/>
      <c r="HYR142" s="22"/>
      <c r="HYS142" s="22"/>
      <c r="HYT142" s="22"/>
      <c r="HYU142" s="22"/>
      <c r="HYV142" s="22"/>
      <c r="HYW142" s="22"/>
      <c r="HYX142" s="22"/>
      <c r="HYY142" s="22"/>
      <c r="HYZ142" s="22"/>
      <c r="HZA142" s="22"/>
      <c r="HZB142" s="22"/>
      <c r="HZC142" s="22"/>
      <c r="HZD142" s="22"/>
      <c r="HZE142" s="22"/>
      <c r="HZF142" s="22"/>
      <c r="HZG142" s="22"/>
      <c r="HZH142" s="22"/>
      <c r="HZI142" s="22"/>
      <c r="HZJ142" s="22"/>
      <c r="HZK142" s="22"/>
      <c r="HZL142" s="22"/>
      <c r="HZM142" s="22"/>
      <c r="HZN142" s="22"/>
      <c r="HZO142" s="22"/>
      <c r="HZP142" s="22"/>
      <c r="HZQ142" s="22"/>
      <c r="HZR142" s="22"/>
      <c r="HZS142" s="22"/>
      <c r="HZT142" s="22"/>
      <c r="HZU142" s="22"/>
      <c r="HZV142" s="22"/>
      <c r="HZW142" s="22"/>
      <c r="HZX142" s="22"/>
      <c r="HZY142" s="22"/>
      <c r="HZZ142" s="22"/>
      <c r="IAA142" s="22"/>
      <c r="IAB142" s="22"/>
      <c r="IAC142" s="22"/>
      <c r="IAD142" s="22"/>
      <c r="IAE142" s="22"/>
      <c r="IAF142" s="22"/>
      <c r="IAG142" s="22"/>
      <c r="IAH142" s="22"/>
      <c r="IAI142" s="22"/>
      <c r="IAJ142" s="22"/>
      <c r="IAK142" s="22"/>
      <c r="IAL142" s="22"/>
      <c r="IAM142" s="22"/>
      <c r="IAN142" s="22"/>
      <c r="IAO142" s="22"/>
      <c r="IAP142" s="22"/>
      <c r="IAQ142" s="22"/>
      <c r="IAR142" s="22"/>
      <c r="IAS142" s="22"/>
      <c r="IAT142" s="22"/>
      <c r="IAU142" s="22"/>
      <c r="IAV142" s="22"/>
      <c r="IAW142" s="22"/>
      <c r="IAX142" s="22"/>
      <c r="IAY142" s="22"/>
      <c r="IAZ142" s="22"/>
      <c r="IBA142" s="22"/>
      <c r="IBB142" s="22"/>
      <c r="IBC142" s="22"/>
      <c r="IBD142" s="22"/>
      <c r="IBE142" s="22"/>
      <c r="IBF142" s="22"/>
      <c r="IBG142" s="22"/>
      <c r="IBH142" s="22"/>
      <c r="IBI142" s="22"/>
      <c r="IBJ142" s="22"/>
      <c r="IBK142" s="22"/>
      <c r="IBL142" s="22"/>
      <c r="IBM142" s="22"/>
      <c r="IBN142" s="22"/>
      <c r="IBO142" s="22"/>
      <c r="IBP142" s="22"/>
      <c r="IBQ142" s="22"/>
      <c r="IBR142" s="22"/>
      <c r="IBS142" s="22"/>
      <c r="IBT142" s="22"/>
      <c r="IBU142" s="22"/>
      <c r="IBV142" s="22"/>
      <c r="IBW142" s="22"/>
      <c r="IBX142" s="22"/>
      <c r="IBY142" s="22"/>
      <c r="IBZ142" s="22"/>
      <c r="ICA142" s="22"/>
      <c r="ICB142" s="22"/>
      <c r="ICC142" s="22"/>
      <c r="ICD142" s="22"/>
      <c r="ICE142" s="22"/>
      <c r="ICF142" s="22"/>
      <c r="ICG142" s="22"/>
      <c r="ICH142" s="22"/>
      <c r="ICI142" s="22"/>
      <c r="ICJ142" s="22"/>
      <c r="ICK142" s="22"/>
      <c r="ICL142" s="22"/>
      <c r="ICM142" s="22"/>
      <c r="ICN142" s="22"/>
      <c r="ICO142" s="22"/>
      <c r="ICP142" s="22"/>
      <c r="ICQ142" s="22"/>
      <c r="ICR142" s="22"/>
      <c r="ICS142" s="22"/>
      <c r="ICT142" s="22"/>
      <c r="ICU142" s="22"/>
      <c r="ICV142" s="22"/>
      <c r="ICW142" s="22"/>
      <c r="ICX142" s="22"/>
      <c r="ICY142" s="22"/>
      <c r="ICZ142" s="22"/>
      <c r="IDA142" s="22"/>
      <c r="IDB142" s="22"/>
      <c r="IDC142" s="22"/>
      <c r="IDD142" s="22"/>
      <c r="IDE142" s="22"/>
      <c r="IDF142" s="22"/>
      <c r="IDG142" s="22"/>
      <c r="IDH142" s="22"/>
      <c r="IDI142" s="22"/>
      <c r="IDJ142" s="22"/>
      <c r="IDK142" s="22"/>
      <c r="IDL142" s="22"/>
      <c r="IDM142" s="22"/>
      <c r="IDN142" s="22"/>
      <c r="IDO142" s="22"/>
      <c r="IDP142" s="22"/>
      <c r="IDQ142" s="22"/>
      <c r="IDR142" s="22"/>
      <c r="IDS142" s="22"/>
      <c r="IDT142" s="22"/>
      <c r="IDU142" s="22"/>
      <c r="IDV142" s="22"/>
      <c r="IDW142" s="22"/>
      <c r="IDX142" s="22"/>
      <c r="IDY142" s="22"/>
      <c r="IDZ142" s="22"/>
      <c r="IEA142" s="22"/>
      <c r="IEB142" s="22"/>
      <c r="IEC142" s="22"/>
      <c r="IED142" s="22"/>
      <c r="IEE142" s="22"/>
      <c r="IEF142" s="22"/>
      <c r="IEG142" s="22"/>
      <c r="IEH142" s="22"/>
      <c r="IEI142" s="22"/>
      <c r="IEJ142" s="22"/>
      <c r="IEK142" s="22"/>
      <c r="IEL142" s="22"/>
      <c r="IEM142" s="22"/>
      <c r="IEN142" s="22"/>
      <c r="IEO142" s="22"/>
      <c r="IEP142" s="22"/>
      <c r="IEQ142" s="22"/>
      <c r="IER142" s="22"/>
      <c r="IES142" s="22"/>
      <c r="IET142" s="22"/>
      <c r="IEU142" s="22"/>
      <c r="IEV142" s="22"/>
      <c r="IEW142" s="22"/>
      <c r="IEX142" s="22"/>
      <c r="IEY142" s="22"/>
      <c r="IEZ142" s="22"/>
      <c r="IFA142" s="22"/>
      <c r="IFB142" s="22"/>
      <c r="IFC142" s="22"/>
      <c r="IFD142" s="22"/>
      <c r="IFE142" s="22"/>
      <c r="IFF142" s="22"/>
      <c r="IFG142" s="22"/>
      <c r="IFH142" s="22"/>
      <c r="IFI142" s="22"/>
      <c r="IFJ142" s="22"/>
      <c r="IFK142" s="22"/>
      <c r="IFL142" s="22"/>
      <c r="IFM142" s="22"/>
      <c r="IFN142" s="22"/>
      <c r="IFO142" s="22"/>
      <c r="IFP142" s="22"/>
      <c r="IFQ142" s="22"/>
      <c r="IFR142" s="22"/>
      <c r="IFS142" s="22"/>
      <c r="IFT142" s="22"/>
      <c r="IFU142" s="22"/>
      <c r="IFV142" s="22"/>
      <c r="IFW142" s="22"/>
      <c r="IFX142" s="22"/>
      <c r="IFY142" s="22"/>
      <c r="IFZ142" s="22"/>
      <c r="IGA142" s="22"/>
      <c r="IGB142" s="22"/>
      <c r="IGC142" s="22"/>
      <c r="IGD142" s="22"/>
      <c r="IGE142" s="22"/>
      <c r="IGF142" s="22"/>
      <c r="IGG142" s="22"/>
      <c r="IGH142" s="22"/>
      <c r="IGI142" s="22"/>
      <c r="IGJ142" s="22"/>
      <c r="IGK142" s="22"/>
      <c r="IGL142" s="22"/>
      <c r="IGM142" s="22"/>
      <c r="IGN142" s="22"/>
      <c r="IGO142" s="22"/>
      <c r="IGP142" s="22"/>
      <c r="IGQ142" s="22"/>
      <c r="IGR142" s="22"/>
      <c r="IGS142" s="22"/>
      <c r="IGT142" s="22"/>
      <c r="IGU142" s="22"/>
      <c r="IGV142" s="22"/>
      <c r="IGW142" s="22"/>
      <c r="IGX142" s="22"/>
      <c r="IGY142" s="22"/>
      <c r="IGZ142" s="22"/>
      <c r="IHA142" s="22"/>
      <c r="IHB142" s="22"/>
      <c r="IHC142" s="22"/>
      <c r="IHD142" s="22"/>
      <c r="IHE142" s="22"/>
      <c r="IHF142" s="22"/>
      <c r="IHG142" s="22"/>
      <c r="IHH142" s="22"/>
      <c r="IHI142" s="22"/>
      <c r="IHJ142" s="22"/>
      <c r="IHK142" s="22"/>
      <c r="IHL142" s="22"/>
      <c r="IHM142" s="22"/>
      <c r="IHN142" s="22"/>
      <c r="IHO142" s="22"/>
      <c r="IHP142" s="22"/>
      <c r="IHQ142" s="22"/>
      <c r="IHR142" s="22"/>
      <c r="IHS142" s="22"/>
      <c r="IHT142" s="22"/>
      <c r="IHU142" s="22"/>
      <c r="IHV142" s="22"/>
      <c r="IHW142" s="22"/>
      <c r="IHX142" s="22"/>
      <c r="IHY142" s="22"/>
      <c r="IHZ142" s="22"/>
      <c r="IIA142" s="22"/>
      <c r="IIB142" s="22"/>
      <c r="IIC142" s="22"/>
      <c r="IID142" s="22"/>
      <c r="IIE142" s="22"/>
      <c r="IIF142" s="22"/>
      <c r="IIG142" s="22"/>
      <c r="IIH142" s="22"/>
      <c r="III142" s="22"/>
      <c r="IIJ142" s="22"/>
      <c r="IIK142" s="22"/>
      <c r="IIL142" s="22"/>
      <c r="IIM142" s="22"/>
      <c r="IIN142" s="22"/>
      <c r="IIO142" s="22"/>
      <c r="IIP142" s="22"/>
      <c r="IIQ142" s="22"/>
      <c r="IIR142" s="22"/>
      <c r="IIS142" s="22"/>
      <c r="IIT142" s="22"/>
      <c r="IIU142" s="22"/>
      <c r="IIV142" s="22"/>
      <c r="IIW142" s="22"/>
      <c r="IIX142" s="22"/>
      <c r="IIY142" s="22"/>
      <c r="IIZ142" s="22"/>
      <c r="IJA142" s="22"/>
      <c r="IJB142" s="22"/>
      <c r="IJC142" s="22"/>
      <c r="IJD142" s="22"/>
      <c r="IJE142" s="22"/>
      <c r="IJF142" s="22"/>
      <c r="IJG142" s="22"/>
      <c r="IJH142" s="22"/>
      <c r="IJI142" s="22"/>
      <c r="IJJ142" s="22"/>
      <c r="IJK142" s="22"/>
      <c r="IJL142" s="22"/>
      <c r="IJM142" s="22"/>
      <c r="IJN142" s="22"/>
      <c r="IJO142" s="22"/>
      <c r="IJP142" s="22"/>
      <c r="IJQ142" s="22"/>
      <c r="IJR142" s="22"/>
      <c r="IJS142" s="22"/>
      <c r="IJT142" s="22"/>
      <c r="IJU142" s="22"/>
      <c r="IJV142" s="22"/>
      <c r="IJW142" s="22"/>
      <c r="IJX142" s="22"/>
      <c r="IJY142" s="22"/>
      <c r="IJZ142" s="22"/>
      <c r="IKA142" s="22"/>
      <c r="IKB142" s="22"/>
      <c r="IKC142" s="22"/>
      <c r="IKD142" s="22"/>
      <c r="IKE142" s="22"/>
      <c r="IKF142" s="22"/>
      <c r="IKG142" s="22"/>
      <c r="IKH142" s="22"/>
      <c r="IKI142" s="22"/>
      <c r="IKJ142" s="22"/>
      <c r="IKK142" s="22"/>
      <c r="IKL142" s="22"/>
      <c r="IKM142" s="22"/>
      <c r="IKN142" s="22"/>
      <c r="IKO142" s="22"/>
      <c r="IKP142" s="22"/>
      <c r="IKQ142" s="22"/>
      <c r="IKR142" s="22"/>
      <c r="IKS142" s="22"/>
      <c r="IKT142" s="22"/>
      <c r="IKU142" s="22"/>
      <c r="IKV142" s="22"/>
      <c r="IKW142" s="22"/>
      <c r="IKX142" s="22"/>
      <c r="IKY142" s="22"/>
      <c r="IKZ142" s="22"/>
      <c r="ILA142" s="22"/>
      <c r="ILB142" s="22"/>
      <c r="ILC142" s="22"/>
      <c r="ILD142" s="22"/>
      <c r="ILE142" s="22"/>
      <c r="ILF142" s="22"/>
      <c r="ILG142" s="22"/>
      <c r="ILH142" s="22"/>
      <c r="ILI142" s="22"/>
      <c r="ILJ142" s="22"/>
      <c r="ILK142" s="22"/>
      <c r="ILL142" s="22"/>
      <c r="ILM142" s="22"/>
      <c r="ILN142" s="22"/>
      <c r="ILO142" s="22"/>
      <c r="ILP142" s="22"/>
      <c r="ILQ142" s="22"/>
      <c r="ILR142" s="22"/>
      <c r="ILS142" s="22"/>
      <c r="ILT142" s="22"/>
      <c r="ILU142" s="22"/>
      <c r="ILV142" s="22"/>
      <c r="ILW142" s="22"/>
      <c r="ILX142" s="22"/>
      <c r="ILY142" s="22"/>
      <c r="ILZ142" s="22"/>
      <c r="IMA142" s="22"/>
      <c r="IMB142" s="22"/>
      <c r="IMC142" s="22"/>
      <c r="IMD142" s="22"/>
      <c r="IME142" s="22"/>
      <c r="IMF142" s="22"/>
      <c r="IMG142" s="22"/>
      <c r="IMH142" s="22"/>
      <c r="IMI142" s="22"/>
      <c r="IMJ142" s="22"/>
      <c r="IMK142" s="22"/>
      <c r="IML142" s="22"/>
      <c r="IMM142" s="22"/>
      <c r="IMN142" s="22"/>
      <c r="IMO142" s="22"/>
      <c r="IMP142" s="22"/>
      <c r="IMQ142" s="22"/>
      <c r="IMR142" s="22"/>
      <c r="IMS142" s="22"/>
      <c r="IMT142" s="22"/>
      <c r="IMU142" s="22"/>
      <c r="IMV142" s="22"/>
      <c r="IMW142" s="22"/>
      <c r="IMX142" s="22"/>
      <c r="IMY142" s="22"/>
      <c r="IMZ142" s="22"/>
      <c r="INA142" s="22"/>
      <c r="INB142" s="22"/>
      <c r="INC142" s="22"/>
      <c r="IND142" s="22"/>
      <c r="INE142" s="22"/>
      <c r="INF142" s="22"/>
      <c r="ING142" s="22"/>
      <c r="INH142" s="22"/>
      <c r="INI142" s="22"/>
      <c r="INJ142" s="22"/>
      <c r="INK142" s="22"/>
      <c r="INL142" s="22"/>
      <c r="INM142" s="22"/>
      <c r="INN142" s="22"/>
      <c r="INO142" s="22"/>
      <c r="INP142" s="22"/>
      <c r="INQ142" s="22"/>
      <c r="INR142" s="22"/>
      <c r="INS142" s="22"/>
      <c r="INT142" s="22"/>
      <c r="INU142" s="22"/>
      <c r="INV142" s="22"/>
      <c r="INW142" s="22"/>
      <c r="INX142" s="22"/>
      <c r="INY142" s="22"/>
      <c r="INZ142" s="22"/>
      <c r="IOA142" s="22"/>
      <c r="IOB142" s="22"/>
      <c r="IOC142" s="22"/>
      <c r="IOD142" s="22"/>
      <c r="IOE142" s="22"/>
      <c r="IOF142" s="22"/>
      <c r="IOG142" s="22"/>
      <c r="IOH142" s="22"/>
      <c r="IOI142" s="22"/>
      <c r="IOJ142" s="22"/>
      <c r="IOK142" s="22"/>
      <c r="IOL142" s="22"/>
      <c r="IOM142" s="22"/>
      <c r="ION142" s="22"/>
      <c r="IOO142" s="22"/>
      <c r="IOP142" s="22"/>
      <c r="IOQ142" s="22"/>
      <c r="IOR142" s="22"/>
      <c r="IOS142" s="22"/>
      <c r="IOT142" s="22"/>
      <c r="IOU142" s="22"/>
      <c r="IOV142" s="22"/>
      <c r="IOW142" s="22"/>
      <c r="IOX142" s="22"/>
      <c r="IOY142" s="22"/>
      <c r="IOZ142" s="22"/>
      <c r="IPA142" s="22"/>
      <c r="IPB142" s="22"/>
      <c r="IPC142" s="22"/>
      <c r="IPD142" s="22"/>
      <c r="IPE142" s="22"/>
      <c r="IPF142" s="22"/>
      <c r="IPG142" s="22"/>
      <c r="IPH142" s="22"/>
      <c r="IPI142" s="22"/>
      <c r="IPJ142" s="22"/>
      <c r="IPK142" s="22"/>
      <c r="IPL142" s="22"/>
      <c r="IPM142" s="22"/>
      <c r="IPN142" s="22"/>
      <c r="IPO142" s="22"/>
      <c r="IPP142" s="22"/>
      <c r="IPQ142" s="22"/>
      <c r="IPR142" s="22"/>
      <c r="IPS142" s="22"/>
      <c r="IPT142" s="22"/>
      <c r="IPU142" s="22"/>
      <c r="IPV142" s="22"/>
      <c r="IPW142" s="22"/>
      <c r="IPX142" s="22"/>
      <c r="IPY142" s="22"/>
      <c r="IPZ142" s="22"/>
      <c r="IQA142" s="22"/>
      <c r="IQB142" s="22"/>
      <c r="IQC142" s="22"/>
      <c r="IQD142" s="22"/>
      <c r="IQE142" s="22"/>
      <c r="IQF142" s="22"/>
      <c r="IQG142" s="22"/>
      <c r="IQH142" s="22"/>
      <c r="IQI142" s="22"/>
      <c r="IQJ142" s="22"/>
      <c r="IQK142" s="22"/>
      <c r="IQL142" s="22"/>
      <c r="IQM142" s="22"/>
      <c r="IQN142" s="22"/>
      <c r="IQO142" s="22"/>
      <c r="IQP142" s="22"/>
      <c r="IQQ142" s="22"/>
      <c r="IQR142" s="22"/>
      <c r="IQS142" s="22"/>
      <c r="IQT142" s="22"/>
      <c r="IQU142" s="22"/>
      <c r="IQV142" s="22"/>
      <c r="IQW142" s="22"/>
      <c r="IQX142" s="22"/>
      <c r="IQY142" s="22"/>
      <c r="IQZ142" s="22"/>
      <c r="IRA142" s="22"/>
      <c r="IRB142" s="22"/>
      <c r="IRC142" s="22"/>
      <c r="IRD142" s="22"/>
      <c r="IRE142" s="22"/>
      <c r="IRF142" s="22"/>
      <c r="IRG142" s="22"/>
      <c r="IRH142" s="22"/>
      <c r="IRI142" s="22"/>
      <c r="IRJ142" s="22"/>
      <c r="IRK142" s="22"/>
      <c r="IRL142" s="22"/>
      <c r="IRM142" s="22"/>
      <c r="IRN142" s="22"/>
      <c r="IRO142" s="22"/>
      <c r="IRP142" s="22"/>
      <c r="IRQ142" s="22"/>
      <c r="IRR142" s="22"/>
      <c r="IRS142" s="22"/>
      <c r="IRT142" s="22"/>
      <c r="IRU142" s="22"/>
      <c r="IRV142" s="22"/>
      <c r="IRW142" s="22"/>
      <c r="IRX142" s="22"/>
      <c r="IRY142" s="22"/>
      <c r="IRZ142" s="22"/>
      <c r="ISA142" s="22"/>
      <c r="ISB142" s="22"/>
      <c r="ISC142" s="22"/>
      <c r="ISD142" s="22"/>
      <c r="ISE142" s="22"/>
      <c r="ISF142" s="22"/>
      <c r="ISG142" s="22"/>
      <c r="ISH142" s="22"/>
      <c r="ISI142" s="22"/>
      <c r="ISJ142" s="22"/>
      <c r="ISK142" s="22"/>
      <c r="ISL142" s="22"/>
      <c r="ISM142" s="22"/>
      <c r="ISN142" s="22"/>
      <c r="ISO142" s="22"/>
      <c r="ISP142" s="22"/>
      <c r="ISQ142" s="22"/>
      <c r="ISR142" s="22"/>
      <c r="ISS142" s="22"/>
      <c r="IST142" s="22"/>
      <c r="ISU142" s="22"/>
      <c r="ISV142" s="22"/>
      <c r="ISW142" s="22"/>
      <c r="ISX142" s="22"/>
      <c r="ISY142" s="22"/>
      <c r="ISZ142" s="22"/>
      <c r="ITA142" s="22"/>
      <c r="ITB142" s="22"/>
      <c r="ITC142" s="22"/>
      <c r="ITD142" s="22"/>
      <c r="ITE142" s="22"/>
      <c r="ITF142" s="22"/>
      <c r="ITG142" s="22"/>
      <c r="ITH142" s="22"/>
      <c r="ITI142" s="22"/>
      <c r="ITJ142" s="22"/>
      <c r="ITK142" s="22"/>
      <c r="ITL142" s="22"/>
      <c r="ITM142" s="22"/>
      <c r="ITN142" s="22"/>
      <c r="ITO142" s="22"/>
      <c r="ITP142" s="22"/>
      <c r="ITQ142" s="22"/>
      <c r="ITR142" s="22"/>
      <c r="ITS142" s="22"/>
      <c r="ITT142" s="22"/>
      <c r="ITU142" s="22"/>
      <c r="ITV142" s="22"/>
      <c r="ITW142" s="22"/>
      <c r="ITX142" s="22"/>
      <c r="ITY142" s="22"/>
      <c r="ITZ142" s="22"/>
      <c r="IUA142" s="22"/>
      <c r="IUB142" s="22"/>
      <c r="IUC142" s="22"/>
      <c r="IUD142" s="22"/>
      <c r="IUE142" s="22"/>
      <c r="IUF142" s="22"/>
      <c r="IUG142" s="22"/>
      <c r="IUH142" s="22"/>
      <c r="IUI142" s="22"/>
      <c r="IUJ142" s="22"/>
      <c r="IUK142" s="22"/>
      <c r="IUL142" s="22"/>
      <c r="IUM142" s="22"/>
      <c r="IUN142" s="22"/>
      <c r="IUO142" s="22"/>
      <c r="IUP142" s="22"/>
      <c r="IUQ142" s="22"/>
      <c r="IUR142" s="22"/>
      <c r="IUS142" s="22"/>
      <c r="IUT142" s="22"/>
      <c r="IUU142" s="22"/>
      <c r="IUV142" s="22"/>
      <c r="IUW142" s="22"/>
      <c r="IUX142" s="22"/>
      <c r="IUY142" s="22"/>
      <c r="IUZ142" s="22"/>
      <c r="IVA142" s="22"/>
      <c r="IVB142" s="22"/>
      <c r="IVC142" s="22"/>
      <c r="IVD142" s="22"/>
      <c r="IVE142" s="22"/>
      <c r="IVF142" s="22"/>
      <c r="IVG142" s="22"/>
      <c r="IVH142" s="22"/>
      <c r="IVI142" s="22"/>
      <c r="IVJ142" s="22"/>
      <c r="IVK142" s="22"/>
      <c r="IVL142" s="22"/>
      <c r="IVM142" s="22"/>
      <c r="IVN142" s="22"/>
      <c r="IVO142" s="22"/>
      <c r="IVP142" s="22"/>
      <c r="IVQ142" s="22"/>
      <c r="IVR142" s="22"/>
      <c r="IVS142" s="22"/>
      <c r="IVT142" s="22"/>
      <c r="IVU142" s="22"/>
      <c r="IVV142" s="22"/>
      <c r="IVW142" s="22"/>
      <c r="IVX142" s="22"/>
      <c r="IVY142" s="22"/>
      <c r="IVZ142" s="22"/>
      <c r="IWA142" s="22"/>
      <c r="IWB142" s="22"/>
      <c r="IWC142" s="22"/>
      <c r="IWD142" s="22"/>
      <c r="IWE142" s="22"/>
      <c r="IWF142" s="22"/>
      <c r="IWG142" s="22"/>
      <c r="IWH142" s="22"/>
      <c r="IWI142" s="22"/>
      <c r="IWJ142" s="22"/>
      <c r="IWK142" s="22"/>
      <c r="IWL142" s="22"/>
      <c r="IWM142" s="22"/>
      <c r="IWN142" s="22"/>
      <c r="IWO142" s="22"/>
      <c r="IWP142" s="22"/>
      <c r="IWQ142" s="22"/>
      <c r="IWR142" s="22"/>
      <c r="IWS142" s="22"/>
      <c r="IWT142" s="22"/>
      <c r="IWU142" s="22"/>
      <c r="IWV142" s="22"/>
      <c r="IWW142" s="22"/>
      <c r="IWX142" s="22"/>
      <c r="IWY142" s="22"/>
      <c r="IWZ142" s="22"/>
      <c r="IXA142" s="22"/>
      <c r="IXB142" s="22"/>
      <c r="IXC142" s="22"/>
      <c r="IXD142" s="22"/>
      <c r="IXE142" s="22"/>
      <c r="IXF142" s="22"/>
      <c r="IXG142" s="22"/>
      <c r="IXH142" s="22"/>
      <c r="IXI142" s="22"/>
      <c r="IXJ142" s="22"/>
      <c r="IXK142" s="22"/>
      <c r="IXL142" s="22"/>
      <c r="IXM142" s="22"/>
      <c r="IXN142" s="22"/>
      <c r="IXO142" s="22"/>
      <c r="IXP142" s="22"/>
      <c r="IXQ142" s="22"/>
      <c r="IXR142" s="22"/>
      <c r="IXS142" s="22"/>
      <c r="IXT142" s="22"/>
      <c r="IXU142" s="22"/>
      <c r="IXV142" s="22"/>
      <c r="IXW142" s="22"/>
      <c r="IXX142" s="22"/>
      <c r="IXY142" s="22"/>
      <c r="IXZ142" s="22"/>
      <c r="IYA142" s="22"/>
      <c r="IYB142" s="22"/>
      <c r="IYC142" s="22"/>
      <c r="IYD142" s="22"/>
      <c r="IYE142" s="22"/>
      <c r="IYF142" s="22"/>
      <c r="IYG142" s="22"/>
      <c r="IYH142" s="22"/>
      <c r="IYI142" s="22"/>
      <c r="IYJ142" s="22"/>
      <c r="IYK142" s="22"/>
      <c r="IYL142" s="22"/>
      <c r="IYM142" s="22"/>
      <c r="IYN142" s="22"/>
      <c r="IYO142" s="22"/>
      <c r="IYP142" s="22"/>
      <c r="IYQ142" s="22"/>
      <c r="IYR142" s="22"/>
      <c r="IYS142" s="22"/>
      <c r="IYT142" s="22"/>
      <c r="IYU142" s="22"/>
      <c r="IYV142" s="22"/>
      <c r="IYW142" s="22"/>
      <c r="IYX142" s="22"/>
      <c r="IYY142" s="22"/>
      <c r="IYZ142" s="22"/>
      <c r="IZA142" s="22"/>
      <c r="IZB142" s="22"/>
      <c r="IZC142" s="22"/>
      <c r="IZD142" s="22"/>
      <c r="IZE142" s="22"/>
      <c r="IZF142" s="22"/>
      <c r="IZG142" s="22"/>
      <c r="IZH142" s="22"/>
      <c r="IZI142" s="22"/>
      <c r="IZJ142" s="22"/>
      <c r="IZK142" s="22"/>
      <c r="IZL142" s="22"/>
      <c r="IZM142" s="22"/>
      <c r="IZN142" s="22"/>
      <c r="IZO142" s="22"/>
      <c r="IZP142" s="22"/>
      <c r="IZQ142" s="22"/>
      <c r="IZR142" s="22"/>
      <c r="IZS142" s="22"/>
      <c r="IZT142" s="22"/>
      <c r="IZU142" s="22"/>
      <c r="IZV142" s="22"/>
      <c r="IZW142" s="22"/>
      <c r="IZX142" s="22"/>
      <c r="IZY142" s="22"/>
      <c r="IZZ142" s="22"/>
      <c r="JAA142" s="22"/>
      <c r="JAB142" s="22"/>
      <c r="JAC142" s="22"/>
      <c r="JAD142" s="22"/>
      <c r="JAE142" s="22"/>
      <c r="JAF142" s="22"/>
      <c r="JAG142" s="22"/>
      <c r="JAH142" s="22"/>
      <c r="JAI142" s="22"/>
      <c r="JAJ142" s="22"/>
      <c r="JAK142" s="22"/>
      <c r="JAL142" s="22"/>
      <c r="JAM142" s="22"/>
      <c r="JAN142" s="22"/>
      <c r="JAO142" s="22"/>
      <c r="JAP142" s="22"/>
      <c r="JAQ142" s="22"/>
      <c r="JAR142" s="22"/>
      <c r="JAS142" s="22"/>
      <c r="JAT142" s="22"/>
      <c r="JAU142" s="22"/>
      <c r="JAV142" s="22"/>
      <c r="JAW142" s="22"/>
      <c r="JAX142" s="22"/>
      <c r="JAY142" s="22"/>
      <c r="JAZ142" s="22"/>
      <c r="JBA142" s="22"/>
      <c r="JBB142" s="22"/>
      <c r="JBC142" s="22"/>
      <c r="JBD142" s="22"/>
      <c r="JBE142" s="22"/>
      <c r="JBF142" s="22"/>
      <c r="JBG142" s="22"/>
      <c r="JBH142" s="22"/>
      <c r="JBI142" s="22"/>
      <c r="JBJ142" s="22"/>
      <c r="JBK142" s="22"/>
      <c r="JBL142" s="22"/>
      <c r="JBM142" s="22"/>
      <c r="JBN142" s="22"/>
      <c r="JBO142" s="22"/>
      <c r="JBP142" s="22"/>
      <c r="JBQ142" s="22"/>
      <c r="JBR142" s="22"/>
      <c r="JBS142" s="22"/>
      <c r="JBT142" s="22"/>
      <c r="JBU142" s="22"/>
      <c r="JBV142" s="22"/>
      <c r="JBW142" s="22"/>
      <c r="JBX142" s="22"/>
      <c r="JBY142" s="22"/>
      <c r="JBZ142" s="22"/>
      <c r="JCA142" s="22"/>
      <c r="JCB142" s="22"/>
      <c r="JCC142" s="22"/>
      <c r="JCD142" s="22"/>
      <c r="JCE142" s="22"/>
      <c r="JCF142" s="22"/>
      <c r="JCG142" s="22"/>
      <c r="JCH142" s="22"/>
      <c r="JCI142" s="22"/>
      <c r="JCJ142" s="22"/>
      <c r="JCK142" s="22"/>
      <c r="JCL142" s="22"/>
      <c r="JCM142" s="22"/>
      <c r="JCN142" s="22"/>
      <c r="JCO142" s="22"/>
      <c r="JCP142" s="22"/>
      <c r="JCQ142" s="22"/>
      <c r="JCR142" s="22"/>
      <c r="JCS142" s="22"/>
      <c r="JCT142" s="22"/>
      <c r="JCU142" s="22"/>
      <c r="JCV142" s="22"/>
      <c r="JCW142" s="22"/>
      <c r="JCX142" s="22"/>
      <c r="JCY142" s="22"/>
      <c r="JCZ142" s="22"/>
      <c r="JDA142" s="22"/>
      <c r="JDB142" s="22"/>
      <c r="JDC142" s="22"/>
      <c r="JDD142" s="22"/>
      <c r="JDE142" s="22"/>
      <c r="JDF142" s="22"/>
      <c r="JDG142" s="22"/>
      <c r="JDH142" s="22"/>
      <c r="JDI142" s="22"/>
      <c r="JDJ142" s="22"/>
      <c r="JDK142" s="22"/>
      <c r="JDL142" s="22"/>
      <c r="JDM142" s="22"/>
      <c r="JDN142" s="22"/>
      <c r="JDO142" s="22"/>
      <c r="JDP142" s="22"/>
      <c r="JDQ142" s="22"/>
      <c r="JDR142" s="22"/>
      <c r="JDS142" s="22"/>
      <c r="JDT142" s="22"/>
      <c r="JDU142" s="22"/>
      <c r="JDV142" s="22"/>
      <c r="JDW142" s="22"/>
      <c r="JDX142" s="22"/>
      <c r="JDY142" s="22"/>
      <c r="JDZ142" s="22"/>
      <c r="JEA142" s="22"/>
      <c r="JEB142" s="22"/>
      <c r="JEC142" s="22"/>
      <c r="JED142" s="22"/>
      <c r="JEE142" s="22"/>
      <c r="JEF142" s="22"/>
      <c r="JEG142" s="22"/>
      <c r="JEH142" s="22"/>
      <c r="JEI142" s="22"/>
      <c r="JEJ142" s="22"/>
      <c r="JEK142" s="22"/>
      <c r="JEL142" s="22"/>
      <c r="JEM142" s="22"/>
      <c r="JEN142" s="22"/>
      <c r="JEO142" s="22"/>
      <c r="JEP142" s="22"/>
      <c r="JEQ142" s="22"/>
      <c r="JER142" s="22"/>
      <c r="JES142" s="22"/>
      <c r="JET142" s="22"/>
      <c r="JEU142" s="22"/>
      <c r="JEV142" s="22"/>
      <c r="JEW142" s="22"/>
      <c r="JEX142" s="22"/>
      <c r="JEY142" s="22"/>
      <c r="JEZ142" s="22"/>
      <c r="JFA142" s="22"/>
      <c r="JFB142" s="22"/>
      <c r="JFC142" s="22"/>
      <c r="JFD142" s="22"/>
      <c r="JFE142" s="22"/>
      <c r="JFF142" s="22"/>
      <c r="JFG142" s="22"/>
      <c r="JFH142" s="22"/>
      <c r="JFI142" s="22"/>
      <c r="JFJ142" s="22"/>
      <c r="JFK142" s="22"/>
      <c r="JFL142" s="22"/>
      <c r="JFM142" s="22"/>
      <c r="JFN142" s="22"/>
      <c r="JFO142" s="22"/>
      <c r="JFP142" s="22"/>
      <c r="JFQ142" s="22"/>
      <c r="JFR142" s="22"/>
      <c r="JFS142" s="22"/>
      <c r="JFT142" s="22"/>
      <c r="JFU142" s="22"/>
      <c r="JFV142" s="22"/>
      <c r="JFW142" s="22"/>
      <c r="JFX142" s="22"/>
      <c r="JFY142" s="22"/>
      <c r="JFZ142" s="22"/>
      <c r="JGA142" s="22"/>
      <c r="JGB142" s="22"/>
      <c r="JGC142" s="22"/>
      <c r="JGD142" s="22"/>
      <c r="JGE142" s="22"/>
      <c r="JGF142" s="22"/>
      <c r="JGG142" s="22"/>
      <c r="JGH142" s="22"/>
      <c r="JGI142" s="22"/>
      <c r="JGJ142" s="22"/>
      <c r="JGK142" s="22"/>
      <c r="JGL142" s="22"/>
      <c r="JGM142" s="22"/>
      <c r="JGN142" s="22"/>
      <c r="JGO142" s="22"/>
      <c r="JGP142" s="22"/>
      <c r="JGQ142" s="22"/>
      <c r="JGR142" s="22"/>
      <c r="JGS142" s="22"/>
      <c r="JGT142" s="22"/>
      <c r="JGU142" s="22"/>
      <c r="JGV142" s="22"/>
      <c r="JGW142" s="22"/>
      <c r="JGX142" s="22"/>
      <c r="JGY142" s="22"/>
      <c r="JGZ142" s="22"/>
      <c r="JHA142" s="22"/>
      <c r="JHB142" s="22"/>
      <c r="JHC142" s="22"/>
      <c r="JHD142" s="22"/>
      <c r="JHE142" s="22"/>
      <c r="JHF142" s="22"/>
      <c r="JHG142" s="22"/>
      <c r="JHH142" s="22"/>
      <c r="JHI142" s="22"/>
      <c r="JHJ142" s="22"/>
      <c r="JHK142" s="22"/>
      <c r="JHL142" s="22"/>
      <c r="JHM142" s="22"/>
      <c r="JHN142" s="22"/>
      <c r="JHO142" s="22"/>
      <c r="JHP142" s="22"/>
      <c r="JHQ142" s="22"/>
      <c r="JHR142" s="22"/>
      <c r="JHS142" s="22"/>
      <c r="JHT142" s="22"/>
      <c r="JHU142" s="22"/>
      <c r="JHV142" s="22"/>
      <c r="JHW142" s="22"/>
      <c r="JHX142" s="22"/>
      <c r="JHY142" s="22"/>
      <c r="JHZ142" s="22"/>
      <c r="JIA142" s="22"/>
      <c r="JIB142" s="22"/>
      <c r="JIC142" s="22"/>
      <c r="JID142" s="22"/>
      <c r="JIE142" s="22"/>
      <c r="JIF142" s="22"/>
      <c r="JIG142" s="22"/>
      <c r="JIH142" s="22"/>
      <c r="JII142" s="22"/>
      <c r="JIJ142" s="22"/>
      <c r="JIK142" s="22"/>
      <c r="JIL142" s="22"/>
      <c r="JIM142" s="22"/>
      <c r="JIN142" s="22"/>
      <c r="JIO142" s="22"/>
      <c r="JIP142" s="22"/>
      <c r="JIQ142" s="22"/>
      <c r="JIR142" s="22"/>
      <c r="JIS142" s="22"/>
      <c r="JIT142" s="22"/>
      <c r="JIU142" s="22"/>
      <c r="JIV142" s="22"/>
      <c r="JIW142" s="22"/>
      <c r="JIX142" s="22"/>
      <c r="JIY142" s="22"/>
      <c r="JIZ142" s="22"/>
      <c r="JJA142" s="22"/>
      <c r="JJB142" s="22"/>
      <c r="JJC142" s="22"/>
      <c r="JJD142" s="22"/>
      <c r="JJE142" s="22"/>
      <c r="JJF142" s="22"/>
      <c r="JJG142" s="22"/>
      <c r="JJH142" s="22"/>
      <c r="JJI142" s="22"/>
      <c r="JJJ142" s="22"/>
      <c r="JJK142" s="22"/>
      <c r="JJL142" s="22"/>
      <c r="JJM142" s="22"/>
      <c r="JJN142" s="22"/>
      <c r="JJO142" s="22"/>
      <c r="JJP142" s="22"/>
      <c r="JJQ142" s="22"/>
      <c r="JJR142" s="22"/>
      <c r="JJS142" s="22"/>
      <c r="JJT142" s="22"/>
      <c r="JJU142" s="22"/>
      <c r="JJV142" s="22"/>
      <c r="JJW142" s="22"/>
      <c r="JJX142" s="22"/>
      <c r="JJY142" s="22"/>
      <c r="JJZ142" s="22"/>
      <c r="JKA142" s="22"/>
      <c r="JKB142" s="22"/>
      <c r="JKC142" s="22"/>
      <c r="JKD142" s="22"/>
      <c r="JKE142" s="22"/>
      <c r="JKF142" s="22"/>
      <c r="JKG142" s="22"/>
      <c r="JKH142" s="22"/>
      <c r="JKI142" s="22"/>
      <c r="JKJ142" s="22"/>
      <c r="JKK142" s="22"/>
      <c r="JKL142" s="22"/>
      <c r="JKM142" s="22"/>
      <c r="JKN142" s="22"/>
      <c r="JKO142" s="22"/>
      <c r="JKP142" s="22"/>
      <c r="JKQ142" s="22"/>
      <c r="JKR142" s="22"/>
      <c r="JKS142" s="22"/>
      <c r="JKT142" s="22"/>
      <c r="JKU142" s="22"/>
      <c r="JKV142" s="22"/>
      <c r="JKW142" s="22"/>
      <c r="JKX142" s="22"/>
      <c r="JKY142" s="22"/>
      <c r="JKZ142" s="22"/>
      <c r="JLA142" s="22"/>
      <c r="JLB142" s="22"/>
      <c r="JLC142" s="22"/>
      <c r="JLD142" s="22"/>
      <c r="JLE142" s="22"/>
      <c r="JLF142" s="22"/>
      <c r="JLG142" s="22"/>
      <c r="JLH142" s="22"/>
      <c r="JLI142" s="22"/>
      <c r="JLJ142" s="22"/>
      <c r="JLK142" s="22"/>
      <c r="JLL142" s="22"/>
      <c r="JLM142" s="22"/>
      <c r="JLN142" s="22"/>
      <c r="JLO142" s="22"/>
      <c r="JLP142" s="22"/>
      <c r="JLQ142" s="22"/>
      <c r="JLR142" s="22"/>
      <c r="JLS142" s="22"/>
      <c r="JLT142" s="22"/>
      <c r="JLU142" s="22"/>
      <c r="JLV142" s="22"/>
      <c r="JLW142" s="22"/>
      <c r="JLX142" s="22"/>
      <c r="JLY142" s="22"/>
      <c r="JLZ142" s="22"/>
      <c r="JMA142" s="22"/>
      <c r="JMB142" s="22"/>
      <c r="JMC142" s="22"/>
      <c r="JMD142" s="22"/>
      <c r="JME142" s="22"/>
      <c r="JMF142" s="22"/>
      <c r="JMG142" s="22"/>
      <c r="JMH142" s="22"/>
      <c r="JMI142" s="22"/>
      <c r="JMJ142" s="22"/>
      <c r="JMK142" s="22"/>
      <c r="JML142" s="22"/>
      <c r="JMM142" s="22"/>
      <c r="JMN142" s="22"/>
      <c r="JMO142" s="22"/>
      <c r="JMP142" s="22"/>
      <c r="JMQ142" s="22"/>
      <c r="JMR142" s="22"/>
      <c r="JMS142" s="22"/>
      <c r="JMT142" s="22"/>
      <c r="JMU142" s="22"/>
      <c r="JMV142" s="22"/>
      <c r="JMW142" s="22"/>
      <c r="JMX142" s="22"/>
      <c r="JMY142" s="22"/>
      <c r="JMZ142" s="22"/>
      <c r="JNA142" s="22"/>
      <c r="JNB142" s="22"/>
      <c r="JNC142" s="22"/>
      <c r="JND142" s="22"/>
      <c r="JNE142" s="22"/>
      <c r="JNF142" s="22"/>
      <c r="JNG142" s="22"/>
      <c r="JNH142" s="22"/>
      <c r="JNI142" s="22"/>
      <c r="JNJ142" s="22"/>
      <c r="JNK142" s="22"/>
      <c r="JNL142" s="22"/>
      <c r="JNM142" s="22"/>
      <c r="JNN142" s="22"/>
      <c r="JNO142" s="22"/>
      <c r="JNP142" s="22"/>
      <c r="JNQ142" s="22"/>
      <c r="JNR142" s="22"/>
      <c r="JNS142" s="22"/>
      <c r="JNT142" s="22"/>
      <c r="JNU142" s="22"/>
      <c r="JNV142" s="22"/>
      <c r="JNW142" s="22"/>
      <c r="JNX142" s="22"/>
      <c r="JNY142" s="22"/>
      <c r="JNZ142" s="22"/>
      <c r="JOA142" s="22"/>
      <c r="JOB142" s="22"/>
      <c r="JOC142" s="22"/>
      <c r="JOD142" s="22"/>
      <c r="JOE142" s="22"/>
      <c r="JOF142" s="22"/>
      <c r="JOG142" s="22"/>
      <c r="JOH142" s="22"/>
      <c r="JOI142" s="22"/>
      <c r="JOJ142" s="22"/>
      <c r="JOK142" s="22"/>
      <c r="JOL142" s="22"/>
      <c r="JOM142" s="22"/>
      <c r="JON142" s="22"/>
      <c r="JOO142" s="22"/>
      <c r="JOP142" s="22"/>
      <c r="JOQ142" s="22"/>
      <c r="JOR142" s="22"/>
      <c r="JOS142" s="22"/>
      <c r="JOT142" s="22"/>
      <c r="JOU142" s="22"/>
      <c r="JOV142" s="22"/>
      <c r="JOW142" s="22"/>
      <c r="JOX142" s="22"/>
      <c r="JOY142" s="22"/>
      <c r="JOZ142" s="22"/>
      <c r="JPA142" s="22"/>
      <c r="JPB142" s="22"/>
      <c r="JPC142" s="22"/>
      <c r="JPD142" s="22"/>
      <c r="JPE142" s="22"/>
      <c r="JPF142" s="22"/>
      <c r="JPG142" s="22"/>
      <c r="JPH142" s="22"/>
      <c r="JPI142" s="22"/>
      <c r="JPJ142" s="22"/>
      <c r="JPK142" s="22"/>
      <c r="JPL142" s="22"/>
      <c r="JPM142" s="22"/>
      <c r="JPN142" s="22"/>
      <c r="JPO142" s="22"/>
      <c r="JPP142" s="22"/>
      <c r="JPQ142" s="22"/>
      <c r="JPR142" s="22"/>
      <c r="JPS142" s="22"/>
      <c r="JPT142" s="22"/>
      <c r="JPU142" s="22"/>
      <c r="JPV142" s="22"/>
      <c r="JPW142" s="22"/>
      <c r="JPX142" s="22"/>
      <c r="JPY142" s="22"/>
      <c r="JPZ142" s="22"/>
      <c r="JQA142" s="22"/>
      <c r="JQB142" s="22"/>
      <c r="JQC142" s="22"/>
      <c r="JQD142" s="22"/>
      <c r="JQE142" s="22"/>
      <c r="JQF142" s="22"/>
      <c r="JQG142" s="22"/>
      <c r="JQH142" s="22"/>
      <c r="JQI142" s="22"/>
      <c r="JQJ142" s="22"/>
      <c r="JQK142" s="22"/>
      <c r="JQL142" s="22"/>
      <c r="JQM142" s="22"/>
      <c r="JQN142" s="22"/>
      <c r="JQO142" s="22"/>
      <c r="JQP142" s="22"/>
      <c r="JQQ142" s="22"/>
      <c r="JQR142" s="22"/>
      <c r="JQS142" s="22"/>
      <c r="JQT142" s="22"/>
      <c r="JQU142" s="22"/>
      <c r="JQV142" s="22"/>
      <c r="JQW142" s="22"/>
      <c r="JQX142" s="22"/>
      <c r="JQY142" s="22"/>
      <c r="JQZ142" s="22"/>
      <c r="JRA142" s="22"/>
      <c r="JRB142" s="22"/>
      <c r="JRC142" s="22"/>
      <c r="JRD142" s="22"/>
      <c r="JRE142" s="22"/>
      <c r="JRF142" s="22"/>
      <c r="JRG142" s="22"/>
      <c r="JRH142" s="22"/>
      <c r="JRI142" s="22"/>
      <c r="JRJ142" s="22"/>
      <c r="JRK142" s="22"/>
      <c r="JRL142" s="22"/>
      <c r="JRM142" s="22"/>
      <c r="JRN142" s="22"/>
      <c r="JRO142" s="22"/>
      <c r="JRP142" s="22"/>
      <c r="JRQ142" s="22"/>
      <c r="JRR142" s="22"/>
      <c r="JRS142" s="22"/>
      <c r="JRT142" s="22"/>
      <c r="JRU142" s="22"/>
      <c r="JRV142" s="22"/>
      <c r="JRW142" s="22"/>
      <c r="JRX142" s="22"/>
      <c r="JRY142" s="22"/>
      <c r="JRZ142" s="22"/>
      <c r="JSA142" s="22"/>
      <c r="JSB142" s="22"/>
      <c r="JSC142" s="22"/>
      <c r="JSD142" s="22"/>
      <c r="JSE142" s="22"/>
      <c r="JSF142" s="22"/>
      <c r="JSG142" s="22"/>
      <c r="JSH142" s="22"/>
      <c r="JSI142" s="22"/>
      <c r="JSJ142" s="22"/>
      <c r="JSK142" s="22"/>
      <c r="JSL142" s="22"/>
      <c r="JSM142" s="22"/>
      <c r="JSN142" s="22"/>
      <c r="JSO142" s="22"/>
      <c r="JSP142" s="22"/>
      <c r="JSQ142" s="22"/>
      <c r="JSR142" s="22"/>
      <c r="JSS142" s="22"/>
      <c r="JST142" s="22"/>
      <c r="JSU142" s="22"/>
      <c r="JSV142" s="22"/>
      <c r="JSW142" s="22"/>
      <c r="JSX142" s="22"/>
      <c r="JSY142" s="22"/>
      <c r="JSZ142" s="22"/>
      <c r="JTA142" s="22"/>
      <c r="JTB142" s="22"/>
      <c r="JTC142" s="22"/>
      <c r="JTD142" s="22"/>
      <c r="JTE142" s="22"/>
      <c r="JTF142" s="22"/>
      <c r="JTG142" s="22"/>
      <c r="JTH142" s="22"/>
      <c r="JTI142" s="22"/>
      <c r="JTJ142" s="22"/>
      <c r="JTK142" s="22"/>
      <c r="JTL142" s="22"/>
      <c r="JTM142" s="22"/>
      <c r="JTN142" s="22"/>
      <c r="JTO142" s="22"/>
      <c r="JTP142" s="22"/>
      <c r="JTQ142" s="22"/>
      <c r="JTR142" s="22"/>
      <c r="JTS142" s="22"/>
      <c r="JTT142" s="22"/>
      <c r="JTU142" s="22"/>
      <c r="JTV142" s="22"/>
      <c r="JTW142" s="22"/>
      <c r="JTX142" s="22"/>
      <c r="JTY142" s="22"/>
      <c r="JTZ142" s="22"/>
      <c r="JUA142" s="22"/>
      <c r="JUB142" s="22"/>
      <c r="JUC142" s="22"/>
      <c r="JUD142" s="22"/>
      <c r="JUE142" s="22"/>
      <c r="JUF142" s="22"/>
      <c r="JUG142" s="22"/>
      <c r="JUH142" s="22"/>
      <c r="JUI142" s="22"/>
      <c r="JUJ142" s="22"/>
      <c r="JUK142" s="22"/>
      <c r="JUL142" s="22"/>
      <c r="JUM142" s="22"/>
      <c r="JUN142" s="22"/>
      <c r="JUO142" s="22"/>
      <c r="JUP142" s="22"/>
      <c r="JUQ142" s="22"/>
      <c r="JUR142" s="22"/>
      <c r="JUS142" s="22"/>
      <c r="JUT142" s="22"/>
      <c r="JUU142" s="22"/>
      <c r="JUV142" s="22"/>
      <c r="JUW142" s="22"/>
      <c r="JUX142" s="22"/>
      <c r="JUY142" s="22"/>
      <c r="JUZ142" s="22"/>
      <c r="JVA142" s="22"/>
      <c r="JVB142" s="22"/>
      <c r="JVC142" s="22"/>
      <c r="JVD142" s="22"/>
      <c r="JVE142" s="22"/>
      <c r="JVF142" s="22"/>
      <c r="JVG142" s="22"/>
      <c r="JVH142" s="22"/>
      <c r="JVI142" s="22"/>
      <c r="JVJ142" s="22"/>
      <c r="JVK142" s="22"/>
      <c r="JVL142" s="22"/>
      <c r="JVM142" s="22"/>
      <c r="JVN142" s="22"/>
      <c r="JVO142" s="22"/>
      <c r="JVP142" s="22"/>
      <c r="JVQ142" s="22"/>
      <c r="JVR142" s="22"/>
      <c r="JVS142" s="22"/>
      <c r="JVT142" s="22"/>
      <c r="JVU142" s="22"/>
      <c r="JVV142" s="22"/>
      <c r="JVW142" s="22"/>
      <c r="JVX142" s="22"/>
      <c r="JVY142" s="22"/>
      <c r="JVZ142" s="22"/>
      <c r="JWA142" s="22"/>
      <c r="JWB142" s="22"/>
      <c r="JWC142" s="22"/>
      <c r="JWD142" s="22"/>
      <c r="JWE142" s="22"/>
      <c r="JWF142" s="22"/>
      <c r="JWG142" s="22"/>
      <c r="JWH142" s="22"/>
      <c r="JWI142" s="22"/>
      <c r="JWJ142" s="22"/>
      <c r="JWK142" s="22"/>
      <c r="JWL142" s="22"/>
      <c r="JWM142" s="22"/>
      <c r="JWN142" s="22"/>
      <c r="JWO142" s="22"/>
      <c r="JWP142" s="22"/>
      <c r="JWQ142" s="22"/>
      <c r="JWR142" s="22"/>
      <c r="JWS142" s="22"/>
      <c r="JWT142" s="22"/>
      <c r="JWU142" s="22"/>
      <c r="JWV142" s="22"/>
      <c r="JWW142" s="22"/>
      <c r="JWX142" s="22"/>
      <c r="JWY142" s="22"/>
      <c r="JWZ142" s="22"/>
      <c r="JXA142" s="22"/>
      <c r="JXB142" s="22"/>
      <c r="JXC142" s="22"/>
      <c r="JXD142" s="22"/>
      <c r="JXE142" s="22"/>
      <c r="JXF142" s="22"/>
      <c r="JXG142" s="22"/>
      <c r="JXH142" s="22"/>
      <c r="JXI142" s="22"/>
      <c r="JXJ142" s="22"/>
      <c r="JXK142" s="22"/>
      <c r="JXL142" s="22"/>
      <c r="JXM142" s="22"/>
      <c r="JXN142" s="22"/>
      <c r="JXO142" s="22"/>
      <c r="JXP142" s="22"/>
      <c r="JXQ142" s="22"/>
      <c r="JXR142" s="22"/>
      <c r="JXS142" s="22"/>
      <c r="JXT142" s="22"/>
      <c r="JXU142" s="22"/>
      <c r="JXV142" s="22"/>
      <c r="JXW142" s="22"/>
      <c r="JXX142" s="22"/>
      <c r="JXY142" s="22"/>
      <c r="JXZ142" s="22"/>
      <c r="JYA142" s="22"/>
      <c r="JYB142" s="22"/>
      <c r="JYC142" s="22"/>
      <c r="JYD142" s="22"/>
      <c r="JYE142" s="22"/>
      <c r="JYF142" s="22"/>
      <c r="JYG142" s="22"/>
      <c r="JYH142" s="22"/>
      <c r="JYI142" s="22"/>
      <c r="JYJ142" s="22"/>
      <c r="JYK142" s="22"/>
      <c r="JYL142" s="22"/>
      <c r="JYM142" s="22"/>
      <c r="JYN142" s="22"/>
      <c r="JYO142" s="22"/>
      <c r="JYP142" s="22"/>
      <c r="JYQ142" s="22"/>
      <c r="JYR142" s="22"/>
      <c r="JYS142" s="22"/>
      <c r="JYT142" s="22"/>
      <c r="JYU142" s="22"/>
      <c r="JYV142" s="22"/>
      <c r="JYW142" s="22"/>
      <c r="JYX142" s="22"/>
      <c r="JYY142" s="22"/>
      <c r="JYZ142" s="22"/>
      <c r="JZA142" s="22"/>
      <c r="JZB142" s="22"/>
      <c r="JZC142" s="22"/>
      <c r="JZD142" s="22"/>
      <c r="JZE142" s="22"/>
      <c r="JZF142" s="22"/>
      <c r="JZG142" s="22"/>
      <c r="JZH142" s="22"/>
      <c r="JZI142" s="22"/>
      <c r="JZJ142" s="22"/>
      <c r="JZK142" s="22"/>
      <c r="JZL142" s="22"/>
      <c r="JZM142" s="22"/>
      <c r="JZN142" s="22"/>
      <c r="JZO142" s="22"/>
      <c r="JZP142" s="22"/>
      <c r="JZQ142" s="22"/>
      <c r="JZR142" s="22"/>
      <c r="JZS142" s="22"/>
      <c r="JZT142" s="22"/>
      <c r="JZU142" s="22"/>
      <c r="JZV142" s="22"/>
      <c r="JZW142" s="22"/>
      <c r="JZX142" s="22"/>
      <c r="JZY142" s="22"/>
      <c r="JZZ142" s="22"/>
      <c r="KAA142" s="22"/>
      <c r="KAB142" s="22"/>
      <c r="KAC142" s="22"/>
      <c r="KAD142" s="22"/>
      <c r="KAE142" s="22"/>
      <c r="KAF142" s="22"/>
      <c r="KAG142" s="22"/>
      <c r="KAH142" s="22"/>
      <c r="KAI142" s="22"/>
      <c r="KAJ142" s="22"/>
      <c r="KAK142" s="22"/>
      <c r="KAL142" s="22"/>
      <c r="KAM142" s="22"/>
      <c r="KAN142" s="22"/>
      <c r="KAO142" s="22"/>
      <c r="KAP142" s="22"/>
      <c r="KAQ142" s="22"/>
      <c r="KAR142" s="22"/>
      <c r="KAS142" s="22"/>
      <c r="KAT142" s="22"/>
      <c r="KAU142" s="22"/>
      <c r="KAV142" s="22"/>
      <c r="KAW142" s="22"/>
      <c r="KAX142" s="22"/>
      <c r="KAY142" s="22"/>
      <c r="KAZ142" s="22"/>
      <c r="KBA142" s="22"/>
      <c r="KBB142" s="22"/>
      <c r="KBC142" s="22"/>
      <c r="KBD142" s="22"/>
      <c r="KBE142" s="22"/>
      <c r="KBF142" s="22"/>
      <c r="KBG142" s="22"/>
      <c r="KBH142" s="22"/>
      <c r="KBI142" s="22"/>
      <c r="KBJ142" s="22"/>
      <c r="KBK142" s="22"/>
      <c r="KBL142" s="22"/>
      <c r="KBM142" s="22"/>
      <c r="KBN142" s="22"/>
      <c r="KBO142" s="22"/>
      <c r="KBP142" s="22"/>
      <c r="KBQ142" s="22"/>
      <c r="KBR142" s="22"/>
      <c r="KBS142" s="22"/>
      <c r="KBT142" s="22"/>
      <c r="KBU142" s="22"/>
      <c r="KBV142" s="22"/>
      <c r="KBW142" s="22"/>
      <c r="KBX142" s="22"/>
      <c r="KBY142" s="22"/>
      <c r="KBZ142" s="22"/>
      <c r="KCA142" s="22"/>
      <c r="KCB142" s="22"/>
      <c r="KCC142" s="22"/>
      <c r="KCD142" s="22"/>
      <c r="KCE142" s="22"/>
      <c r="KCF142" s="22"/>
      <c r="KCG142" s="22"/>
      <c r="KCH142" s="22"/>
      <c r="KCI142" s="22"/>
      <c r="KCJ142" s="22"/>
      <c r="KCK142" s="22"/>
      <c r="KCL142" s="22"/>
      <c r="KCM142" s="22"/>
      <c r="KCN142" s="22"/>
      <c r="KCO142" s="22"/>
      <c r="KCP142" s="22"/>
      <c r="KCQ142" s="22"/>
      <c r="KCR142" s="22"/>
      <c r="KCS142" s="22"/>
      <c r="KCT142" s="22"/>
      <c r="KCU142" s="22"/>
      <c r="KCV142" s="22"/>
      <c r="KCW142" s="22"/>
      <c r="KCX142" s="22"/>
      <c r="KCY142" s="22"/>
      <c r="KCZ142" s="22"/>
      <c r="KDA142" s="22"/>
      <c r="KDB142" s="22"/>
      <c r="KDC142" s="22"/>
      <c r="KDD142" s="22"/>
      <c r="KDE142" s="22"/>
      <c r="KDF142" s="22"/>
      <c r="KDG142" s="22"/>
      <c r="KDH142" s="22"/>
      <c r="KDI142" s="22"/>
      <c r="KDJ142" s="22"/>
      <c r="KDK142" s="22"/>
      <c r="KDL142" s="22"/>
      <c r="KDM142" s="22"/>
      <c r="KDN142" s="22"/>
      <c r="KDO142" s="22"/>
      <c r="KDP142" s="22"/>
      <c r="KDQ142" s="22"/>
      <c r="KDR142" s="22"/>
      <c r="KDS142" s="22"/>
      <c r="KDT142" s="22"/>
      <c r="KDU142" s="22"/>
      <c r="KDV142" s="22"/>
      <c r="KDW142" s="22"/>
      <c r="KDX142" s="22"/>
      <c r="KDY142" s="22"/>
      <c r="KDZ142" s="22"/>
      <c r="KEA142" s="22"/>
      <c r="KEB142" s="22"/>
      <c r="KEC142" s="22"/>
      <c r="KED142" s="22"/>
      <c r="KEE142" s="22"/>
      <c r="KEF142" s="22"/>
      <c r="KEG142" s="22"/>
      <c r="KEH142" s="22"/>
      <c r="KEI142" s="22"/>
      <c r="KEJ142" s="22"/>
      <c r="KEK142" s="22"/>
      <c r="KEL142" s="22"/>
      <c r="KEM142" s="22"/>
      <c r="KEN142" s="22"/>
      <c r="KEO142" s="22"/>
      <c r="KEP142" s="22"/>
      <c r="KEQ142" s="22"/>
      <c r="KER142" s="22"/>
      <c r="KES142" s="22"/>
      <c r="KET142" s="22"/>
      <c r="KEU142" s="22"/>
      <c r="KEV142" s="22"/>
      <c r="KEW142" s="22"/>
      <c r="KEX142" s="22"/>
      <c r="KEY142" s="22"/>
      <c r="KEZ142" s="22"/>
      <c r="KFA142" s="22"/>
      <c r="KFB142" s="22"/>
      <c r="KFC142" s="22"/>
      <c r="KFD142" s="22"/>
      <c r="KFE142" s="22"/>
      <c r="KFF142" s="22"/>
      <c r="KFG142" s="22"/>
      <c r="KFH142" s="22"/>
      <c r="KFI142" s="22"/>
      <c r="KFJ142" s="22"/>
      <c r="KFK142" s="22"/>
      <c r="KFL142" s="22"/>
      <c r="KFM142" s="22"/>
      <c r="KFN142" s="22"/>
      <c r="KFO142" s="22"/>
      <c r="KFP142" s="22"/>
      <c r="KFQ142" s="22"/>
      <c r="KFR142" s="22"/>
      <c r="KFS142" s="22"/>
      <c r="KFT142" s="22"/>
      <c r="KFU142" s="22"/>
      <c r="KFV142" s="22"/>
      <c r="KFW142" s="22"/>
      <c r="KFX142" s="22"/>
      <c r="KFY142" s="22"/>
      <c r="KFZ142" s="22"/>
      <c r="KGA142" s="22"/>
      <c r="KGB142" s="22"/>
      <c r="KGC142" s="22"/>
      <c r="KGD142" s="22"/>
      <c r="KGE142" s="22"/>
      <c r="KGF142" s="22"/>
      <c r="KGG142" s="22"/>
      <c r="KGH142" s="22"/>
      <c r="KGI142" s="22"/>
      <c r="KGJ142" s="22"/>
      <c r="KGK142" s="22"/>
      <c r="KGL142" s="22"/>
      <c r="KGM142" s="22"/>
      <c r="KGN142" s="22"/>
      <c r="KGO142" s="22"/>
      <c r="KGP142" s="22"/>
      <c r="KGQ142" s="22"/>
      <c r="KGR142" s="22"/>
      <c r="KGS142" s="22"/>
      <c r="KGT142" s="22"/>
      <c r="KGU142" s="22"/>
      <c r="KGV142" s="22"/>
      <c r="KGW142" s="22"/>
      <c r="KGX142" s="22"/>
      <c r="KGY142" s="22"/>
      <c r="KGZ142" s="22"/>
      <c r="KHA142" s="22"/>
      <c r="KHB142" s="22"/>
      <c r="KHC142" s="22"/>
      <c r="KHD142" s="22"/>
      <c r="KHE142" s="22"/>
      <c r="KHF142" s="22"/>
      <c r="KHG142" s="22"/>
      <c r="KHH142" s="22"/>
      <c r="KHI142" s="22"/>
      <c r="KHJ142" s="22"/>
      <c r="KHK142" s="22"/>
      <c r="KHL142" s="22"/>
      <c r="KHM142" s="22"/>
      <c r="KHN142" s="22"/>
      <c r="KHO142" s="22"/>
      <c r="KHP142" s="22"/>
      <c r="KHQ142" s="22"/>
      <c r="KHR142" s="22"/>
      <c r="KHS142" s="22"/>
      <c r="KHT142" s="22"/>
      <c r="KHU142" s="22"/>
      <c r="KHV142" s="22"/>
      <c r="KHW142" s="22"/>
      <c r="KHX142" s="22"/>
      <c r="KHY142" s="22"/>
      <c r="KHZ142" s="22"/>
      <c r="KIA142" s="22"/>
      <c r="KIB142" s="22"/>
      <c r="KIC142" s="22"/>
      <c r="KID142" s="22"/>
      <c r="KIE142" s="22"/>
      <c r="KIF142" s="22"/>
      <c r="KIG142" s="22"/>
      <c r="KIH142" s="22"/>
      <c r="KII142" s="22"/>
      <c r="KIJ142" s="22"/>
      <c r="KIK142" s="22"/>
      <c r="KIL142" s="22"/>
      <c r="KIM142" s="22"/>
      <c r="KIN142" s="22"/>
      <c r="KIO142" s="22"/>
      <c r="KIP142" s="22"/>
      <c r="KIQ142" s="22"/>
      <c r="KIR142" s="22"/>
      <c r="KIS142" s="22"/>
      <c r="KIT142" s="22"/>
      <c r="KIU142" s="22"/>
      <c r="KIV142" s="22"/>
      <c r="KIW142" s="22"/>
      <c r="KIX142" s="22"/>
      <c r="KIY142" s="22"/>
      <c r="KIZ142" s="22"/>
      <c r="KJA142" s="22"/>
      <c r="KJB142" s="22"/>
      <c r="KJC142" s="22"/>
      <c r="KJD142" s="22"/>
      <c r="KJE142" s="22"/>
      <c r="KJF142" s="22"/>
      <c r="KJG142" s="22"/>
      <c r="KJH142" s="22"/>
      <c r="KJI142" s="22"/>
      <c r="KJJ142" s="22"/>
      <c r="KJK142" s="22"/>
      <c r="KJL142" s="22"/>
      <c r="KJM142" s="22"/>
      <c r="KJN142" s="22"/>
      <c r="KJO142" s="22"/>
      <c r="KJP142" s="22"/>
      <c r="KJQ142" s="22"/>
      <c r="KJR142" s="22"/>
      <c r="KJS142" s="22"/>
      <c r="KJT142" s="22"/>
      <c r="KJU142" s="22"/>
      <c r="KJV142" s="22"/>
      <c r="KJW142" s="22"/>
      <c r="KJX142" s="22"/>
      <c r="KJY142" s="22"/>
      <c r="KJZ142" s="22"/>
      <c r="KKA142" s="22"/>
      <c r="KKB142" s="22"/>
      <c r="KKC142" s="22"/>
      <c r="KKD142" s="22"/>
      <c r="KKE142" s="22"/>
      <c r="KKF142" s="22"/>
      <c r="KKG142" s="22"/>
      <c r="KKH142" s="22"/>
      <c r="KKI142" s="22"/>
      <c r="KKJ142" s="22"/>
      <c r="KKK142" s="22"/>
      <c r="KKL142" s="22"/>
      <c r="KKM142" s="22"/>
      <c r="KKN142" s="22"/>
      <c r="KKO142" s="22"/>
      <c r="KKP142" s="22"/>
      <c r="KKQ142" s="22"/>
      <c r="KKR142" s="22"/>
      <c r="KKS142" s="22"/>
      <c r="KKT142" s="22"/>
      <c r="KKU142" s="22"/>
      <c r="KKV142" s="22"/>
      <c r="KKW142" s="22"/>
      <c r="KKX142" s="22"/>
      <c r="KKY142" s="22"/>
      <c r="KKZ142" s="22"/>
      <c r="KLA142" s="22"/>
      <c r="KLB142" s="22"/>
      <c r="KLC142" s="22"/>
      <c r="KLD142" s="22"/>
      <c r="KLE142" s="22"/>
      <c r="KLF142" s="22"/>
      <c r="KLG142" s="22"/>
      <c r="KLH142" s="22"/>
      <c r="KLI142" s="22"/>
      <c r="KLJ142" s="22"/>
      <c r="KLK142" s="22"/>
      <c r="KLL142" s="22"/>
      <c r="KLM142" s="22"/>
      <c r="KLN142" s="22"/>
      <c r="KLO142" s="22"/>
      <c r="KLP142" s="22"/>
      <c r="KLQ142" s="22"/>
      <c r="KLR142" s="22"/>
      <c r="KLS142" s="22"/>
      <c r="KLT142" s="22"/>
      <c r="KLU142" s="22"/>
      <c r="KLV142" s="22"/>
      <c r="KLW142" s="22"/>
      <c r="KLX142" s="22"/>
      <c r="KLY142" s="22"/>
      <c r="KLZ142" s="22"/>
      <c r="KMA142" s="22"/>
      <c r="KMB142" s="22"/>
      <c r="KMC142" s="22"/>
      <c r="KMD142" s="22"/>
      <c r="KME142" s="22"/>
      <c r="KMF142" s="22"/>
      <c r="KMG142" s="22"/>
      <c r="KMH142" s="22"/>
      <c r="KMI142" s="22"/>
      <c r="KMJ142" s="22"/>
      <c r="KMK142" s="22"/>
      <c r="KML142" s="22"/>
      <c r="KMM142" s="22"/>
      <c r="KMN142" s="22"/>
      <c r="KMO142" s="22"/>
      <c r="KMP142" s="22"/>
      <c r="KMQ142" s="22"/>
      <c r="KMR142" s="22"/>
      <c r="KMS142" s="22"/>
      <c r="KMT142" s="22"/>
      <c r="KMU142" s="22"/>
      <c r="KMV142" s="22"/>
      <c r="KMW142" s="22"/>
      <c r="KMX142" s="22"/>
      <c r="KMY142" s="22"/>
      <c r="KMZ142" s="22"/>
      <c r="KNA142" s="22"/>
      <c r="KNB142" s="22"/>
      <c r="KNC142" s="22"/>
      <c r="KND142" s="22"/>
      <c r="KNE142" s="22"/>
      <c r="KNF142" s="22"/>
      <c r="KNG142" s="22"/>
      <c r="KNH142" s="22"/>
      <c r="KNI142" s="22"/>
      <c r="KNJ142" s="22"/>
      <c r="KNK142" s="22"/>
      <c r="KNL142" s="22"/>
      <c r="KNM142" s="22"/>
      <c r="KNN142" s="22"/>
      <c r="KNO142" s="22"/>
      <c r="KNP142" s="22"/>
      <c r="KNQ142" s="22"/>
      <c r="KNR142" s="22"/>
      <c r="KNS142" s="22"/>
      <c r="KNT142" s="22"/>
      <c r="KNU142" s="22"/>
      <c r="KNV142" s="22"/>
      <c r="KNW142" s="22"/>
      <c r="KNX142" s="22"/>
      <c r="KNY142" s="22"/>
      <c r="KNZ142" s="22"/>
      <c r="KOA142" s="22"/>
      <c r="KOB142" s="22"/>
      <c r="KOC142" s="22"/>
      <c r="KOD142" s="22"/>
      <c r="KOE142" s="22"/>
      <c r="KOF142" s="22"/>
      <c r="KOG142" s="22"/>
      <c r="KOH142" s="22"/>
      <c r="KOI142" s="22"/>
      <c r="KOJ142" s="22"/>
      <c r="KOK142" s="22"/>
      <c r="KOL142" s="22"/>
      <c r="KOM142" s="22"/>
      <c r="KON142" s="22"/>
      <c r="KOO142" s="22"/>
      <c r="KOP142" s="22"/>
      <c r="KOQ142" s="22"/>
      <c r="KOR142" s="22"/>
      <c r="KOS142" s="22"/>
      <c r="KOT142" s="22"/>
      <c r="KOU142" s="22"/>
      <c r="KOV142" s="22"/>
      <c r="KOW142" s="22"/>
      <c r="KOX142" s="22"/>
      <c r="KOY142" s="22"/>
      <c r="KOZ142" s="22"/>
      <c r="KPA142" s="22"/>
      <c r="KPB142" s="22"/>
      <c r="KPC142" s="22"/>
      <c r="KPD142" s="22"/>
      <c r="KPE142" s="22"/>
      <c r="KPF142" s="22"/>
      <c r="KPG142" s="22"/>
      <c r="KPH142" s="22"/>
      <c r="KPI142" s="22"/>
      <c r="KPJ142" s="22"/>
      <c r="KPK142" s="22"/>
      <c r="KPL142" s="22"/>
      <c r="KPM142" s="22"/>
      <c r="KPN142" s="22"/>
      <c r="KPO142" s="22"/>
      <c r="KPP142" s="22"/>
      <c r="KPQ142" s="22"/>
      <c r="KPR142" s="22"/>
      <c r="KPS142" s="22"/>
      <c r="KPT142" s="22"/>
      <c r="KPU142" s="22"/>
      <c r="KPV142" s="22"/>
      <c r="KPW142" s="22"/>
      <c r="KPX142" s="22"/>
      <c r="KPY142" s="22"/>
      <c r="KPZ142" s="22"/>
      <c r="KQA142" s="22"/>
      <c r="KQB142" s="22"/>
      <c r="KQC142" s="22"/>
      <c r="KQD142" s="22"/>
      <c r="KQE142" s="22"/>
      <c r="KQF142" s="22"/>
      <c r="KQG142" s="22"/>
      <c r="KQH142" s="22"/>
      <c r="KQI142" s="22"/>
      <c r="KQJ142" s="22"/>
      <c r="KQK142" s="22"/>
      <c r="KQL142" s="22"/>
      <c r="KQM142" s="22"/>
      <c r="KQN142" s="22"/>
      <c r="KQO142" s="22"/>
      <c r="KQP142" s="22"/>
      <c r="KQQ142" s="22"/>
      <c r="KQR142" s="22"/>
      <c r="KQS142" s="22"/>
      <c r="KQT142" s="22"/>
      <c r="KQU142" s="22"/>
      <c r="KQV142" s="22"/>
      <c r="KQW142" s="22"/>
      <c r="KQX142" s="22"/>
      <c r="KQY142" s="22"/>
      <c r="KQZ142" s="22"/>
      <c r="KRA142" s="22"/>
      <c r="KRB142" s="22"/>
      <c r="KRC142" s="22"/>
      <c r="KRD142" s="22"/>
      <c r="KRE142" s="22"/>
      <c r="KRF142" s="22"/>
      <c r="KRG142" s="22"/>
      <c r="KRH142" s="22"/>
      <c r="KRI142" s="22"/>
      <c r="KRJ142" s="22"/>
      <c r="KRK142" s="22"/>
      <c r="KRL142" s="22"/>
      <c r="KRM142" s="22"/>
      <c r="KRN142" s="22"/>
      <c r="KRO142" s="22"/>
      <c r="KRP142" s="22"/>
      <c r="KRQ142" s="22"/>
      <c r="KRR142" s="22"/>
      <c r="KRS142" s="22"/>
      <c r="KRT142" s="22"/>
      <c r="KRU142" s="22"/>
      <c r="KRV142" s="22"/>
      <c r="KRW142" s="22"/>
      <c r="KRX142" s="22"/>
      <c r="KRY142" s="22"/>
      <c r="KRZ142" s="22"/>
      <c r="KSA142" s="22"/>
      <c r="KSB142" s="22"/>
      <c r="KSC142" s="22"/>
      <c r="KSD142" s="22"/>
      <c r="KSE142" s="22"/>
      <c r="KSF142" s="22"/>
      <c r="KSG142" s="22"/>
      <c r="KSH142" s="22"/>
      <c r="KSI142" s="22"/>
      <c r="KSJ142" s="22"/>
      <c r="KSK142" s="22"/>
      <c r="KSL142" s="22"/>
      <c r="KSM142" s="22"/>
      <c r="KSN142" s="22"/>
      <c r="KSO142" s="22"/>
      <c r="KSP142" s="22"/>
      <c r="KSQ142" s="22"/>
      <c r="KSR142" s="22"/>
      <c r="KSS142" s="22"/>
      <c r="KST142" s="22"/>
      <c r="KSU142" s="22"/>
      <c r="KSV142" s="22"/>
      <c r="KSW142" s="22"/>
      <c r="KSX142" s="22"/>
      <c r="KSY142" s="22"/>
      <c r="KSZ142" s="22"/>
      <c r="KTA142" s="22"/>
      <c r="KTB142" s="22"/>
      <c r="KTC142" s="22"/>
      <c r="KTD142" s="22"/>
      <c r="KTE142" s="22"/>
      <c r="KTF142" s="22"/>
      <c r="KTG142" s="22"/>
      <c r="KTH142" s="22"/>
      <c r="KTI142" s="22"/>
      <c r="KTJ142" s="22"/>
      <c r="KTK142" s="22"/>
      <c r="KTL142" s="22"/>
      <c r="KTM142" s="22"/>
      <c r="KTN142" s="22"/>
      <c r="KTO142" s="22"/>
      <c r="KTP142" s="22"/>
      <c r="KTQ142" s="22"/>
      <c r="KTR142" s="22"/>
      <c r="KTS142" s="22"/>
      <c r="KTT142" s="22"/>
      <c r="KTU142" s="22"/>
      <c r="KTV142" s="22"/>
      <c r="KTW142" s="22"/>
      <c r="KTX142" s="22"/>
      <c r="KTY142" s="22"/>
      <c r="KTZ142" s="22"/>
      <c r="KUA142" s="22"/>
      <c r="KUB142" s="22"/>
      <c r="KUC142" s="22"/>
      <c r="KUD142" s="22"/>
      <c r="KUE142" s="22"/>
      <c r="KUF142" s="22"/>
      <c r="KUG142" s="22"/>
      <c r="KUH142" s="22"/>
      <c r="KUI142" s="22"/>
      <c r="KUJ142" s="22"/>
      <c r="KUK142" s="22"/>
      <c r="KUL142" s="22"/>
      <c r="KUM142" s="22"/>
      <c r="KUN142" s="22"/>
      <c r="KUO142" s="22"/>
      <c r="KUP142" s="22"/>
      <c r="KUQ142" s="22"/>
      <c r="KUR142" s="22"/>
      <c r="KUS142" s="22"/>
      <c r="KUT142" s="22"/>
      <c r="KUU142" s="22"/>
      <c r="KUV142" s="22"/>
      <c r="KUW142" s="22"/>
      <c r="KUX142" s="22"/>
      <c r="KUY142" s="22"/>
      <c r="KUZ142" s="22"/>
      <c r="KVA142" s="22"/>
      <c r="KVB142" s="22"/>
      <c r="KVC142" s="22"/>
      <c r="KVD142" s="22"/>
      <c r="KVE142" s="22"/>
      <c r="KVF142" s="22"/>
      <c r="KVG142" s="22"/>
      <c r="KVH142" s="22"/>
      <c r="KVI142" s="22"/>
      <c r="KVJ142" s="22"/>
      <c r="KVK142" s="22"/>
      <c r="KVL142" s="22"/>
      <c r="KVM142" s="22"/>
      <c r="KVN142" s="22"/>
      <c r="KVO142" s="22"/>
      <c r="KVP142" s="22"/>
      <c r="KVQ142" s="22"/>
      <c r="KVR142" s="22"/>
      <c r="KVS142" s="22"/>
      <c r="KVT142" s="22"/>
      <c r="KVU142" s="22"/>
      <c r="KVV142" s="22"/>
      <c r="KVW142" s="22"/>
      <c r="KVX142" s="22"/>
      <c r="KVY142" s="22"/>
      <c r="KVZ142" s="22"/>
      <c r="KWA142" s="22"/>
      <c r="KWB142" s="22"/>
      <c r="KWC142" s="22"/>
      <c r="KWD142" s="22"/>
      <c r="KWE142" s="22"/>
      <c r="KWF142" s="22"/>
      <c r="KWG142" s="22"/>
      <c r="KWH142" s="22"/>
      <c r="KWI142" s="22"/>
      <c r="KWJ142" s="22"/>
      <c r="KWK142" s="22"/>
      <c r="KWL142" s="22"/>
      <c r="KWM142" s="22"/>
      <c r="KWN142" s="22"/>
      <c r="KWO142" s="22"/>
      <c r="KWP142" s="22"/>
      <c r="KWQ142" s="22"/>
      <c r="KWR142" s="22"/>
      <c r="KWS142" s="22"/>
      <c r="KWT142" s="22"/>
      <c r="KWU142" s="22"/>
      <c r="KWV142" s="22"/>
      <c r="KWW142" s="22"/>
      <c r="KWX142" s="22"/>
      <c r="KWY142" s="22"/>
      <c r="KWZ142" s="22"/>
      <c r="KXA142" s="22"/>
      <c r="KXB142" s="22"/>
      <c r="KXC142" s="22"/>
      <c r="KXD142" s="22"/>
      <c r="KXE142" s="22"/>
      <c r="KXF142" s="22"/>
      <c r="KXG142" s="22"/>
      <c r="KXH142" s="22"/>
      <c r="KXI142" s="22"/>
      <c r="KXJ142" s="22"/>
      <c r="KXK142" s="22"/>
      <c r="KXL142" s="22"/>
      <c r="KXM142" s="22"/>
      <c r="KXN142" s="22"/>
      <c r="KXO142" s="22"/>
      <c r="KXP142" s="22"/>
      <c r="KXQ142" s="22"/>
      <c r="KXR142" s="22"/>
      <c r="KXS142" s="22"/>
      <c r="KXT142" s="22"/>
      <c r="KXU142" s="22"/>
      <c r="KXV142" s="22"/>
      <c r="KXW142" s="22"/>
      <c r="KXX142" s="22"/>
      <c r="KXY142" s="22"/>
      <c r="KXZ142" s="22"/>
      <c r="KYA142" s="22"/>
      <c r="KYB142" s="22"/>
      <c r="KYC142" s="22"/>
      <c r="KYD142" s="22"/>
      <c r="KYE142" s="22"/>
      <c r="KYF142" s="22"/>
      <c r="KYG142" s="22"/>
      <c r="KYH142" s="22"/>
      <c r="KYI142" s="22"/>
      <c r="KYJ142" s="22"/>
      <c r="KYK142" s="22"/>
      <c r="KYL142" s="22"/>
      <c r="KYM142" s="22"/>
      <c r="KYN142" s="22"/>
      <c r="KYO142" s="22"/>
      <c r="KYP142" s="22"/>
      <c r="KYQ142" s="22"/>
      <c r="KYR142" s="22"/>
      <c r="KYS142" s="22"/>
      <c r="KYT142" s="22"/>
      <c r="KYU142" s="22"/>
      <c r="KYV142" s="22"/>
      <c r="KYW142" s="22"/>
      <c r="KYX142" s="22"/>
      <c r="KYY142" s="22"/>
      <c r="KYZ142" s="22"/>
      <c r="KZA142" s="22"/>
      <c r="KZB142" s="22"/>
      <c r="KZC142" s="22"/>
      <c r="KZD142" s="22"/>
      <c r="KZE142" s="22"/>
      <c r="KZF142" s="22"/>
      <c r="KZG142" s="22"/>
      <c r="KZH142" s="22"/>
      <c r="KZI142" s="22"/>
      <c r="KZJ142" s="22"/>
      <c r="KZK142" s="22"/>
      <c r="KZL142" s="22"/>
      <c r="KZM142" s="22"/>
      <c r="KZN142" s="22"/>
      <c r="KZO142" s="22"/>
      <c r="KZP142" s="22"/>
      <c r="KZQ142" s="22"/>
      <c r="KZR142" s="22"/>
      <c r="KZS142" s="22"/>
      <c r="KZT142" s="22"/>
      <c r="KZU142" s="22"/>
      <c r="KZV142" s="22"/>
      <c r="KZW142" s="22"/>
      <c r="KZX142" s="22"/>
      <c r="KZY142" s="22"/>
      <c r="KZZ142" s="22"/>
      <c r="LAA142" s="22"/>
      <c r="LAB142" s="22"/>
      <c r="LAC142" s="22"/>
      <c r="LAD142" s="22"/>
      <c r="LAE142" s="22"/>
      <c r="LAF142" s="22"/>
      <c r="LAG142" s="22"/>
      <c r="LAH142" s="22"/>
      <c r="LAI142" s="22"/>
      <c r="LAJ142" s="22"/>
      <c r="LAK142" s="22"/>
      <c r="LAL142" s="22"/>
      <c r="LAM142" s="22"/>
      <c r="LAN142" s="22"/>
      <c r="LAO142" s="22"/>
      <c r="LAP142" s="22"/>
      <c r="LAQ142" s="22"/>
      <c r="LAR142" s="22"/>
      <c r="LAS142" s="22"/>
      <c r="LAT142" s="22"/>
      <c r="LAU142" s="22"/>
      <c r="LAV142" s="22"/>
      <c r="LAW142" s="22"/>
      <c r="LAX142" s="22"/>
      <c r="LAY142" s="22"/>
      <c r="LAZ142" s="22"/>
      <c r="LBA142" s="22"/>
      <c r="LBB142" s="22"/>
      <c r="LBC142" s="22"/>
      <c r="LBD142" s="22"/>
      <c r="LBE142" s="22"/>
      <c r="LBF142" s="22"/>
      <c r="LBG142" s="22"/>
      <c r="LBH142" s="22"/>
      <c r="LBI142" s="22"/>
      <c r="LBJ142" s="22"/>
      <c r="LBK142" s="22"/>
      <c r="LBL142" s="22"/>
      <c r="LBM142" s="22"/>
      <c r="LBN142" s="22"/>
      <c r="LBO142" s="22"/>
      <c r="LBP142" s="22"/>
      <c r="LBQ142" s="22"/>
      <c r="LBR142" s="22"/>
      <c r="LBS142" s="22"/>
      <c r="LBT142" s="22"/>
      <c r="LBU142" s="22"/>
      <c r="LBV142" s="22"/>
      <c r="LBW142" s="22"/>
      <c r="LBX142" s="22"/>
      <c r="LBY142" s="22"/>
      <c r="LBZ142" s="22"/>
      <c r="LCA142" s="22"/>
      <c r="LCB142" s="22"/>
      <c r="LCC142" s="22"/>
      <c r="LCD142" s="22"/>
      <c r="LCE142" s="22"/>
      <c r="LCF142" s="22"/>
      <c r="LCG142" s="22"/>
      <c r="LCH142" s="22"/>
      <c r="LCI142" s="22"/>
      <c r="LCJ142" s="22"/>
      <c r="LCK142" s="22"/>
      <c r="LCL142" s="22"/>
      <c r="LCM142" s="22"/>
      <c r="LCN142" s="22"/>
      <c r="LCO142" s="22"/>
      <c r="LCP142" s="22"/>
      <c r="LCQ142" s="22"/>
      <c r="LCR142" s="22"/>
      <c r="LCS142" s="22"/>
      <c r="LCT142" s="22"/>
      <c r="LCU142" s="22"/>
      <c r="LCV142" s="22"/>
      <c r="LCW142" s="22"/>
      <c r="LCX142" s="22"/>
      <c r="LCY142" s="22"/>
      <c r="LCZ142" s="22"/>
      <c r="LDA142" s="22"/>
      <c r="LDB142" s="22"/>
      <c r="LDC142" s="22"/>
      <c r="LDD142" s="22"/>
      <c r="LDE142" s="22"/>
      <c r="LDF142" s="22"/>
      <c r="LDG142" s="22"/>
      <c r="LDH142" s="22"/>
      <c r="LDI142" s="22"/>
      <c r="LDJ142" s="22"/>
      <c r="LDK142" s="22"/>
      <c r="LDL142" s="22"/>
      <c r="LDM142" s="22"/>
      <c r="LDN142" s="22"/>
      <c r="LDO142" s="22"/>
      <c r="LDP142" s="22"/>
      <c r="LDQ142" s="22"/>
      <c r="LDR142" s="22"/>
      <c r="LDS142" s="22"/>
      <c r="LDT142" s="22"/>
      <c r="LDU142" s="22"/>
      <c r="LDV142" s="22"/>
      <c r="LDW142" s="22"/>
      <c r="LDX142" s="22"/>
      <c r="LDY142" s="22"/>
      <c r="LDZ142" s="22"/>
      <c r="LEA142" s="22"/>
      <c r="LEB142" s="22"/>
      <c r="LEC142" s="22"/>
      <c r="LED142" s="22"/>
      <c r="LEE142" s="22"/>
      <c r="LEF142" s="22"/>
      <c r="LEG142" s="22"/>
      <c r="LEH142" s="22"/>
      <c r="LEI142" s="22"/>
      <c r="LEJ142" s="22"/>
      <c r="LEK142" s="22"/>
      <c r="LEL142" s="22"/>
      <c r="LEM142" s="22"/>
      <c r="LEN142" s="22"/>
      <c r="LEO142" s="22"/>
      <c r="LEP142" s="22"/>
      <c r="LEQ142" s="22"/>
      <c r="LER142" s="22"/>
      <c r="LES142" s="22"/>
      <c r="LET142" s="22"/>
      <c r="LEU142" s="22"/>
      <c r="LEV142" s="22"/>
      <c r="LEW142" s="22"/>
      <c r="LEX142" s="22"/>
      <c r="LEY142" s="22"/>
      <c r="LEZ142" s="22"/>
      <c r="LFA142" s="22"/>
      <c r="LFB142" s="22"/>
      <c r="LFC142" s="22"/>
      <c r="LFD142" s="22"/>
      <c r="LFE142" s="22"/>
      <c r="LFF142" s="22"/>
      <c r="LFG142" s="22"/>
      <c r="LFH142" s="22"/>
      <c r="LFI142" s="22"/>
      <c r="LFJ142" s="22"/>
      <c r="LFK142" s="22"/>
      <c r="LFL142" s="22"/>
      <c r="LFM142" s="22"/>
      <c r="LFN142" s="22"/>
      <c r="LFO142" s="22"/>
      <c r="LFP142" s="22"/>
      <c r="LFQ142" s="22"/>
      <c r="LFR142" s="22"/>
      <c r="LFS142" s="22"/>
      <c r="LFT142" s="22"/>
      <c r="LFU142" s="22"/>
      <c r="LFV142" s="22"/>
      <c r="LFW142" s="22"/>
      <c r="LFX142" s="22"/>
      <c r="LFY142" s="22"/>
      <c r="LFZ142" s="22"/>
      <c r="LGA142" s="22"/>
      <c r="LGB142" s="22"/>
      <c r="LGC142" s="22"/>
      <c r="LGD142" s="22"/>
      <c r="LGE142" s="22"/>
      <c r="LGF142" s="22"/>
      <c r="LGG142" s="22"/>
      <c r="LGH142" s="22"/>
      <c r="LGI142" s="22"/>
      <c r="LGJ142" s="22"/>
      <c r="LGK142" s="22"/>
      <c r="LGL142" s="22"/>
      <c r="LGM142" s="22"/>
      <c r="LGN142" s="22"/>
      <c r="LGO142" s="22"/>
      <c r="LGP142" s="22"/>
      <c r="LGQ142" s="22"/>
      <c r="LGR142" s="22"/>
      <c r="LGS142" s="22"/>
      <c r="LGT142" s="22"/>
      <c r="LGU142" s="22"/>
      <c r="LGV142" s="22"/>
      <c r="LGW142" s="22"/>
      <c r="LGX142" s="22"/>
      <c r="LGY142" s="22"/>
      <c r="LGZ142" s="22"/>
      <c r="LHA142" s="22"/>
      <c r="LHB142" s="22"/>
      <c r="LHC142" s="22"/>
      <c r="LHD142" s="22"/>
      <c r="LHE142" s="22"/>
      <c r="LHF142" s="22"/>
      <c r="LHG142" s="22"/>
      <c r="LHH142" s="22"/>
      <c r="LHI142" s="22"/>
      <c r="LHJ142" s="22"/>
      <c r="LHK142" s="22"/>
      <c r="LHL142" s="22"/>
      <c r="LHM142" s="22"/>
      <c r="LHN142" s="22"/>
      <c r="LHO142" s="22"/>
      <c r="LHP142" s="22"/>
      <c r="LHQ142" s="22"/>
      <c r="LHR142" s="22"/>
      <c r="LHS142" s="22"/>
      <c r="LHT142" s="22"/>
      <c r="LHU142" s="22"/>
      <c r="LHV142" s="22"/>
      <c r="LHW142" s="22"/>
      <c r="LHX142" s="22"/>
      <c r="LHY142" s="22"/>
      <c r="LHZ142" s="22"/>
      <c r="LIA142" s="22"/>
      <c r="LIB142" s="22"/>
      <c r="LIC142" s="22"/>
      <c r="LID142" s="22"/>
      <c r="LIE142" s="22"/>
      <c r="LIF142" s="22"/>
      <c r="LIG142" s="22"/>
      <c r="LIH142" s="22"/>
      <c r="LII142" s="22"/>
      <c r="LIJ142" s="22"/>
      <c r="LIK142" s="22"/>
      <c r="LIL142" s="22"/>
      <c r="LIM142" s="22"/>
      <c r="LIN142" s="22"/>
      <c r="LIO142" s="22"/>
      <c r="LIP142" s="22"/>
      <c r="LIQ142" s="22"/>
      <c r="LIR142" s="22"/>
      <c r="LIS142" s="22"/>
      <c r="LIT142" s="22"/>
      <c r="LIU142" s="22"/>
      <c r="LIV142" s="22"/>
      <c r="LIW142" s="22"/>
      <c r="LIX142" s="22"/>
      <c r="LIY142" s="22"/>
      <c r="LIZ142" s="22"/>
      <c r="LJA142" s="22"/>
      <c r="LJB142" s="22"/>
      <c r="LJC142" s="22"/>
      <c r="LJD142" s="22"/>
      <c r="LJE142" s="22"/>
      <c r="LJF142" s="22"/>
      <c r="LJG142" s="22"/>
      <c r="LJH142" s="22"/>
      <c r="LJI142" s="22"/>
      <c r="LJJ142" s="22"/>
      <c r="LJK142" s="22"/>
      <c r="LJL142" s="22"/>
      <c r="LJM142" s="22"/>
      <c r="LJN142" s="22"/>
      <c r="LJO142" s="22"/>
      <c r="LJP142" s="22"/>
      <c r="LJQ142" s="22"/>
      <c r="LJR142" s="22"/>
      <c r="LJS142" s="22"/>
      <c r="LJT142" s="22"/>
      <c r="LJU142" s="22"/>
      <c r="LJV142" s="22"/>
      <c r="LJW142" s="22"/>
      <c r="LJX142" s="22"/>
      <c r="LJY142" s="22"/>
      <c r="LJZ142" s="22"/>
      <c r="LKA142" s="22"/>
      <c r="LKB142" s="22"/>
      <c r="LKC142" s="22"/>
      <c r="LKD142" s="22"/>
      <c r="LKE142" s="22"/>
      <c r="LKF142" s="22"/>
      <c r="LKG142" s="22"/>
      <c r="LKH142" s="22"/>
      <c r="LKI142" s="22"/>
      <c r="LKJ142" s="22"/>
      <c r="LKK142" s="22"/>
      <c r="LKL142" s="22"/>
      <c r="LKM142" s="22"/>
      <c r="LKN142" s="22"/>
      <c r="LKO142" s="22"/>
      <c r="LKP142" s="22"/>
      <c r="LKQ142" s="22"/>
      <c r="LKR142" s="22"/>
      <c r="LKS142" s="22"/>
      <c r="LKT142" s="22"/>
      <c r="LKU142" s="22"/>
      <c r="LKV142" s="22"/>
      <c r="LKW142" s="22"/>
      <c r="LKX142" s="22"/>
      <c r="LKY142" s="22"/>
      <c r="LKZ142" s="22"/>
      <c r="LLA142" s="22"/>
      <c r="LLB142" s="22"/>
      <c r="LLC142" s="22"/>
      <c r="LLD142" s="22"/>
      <c r="LLE142" s="22"/>
      <c r="LLF142" s="22"/>
      <c r="LLG142" s="22"/>
      <c r="LLH142" s="22"/>
      <c r="LLI142" s="22"/>
      <c r="LLJ142" s="22"/>
      <c r="LLK142" s="22"/>
      <c r="LLL142" s="22"/>
      <c r="LLM142" s="22"/>
      <c r="LLN142" s="22"/>
      <c r="LLO142" s="22"/>
      <c r="LLP142" s="22"/>
      <c r="LLQ142" s="22"/>
      <c r="LLR142" s="22"/>
      <c r="LLS142" s="22"/>
      <c r="LLT142" s="22"/>
      <c r="LLU142" s="22"/>
      <c r="LLV142" s="22"/>
      <c r="LLW142" s="22"/>
      <c r="LLX142" s="22"/>
      <c r="LLY142" s="22"/>
      <c r="LLZ142" s="22"/>
      <c r="LMA142" s="22"/>
      <c r="LMB142" s="22"/>
      <c r="LMC142" s="22"/>
      <c r="LMD142" s="22"/>
      <c r="LME142" s="22"/>
      <c r="LMF142" s="22"/>
      <c r="LMG142" s="22"/>
      <c r="LMH142" s="22"/>
      <c r="LMI142" s="22"/>
      <c r="LMJ142" s="22"/>
      <c r="LMK142" s="22"/>
      <c r="LML142" s="22"/>
      <c r="LMM142" s="22"/>
      <c r="LMN142" s="22"/>
      <c r="LMO142" s="22"/>
      <c r="LMP142" s="22"/>
      <c r="LMQ142" s="22"/>
      <c r="LMR142" s="22"/>
      <c r="LMS142" s="22"/>
      <c r="LMT142" s="22"/>
      <c r="LMU142" s="22"/>
      <c r="LMV142" s="22"/>
      <c r="LMW142" s="22"/>
      <c r="LMX142" s="22"/>
      <c r="LMY142" s="22"/>
      <c r="LMZ142" s="22"/>
      <c r="LNA142" s="22"/>
      <c r="LNB142" s="22"/>
      <c r="LNC142" s="22"/>
      <c r="LND142" s="22"/>
      <c r="LNE142" s="22"/>
      <c r="LNF142" s="22"/>
      <c r="LNG142" s="22"/>
      <c r="LNH142" s="22"/>
      <c r="LNI142" s="22"/>
      <c r="LNJ142" s="22"/>
      <c r="LNK142" s="22"/>
      <c r="LNL142" s="22"/>
      <c r="LNM142" s="22"/>
      <c r="LNN142" s="22"/>
      <c r="LNO142" s="22"/>
      <c r="LNP142" s="22"/>
      <c r="LNQ142" s="22"/>
      <c r="LNR142" s="22"/>
      <c r="LNS142" s="22"/>
      <c r="LNT142" s="22"/>
      <c r="LNU142" s="22"/>
      <c r="LNV142" s="22"/>
      <c r="LNW142" s="22"/>
      <c r="LNX142" s="22"/>
      <c r="LNY142" s="22"/>
      <c r="LNZ142" s="22"/>
      <c r="LOA142" s="22"/>
      <c r="LOB142" s="22"/>
      <c r="LOC142" s="22"/>
      <c r="LOD142" s="22"/>
      <c r="LOE142" s="22"/>
      <c r="LOF142" s="22"/>
      <c r="LOG142" s="22"/>
      <c r="LOH142" s="22"/>
      <c r="LOI142" s="22"/>
      <c r="LOJ142" s="22"/>
      <c r="LOK142" s="22"/>
      <c r="LOL142" s="22"/>
      <c r="LOM142" s="22"/>
      <c r="LON142" s="22"/>
      <c r="LOO142" s="22"/>
      <c r="LOP142" s="22"/>
      <c r="LOQ142" s="22"/>
      <c r="LOR142" s="22"/>
      <c r="LOS142" s="22"/>
      <c r="LOT142" s="22"/>
      <c r="LOU142" s="22"/>
      <c r="LOV142" s="22"/>
      <c r="LOW142" s="22"/>
      <c r="LOX142" s="22"/>
      <c r="LOY142" s="22"/>
      <c r="LOZ142" s="22"/>
      <c r="LPA142" s="22"/>
      <c r="LPB142" s="22"/>
      <c r="LPC142" s="22"/>
      <c r="LPD142" s="22"/>
      <c r="LPE142" s="22"/>
      <c r="LPF142" s="22"/>
      <c r="LPG142" s="22"/>
      <c r="LPH142" s="22"/>
      <c r="LPI142" s="22"/>
      <c r="LPJ142" s="22"/>
      <c r="LPK142" s="22"/>
      <c r="LPL142" s="22"/>
      <c r="LPM142" s="22"/>
      <c r="LPN142" s="22"/>
      <c r="LPO142" s="22"/>
      <c r="LPP142" s="22"/>
      <c r="LPQ142" s="22"/>
      <c r="LPR142" s="22"/>
      <c r="LPS142" s="22"/>
      <c r="LPT142" s="22"/>
      <c r="LPU142" s="22"/>
      <c r="LPV142" s="22"/>
      <c r="LPW142" s="22"/>
      <c r="LPX142" s="22"/>
      <c r="LPY142" s="22"/>
      <c r="LPZ142" s="22"/>
      <c r="LQA142" s="22"/>
      <c r="LQB142" s="22"/>
      <c r="LQC142" s="22"/>
      <c r="LQD142" s="22"/>
      <c r="LQE142" s="22"/>
      <c r="LQF142" s="22"/>
      <c r="LQG142" s="22"/>
      <c r="LQH142" s="22"/>
      <c r="LQI142" s="22"/>
      <c r="LQJ142" s="22"/>
      <c r="LQK142" s="22"/>
      <c r="LQL142" s="22"/>
      <c r="LQM142" s="22"/>
      <c r="LQN142" s="22"/>
      <c r="LQO142" s="22"/>
      <c r="LQP142" s="22"/>
      <c r="LQQ142" s="22"/>
      <c r="LQR142" s="22"/>
      <c r="LQS142" s="22"/>
      <c r="LQT142" s="22"/>
      <c r="LQU142" s="22"/>
      <c r="LQV142" s="22"/>
      <c r="LQW142" s="22"/>
      <c r="LQX142" s="22"/>
      <c r="LQY142" s="22"/>
      <c r="LQZ142" s="22"/>
      <c r="LRA142" s="22"/>
      <c r="LRB142" s="22"/>
      <c r="LRC142" s="22"/>
      <c r="LRD142" s="22"/>
      <c r="LRE142" s="22"/>
      <c r="LRF142" s="22"/>
      <c r="LRG142" s="22"/>
      <c r="LRH142" s="22"/>
      <c r="LRI142" s="22"/>
      <c r="LRJ142" s="22"/>
      <c r="LRK142" s="22"/>
      <c r="LRL142" s="22"/>
      <c r="LRM142" s="22"/>
      <c r="LRN142" s="22"/>
      <c r="LRO142" s="22"/>
      <c r="LRP142" s="22"/>
      <c r="LRQ142" s="22"/>
      <c r="LRR142" s="22"/>
      <c r="LRS142" s="22"/>
      <c r="LRT142" s="22"/>
      <c r="LRU142" s="22"/>
      <c r="LRV142" s="22"/>
      <c r="LRW142" s="22"/>
      <c r="LRX142" s="22"/>
      <c r="LRY142" s="22"/>
      <c r="LRZ142" s="22"/>
      <c r="LSA142" s="22"/>
      <c r="LSB142" s="22"/>
      <c r="LSC142" s="22"/>
      <c r="LSD142" s="22"/>
      <c r="LSE142" s="22"/>
      <c r="LSF142" s="22"/>
      <c r="LSG142" s="22"/>
      <c r="LSH142" s="22"/>
      <c r="LSI142" s="22"/>
      <c r="LSJ142" s="22"/>
      <c r="LSK142" s="22"/>
      <c r="LSL142" s="22"/>
      <c r="LSM142" s="22"/>
      <c r="LSN142" s="22"/>
      <c r="LSO142" s="22"/>
      <c r="LSP142" s="22"/>
      <c r="LSQ142" s="22"/>
      <c r="LSR142" s="22"/>
      <c r="LSS142" s="22"/>
      <c r="LST142" s="22"/>
      <c r="LSU142" s="22"/>
      <c r="LSV142" s="22"/>
      <c r="LSW142" s="22"/>
      <c r="LSX142" s="22"/>
      <c r="LSY142" s="22"/>
      <c r="LSZ142" s="22"/>
      <c r="LTA142" s="22"/>
      <c r="LTB142" s="22"/>
      <c r="LTC142" s="22"/>
      <c r="LTD142" s="22"/>
      <c r="LTE142" s="22"/>
      <c r="LTF142" s="22"/>
      <c r="LTG142" s="22"/>
      <c r="LTH142" s="22"/>
      <c r="LTI142" s="22"/>
      <c r="LTJ142" s="22"/>
      <c r="LTK142" s="22"/>
      <c r="LTL142" s="22"/>
      <c r="LTM142" s="22"/>
      <c r="LTN142" s="22"/>
      <c r="LTO142" s="22"/>
      <c r="LTP142" s="22"/>
      <c r="LTQ142" s="22"/>
      <c r="LTR142" s="22"/>
      <c r="LTS142" s="22"/>
      <c r="LTT142" s="22"/>
      <c r="LTU142" s="22"/>
      <c r="LTV142" s="22"/>
      <c r="LTW142" s="22"/>
      <c r="LTX142" s="22"/>
      <c r="LTY142" s="22"/>
      <c r="LTZ142" s="22"/>
      <c r="LUA142" s="22"/>
      <c r="LUB142" s="22"/>
      <c r="LUC142" s="22"/>
      <c r="LUD142" s="22"/>
      <c r="LUE142" s="22"/>
      <c r="LUF142" s="22"/>
      <c r="LUG142" s="22"/>
      <c r="LUH142" s="22"/>
      <c r="LUI142" s="22"/>
      <c r="LUJ142" s="22"/>
      <c r="LUK142" s="22"/>
      <c r="LUL142" s="22"/>
      <c r="LUM142" s="22"/>
      <c r="LUN142" s="22"/>
      <c r="LUO142" s="22"/>
      <c r="LUP142" s="22"/>
      <c r="LUQ142" s="22"/>
      <c r="LUR142" s="22"/>
      <c r="LUS142" s="22"/>
      <c r="LUT142" s="22"/>
      <c r="LUU142" s="22"/>
      <c r="LUV142" s="22"/>
      <c r="LUW142" s="22"/>
      <c r="LUX142" s="22"/>
      <c r="LUY142" s="22"/>
      <c r="LUZ142" s="22"/>
      <c r="LVA142" s="22"/>
      <c r="LVB142" s="22"/>
      <c r="LVC142" s="22"/>
      <c r="LVD142" s="22"/>
      <c r="LVE142" s="22"/>
      <c r="LVF142" s="22"/>
      <c r="LVG142" s="22"/>
      <c r="LVH142" s="22"/>
      <c r="LVI142" s="22"/>
      <c r="LVJ142" s="22"/>
      <c r="LVK142" s="22"/>
      <c r="LVL142" s="22"/>
      <c r="LVM142" s="22"/>
      <c r="LVN142" s="22"/>
      <c r="LVO142" s="22"/>
      <c r="LVP142" s="22"/>
      <c r="LVQ142" s="22"/>
      <c r="LVR142" s="22"/>
      <c r="LVS142" s="22"/>
      <c r="LVT142" s="22"/>
      <c r="LVU142" s="22"/>
      <c r="LVV142" s="22"/>
      <c r="LVW142" s="22"/>
      <c r="LVX142" s="22"/>
      <c r="LVY142" s="22"/>
      <c r="LVZ142" s="22"/>
      <c r="LWA142" s="22"/>
      <c r="LWB142" s="22"/>
      <c r="LWC142" s="22"/>
      <c r="LWD142" s="22"/>
      <c r="LWE142" s="22"/>
      <c r="LWF142" s="22"/>
      <c r="LWG142" s="22"/>
      <c r="LWH142" s="22"/>
      <c r="LWI142" s="22"/>
      <c r="LWJ142" s="22"/>
      <c r="LWK142" s="22"/>
      <c r="LWL142" s="22"/>
      <c r="LWM142" s="22"/>
      <c r="LWN142" s="22"/>
      <c r="LWO142" s="22"/>
      <c r="LWP142" s="22"/>
      <c r="LWQ142" s="22"/>
      <c r="LWR142" s="22"/>
      <c r="LWS142" s="22"/>
      <c r="LWT142" s="22"/>
      <c r="LWU142" s="22"/>
      <c r="LWV142" s="22"/>
      <c r="LWW142" s="22"/>
      <c r="LWX142" s="22"/>
      <c r="LWY142" s="22"/>
      <c r="LWZ142" s="22"/>
      <c r="LXA142" s="22"/>
      <c r="LXB142" s="22"/>
      <c r="LXC142" s="22"/>
      <c r="LXD142" s="22"/>
      <c r="LXE142" s="22"/>
      <c r="LXF142" s="22"/>
      <c r="LXG142" s="22"/>
      <c r="LXH142" s="22"/>
      <c r="LXI142" s="22"/>
      <c r="LXJ142" s="22"/>
      <c r="LXK142" s="22"/>
      <c r="LXL142" s="22"/>
      <c r="LXM142" s="22"/>
      <c r="LXN142" s="22"/>
      <c r="LXO142" s="22"/>
      <c r="LXP142" s="22"/>
      <c r="LXQ142" s="22"/>
      <c r="LXR142" s="22"/>
      <c r="LXS142" s="22"/>
      <c r="LXT142" s="22"/>
      <c r="LXU142" s="22"/>
      <c r="LXV142" s="22"/>
      <c r="LXW142" s="22"/>
      <c r="LXX142" s="22"/>
      <c r="LXY142" s="22"/>
      <c r="LXZ142" s="22"/>
      <c r="LYA142" s="22"/>
      <c r="LYB142" s="22"/>
      <c r="LYC142" s="22"/>
      <c r="LYD142" s="22"/>
      <c r="LYE142" s="22"/>
      <c r="LYF142" s="22"/>
      <c r="LYG142" s="22"/>
      <c r="LYH142" s="22"/>
      <c r="LYI142" s="22"/>
      <c r="LYJ142" s="22"/>
      <c r="LYK142" s="22"/>
      <c r="LYL142" s="22"/>
      <c r="LYM142" s="22"/>
      <c r="LYN142" s="22"/>
      <c r="LYO142" s="22"/>
      <c r="LYP142" s="22"/>
      <c r="LYQ142" s="22"/>
      <c r="LYR142" s="22"/>
      <c r="LYS142" s="22"/>
      <c r="LYT142" s="22"/>
      <c r="LYU142" s="22"/>
      <c r="LYV142" s="22"/>
      <c r="LYW142" s="22"/>
      <c r="LYX142" s="22"/>
      <c r="LYY142" s="22"/>
      <c r="LYZ142" s="22"/>
      <c r="LZA142" s="22"/>
      <c r="LZB142" s="22"/>
      <c r="LZC142" s="22"/>
      <c r="LZD142" s="22"/>
      <c r="LZE142" s="22"/>
      <c r="LZF142" s="22"/>
      <c r="LZG142" s="22"/>
      <c r="LZH142" s="22"/>
      <c r="LZI142" s="22"/>
      <c r="LZJ142" s="22"/>
      <c r="LZK142" s="22"/>
      <c r="LZL142" s="22"/>
      <c r="LZM142" s="22"/>
      <c r="LZN142" s="22"/>
      <c r="LZO142" s="22"/>
      <c r="LZP142" s="22"/>
      <c r="LZQ142" s="22"/>
      <c r="LZR142" s="22"/>
      <c r="LZS142" s="22"/>
      <c r="LZT142" s="22"/>
      <c r="LZU142" s="22"/>
      <c r="LZV142" s="22"/>
      <c r="LZW142" s="22"/>
      <c r="LZX142" s="22"/>
      <c r="LZY142" s="22"/>
      <c r="LZZ142" s="22"/>
      <c r="MAA142" s="22"/>
      <c r="MAB142" s="22"/>
      <c r="MAC142" s="22"/>
      <c r="MAD142" s="22"/>
      <c r="MAE142" s="22"/>
      <c r="MAF142" s="22"/>
      <c r="MAG142" s="22"/>
      <c r="MAH142" s="22"/>
      <c r="MAI142" s="22"/>
      <c r="MAJ142" s="22"/>
      <c r="MAK142" s="22"/>
      <c r="MAL142" s="22"/>
      <c r="MAM142" s="22"/>
      <c r="MAN142" s="22"/>
      <c r="MAO142" s="22"/>
      <c r="MAP142" s="22"/>
      <c r="MAQ142" s="22"/>
      <c r="MAR142" s="22"/>
      <c r="MAS142" s="22"/>
      <c r="MAT142" s="22"/>
      <c r="MAU142" s="22"/>
      <c r="MAV142" s="22"/>
      <c r="MAW142" s="22"/>
      <c r="MAX142" s="22"/>
      <c r="MAY142" s="22"/>
      <c r="MAZ142" s="22"/>
      <c r="MBA142" s="22"/>
      <c r="MBB142" s="22"/>
      <c r="MBC142" s="22"/>
      <c r="MBD142" s="22"/>
      <c r="MBE142" s="22"/>
      <c r="MBF142" s="22"/>
      <c r="MBG142" s="22"/>
      <c r="MBH142" s="22"/>
      <c r="MBI142" s="22"/>
      <c r="MBJ142" s="22"/>
      <c r="MBK142" s="22"/>
      <c r="MBL142" s="22"/>
      <c r="MBM142" s="22"/>
      <c r="MBN142" s="22"/>
      <c r="MBO142" s="22"/>
      <c r="MBP142" s="22"/>
      <c r="MBQ142" s="22"/>
      <c r="MBR142" s="22"/>
      <c r="MBS142" s="22"/>
      <c r="MBT142" s="22"/>
      <c r="MBU142" s="22"/>
      <c r="MBV142" s="22"/>
      <c r="MBW142" s="22"/>
      <c r="MBX142" s="22"/>
      <c r="MBY142" s="22"/>
      <c r="MBZ142" s="22"/>
      <c r="MCA142" s="22"/>
      <c r="MCB142" s="22"/>
      <c r="MCC142" s="22"/>
      <c r="MCD142" s="22"/>
      <c r="MCE142" s="22"/>
      <c r="MCF142" s="22"/>
      <c r="MCG142" s="22"/>
      <c r="MCH142" s="22"/>
      <c r="MCI142" s="22"/>
      <c r="MCJ142" s="22"/>
      <c r="MCK142" s="22"/>
      <c r="MCL142" s="22"/>
      <c r="MCM142" s="22"/>
      <c r="MCN142" s="22"/>
      <c r="MCO142" s="22"/>
      <c r="MCP142" s="22"/>
      <c r="MCQ142" s="22"/>
      <c r="MCR142" s="22"/>
      <c r="MCS142" s="22"/>
      <c r="MCT142" s="22"/>
      <c r="MCU142" s="22"/>
      <c r="MCV142" s="22"/>
      <c r="MCW142" s="22"/>
      <c r="MCX142" s="22"/>
      <c r="MCY142" s="22"/>
      <c r="MCZ142" s="22"/>
      <c r="MDA142" s="22"/>
      <c r="MDB142" s="22"/>
      <c r="MDC142" s="22"/>
      <c r="MDD142" s="22"/>
      <c r="MDE142" s="22"/>
      <c r="MDF142" s="22"/>
      <c r="MDG142" s="22"/>
      <c r="MDH142" s="22"/>
      <c r="MDI142" s="22"/>
      <c r="MDJ142" s="22"/>
      <c r="MDK142" s="22"/>
      <c r="MDL142" s="22"/>
      <c r="MDM142" s="22"/>
      <c r="MDN142" s="22"/>
      <c r="MDO142" s="22"/>
      <c r="MDP142" s="22"/>
      <c r="MDQ142" s="22"/>
      <c r="MDR142" s="22"/>
      <c r="MDS142" s="22"/>
      <c r="MDT142" s="22"/>
      <c r="MDU142" s="22"/>
      <c r="MDV142" s="22"/>
      <c r="MDW142" s="22"/>
      <c r="MDX142" s="22"/>
      <c r="MDY142" s="22"/>
      <c r="MDZ142" s="22"/>
      <c r="MEA142" s="22"/>
      <c r="MEB142" s="22"/>
      <c r="MEC142" s="22"/>
      <c r="MED142" s="22"/>
      <c r="MEE142" s="22"/>
      <c r="MEF142" s="22"/>
      <c r="MEG142" s="22"/>
      <c r="MEH142" s="22"/>
      <c r="MEI142" s="22"/>
      <c r="MEJ142" s="22"/>
      <c r="MEK142" s="22"/>
      <c r="MEL142" s="22"/>
      <c r="MEM142" s="22"/>
      <c r="MEN142" s="22"/>
      <c r="MEO142" s="22"/>
      <c r="MEP142" s="22"/>
      <c r="MEQ142" s="22"/>
      <c r="MER142" s="22"/>
      <c r="MES142" s="22"/>
      <c r="MET142" s="22"/>
      <c r="MEU142" s="22"/>
      <c r="MEV142" s="22"/>
      <c r="MEW142" s="22"/>
      <c r="MEX142" s="22"/>
      <c r="MEY142" s="22"/>
      <c r="MEZ142" s="22"/>
      <c r="MFA142" s="22"/>
      <c r="MFB142" s="22"/>
      <c r="MFC142" s="22"/>
      <c r="MFD142" s="22"/>
      <c r="MFE142" s="22"/>
      <c r="MFF142" s="22"/>
      <c r="MFG142" s="22"/>
      <c r="MFH142" s="22"/>
      <c r="MFI142" s="22"/>
      <c r="MFJ142" s="22"/>
      <c r="MFK142" s="22"/>
      <c r="MFL142" s="22"/>
      <c r="MFM142" s="22"/>
      <c r="MFN142" s="22"/>
      <c r="MFO142" s="22"/>
      <c r="MFP142" s="22"/>
      <c r="MFQ142" s="22"/>
      <c r="MFR142" s="22"/>
      <c r="MFS142" s="22"/>
      <c r="MFT142" s="22"/>
      <c r="MFU142" s="22"/>
      <c r="MFV142" s="22"/>
      <c r="MFW142" s="22"/>
      <c r="MFX142" s="22"/>
      <c r="MFY142" s="22"/>
      <c r="MFZ142" s="22"/>
      <c r="MGA142" s="22"/>
      <c r="MGB142" s="22"/>
      <c r="MGC142" s="22"/>
      <c r="MGD142" s="22"/>
      <c r="MGE142" s="22"/>
      <c r="MGF142" s="22"/>
      <c r="MGG142" s="22"/>
      <c r="MGH142" s="22"/>
      <c r="MGI142" s="22"/>
      <c r="MGJ142" s="22"/>
      <c r="MGK142" s="22"/>
      <c r="MGL142" s="22"/>
      <c r="MGM142" s="22"/>
      <c r="MGN142" s="22"/>
      <c r="MGO142" s="22"/>
      <c r="MGP142" s="22"/>
      <c r="MGQ142" s="22"/>
      <c r="MGR142" s="22"/>
      <c r="MGS142" s="22"/>
      <c r="MGT142" s="22"/>
      <c r="MGU142" s="22"/>
      <c r="MGV142" s="22"/>
      <c r="MGW142" s="22"/>
      <c r="MGX142" s="22"/>
      <c r="MGY142" s="22"/>
      <c r="MGZ142" s="22"/>
      <c r="MHA142" s="22"/>
      <c r="MHB142" s="22"/>
      <c r="MHC142" s="22"/>
      <c r="MHD142" s="22"/>
      <c r="MHE142" s="22"/>
      <c r="MHF142" s="22"/>
      <c r="MHG142" s="22"/>
      <c r="MHH142" s="22"/>
      <c r="MHI142" s="22"/>
      <c r="MHJ142" s="22"/>
      <c r="MHK142" s="22"/>
      <c r="MHL142" s="22"/>
      <c r="MHM142" s="22"/>
      <c r="MHN142" s="22"/>
      <c r="MHO142" s="22"/>
      <c r="MHP142" s="22"/>
      <c r="MHQ142" s="22"/>
      <c r="MHR142" s="22"/>
      <c r="MHS142" s="22"/>
      <c r="MHT142" s="22"/>
      <c r="MHU142" s="22"/>
      <c r="MHV142" s="22"/>
      <c r="MHW142" s="22"/>
      <c r="MHX142" s="22"/>
      <c r="MHY142" s="22"/>
      <c r="MHZ142" s="22"/>
      <c r="MIA142" s="22"/>
      <c r="MIB142" s="22"/>
      <c r="MIC142" s="22"/>
      <c r="MID142" s="22"/>
      <c r="MIE142" s="22"/>
      <c r="MIF142" s="22"/>
      <c r="MIG142" s="22"/>
      <c r="MIH142" s="22"/>
      <c r="MII142" s="22"/>
      <c r="MIJ142" s="22"/>
      <c r="MIK142" s="22"/>
      <c r="MIL142" s="22"/>
      <c r="MIM142" s="22"/>
      <c r="MIN142" s="22"/>
      <c r="MIO142" s="22"/>
      <c r="MIP142" s="22"/>
      <c r="MIQ142" s="22"/>
      <c r="MIR142" s="22"/>
      <c r="MIS142" s="22"/>
      <c r="MIT142" s="22"/>
      <c r="MIU142" s="22"/>
      <c r="MIV142" s="22"/>
      <c r="MIW142" s="22"/>
      <c r="MIX142" s="22"/>
      <c r="MIY142" s="22"/>
      <c r="MIZ142" s="22"/>
      <c r="MJA142" s="22"/>
      <c r="MJB142" s="22"/>
      <c r="MJC142" s="22"/>
      <c r="MJD142" s="22"/>
      <c r="MJE142" s="22"/>
      <c r="MJF142" s="22"/>
      <c r="MJG142" s="22"/>
      <c r="MJH142" s="22"/>
      <c r="MJI142" s="22"/>
      <c r="MJJ142" s="22"/>
      <c r="MJK142" s="22"/>
      <c r="MJL142" s="22"/>
      <c r="MJM142" s="22"/>
      <c r="MJN142" s="22"/>
      <c r="MJO142" s="22"/>
      <c r="MJP142" s="22"/>
      <c r="MJQ142" s="22"/>
      <c r="MJR142" s="22"/>
      <c r="MJS142" s="22"/>
      <c r="MJT142" s="22"/>
      <c r="MJU142" s="22"/>
      <c r="MJV142" s="22"/>
      <c r="MJW142" s="22"/>
      <c r="MJX142" s="22"/>
      <c r="MJY142" s="22"/>
      <c r="MJZ142" s="22"/>
      <c r="MKA142" s="22"/>
      <c r="MKB142" s="22"/>
      <c r="MKC142" s="22"/>
      <c r="MKD142" s="22"/>
      <c r="MKE142" s="22"/>
      <c r="MKF142" s="22"/>
      <c r="MKG142" s="22"/>
      <c r="MKH142" s="22"/>
      <c r="MKI142" s="22"/>
      <c r="MKJ142" s="22"/>
      <c r="MKK142" s="22"/>
      <c r="MKL142" s="22"/>
      <c r="MKM142" s="22"/>
      <c r="MKN142" s="22"/>
      <c r="MKO142" s="22"/>
      <c r="MKP142" s="22"/>
      <c r="MKQ142" s="22"/>
      <c r="MKR142" s="22"/>
      <c r="MKS142" s="22"/>
      <c r="MKT142" s="22"/>
      <c r="MKU142" s="22"/>
      <c r="MKV142" s="22"/>
      <c r="MKW142" s="22"/>
      <c r="MKX142" s="22"/>
      <c r="MKY142" s="22"/>
      <c r="MKZ142" s="22"/>
      <c r="MLA142" s="22"/>
      <c r="MLB142" s="22"/>
      <c r="MLC142" s="22"/>
      <c r="MLD142" s="22"/>
      <c r="MLE142" s="22"/>
      <c r="MLF142" s="22"/>
      <c r="MLG142" s="22"/>
      <c r="MLH142" s="22"/>
      <c r="MLI142" s="22"/>
      <c r="MLJ142" s="22"/>
      <c r="MLK142" s="22"/>
      <c r="MLL142" s="22"/>
      <c r="MLM142" s="22"/>
      <c r="MLN142" s="22"/>
      <c r="MLO142" s="22"/>
      <c r="MLP142" s="22"/>
      <c r="MLQ142" s="22"/>
      <c r="MLR142" s="22"/>
      <c r="MLS142" s="22"/>
      <c r="MLT142" s="22"/>
      <c r="MLU142" s="22"/>
      <c r="MLV142" s="22"/>
      <c r="MLW142" s="22"/>
      <c r="MLX142" s="22"/>
      <c r="MLY142" s="22"/>
      <c r="MLZ142" s="22"/>
      <c r="MMA142" s="22"/>
      <c r="MMB142" s="22"/>
      <c r="MMC142" s="22"/>
      <c r="MMD142" s="22"/>
      <c r="MME142" s="22"/>
      <c r="MMF142" s="22"/>
      <c r="MMG142" s="22"/>
      <c r="MMH142" s="22"/>
      <c r="MMI142" s="22"/>
      <c r="MMJ142" s="22"/>
      <c r="MMK142" s="22"/>
      <c r="MML142" s="22"/>
      <c r="MMM142" s="22"/>
      <c r="MMN142" s="22"/>
      <c r="MMO142" s="22"/>
      <c r="MMP142" s="22"/>
      <c r="MMQ142" s="22"/>
      <c r="MMR142" s="22"/>
      <c r="MMS142" s="22"/>
      <c r="MMT142" s="22"/>
      <c r="MMU142" s="22"/>
      <c r="MMV142" s="22"/>
      <c r="MMW142" s="22"/>
      <c r="MMX142" s="22"/>
      <c r="MMY142" s="22"/>
      <c r="MMZ142" s="22"/>
      <c r="MNA142" s="22"/>
      <c r="MNB142" s="22"/>
      <c r="MNC142" s="22"/>
      <c r="MND142" s="22"/>
      <c r="MNE142" s="22"/>
      <c r="MNF142" s="22"/>
      <c r="MNG142" s="22"/>
      <c r="MNH142" s="22"/>
      <c r="MNI142" s="22"/>
      <c r="MNJ142" s="22"/>
      <c r="MNK142" s="22"/>
      <c r="MNL142" s="22"/>
      <c r="MNM142" s="22"/>
      <c r="MNN142" s="22"/>
      <c r="MNO142" s="22"/>
      <c r="MNP142" s="22"/>
      <c r="MNQ142" s="22"/>
      <c r="MNR142" s="22"/>
      <c r="MNS142" s="22"/>
      <c r="MNT142" s="22"/>
      <c r="MNU142" s="22"/>
      <c r="MNV142" s="22"/>
      <c r="MNW142" s="22"/>
      <c r="MNX142" s="22"/>
      <c r="MNY142" s="22"/>
      <c r="MNZ142" s="22"/>
      <c r="MOA142" s="22"/>
      <c r="MOB142" s="22"/>
      <c r="MOC142" s="22"/>
      <c r="MOD142" s="22"/>
      <c r="MOE142" s="22"/>
      <c r="MOF142" s="22"/>
      <c r="MOG142" s="22"/>
      <c r="MOH142" s="22"/>
      <c r="MOI142" s="22"/>
      <c r="MOJ142" s="22"/>
      <c r="MOK142" s="22"/>
      <c r="MOL142" s="22"/>
      <c r="MOM142" s="22"/>
      <c r="MON142" s="22"/>
      <c r="MOO142" s="22"/>
      <c r="MOP142" s="22"/>
      <c r="MOQ142" s="22"/>
      <c r="MOR142" s="22"/>
      <c r="MOS142" s="22"/>
      <c r="MOT142" s="22"/>
      <c r="MOU142" s="22"/>
      <c r="MOV142" s="22"/>
      <c r="MOW142" s="22"/>
      <c r="MOX142" s="22"/>
      <c r="MOY142" s="22"/>
      <c r="MOZ142" s="22"/>
      <c r="MPA142" s="22"/>
      <c r="MPB142" s="22"/>
      <c r="MPC142" s="22"/>
      <c r="MPD142" s="22"/>
      <c r="MPE142" s="22"/>
      <c r="MPF142" s="22"/>
      <c r="MPG142" s="22"/>
      <c r="MPH142" s="22"/>
      <c r="MPI142" s="22"/>
      <c r="MPJ142" s="22"/>
      <c r="MPK142" s="22"/>
      <c r="MPL142" s="22"/>
      <c r="MPM142" s="22"/>
      <c r="MPN142" s="22"/>
      <c r="MPO142" s="22"/>
      <c r="MPP142" s="22"/>
      <c r="MPQ142" s="22"/>
      <c r="MPR142" s="22"/>
      <c r="MPS142" s="22"/>
      <c r="MPT142" s="22"/>
      <c r="MPU142" s="22"/>
      <c r="MPV142" s="22"/>
      <c r="MPW142" s="22"/>
      <c r="MPX142" s="22"/>
      <c r="MPY142" s="22"/>
      <c r="MPZ142" s="22"/>
      <c r="MQA142" s="22"/>
      <c r="MQB142" s="22"/>
      <c r="MQC142" s="22"/>
      <c r="MQD142" s="22"/>
      <c r="MQE142" s="22"/>
      <c r="MQF142" s="22"/>
      <c r="MQG142" s="22"/>
      <c r="MQH142" s="22"/>
      <c r="MQI142" s="22"/>
      <c r="MQJ142" s="22"/>
      <c r="MQK142" s="22"/>
      <c r="MQL142" s="22"/>
      <c r="MQM142" s="22"/>
      <c r="MQN142" s="22"/>
      <c r="MQO142" s="22"/>
      <c r="MQP142" s="22"/>
      <c r="MQQ142" s="22"/>
      <c r="MQR142" s="22"/>
      <c r="MQS142" s="22"/>
      <c r="MQT142" s="22"/>
      <c r="MQU142" s="22"/>
      <c r="MQV142" s="22"/>
      <c r="MQW142" s="22"/>
      <c r="MQX142" s="22"/>
      <c r="MQY142" s="22"/>
      <c r="MQZ142" s="22"/>
      <c r="MRA142" s="22"/>
      <c r="MRB142" s="22"/>
      <c r="MRC142" s="22"/>
      <c r="MRD142" s="22"/>
      <c r="MRE142" s="22"/>
      <c r="MRF142" s="22"/>
      <c r="MRG142" s="22"/>
      <c r="MRH142" s="22"/>
      <c r="MRI142" s="22"/>
      <c r="MRJ142" s="22"/>
      <c r="MRK142" s="22"/>
      <c r="MRL142" s="22"/>
      <c r="MRM142" s="22"/>
      <c r="MRN142" s="22"/>
      <c r="MRO142" s="22"/>
      <c r="MRP142" s="22"/>
      <c r="MRQ142" s="22"/>
      <c r="MRR142" s="22"/>
      <c r="MRS142" s="22"/>
      <c r="MRT142" s="22"/>
      <c r="MRU142" s="22"/>
      <c r="MRV142" s="22"/>
      <c r="MRW142" s="22"/>
      <c r="MRX142" s="22"/>
      <c r="MRY142" s="22"/>
      <c r="MRZ142" s="22"/>
      <c r="MSA142" s="22"/>
      <c r="MSB142" s="22"/>
      <c r="MSC142" s="22"/>
      <c r="MSD142" s="22"/>
      <c r="MSE142" s="22"/>
      <c r="MSF142" s="22"/>
      <c r="MSG142" s="22"/>
      <c r="MSH142" s="22"/>
      <c r="MSI142" s="22"/>
      <c r="MSJ142" s="22"/>
      <c r="MSK142" s="22"/>
      <c r="MSL142" s="22"/>
      <c r="MSM142" s="22"/>
      <c r="MSN142" s="22"/>
      <c r="MSO142" s="22"/>
      <c r="MSP142" s="22"/>
      <c r="MSQ142" s="22"/>
      <c r="MSR142" s="22"/>
      <c r="MSS142" s="22"/>
      <c r="MST142" s="22"/>
      <c r="MSU142" s="22"/>
      <c r="MSV142" s="22"/>
      <c r="MSW142" s="22"/>
      <c r="MSX142" s="22"/>
      <c r="MSY142" s="22"/>
      <c r="MSZ142" s="22"/>
      <c r="MTA142" s="22"/>
      <c r="MTB142" s="22"/>
      <c r="MTC142" s="22"/>
      <c r="MTD142" s="22"/>
      <c r="MTE142" s="22"/>
      <c r="MTF142" s="22"/>
      <c r="MTG142" s="22"/>
      <c r="MTH142" s="22"/>
      <c r="MTI142" s="22"/>
      <c r="MTJ142" s="22"/>
      <c r="MTK142" s="22"/>
      <c r="MTL142" s="22"/>
      <c r="MTM142" s="22"/>
      <c r="MTN142" s="22"/>
      <c r="MTO142" s="22"/>
      <c r="MTP142" s="22"/>
      <c r="MTQ142" s="22"/>
      <c r="MTR142" s="22"/>
      <c r="MTS142" s="22"/>
      <c r="MTT142" s="22"/>
      <c r="MTU142" s="22"/>
      <c r="MTV142" s="22"/>
      <c r="MTW142" s="22"/>
      <c r="MTX142" s="22"/>
      <c r="MTY142" s="22"/>
      <c r="MTZ142" s="22"/>
      <c r="MUA142" s="22"/>
      <c r="MUB142" s="22"/>
      <c r="MUC142" s="22"/>
      <c r="MUD142" s="22"/>
      <c r="MUE142" s="22"/>
      <c r="MUF142" s="22"/>
      <c r="MUG142" s="22"/>
      <c r="MUH142" s="22"/>
      <c r="MUI142" s="22"/>
      <c r="MUJ142" s="22"/>
      <c r="MUK142" s="22"/>
      <c r="MUL142" s="22"/>
      <c r="MUM142" s="22"/>
      <c r="MUN142" s="22"/>
      <c r="MUO142" s="22"/>
      <c r="MUP142" s="22"/>
      <c r="MUQ142" s="22"/>
      <c r="MUR142" s="22"/>
      <c r="MUS142" s="22"/>
      <c r="MUT142" s="22"/>
      <c r="MUU142" s="22"/>
      <c r="MUV142" s="22"/>
      <c r="MUW142" s="22"/>
      <c r="MUX142" s="22"/>
      <c r="MUY142" s="22"/>
      <c r="MUZ142" s="22"/>
      <c r="MVA142" s="22"/>
      <c r="MVB142" s="22"/>
      <c r="MVC142" s="22"/>
      <c r="MVD142" s="22"/>
      <c r="MVE142" s="22"/>
      <c r="MVF142" s="22"/>
      <c r="MVG142" s="22"/>
      <c r="MVH142" s="22"/>
      <c r="MVI142" s="22"/>
      <c r="MVJ142" s="22"/>
      <c r="MVK142" s="22"/>
      <c r="MVL142" s="22"/>
      <c r="MVM142" s="22"/>
      <c r="MVN142" s="22"/>
      <c r="MVO142" s="22"/>
      <c r="MVP142" s="22"/>
      <c r="MVQ142" s="22"/>
      <c r="MVR142" s="22"/>
      <c r="MVS142" s="22"/>
      <c r="MVT142" s="22"/>
      <c r="MVU142" s="22"/>
      <c r="MVV142" s="22"/>
      <c r="MVW142" s="22"/>
      <c r="MVX142" s="22"/>
      <c r="MVY142" s="22"/>
      <c r="MVZ142" s="22"/>
      <c r="MWA142" s="22"/>
      <c r="MWB142" s="22"/>
      <c r="MWC142" s="22"/>
      <c r="MWD142" s="22"/>
      <c r="MWE142" s="22"/>
      <c r="MWF142" s="22"/>
      <c r="MWG142" s="22"/>
      <c r="MWH142" s="22"/>
      <c r="MWI142" s="22"/>
      <c r="MWJ142" s="22"/>
      <c r="MWK142" s="22"/>
      <c r="MWL142" s="22"/>
      <c r="MWM142" s="22"/>
      <c r="MWN142" s="22"/>
      <c r="MWO142" s="22"/>
      <c r="MWP142" s="22"/>
      <c r="MWQ142" s="22"/>
      <c r="MWR142" s="22"/>
      <c r="MWS142" s="22"/>
      <c r="MWT142" s="22"/>
      <c r="MWU142" s="22"/>
      <c r="MWV142" s="22"/>
      <c r="MWW142" s="22"/>
      <c r="MWX142" s="22"/>
      <c r="MWY142" s="22"/>
      <c r="MWZ142" s="22"/>
      <c r="MXA142" s="22"/>
      <c r="MXB142" s="22"/>
      <c r="MXC142" s="22"/>
      <c r="MXD142" s="22"/>
      <c r="MXE142" s="22"/>
      <c r="MXF142" s="22"/>
      <c r="MXG142" s="22"/>
      <c r="MXH142" s="22"/>
      <c r="MXI142" s="22"/>
      <c r="MXJ142" s="22"/>
      <c r="MXK142" s="22"/>
      <c r="MXL142" s="22"/>
      <c r="MXM142" s="22"/>
      <c r="MXN142" s="22"/>
      <c r="MXO142" s="22"/>
      <c r="MXP142" s="22"/>
      <c r="MXQ142" s="22"/>
      <c r="MXR142" s="22"/>
      <c r="MXS142" s="22"/>
      <c r="MXT142" s="22"/>
      <c r="MXU142" s="22"/>
      <c r="MXV142" s="22"/>
      <c r="MXW142" s="22"/>
      <c r="MXX142" s="22"/>
      <c r="MXY142" s="22"/>
      <c r="MXZ142" s="22"/>
      <c r="MYA142" s="22"/>
      <c r="MYB142" s="22"/>
      <c r="MYC142" s="22"/>
      <c r="MYD142" s="22"/>
      <c r="MYE142" s="22"/>
      <c r="MYF142" s="22"/>
      <c r="MYG142" s="22"/>
      <c r="MYH142" s="22"/>
      <c r="MYI142" s="22"/>
      <c r="MYJ142" s="22"/>
      <c r="MYK142" s="22"/>
      <c r="MYL142" s="22"/>
      <c r="MYM142" s="22"/>
      <c r="MYN142" s="22"/>
      <c r="MYO142" s="22"/>
      <c r="MYP142" s="22"/>
      <c r="MYQ142" s="22"/>
      <c r="MYR142" s="22"/>
      <c r="MYS142" s="22"/>
      <c r="MYT142" s="22"/>
      <c r="MYU142" s="22"/>
      <c r="MYV142" s="22"/>
      <c r="MYW142" s="22"/>
      <c r="MYX142" s="22"/>
      <c r="MYY142" s="22"/>
      <c r="MYZ142" s="22"/>
      <c r="MZA142" s="22"/>
      <c r="MZB142" s="22"/>
      <c r="MZC142" s="22"/>
      <c r="MZD142" s="22"/>
      <c r="MZE142" s="22"/>
      <c r="MZF142" s="22"/>
      <c r="MZG142" s="22"/>
      <c r="MZH142" s="22"/>
      <c r="MZI142" s="22"/>
      <c r="MZJ142" s="22"/>
      <c r="MZK142" s="22"/>
      <c r="MZL142" s="22"/>
      <c r="MZM142" s="22"/>
      <c r="MZN142" s="22"/>
      <c r="MZO142" s="22"/>
      <c r="MZP142" s="22"/>
      <c r="MZQ142" s="22"/>
      <c r="MZR142" s="22"/>
      <c r="MZS142" s="22"/>
      <c r="MZT142" s="22"/>
      <c r="MZU142" s="22"/>
      <c r="MZV142" s="22"/>
      <c r="MZW142" s="22"/>
      <c r="MZX142" s="22"/>
      <c r="MZY142" s="22"/>
      <c r="MZZ142" s="22"/>
      <c r="NAA142" s="22"/>
      <c r="NAB142" s="22"/>
      <c r="NAC142" s="22"/>
      <c r="NAD142" s="22"/>
      <c r="NAE142" s="22"/>
      <c r="NAF142" s="22"/>
      <c r="NAG142" s="22"/>
      <c r="NAH142" s="22"/>
      <c r="NAI142" s="22"/>
      <c r="NAJ142" s="22"/>
      <c r="NAK142" s="22"/>
      <c r="NAL142" s="22"/>
      <c r="NAM142" s="22"/>
      <c r="NAN142" s="22"/>
      <c r="NAO142" s="22"/>
      <c r="NAP142" s="22"/>
      <c r="NAQ142" s="22"/>
      <c r="NAR142" s="22"/>
      <c r="NAS142" s="22"/>
      <c r="NAT142" s="22"/>
      <c r="NAU142" s="22"/>
      <c r="NAV142" s="22"/>
      <c r="NAW142" s="22"/>
      <c r="NAX142" s="22"/>
      <c r="NAY142" s="22"/>
      <c r="NAZ142" s="22"/>
      <c r="NBA142" s="22"/>
      <c r="NBB142" s="22"/>
      <c r="NBC142" s="22"/>
      <c r="NBD142" s="22"/>
      <c r="NBE142" s="22"/>
      <c r="NBF142" s="22"/>
      <c r="NBG142" s="22"/>
      <c r="NBH142" s="22"/>
      <c r="NBI142" s="22"/>
      <c r="NBJ142" s="22"/>
      <c r="NBK142" s="22"/>
      <c r="NBL142" s="22"/>
      <c r="NBM142" s="22"/>
      <c r="NBN142" s="22"/>
      <c r="NBO142" s="22"/>
      <c r="NBP142" s="22"/>
      <c r="NBQ142" s="22"/>
      <c r="NBR142" s="22"/>
      <c r="NBS142" s="22"/>
      <c r="NBT142" s="22"/>
      <c r="NBU142" s="22"/>
      <c r="NBV142" s="22"/>
      <c r="NBW142" s="22"/>
      <c r="NBX142" s="22"/>
      <c r="NBY142" s="22"/>
      <c r="NBZ142" s="22"/>
      <c r="NCA142" s="22"/>
      <c r="NCB142" s="22"/>
      <c r="NCC142" s="22"/>
      <c r="NCD142" s="22"/>
      <c r="NCE142" s="22"/>
      <c r="NCF142" s="22"/>
      <c r="NCG142" s="22"/>
      <c r="NCH142" s="22"/>
      <c r="NCI142" s="22"/>
      <c r="NCJ142" s="22"/>
      <c r="NCK142" s="22"/>
      <c r="NCL142" s="22"/>
      <c r="NCM142" s="22"/>
      <c r="NCN142" s="22"/>
      <c r="NCO142" s="22"/>
      <c r="NCP142" s="22"/>
      <c r="NCQ142" s="22"/>
      <c r="NCR142" s="22"/>
      <c r="NCS142" s="22"/>
      <c r="NCT142" s="22"/>
      <c r="NCU142" s="22"/>
      <c r="NCV142" s="22"/>
      <c r="NCW142" s="22"/>
      <c r="NCX142" s="22"/>
      <c r="NCY142" s="22"/>
      <c r="NCZ142" s="22"/>
      <c r="NDA142" s="22"/>
      <c r="NDB142" s="22"/>
      <c r="NDC142" s="22"/>
      <c r="NDD142" s="22"/>
      <c r="NDE142" s="22"/>
      <c r="NDF142" s="22"/>
      <c r="NDG142" s="22"/>
      <c r="NDH142" s="22"/>
      <c r="NDI142" s="22"/>
      <c r="NDJ142" s="22"/>
      <c r="NDK142" s="22"/>
      <c r="NDL142" s="22"/>
      <c r="NDM142" s="22"/>
      <c r="NDN142" s="22"/>
      <c r="NDO142" s="22"/>
      <c r="NDP142" s="22"/>
      <c r="NDQ142" s="22"/>
      <c r="NDR142" s="22"/>
      <c r="NDS142" s="22"/>
      <c r="NDT142" s="22"/>
      <c r="NDU142" s="22"/>
      <c r="NDV142" s="22"/>
      <c r="NDW142" s="22"/>
      <c r="NDX142" s="22"/>
      <c r="NDY142" s="22"/>
      <c r="NDZ142" s="22"/>
      <c r="NEA142" s="22"/>
      <c r="NEB142" s="22"/>
      <c r="NEC142" s="22"/>
      <c r="NED142" s="22"/>
      <c r="NEE142" s="22"/>
      <c r="NEF142" s="22"/>
      <c r="NEG142" s="22"/>
      <c r="NEH142" s="22"/>
      <c r="NEI142" s="22"/>
      <c r="NEJ142" s="22"/>
      <c r="NEK142" s="22"/>
      <c r="NEL142" s="22"/>
      <c r="NEM142" s="22"/>
      <c r="NEN142" s="22"/>
      <c r="NEO142" s="22"/>
      <c r="NEP142" s="22"/>
      <c r="NEQ142" s="22"/>
      <c r="NER142" s="22"/>
      <c r="NES142" s="22"/>
      <c r="NET142" s="22"/>
      <c r="NEU142" s="22"/>
      <c r="NEV142" s="22"/>
      <c r="NEW142" s="22"/>
      <c r="NEX142" s="22"/>
      <c r="NEY142" s="22"/>
      <c r="NEZ142" s="22"/>
      <c r="NFA142" s="22"/>
      <c r="NFB142" s="22"/>
      <c r="NFC142" s="22"/>
      <c r="NFD142" s="22"/>
      <c r="NFE142" s="22"/>
      <c r="NFF142" s="22"/>
      <c r="NFG142" s="22"/>
      <c r="NFH142" s="22"/>
      <c r="NFI142" s="22"/>
      <c r="NFJ142" s="22"/>
      <c r="NFK142" s="22"/>
      <c r="NFL142" s="22"/>
      <c r="NFM142" s="22"/>
      <c r="NFN142" s="22"/>
      <c r="NFO142" s="22"/>
      <c r="NFP142" s="22"/>
      <c r="NFQ142" s="22"/>
      <c r="NFR142" s="22"/>
      <c r="NFS142" s="22"/>
      <c r="NFT142" s="22"/>
      <c r="NFU142" s="22"/>
      <c r="NFV142" s="22"/>
      <c r="NFW142" s="22"/>
      <c r="NFX142" s="22"/>
      <c r="NFY142" s="22"/>
      <c r="NFZ142" s="22"/>
      <c r="NGA142" s="22"/>
      <c r="NGB142" s="22"/>
      <c r="NGC142" s="22"/>
      <c r="NGD142" s="22"/>
      <c r="NGE142" s="22"/>
      <c r="NGF142" s="22"/>
      <c r="NGG142" s="22"/>
      <c r="NGH142" s="22"/>
      <c r="NGI142" s="22"/>
      <c r="NGJ142" s="22"/>
      <c r="NGK142" s="22"/>
      <c r="NGL142" s="22"/>
      <c r="NGM142" s="22"/>
      <c r="NGN142" s="22"/>
      <c r="NGO142" s="22"/>
      <c r="NGP142" s="22"/>
      <c r="NGQ142" s="22"/>
      <c r="NGR142" s="22"/>
      <c r="NGS142" s="22"/>
      <c r="NGT142" s="22"/>
      <c r="NGU142" s="22"/>
      <c r="NGV142" s="22"/>
      <c r="NGW142" s="22"/>
      <c r="NGX142" s="22"/>
      <c r="NGY142" s="22"/>
      <c r="NGZ142" s="22"/>
      <c r="NHA142" s="22"/>
      <c r="NHB142" s="22"/>
      <c r="NHC142" s="22"/>
      <c r="NHD142" s="22"/>
      <c r="NHE142" s="22"/>
      <c r="NHF142" s="22"/>
      <c r="NHG142" s="22"/>
      <c r="NHH142" s="22"/>
      <c r="NHI142" s="22"/>
      <c r="NHJ142" s="22"/>
      <c r="NHK142" s="22"/>
      <c r="NHL142" s="22"/>
      <c r="NHM142" s="22"/>
      <c r="NHN142" s="22"/>
      <c r="NHO142" s="22"/>
      <c r="NHP142" s="22"/>
      <c r="NHQ142" s="22"/>
      <c r="NHR142" s="22"/>
      <c r="NHS142" s="22"/>
      <c r="NHT142" s="22"/>
      <c r="NHU142" s="22"/>
      <c r="NHV142" s="22"/>
      <c r="NHW142" s="22"/>
      <c r="NHX142" s="22"/>
      <c r="NHY142" s="22"/>
      <c r="NHZ142" s="22"/>
      <c r="NIA142" s="22"/>
      <c r="NIB142" s="22"/>
      <c r="NIC142" s="22"/>
      <c r="NID142" s="22"/>
      <c r="NIE142" s="22"/>
      <c r="NIF142" s="22"/>
      <c r="NIG142" s="22"/>
      <c r="NIH142" s="22"/>
      <c r="NII142" s="22"/>
      <c r="NIJ142" s="22"/>
      <c r="NIK142" s="22"/>
      <c r="NIL142" s="22"/>
      <c r="NIM142" s="22"/>
      <c r="NIN142" s="22"/>
      <c r="NIO142" s="22"/>
      <c r="NIP142" s="22"/>
      <c r="NIQ142" s="22"/>
      <c r="NIR142" s="22"/>
      <c r="NIS142" s="22"/>
      <c r="NIT142" s="22"/>
      <c r="NIU142" s="22"/>
      <c r="NIV142" s="22"/>
      <c r="NIW142" s="22"/>
      <c r="NIX142" s="22"/>
      <c r="NIY142" s="22"/>
      <c r="NIZ142" s="22"/>
      <c r="NJA142" s="22"/>
      <c r="NJB142" s="22"/>
      <c r="NJC142" s="22"/>
      <c r="NJD142" s="22"/>
      <c r="NJE142" s="22"/>
      <c r="NJF142" s="22"/>
      <c r="NJG142" s="22"/>
      <c r="NJH142" s="22"/>
      <c r="NJI142" s="22"/>
      <c r="NJJ142" s="22"/>
      <c r="NJK142" s="22"/>
      <c r="NJL142" s="22"/>
      <c r="NJM142" s="22"/>
      <c r="NJN142" s="22"/>
      <c r="NJO142" s="22"/>
      <c r="NJP142" s="22"/>
      <c r="NJQ142" s="22"/>
      <c r="NJR142" s="22"/>
      <c r="NJS142" s="22"/>
      <c r="NJT142" s="22"/>
      <c r="NJU142" s="22"/>
      <c r="NJV142" s="22"/>
      <c r="NJW142" s="22"/>
      <c r="NJX142" s="22"/>
      <c r="NJY142" s="22"/>
      <c r="NJZ142" s="22"/>
      <c r="NKA142" s="22"/>
      <c r="NKB142" s="22"/>
      <c r="NKC142" s="22"/>
      <c r="NKD142" s="22"/>
      <c r="NKE142" s="22"/>
      <c r="NKF142" s="22"/>
      <c r="NKG142" s="22"/>
      <c r="NKH142" s="22"/>
      <c r="NKI142" s="22"/>
      <c r="NKJ142" s="22"/>
      <c r="NKK142" s="22"/>
      <c r="NKL142" s="22"/>
      <c r="NKM142" s="22"/>
      <c r="NKN142" s="22"/>
      <c r="NKO142" s="22"/>
      <c r="NKP142" s="22"/>
      <c r="NKQ142" s="22"/>
      <c r="NKR142" s="22"/>
      <c r="NKS142" s="22"/>
      <c r="NKT142" s="22"/>
      <c r="NKU142" s="22"/>
      <c r="NKV142" s="22"/>
      <c r="NKW142" s="22"/>
      <c r="NKX142" s="22"/>
      <c r="NKY142" s="22"/>
      <c r="NKZ142" s="22"/>
      <c r="NLA142" s="22"/>
      <c r="NLB142" s="22"/>
      <c r="NLC142" s="22"/>
      <c r="NLD142" s="22"/>
      <c r="NLE142" s="22"/>
      <c r="NLF142" s="22"/>
      <c r="NLG142" s="22"/>
      <c r="NLH142" s="22"/>
      <c r="NLI142" s="22"/>
      <c r="NLJ142" s="22"/>
      <c r="NLK142" s="22"/>
      <c r="NLL142" s="22"/>
      <c r="NLM142" s="22"/>
      <c r="NLN142" s="22"/>
      <c r="NLO142" s="22"/>
      <c r="NLP142" s="22"/>
      <c r="NLQ142" s="22"/>
      <c r="NLR142" s="22"/>
      <c r="NLS142" s="22"/>
      <c r="NLT142" s="22"/>
      <c r="NLU142" s="22"/>
      <c r="NLV142" s="22"/>
      <c r="NLW142" s="22"/>
      <c r="NLX142" s="22"/>
      <c r="NLY142" s="22"/>
      <c r="NLZ142" s="22"/>
      <c r="NMA142" s="22"/>
      <c r="NMB142" s="22"/>
      <c r="NMC142" s="22"/>
      <c r="NMD142" s="22"/>
      <c r="NME142" s="22"/>
      <c r="NMF142" s="22"/>
      <c r="NMG142" s="22"/>
      <c r="NMH142" s="22"/>
      <c r="NMI142" s="22"/>
      <c r="NMJ142" s="22"/>
      <c r="NMK142" s="22"/>
      <c r="NML142" s="22"/>
      <c r="NMM142" s="22"/>
      <c r="NMN142" s="22"/>
      <c r="NMO142" s="22"/>
      <c r="NMP142" s="22"/>
      <c r="NMQ142" s="22"/>
      <c r="NMR142" s="22"/>
      <c r="NMS142" s="22"/>
      <c r="NMT142" s="22"/>
      <c r="NMU142" s="22"/>
      <c r="NMV142" s="22"/>
      <c r="NMW142" s="22"/>
      <c r="NMX142" s="22"/>
      <c r="NMY142" s="22"/>
      <c r="NMZ142" s="22"/>
      <c r="NNA142" s="22"/>
      <c r="NNB142" s="22"/>
      <c r="NNC142" s="22"/>
      <c r="NND142" s="22"/>
      <c r="NNE142" s="22"/>
      <c r="NNF142" s="22"/>
      <c r="NNG142" s="22"/>
      <c r="NNH142" s="22"/>
      <c r="NNI142" s="22"/>
      <c r="NNJ142" s="22"/>
      <c r="NNK142" s="22"/>
      <c r="NNL142" s="22"/>
      <c r="NNM142" s="22"/>
      <c r="NNN142" s="22"/>
      <c r="NNO142" s="22"/>
      <c r="NNP142" s="22"/>
      <c r="NNQ142" s="22"/>
      <c r="NNR142" s="22"/>
      <c r="NNS142" s="22"/>
      <c r="NNT142" s="22"/>
      <c r="NNU142" s="22"/>
      <c r="NNV142" s="22"/>
      <c r="NNW142" s="22"/>
      <c r="NNX142" s="22"/>
      <c r="NNY142" s="22"/>
      <c r="NNZ142" s="22"/>
      <c r="NOA142" s="22"/>
      <c r="NOB142" s="22"/>
      <c r="NOC142" s="22"/>
      <c r="NOD142" s="22"/>
      <c r="NOE142" s="22"/>
      <c r="NOF142" s="22"/>
      <c r="NOG142" s="22"/>
      <c r="NOH142" s="22"/>
      <c r="NOI142" s="22"/>
      <c r="NOJ142" s="22"/>
      <c r="NOK142" s="22"/>
      <c r="NOL142" s="22"/>
      <c r="NOM142" s="22"/>
      <c r="NON142" s="22"/>
      <c r="NOO142" s="22"/>
      <c r="NOP142" s="22"/>
      <c r="NOQ142" s="22"/>
      <c r="NOR142" s="22"/>
      <c r="NOS142" s="22"/>
      <c r="NOT142" s="22"/>
      <c r="NOU142" s="22"/>
      <c r="NOV142" s="22"/>
      <c r="NOW142" s="22"/>
      <c r="NOX142" s="22"/>
      <c r="NOY142" s="22"/>
      <c r="NOZ142" s="22"/>
      <c r="NPA142" s="22"/>
      <c r="NPB142" s="22"/>
      <c r="NPC142" s="22"/>
      <c r="NPD142" s="22"/>
      <c r="NPE142" s="22"/>
      <c r="NPF142" s="22"/>
      <c r="NPG142" s="22"/>
      <c r="NPH142" s="22"/>
      <c r="NPI142" s="22"/>
      <c r="NPJ142" s="22"/>
      <c r="NPK142" s="22"/>
      <c r="NPL142" s="22"/>
      <c r="NPM142" s="22"/>
      <c r="NPN142" s="22"/>
      <c r="NPO142" s="22"/>
      <c r="NPP142" s="22"/>
      <c r="NPQ142" s="22"/>
      <c r="NPR142" s="22"/>
      <c r="NPS142" s="22"/>
      <c r="NPT142" s="22"/>
      <c r="NPU142" s="22"/>
      <c r="NPV142" s="22"/>
      <c r="NPW142" s="22"/>
      <c r="NPX142" s="22"/>
      <c r="NPY142" s="22"/>
      <c r="NPZ142" s="22"/>
      <c r="NQA142" s="22"/>
      <c r="NQB142" s="22"/>
      <c r="NQC142" s="22"/>
      <c r="NQD142" s="22"/>
      <c r="NQE142" s="22"/>
      <c r="NQF142" s="22"/>
      <c r="NQG142" s="22"/>
      <c r="NQH142" s="22"/>
      <c r="NQI142" s="22"/>
      <c r="NQJ142" s="22"/>
      <c r="NQK142" s="22"/>
      <c r="NQL142" s="22"/>
      <c r="NQM142" s="22"/>
      <c r="NQN142" s="22"/>
      <c r="NQO142" s="22"/>
      <c r="NQP142" s="22"/>
      <c r="NQQ142" s="22"/>
      <c r="NQR142" s="22"/>
      <c r="NQS142" s="22"/>
      <c r="NQT142" s="22"/>
      <c r="NQU142" s="22"/>
      <c r="NQV142" s="22"/>
      <c r="NQW142" s="22"/>
      <c r="NQX142" s="22"/>
      <c r="NQY142" s="22"/>
      <c r="NQZ142" s="22"/>
      <c r="NRA142" s="22"/>
      <c r="NRB142" s="22"/>
      <c r="NRC142" s="22"/>
      <c r="NRD142" s="22"/>
      <c r="NRE142" s="22"/>
      <c r="NRF142" s="22"/>
      <c r="NRG142" s="22"/>
      <c r="NRH142" s="22"/>
      <c r="NRI142" s="22"/>
      <c r="NRJ142" s="22"/>
      <c r="NRK142" s="22"/>
      <c r="NRL142" s="22"/>
      <c r="NRM142" s="22"/>
      <c r="NRN142" s="22"/>
      <c r="NRO142" s="22"/>
      <c r="NRP142" s="22"/>
      <c r="NRQ142" s="22"/>
      <c r="NRR142" s="22"/>
      <c r="NRS142" s="22"/>
      <c r="NRT142" s="22"/>
      <c r="NRU142" s="22"/>
      <c r="NRV142" s="22"/>
      <c r="NRW142" s="22"/>
      <c r="NRX142" s="22"/>
      <c r="NRY142" s="22"/>
      <c r="NRZ142" s="22"/>
      <c r="NSA142" s="22"/>
      <c r="NSB142" s="22"/>
      <c r="NSC142" s="22"/>
      <c r="NSD142" s="22"/>
      <c r="NSE142" s="22"/>
      <c r="NSF142" s="22"/>
      <c r="NSG142" s="22"/>
      <c r="NSH142" s="22"/>
      <c r="NSI142" s="22"/>
      <c r="NSJ142" s="22"/>
      <c r="NSK142" s="22"/>
      <c r="NSL142" s="22"/>
      <c r="NSM142" s="22"/>
      <c r="NSN142" s="22"/>
      <c r="NSO142" s="22"/>
      <c r="NSP142" s="22"/>
      <c r="NSQ142" s="22"/>
      <c r="NSR142" s="22"/>
      <c r="NSS142" s="22"/>
      <c r="NST142" s="22"/>
      <c r="NSU142" s="22"/>
      <c r="NSV142" s="22"/>
      <c r="NSW142" s="22"/>
      <c r="NSX142" s="22"/>
      <c r="NSY142" s="22"/>
      <c r="NSZ142" s="22"/>
      <c r="NTA142" s="22"/>
      <c r="NTB142" s="22"/>
      <c r="NTC142" s="22"/>
      <c r="NTD142" s="22"/>
      <c r="NTE142" s="22"/>
      <c r="NTF142" s="22"/>
      <c r="NTG142" s="22"/>
      <c r="NTH142" s="22"/>
      <c r="NTI142" s="22"/>
      <c r="NTJ142" s="22"/>
      <c r="NTK142" s="22"/>
      <c r="NTL142" s="22"/>
      <c r="NTM142" s="22"/>
      <c r="NTN142" s="22"/>
      <c r="NTO142" s="22"/>
      <c r="NTP142" s="22"/>
      <c r="NTQ142" s="22"/>
      <c r="NTR142" s="22"/>
      <c r="NTS142" s="22"/>
      <c r="NTT142" s="22"/>
      <c r="NTU142" s="22"/>
      <c r="NTV142" s="22"/>
      <c r="NTW142" s="22"/>
      <c r="NTX142" s="22"/>
      <c r="NTY142" s="22"/>
      <c r="NTZ142" s="22"/>
      <c r="NUA142" s="22"/>
      <c r="NUB142" s="22"/>
      <c r="NUC142" s="22"/>
      <c r="NUD142" s="22"/>
      <c r="NUE142" s="22"/>
      <c r="NUF142" s="22"/>
      <c r="NUG142" s="22"/>
      <c r="NUH142" s="22"/>
      <c r="NUI142" s="22"/>
      <c r="NUJ142" s="22"/>
      <c r="NUK142" s="22"/>
      <c r="NUL142" s="22"/>
      <c r="NUM142" s="22"/>
      <c r="NUN142" s="22"/>
      <c r="NUO142" s="22"/>
      <c r="NUP142" s="22"/>
      <c r="NUQ142" s="22"/>
      <c r="NUR142" s="22"/>
      <c r="NUS142" s="22"/>
      <c r="NUT142" s="22"/>
      <c r="NUU142" s="22"/>
      <c r="NUV142" s="22"/>
      <c r="NUW142" s="22"/>
      <c r="NUX142" s="22"/>
      <c r="NUY142" s="22"/>
      <c r="NUZ142" s="22"/>
      <c r="NVA142" s="22"/>
      <c r="NVB142" s="22"/>
      <c r="NVC142" s="22"/>
      <c r="NVD142" s="22"/>
      <c r="NVE142" s="22"/>
      <c r="NVF142" s="22"/>
      <c r="NVG142" s="22"/>
      <c r="NVH142" s="22"/>
      <c r="NVI142" s="22"/>
      <c r="NVJ142" s="22"/>
      <c r="NVK142" s="22"/>
      <c r="NVL142" s="22"/>
      <c r="NVM142" s="22"/>
      <c r="NVN142" s="22"/>
      <c r="NVO142" s="22"/>
      <c r="NVP142" s="22"/>
      <c r="NVQ142" s="22"/>
      <c r="NVR142" s="22"/>
      <c r="NVS142" s="22"/>
      <c r="NVT142" s="22"/>
      <c r="NVU142" s="22"/>
      <c r="NVV142" s="22"/>
      <c r="NVW142" s="22"/>
      <c r="NVX142" s="22"/>
      <c r="NVY142" s="22"/>
      <c r="NVZ142" s="22"/>
      <c r="NWA142" s="22"/>
      <c r="NWB142" s="22"/>
      <c r="NWC142" s="22"/>
      <c r="NWD142" s="22"/>
      <c r="NWE142" s="22"/>
      <c r="NWF142" s="22"/>
      <c r="NWG142" s="22"/>
      <c r="NWH142" s="22"/>
      <c r="NWI142" s="22"/>
      <c r="NWJ142" s="22"/>
      <c r="NWK142" s="22"/>
      <c r="NWL142" s="22"/>
      <c r="NWM142" s="22"/>
      <c r="NWN142" s="22"/>
      <c r="NWO142" s="22"/>
      <c r="NWP142" s="22"/>
      <c r="NWQ142" s="22"/>
      <c r="NWR142" s="22"/>
      <c r="NWS142" s="22"/>
      <c r="NWT142" s="22"/>
      <c r="NWU142" s="22"/>
      <c r="NWV142" s="22"/>
      <c r="NWW142" s="22"/>
      <c r="NWX142" s="22"/>
      <c r="NWY142" s="22"/>
      <c r="NWZ142" s="22"/>
      <c r="NXA142" s="22"/>
      <c r="NXB142" s="22"/>
      <c r="NXC142" s="22"/>
      <c r="NXD142" s="22"/>
      <c r="NXE142" s="22"/>
      <c r="NXF142" s="22"/>
      <c r="NXG142" s="22"/>
      <c r="NXH142" s="22"/>
      <c r="NXI142" s="22"/>
      <c r="NXJ142" s="22"/>
      <c r="NXK142" s="22"/>
      <c r="NXL142" s="22"/>
      <c r="NXM142" s="22"/>
      <c r="NXN142" s="22"/>
      <c r="NXO142" s="22"/>
      <c r="NXP142" s="22"/>
      <c r="NXQ142" s="22"/>
      <c r="NXR142" s="22"/>
      <c r="NXS142" s="22"/>
      <c r="NXT142" s="22"/>
      <c r="NXU142" s="22"/>
      <c r="NXV142" s="22"/>
      <c r="NXW142" s="22"/>
      <c r="NXX142" s="22"/>
      <c r="NXY142" s="22"/>
      <c r="NXZ142" s="22"/>
      <c r="NYA142" s="22"/>
      <c r="NYB142" s="22"/>
      <c r="NYC142" s="22"/>
      <c r="NYD142" s="22"/>
      <c r="NYE142" s="22"/>
      <c r="NYF142" s="22"/>
      <c r="NYG142" s="22"/>
      <c r="NYH142" s="22"/>
      <c r="NYI142" s="22"/>
      <c r="NYJ142" s="22"/>
      <c r="NYK142" s="22"/>
      <c r="NYL142" s="22"/>
      <c r="NYM142" s="22"/>
      <c r="NYN142" s="22"/>
      <c r="NYO142" s="22"/>
      <c r="NYP142" s="22"/>
      <c r="NYQ142" s="22"/>
      <c r="NYR142" s="22"/>
      <c r="NYS142" s="22"/>
      <c r="NYT142" s="22"/>
      <c r="NYU142" s="22"/>
      <c r="NYV142" s="22"/>
      <c r="NYW142" s="22"/>
      <c r="NYX142" s="22"/>
      <c r="NYY142" s="22"/>
      <c r="NYZ142" s="22"/>
      <c r="NZA142" s="22"/>
      <c r="NZB142" s="22"/>
      <c r="NZC142" s="22"/>
      <c r="NZD142" s="22"/>
      <c r="NZE142" s="22"/>
      <c r="NZF142" s="22"/>
      <c r="NZG142" s="22"/>
      <c r="NZH142" s="22"/>
      <c r="NZI142" s="22"/>
      <c r="NZJ142" s="22"/>
      <c r="NZK142" s="22"/>
      <c r="NZL142" s="22"/>
      <c r="NZM142" s="22"/>
      <c r="NZN142" s="22"/>
      <c r="NZO142" s="22"/>
      <c r="NZP142" s="22"/>
      <c r="NZQ142" s="22"/>
      <c r="NZR142" s="22"/>
      <c r="NZS142" s="22"/>
      <c r="NZT142" s="22"/>
      <c r="NZU142" s="22"/>
      <c r="NZV142" s="22"/>
      <c r="NZW142" s="22"/>
      <c r="NZX142" s="22"/>
      <c r="NZY142" s="22"/>
      <c r="NZZ142" s="22"/>
      <c r="OAA142" s="22"/>
      <c r="OAB142" s="22"/>
      <c r="OAC142" s="22"/>
      <c r="OAD142" s="22"/>
      <c r="OAE142" s="22"/>
      <c r="OAF142" s="22"/>
      <c r="OAG142" s="22"/>
      <c r="OAH142" s="22"/>
      <c r="OAI142" s="22"/>
      <c r="OAJ142" s="22"/>
      <c r="OAK142" s="22"/>
      <c r="OAL142" s="22"/>
      <c r="OAM142" s="22"/>
      <c r="OAN142" s="22"/>
      <c r="OAO142" s="22"/>
      <c r="OAP142" s="22"/>
      <c r="OAQ142" s="22"/>
      <c r="OAR142" s="22"/>
      <c r="OAS142" s="22"/>
      <c r="OAT142" s="22"/>
      <c r="OAU142" s="22"/>
      <c r="OAV142" s="22"/>
      <c r="OAW142" s="22"/>
      <c r="OAX142" s="22"/>
      <c r="OAY142" s="22"/>
      <c r="OAZ142" s="22"/>
      <c r="OBA142" s="22"/>
      <c r="OBB142" s="22"/>
      <c r="OBC142" s="22"/>
      <c r="OBD142" s="22"/>
      <c r="OBE142" s="22"/>
      <c r="OBF142" s="22"/>
      <c r="OBG142" s="22"/>
      <c r="OBH142" s="22"/>
      <c r="OBI142" s="22"/>
      <c r="OBJ142" s="22"/>
      <c r="OBK142" s="22"/>
      <c r="OBL142" s="22"/>
      <c r="OBM142" s="22"/>
      <c r="OBN142" s="22"/>
      <c r="OBO142" s="22"/>
      <c r="OBP142" s="22"/>
      <c r="OBQ142" s="22"/>
      <c r="OBR142" s="22"/>
      <c r="OBS142" s="22"/>
      <c r="OBT142" s="22"/>
      <c r="OBU142" s="22"/>
      <c r="OBV142" s="22"/>
      <c r="OBW142" s="22"/>
      <c r="OBX142" s="22"/>
      <c r="OBY142" s="22"/>
      <c r="OBZ142" s="22"/>
      <c r="OCA142" s="22"/>
      <c r="OCB142" s="22"/>
      <c r="OCC142" s="22"/>
      <c r="OCD142" s="22"/>
      <c r="OCE142" s="22"/>
      <c r="OCF142" s="22"/>
      <c r="OCG142" s="22"/>
      <c r="OCH142" s="22"/>
      <c r="OCI142" s="22"/>
      <c r="OCJ142" s="22"/>
      <c r="OCK142" s="22"/>
      <c r="OCL142" s="22"/>
      <c r="OCM142" s="22"/>
      <c r="OCN142" s="22"/>
      <c r="OCO142" s="22"/>
      <c r="OCP142" s="22"/>
      <c r="OCQ142" s="22"/>
      <c r="OCR142" s="22"/>
      <c r="OCS142" s="22"/>
      <c r="OCT142" s="22"/>
      <c r="OCU142" s="22"/>
      <c r="OCV142" s="22"/>
      <c r="OCW142" s="22"/>
      <c r="OCX142" s="22"/>
      <c r="OCY142" s="22"/>
      <c r="OCZ142" s="22"/>
      <c r="ODA142" s="22"/>
      <c r="ODB142" s="22"/>
      <c r="ODC142" s="22"/>
      <c r="ODD142" s="22"/>
      <c r="ODE142" s="22"/>
      <c r="ODF142" s="22"/>
      <c r="ODG142" s="22"/>
      <c r="ODH142" s="22"/>
      <c r="ODI142" s="22"/>
      <c r="ODJ142" s="22"/>
      <c r="ODK142" s="22"/>
      <c r="ODL142" s="22"/>
      <c r="ODM142" s="22"/>
      <c r="ODN142" s="22"/>
      <c r="ODO142" s="22"/>
      <c r="ODP142" s="22"/>
      <c r="ODQ142" s="22"/>
      <c r="ODR142" s="22"/>
      <c r="ODS142" s="22"/>
      <c r="ODT142" s="22"/>
      <c r="ODU142" s="22"/>
      <c r="ODV142" s="22"/>
      <c r="ODW142" s="22"/>
      <c r="ODX142" s="22"/>
      <c r="ODY142" s="22"/>
      <c r="ODZ142" s="22"/>
      <c r="OEA142" s="22"/>
      <c r="OEB142" s="22"/>
      <c r="OEC142" s="22"/>
      <c r="OED142" s="22"/>
      <c r="OEE142" s="22"/>
      <c r="OEF142" s="22"/>
      <c r="OEG142" s="22"/>
      <c r="OEH142" s="22"/>
      <c r="OEI142" s="22"/>
      <c r="OEJ142" s="22"/>
      <c r="OEK142" s="22"/>
      <c r="OEL142" s="22"/>
      <c r="OEM142" s="22"/>
      <c r="OEN142" s="22"/>
      <c r="OEO142" s="22"/>
      <c r="OEP142" s="22"/>
      <c r="OEQ142" s="22"/>
      <c r="OER142" s="22"/>
      <c r="OES142" s="22"/>
      <c r="OET142" s="22"/>
      <c r="OEU142" s="22"/>
      <c r="OEV142" s="22"/>
      <c r="OEW142" s="22"/>
      <c r="OEX142" s="22"/>
      <c r="OEY142" s="22"/>
      <c r="OEZ142" s="22"/>
      <c r="OFA142" s="22"/>
      <c r="OFB142" s="22"/>
      <c r="OFC142" s="22"/>
      <c r="OFD142" s="22"/>
      <c r="OFE142" s="22"/>
      <c r="OFF142" s="22"/>
      <c r="OFG142" s="22"/>
      <c r="OFH142" s="22"/>
      <c r="OFI142" s="22"/>
      <c r="OFJ142" s="22"/>
      <c r="OFK142" s="22"/>
      <c r="OFL142" s="22"/>
      <c r="OFM142" s="22"/>
      <c r="OFN142" s="22"/>
      <c r="OFO142" s="22"/>
      <c r="OFP142" s="22"/>
      <c r="OFQ142" s="22"/>
      <c r="OFR142" s="22"/>
      <c r="OFS142" s="22"/>
      <c r="OFT142" s="22"/>
      <c r="OFU142" s="22"/>
      <c r="OFV142" s="22"/>
      <c r="OFW142" s="22"/>
      <c r="OFX142" s="22"/>
      <c r="OFY142" s="22"/>
      <c r="OFZ142" s="22"/>
      <c r="OGA142" s="22"/>
      <c r="OGB142" s="22"/>
      <c r="OGC142" s="22"/>
      <c r="OGD142" s="22"/>
      <c r="OGE142" s="22"/>
      <c r="OGF142" s="22"/>
      <c r="OGG142" s="22"/>
      <c r="OGH142" s="22"/>
      <c r="OGI142" s="22"/>
      <c r="OGJ142" s="22"/>
      <c r="OGK142" s="22"/>
      <c r="OGL142" s="22"/>
      <c r="OGM142" s="22"/>
      <c r="OGN142" s="22"/>
      <c r="OGO142" s="22"/>
      <c r="OGP142" s="22"/>
      <c r="OGQ142" s="22"/>
      <c r="OGR142" s="22"/>
      <c r="OGS142" s="22"/>
      <c r="OGT142" s="22"/>
      <c r="OGU142" s="22"/>
      <c r="OGV142" s="22"/>
      <c r="OGW142" s="22"/>
      <c r="OGX142" s="22"/>
      <c r="OGY142" s="22"/>
      <c r="OGZ142" s="22"/>
      <c r="OHA142" s="22"/>
      <c r="OHB142" s="22"/>
      <c r="OHC142" s="22"/>
      <c r="OHD142" s="22"/>
      <c r="OHE142" s="22"/>
      <c r="OHF142" s="22"/>
      <c r="OHG142" s="22"/>
      <c r="OHH142" s="22"/>
      <c r="OHI142" s="22"/>
      <c r="OHJ142" s="22"/>
      <c r="OHK142" s="22"/>
      <c r="OHL142" s="22"/>
      <c r="OHM142" s="22"/>
      <c r="OHN142" s="22"/>
      <c r="OHO142" s="22"/>
      <c r="OHP142" s="22"/>
      <c r="OHQ142" s="22"/>
      <c r="OHR142" s="22"/>
      <c r="OHS142" s="22"/>
      <c r="OHT142" s="22"/>
      <c r="OHU142" s="22"/>
      <c r="OHV142" s="22"/>
      <c r="OHW142" s="22"/>
      <c r="OHX142" s="22"/>
      <c r="OHY142" s="22"/>
      <c r="OHZ142" s="22"/>
      <c r="OIA142" s="22"/>
      <c r="OIB142" s="22"/>
      <c r="OIC142" s="22"/>
      <c r="OID142" s="22"/>
      <c r="OIE142" s="22"/>
      <c r="OIF142" s="22"/>
      <c r="OIG142" s="22"/>
      <c r="OIH142" s="22"/>
      <c r="OII142" s="22"/>
      <c r="OIJ142" s="22"/>
      <c r="OIK142" s="22"/>
      <c r="OIL142" s="22"/>
      <c r="OIM142" s="22"/>
      <c r="OIN142" s="22"/>
      <c r="OIO142" s="22"/>
      <c r="OIP142" s="22"/>
      <c r="OIQ142" s="22"/>
      <c r="OIR142" s="22"/>
      <c r="OIS142" s="22"/>
      <c r="OIT142" s="22"/>
      <c r="OIU142" s="22"/>
      <c r="OIV142" s="22"/>
      <c r="OIW142" s="22"/>
      <c r="OIX142" s="22"/>
      <c r="OIY142" s="22"/>
      <c r="OIZ142" s="22"/>
      <c r="OJA142" s="22"/>
      <c r="OJB142" s="22"/>
      <c r="OJC142" s="22"/>
      <c r="OJD142" s="22"/>
      <c r="OJE142" s="22"/>
      <c r="OJF142" s="22"/>
      <c r="OJG142" s="22"/>
      <c r="OJH142" s="22"/>
      <c r="OJI142" s="22"/>
      <c r="OJJ142" s="22"/>
      <c r="OJK142" s="22"/>
      <c r="OJL142" s="22"/>
      <c r="OJM142" s="22"/>
      <c r="OJN142" s="22"/>
      <c r="OJO142" s="22"/>
      <c r="OJP142" s="22"/>
      <c r="OJQ142" s="22"/>
      <c r="OJR142" s="22"/>
      <c r="OJS142" s="22"/>
      <c r="OJT142" s="22"/>
      <c r="OJU142" s="22"/>
      <c r="OJV142" s="22"/>
      <c r="OJW142" s="22"/>
      <c r="OJX142" s="22"/>
      <c r="OJY142" s="22"/>
      <c r="OJZ142" s="22"/>
      <c r="OKA142" s="22"/>
      <c r="OKB142" s="22"/>
      <c r="OKC142" s="22"/>
      <c r="OKD142" s="22"/>
      <c r="OKE142" s="22"/>
      <c r="OKF142" s="22"/>
      <c r="OKG142" s="22"/>
      <c r="OKH142" s="22"/>
      <c r="OKI142" s="22"/>
      <c r="OKJ142" s="22"/>
      <c r="OKK142" s="22"/>
      <c r="OKL142" s="22"/>
      <c r="OKM142" s="22"/>
      <c r="OKN142" s="22"/>
      <c r="OKO142" s="22"/>
      <c r="OKP142" s="22"/>
      <c r="OKQ142" s="22"/>
      <c r="OKR142" s="22"/>
      <c r="OKS142" s="22"/>
      <c r="OKT142" s="22"/>
      <c r="OKU142" s="22"/>
      <c r="OKV142" s="22"/>
      <c r="OKW142" s="22"/>
      <c r="OKX142" s="22"/>
      <c r="OKY142" s="22"/>
      <c r="OKZ142" s="22"/>
      <c r="OLA142" s="22"/>
      <c r="OLB142" s="22"/>
      <c r="OLC142" s="22"/>
      <c r="OLD142" s="22"/>
      <c r="OLE142" s="22"/>
      <c r="OLF142" s="22"/>
      <c r="OLG142" s="22"/>
      <c r="OLH142" s="22"/>
      <c r="OLI142" s="22"/>
      <c r="OLJ142" s="22"/>
      <c r="OLK142" s="22"/>
      <c r="OLL142" s="22"/>
      <c r="OLM142" s="22"/>
      <c r="OLN142" s="22"/>
      <c r="OLO142" s="22"/>
      <c r="OLP142" s="22"/>
      <c r="OLQ142" s="22"/>
      <c r="OLR142" s="22"/>
      <c r="OLS142" s="22"/>
      <c r="OLT142" s="22"/>
      <c r="OLU142" s="22"/>
      <c r="OLV142" s="22"/>
      <c r="OLW142" s="22"/>
      <c r="OLX142" s="22"/>
      <c r="OLY142" s="22"/>
      <c r="OLZ142" s="22"/>
      <c r="OMA142" s="22"/>
      <c r="OMB142" s="22"/>
      <c r="OMC142" s="22"/>
      <c r="OMD142" s="22"/>
      <c r="OME142" s="22"/>
      <c r="OMF142" s="22"/>
      <c r="OMG142" s="22"/>
      <c r="OMH142" s="22"/>
      <c r="OMI142" s="22"/>
      <c r="OMJ142" s="22"/>
      <c r="OMK142" s="22"/>
      <c r="OML142" s="22"/>
      <c r="OMM142" s="22"/>
      <c r="OMN142" s="22"/>
      <c r="OMO142" s="22"/>
      <c r="OMP142" s="22"/>
      <c r="OMQ142" s="22"/>
      <c r="OMR142" s="22"/>
      <c r="OMS142" s="22"/>
      <c r="OMT142" s="22"/>
      <c r="OMU142" s="22"/>
      <c r="OMV142" s="22"/>
      <c r="OMW142" s="22"/>
      <c r="OMX142" s="22"/>
      <c r="OMY142" s="22"/>
      <c r="OMZ142" s="22"/>
      <c r="ONA142" s="22"/>
      <c r="ONB142" s="22"/>
      <c r="ONC142" s="22"/>
      <c r="OND142" s="22"/>
      <c r="ONE142" s="22"/>
      <c r="ONF142" s="22"/>
      <c r="ONG142" s="22"/>
      <c r="ONH142" s="22"/>
      <c r="ONI142" s="22"/>
      <c r="ONJ142" s="22"/>
      <c r="ONK142" s="22"/>
      <c r="ONL142" s="22"/>
      <c r="ONM142" s="22"/>
      <c r="ONN142" s="22"/>
      <c r="ONO142" s="22"/>
      <c r="ONP142" s="22"/>
      <c r="ONQ142" s="22"/>
      <c r="ONR142" s="22"/>
      <c r="ONS142" s="22"/>
      <c r="ONT142" s="22"/>
      <c r="ONU142" s="22"/>
      <c r="ONV142" s="22"/>
      <c r="ONW142" s="22"/>
      <c r="ONX142" s="22"/>
      <c r="ONY142" s="22"/>
      <c r="ONZ142" s="22"/>
      <c r="OOA142" s="22"/>
      <c r="OOB142" s="22"/>
      <c r="OOC142" s="22"/>
      <c r="OOD142" s="22"/>
      <c r="OOE142" s="22"/>
      <c r="OOF142" s="22"/>
      <c r="OOG142" s="22"/>
      <c r="OOH142" s="22"/>
      <c r="OOI142" s="22"/>
      <c r="OOJ142" s="22"/>
      <c r="OOK142" s="22"/>
      <c r="OOL142" s="22"/>
      <c r="OOM142" s="22"/>
      <c r="OON142" s="22"/>
      <c r="OOO142" s="22"/>
      <c r="OOP142" s="22"/>
      <c r="OOQ142" s="22"/>
      <c r="OOR142" s="22"/>
      <c r="OOS142" s="22"/>
      <c r="OOT142" s="22"/>
      <c r="OOU142" s="22"/>
      <c r="OOV142" s="22"/>
      <c r="OOW142" s="22"/>
      <c r="OOX142" s="22"/>
      <c r="OOY142" s="22"/>
      <c r="OOZ142" s="22"/>
      <c r="OPA142" s="22"/>
      <c r="OPB142" s="22"/>
      <c r="OPC142" s="22"/>
      <c r="OPD142" s="22"/>
      <c r="OPE142" s="22"/>
      <c r="OPF142" s="22"/>
      <c r="OPG142" s="22"/>
      <c r="OPH142" s="22"/>
      <c r="OPI142" s="22"/>
      <c r="OPJ142" s="22"/>
      <c r="OPK142" s="22"/>
      <c r="OPL142" s="22"/>
      <c r="OPM142" s="22"/>
      <c r="OPN142" s="22"/>
      <c r="OPO142" s="22"/>
      <c r="OPP142" s="22"/>
      <c r="OPQ142" s="22"/>
      <c r="OPR142" s="22"/>
      <c r="OPS142" s="22"/>
      <c r="OPT142" s="22"/>
      <c r="OPU142" s="22"/>
      <c r="OPV142" s="22"/>
      <c r="OPW142" s="22"/>
      <c r="OPX142" s="22"/>
      <c r="OPY142" s="22"/>
      <c r="OPZ142" s="22"/>
      <c r="OQA142" s="22"/>
      <c r="OQB142" s="22"/>
      <c r="OQC142" s="22"/>
      <c r="OQD142" s="22"/>
      <c r="OQE142" s="22"/>
      <c r="OQF142" s="22"/>
      <c r="OQG142" s="22"/>
      <c r="OQH142" s="22"/>
      <c r="OQI142" s="22"/>
      <c r="OQJ142" s="22"/>
      <c r="OQK142" s="22"/>
      <c r="OQL142" s="22"/>
      <c r="OQM142" s="22"/>
      <c r="OQN142" s="22"/>
      <c r="OQO142" s="22"/>
      <c r="OQP142" s="22"/>
      <c r="OQQ142" s="22"/>
      <c r="OQR142" s="22"/>
      <c r="OQS142" s="22"/>
      <c r="OQT142" s="22"/>
      <c r="OQU142" s="22"/>
      <c r="OQV142" s="22"/>
      <c r="OQW142" s="22"/>
      <c r="OQX142" s="22"/>
      <c r="OQY142" s="22"/>
      <c r="OQZ142" s="22"/>
      <c r="ORA142" s="22"/>
      <c r="ORB142" s="22"/>
      <c r="ORC142" s="22"/>
      <c r="ORD142" s="22"/>
      <c r="ORE142" s="22"/>
      <c r="ORF142" s="22"/>
      <c r="ORG142" s="22"/>
      <c r="ORH142" s="22"/>
      <c r="ORI142" s="22"/>
      <c r="ORJ142" s="22"/>
      <c r="ORK142" s="22"/>
      <c r="ORL142" s="22"/>
      <c r="ORM142" s="22"/>
      <c r="ORN142" s="22"/>
      <c r="ORO142" s="22"/>
      <c r="ORP142" s="22"/>
      <c r="ORQ142" s="22"/>
      <c r="ORR142" s="22"/>
      <c r="ORS142" s="22"/>
      <c r="ORT142" s="22"/>
      <c r="ORU142" s="22"/>
      <c r="ORV142" s="22"/>
      <c r="ORW142" s="22"/>
      <c r="ORX142" s="22"/>
      <c r="ORY142" s="22"/>
      <c r="ORZ142" s="22"/>
      <c r="OSA142" s="22"/>
      <c r="OSB142" s="22"/>
      <c r="OSC142" s="22"/>
      <c r="OSD142" s="22"/>
      <c r="OSE142" s="22"/>
      <c r="OSF142" s="22"/>
      <c r="OSG142" s="22"/>
      <c r="OSH142" s="22"/>
      <c r="OSI142" s="22"/>
      <c r="OSJ142" s="22"/>
      <c r="OSK142" s="22"/>
      <c r="OSL142" s="22"/>
      <c r="OSM142" s="22"/>
      <c r="OSN142" s="22"/>
      <c r="OSO142" s="22"/>
      <c r="OSP142" s="22"/>
      <c r="OSQ142" s="22"/>
      <c r="OSR142" s="22"/>
      <c r="OSS142" s="22"/>
      <c r="OST142" s="22"/>
      <c r="OSU142" s="22"/>
      <c r="OSV142" s="22"/>
      <c r="OSW142" s="22"/>
      <c r="OSX142" s="22"/>
      <c r="OSY142" s="22"/>
      <c r="OSZ142" s="22"/>
      <c r="OTA142" s="22"/>
      <c r="OTB142" s="22"/>
      <c r="OTC142" s="22"/>
      <c r="OTD142" s="22"/>
      <c r="OTE142" s="22"/>
      <c r="OTF142" s="22"/>
      <c r="OTG142" s="22"/>
      <c r="OTH142" s="22"/>
      <c r="OTI142" s="22"/>
      <c r="OTJ142" s="22"/>
      <c r="OTK142" s="22"/>
      <c r="OTL142" s="22"/>
      <c r="OTM142" s="22"/>
      <c r="OTN142" s="22"/>
      <c r="OTO142" s="22"/>
      <c r="OTP142" s="22"/>
      <c r="OTQ142" s="22"/>
      <c r="OTR142" s="22"/>
      <c r="OTS142" s="22"/>
      <c r="OTT142" s="22"/>
      <c r="OTU142" s="22"/>
      <c r="OTV142" s="22"/>
      <c r="OTW142" s="22"/>
      <c r="OTX142" s="22"/>
      <c r="OTY142" s="22"/>
      <c r="OTZ142" s="22"/>
      <c r="OUA142" s="22"/>
      <c r="OUB142" s="22"/>
      <c r="OUC142" s="22"/>
      <c r="OUD142" s="22"/>
      <c r="OUE142" s="22"/>
      <c r="OUF142" s="22"/>
      <c r="OUG142" s="22"/>
      <c r="OUH142" s="22"/>
      <c r="OUI142" s="22"/>
      <c r="OUJ142" s="22"/>
      <c r="OUK142" s="22"/>
      <c r="OUL142" s="22"/>
      <c r="OUM142" s="22"/>
      <c r="OUN142" s="22"/>
      <c r="OUO142" s="22"/>
      <c r="OUP142" s="22"/>
      <c r="OUQ142" s="22"/>
      <c r="OUR142" s="22"/>
      <c r="OUS142" s="22"/>
      <c r="OUT142" s="22"/>
      <c r="OUU142" s="22"/>
      <c r="OUV142" s="22"/>
      <c r="OUW142" s="22"/>
      <c r="OUX142" s="22"/>
      <c r="OUY142" s="22"/>
      <c r="OUZ142" s="22"/>
      <c r="OVA142" s="22"/>
      <c r="OVB142" s="22"/>
      <c r="OVC142" s="22"/>
      <c r="OVD142" s="22"/>
      <c r="OVE142" s="22"/>
      <c r="OVF142" s="22"/>
      <c r="OVG142" s="22"/>
      <c r="OVH142" s="22"/>
      <c r="OVI142" s="22"/>
      <c r="OVJ142" s="22"/>
      <c r="OVK142" s="22"/>
      <c r="OVL142" s="22"/>
      <c r="OVM142" s="22"/>
      <c r="OVN142" s="22"/>
      <c r="OVO142" s="22"/>
      <c r="OVP142" s="22"/>
      <c r="OVQ142" s="22"/>
      <c r="OVR142" s="22"/>
      <c r="OVS142" s="22"/>
      <c r="OVT142" s="22"/>
      <c r="OVU142" s="22"/>
      <c r="OVV142" s="22"/>
      <c r="OVW142" s="22"/>
      <c r="OVX142" s="22"/>
      <c r="OVY142" s="22"/>
      <c r="OVZ142" s="22"/>
      <c r="OWA142" s="22"/>
      <c r="OWB142" s="22"/>
      <c r="OWC142" s="22"/>
      <c r="OWD142" s="22"/>
      <c r="OWE142" s="22"/>
      <c r="OWF142" s="22"/>
      <c r="OWG142" s="22"/>
      <c r="OWH142" s="22"/>
      <c r="OWI142" s="22"/>
      <c r="OWJ142" s="22"/>
      <c r="OWK142" s="22"/>
      <c r="OWL142" s="22"/>
      <c r="OWM142" s="22"/>
      <c r="OWN142" s="22"/>
      <c r="OWO142" s="22"/>
      <c r="OWP142" s="22"/>
      <c r="OWQ142" s="22"/>
      <c r="OWR142" s="22"/>
      <c r="OWS142" s="22"/>
      <c r="OWT142" s="22"/>
      <c r="OWU142" s="22"/>
      <c r="OWV142" s="22"/>
      <c r="OWW142" s="22"/>
      <c r="OWX142" s="22"/>
      <c r="OWY142" s="22"/>
      <c r="OWZ142" s="22"/>
      <c r="OXA142" s="22"/>
      <c r="OXB142" s="22"/>
      <c r="OXC142" s="22"/>
      <c r="OXD142" s="22"/>
      <c r="OXE142" s="22"/>
      <c r="OXF142" s="22"/>
      <c r="OXG142" s="22"/>
      <c r="OXH142" s="22"/>
      <c r="OXI142" s="22"/>
      <c r="OXJ142" s="22"/>
      <c r="OXK142" s="22"/>
      <c r="OXL142" s="22"/>
      <c r="OXM142" s="22"/>
      <c r="OXN142" s="22"/>
      <c r="OXO142" s="22"/>
      <c r="OXP142" s="22"/>
      <c r="OXQ142" s="22"/>
      <c r="OXR142" s="22"/>
      <c r="OXS142" s="22"/>
      <c r="OXT142" s="22"/>
      <c r="OXU142" s="22"/>
      <c r="OXV142" s="22"/>
      <c r="OXW142" s="22"/>
      <c r="OXX142" s="22"/>
      <c r="OXY142" s="22"/>
      <c r="OXZ142" s="22"/>
      <c r="OYA142" s="22"/>
      <c r="OYB142" s="22"/>
      <c r="OYC142" s="22"/>
      <c r="OYD142" s="22"/>
      <c r="OYE142" s="22"/>
      <c r="OYF142" s="22"/>
      <c r="OYG142" s="22"/>
      <c r="OYH142" s="22"/>
      <c r="OYI142" s="22"/>
      <c r="OYJ142" s="22"/>
      <c r="OYK142" s="22"/>
      <c r="OYL142" s="22"/>
      <c r="OYM142" s="22"/>
      <c r="OYN142" s="22"/>
      <c r="OYO142" s="22"/>
      <c r="OYP142" s="22"/>
      <c r="OYQ142" s="22"/>
      <c r="OYR142" s="22"/>
      <c r="OYS142" s="22"/>
      <c r="OYT142" s="22"/>
      <c r="OYU142" s="22"/>
      <c r="OYV142" s="22"/>
      <c r="OYW142" s="22"/>
      <c r="OYX142" s="22"/>
      <c r="OYY142" s="22"/>
      <c r="OYZ142" s="22"/>
      <c r="OZA142" s="22"/>
      <c r="OZB142" s="22"/>
      <c r="OZC142" s="22"/>
      <c r="OZD142" s="22"/>
      <c r="OZE142" s="22"/>
      <c r="OZF142" s="22"/>
      <c r="OZG142" s="22"/>
      <c r="OZH142" s="22"/>
      <c r="OZI142" s="22"/>
      <c r="OZJ142" s="22"/>
      <c r="OZK142" s="22"/>
      <c r="OZL142" s="22"/>
      <c r="OZM142" s="22"/>
      <c r="OZN142" s="22"/>
      <c r="OZO142" s="22"/>
      <c r="OZP142" s="22"/>
      <c r="OZQ142" s="22"/>
      <c r="OZR142" s="22"/>
      <c r="OZS142" s="22"/>
      <c r="OZT142" s="22"/>
      <c r="OZU142" s="22"/>
      <c r="OZV142" s="22"/>
      <c r="OZW142" s="22"/>
      <c r="OZX142" s="22"/>
      <c r="OZY142" s="22"/>
      <c r="OZZ142" s="22"/>
      <c r="PAA142" s="22"/>
      <c r="PAB142" s="22"/>
      <c r="PAC142" s="22"/>
      <c r="PAD142" s="22"/>
      <c r="PAE142" s="22"/>
      <c r="PAF142" s="22"/>
      <c r="PAG142" s="22"/>
      <c r="PAH142" s="22"/>
      <c r="PAI142" s="22"/>
      <c r="PAJ142" s="22"/>
      <c r="PAK142" s="22"/>
      <c r="PAL142" s="22"/>
      <c r="PAM142" s="22"/>
      <c r="PAN142" s="22"/>
      <c r="PAO142" s="22"/>
      <c r="PAP142" s="22"/>
      <c r="PAQ142" s="22"/>
      <c r="PAR142" s="22"/>
      <c r="PAS142" s="22"/>
      <c r="PAT142" s="22"/>
      <c r="PAU142" s="22"/>
      <c r="PAV142" s="22"/>
      <c r="PAW142" s="22"/>
      <c r="PAX142" s="22"/>
      <c r="PAY142" s="22"/>
      <c r="PAZ142" s="22"/>
      <c r="PBA142" s="22"/>
      <c r="PBB142" s="22"/>
      <c r="PBC142" s="22"/>
      <c r="PBD142" s="22"/>
      <c r="PBE142" s="22"/>
      <c r="PBF142" s="22"/>
      <c r="PBG142" s="22"/>
      <c r="PBH142" s="22"/>
      <c r="PBI142" s="22"/>
      <c r="PBJ142" s="22"/>
      <c r="PBK142" s="22"/>
      <c r="PBL142" s="22"/>
      <c r="PBM142" s="22"/>
      <c r="PBN142" s="22"/>
      <c r="PBO142" s="22"/>
      <c r="PBP142" s="22"/>
      <c r="PBQ142" s="22"/>
      <c r="PBR142" s="22"/>
      <c r="PBS142" s="22"/>
      <c r="PBT142" s="22"/>
      <c r="PBU142" s="22"/>
      <c r="PBV142" s="22"/>
      <c r="PBW142" s="22"/>
      <c r="PBX142" s="22"/>
      <c r="PBY142" s="22"/>
      <c r="PBZ142" s="22"/>
      <c r="PCA142" s="22"/>
      <c r="PCB142" s="22"/>
      <c r="PCC142" s="22"/>
      <c r="PCD142" s="22"/>
      <c r="PCE142" s="22"/>
      <c r="PCF142" s="22"/>
      <c r="PCG142" s="22"/>
      <c r="PCH142" s="22"/>
      <c r="PCI142" s="22"/>
      <c r="PCJ142" s="22"/>
      <c r="PCK142" s="22"/>
      <c r="PCL142" s="22"/>
      <c r="PCM142" s="22"/>
      <c r="PCN142" s="22"/>
      <c r="PCO142" s="22"/>
      <c r="PCP142" s="22"/>
      <c r="PCQ142" s="22"/>
      <c r="PCR142" s="22"/>
      <c r="PCS142" s="22"/>
      <c r="PCT142" s="22"/>
      <c r="PCU142" s="22"/>
      <c r="PCV142" s="22"/>
      <c r="PCW142" s="22"/>
      <c r="PCX142" s="22"/>
      <c r="PCY142" s="22"/>
      <c r="PCZ142" s="22"/>
      <c r="PDA142" s="22"/>
      <c r="PDB142" s="22"/>
      <c r="PDC142" s="22"/>
      <c r="PDD142" s="22"/>
      <c r="PDE142" s="22"/>
      <c r="PDF142" s="22"/>
      <c r="PDG142" s="22"/>
      <c r="PDH142" s="22"/>
      <c r="PDI142" s="22"/>
      <c r="PDJ142" s="22"/>
      <c r="PDK142" s="22"/>
      <c r="PDL142" s="22"/>
      <c r="PDM142" s="22"/>
      <c r="PDN142" s="22"/>
      <c r="PDO142" s="22"/>
      <c r="PDP142" s="22"/>
      <c r="PDQ142" s="22"/>
      <c r="PDR142" s="22"/>
      <c r="PDS142" s="22"/>
      <c r="PDT142" s="22"/>
      <c r="PDU142" s="22"/>
      <c r="PDV142" s="22"/>
      <c r="PDW142" s="22"/>
      <c r="PDX142" s="22"/>
      <c r="PDY142" s="22"/>
      <c r="PDZ142" s="22"/>
      <c r="PEA142" s="22"/>
      <c r="PEB142" s="22"/>
      <c r="PEC142" s="22"/>
      <c r="PED142" s="22"/>
      <c r="PEE142" s="22"/>
      <c r="PEF142" s="22"/>
      <c r="PEG142" s="22"/>
      <c r="PEH142" s="22"/>
      <c r="PEI142" s="22"/>
      <c r="PEJ142" s="22"/>
      <c r="PEK142" s="22"/>
      <c r="PEL142" s="22"/>
      <c r="PEM142" s="22"/>
      <c r="PEN142" s="22"/>
      <c r="PEO142" s="22"/>
      <c r="PEP142" s="22"/>
      <c r="PEQ142" s="22"/>
      <c r="PER142" s="22"/>
      <c r="PES142" s="22"/>
      <c r="PET142" s="22"/>
      <c r="PEU142" s="22"/>
      <c r="PEV142" s="22"/>
      <c r="PEW142" s="22"/>
      <c r="PEX142" s="22"/>
      <c r="PEY142" s="22"/>
      <c r="PEZ142" s="22"/>
      <c r="PFA142" s="22"/>
      <c r="PFB142" s="22"/>
      <c r="PFC142" s="22"/>
      <c r="PFD142" s="22"/>
      <c r="PFE142" s="22"/>
      <c r="PFF142" s="22"/>
      <c r="PFG142" s="22"/>
      <c r="PFH142" s="22"/>
      <c r="PFI142" s="22"/>
      <c r="PFJ142" s="22"/>
      <c r="PFK142" s="22"/>
      <c r="PFL142" s="22"/>
      <c r="PFM142" s="22"/>
      <c r="PFN142" s="22"/>
      <c r="PFO142" s="22"/>
      <c r="PFP142" s="22"/>
      <c r="PFQ142" s="22"/>
      <c r="PFR142" s="22"/>
      <c r="PFS142" s="22"/>
      <c r="PFT142" s="22"/>
      <c r="PFU142" s="22"/>
      <c r="PFV142" s="22"/>
      <c r="PFW142" s="22"/>
      <c r="PFX142" s="22"/>
      <c r="PFY142" s="22"/>
      <c r="PFZ142" s="22"/>
      <c r="PGA142" s="22"/>
      <c r="PGB142" s="22"/>
      <c r="PGC142" s="22"/>
      <c r="PGD142" s="22"/>
      <c r="PGE142" s="22"/>
      <c r="PGF142" s="22"/>
      <c r="PGG142" s="22"/>
      <c r="PGH142" s="22"/>
      <c r="PGI142" s="22"/>
      <c r="PGJ142" s="22"/>
      <c r="PGK142" s="22"/>
      <c r="PGL142" s="22"/>
      <c r="PGM142" s="22"/>
      <c r="PGN142" s="22"/>
      <c r="PGO142" s="22"/>
      <c r="PGP142" s="22"/>
      <c r="PGQ142" s="22"/>
      <c r="PGR142" s="22"/>
      <c r="PGS142" s="22"/>
      <c r="PGT142" s="22"/>
      <c r="PGU142" s="22"/>
      <c r="PGV142" s="22"/>
      <c r="PGW142" s="22"/>
      <c r="PGX142" s="22"/>
      <c r="PGY142" s="22"/>
      <c r="PGZ142" s="22"/>
      <c r="PHA142" s="22"/>
      <c r="PHB142" s="22"/>
      <c r="PHC142" s="22"/>
      <c r="PHD142" s="22"/>
      <c r="PHE142" s="22"/>
      <c r="PHF142" s="22"/>
      <c r="PHG142" s="22"/>
      <c r="PHH142" s="22"/>
      <c r="PHI142" s="22"/>
      <c r="PHJ142" s="22"/>
      <c r="PHK142" s="22"/>
      <c r="PHL142" s="22"/>
      <c r="PHM142" s="22"/>
      <c r="PHN142" s="22"/>
      <c r="PHO142" s="22"/>
      <c r="PHP142" s="22"/>
      <c r="PHQ142" s="22"/>
      <c r="PHR142" s="22"/>
      <c r="PHS142" s="22"/>
      <c r="PHT142" s="22"/>
      <c r="PHU142" s="22"/>
      <c r="PHV142" s="22"/>
      <c r="PHW142" s="22"/>
      <c r="PHX142" s="22"/>
      <c r="PHY142" s="22"/>
      <c r="PHZ142" s="22"/>
      <c r="PIA142" s="22"/>
      <c r="PIB142" s="22"/>
      <c r="PIC142" s="22"/>
      <c r="PID142" s="22"/>
      <c r="PIE142" s="22"/>
      <c r="PIF142" s="22"/>
      <c r="PIG142" s="22"/>
      <c r="PIH142" s="22"/>
      <c r="PII142" s="22"/>
      <c r="PIJ142" s="22"/>
      <c r="PIK142" s="22"/>
      <c r="PIL142" s="22"/>
      <c r="PIM142" s="22"/>
      <c r="PIN142" s="22"/>
      <c r="PIO142" s="22"/>
      <c r="PIP142" s="22"/>
      <c r="PIQ142" s="22"/>
      <c r="PIR142" s="22"/>
      <c r="PIS142" s="22"/>
      <c r="PIT142" s="22"/>
      <c r="PIU142" s="22"/>
      <c r="PIV142" s="22"/>
      <c r="PIW142" s="22"/>
      <c r="PIX142" s="22"/>
      <c r="PIY142" s="22"/>
      <c r="PIZ142" s="22"/>
      <c r="PJA142" s="22"/>
      <c r="PJB142" s="22"/>
      <c r="PJC142" s="22"/>
      <c r="PJD142" s="22"/>
      <c r="PJE142" s="22"/>
      <c r="PJF142" s="22"/>
      <c r="PJG142" s="22"/>
      <c r="PJH142" s="22"/>
      <c r="PJI142" s="22"/>
      <c r="PJJ142" s="22"/>
      <c r="PJK142" s="22"/>
      <c r="PJL142" s="22"/>
      <c r="PJM142" s="22"/>
      <c r="PJN142" s="22"/>
      <c r="PJO142" s="22"/>
      <c r="PJP142" s="22"/>
      <c r="PJQ142" s="22"/>
      <c r="PJR142" s="22"/>
      <c r="PJS142" s="22"/>
      <c r="PJT142" s="22"/>
      <c r="PJU142" s="22"/>
      <c r="PJV142" s="22"/>
      <c r="PJW142" s="22"/>
      <c r="PJX142" s="22"/>
      <c r="PJY142" s="22"/>
      <c r="PJZ142" s="22"/>
      <c r="PKA142" s="22"/>
      <c r="PKB142" s="22"/>
      <c r="PKC142" s="22"/>
      <c r="PKD142" s="22"/>
      <c r="PKE142" s="22"/>
      <c r="PKF142" s="22"/>
      <c r="PKG142" s="22"/>
      <c r="PKH142" s="22"/>
      <c r="PKI142" s="22"/>
      <c r="PKJ142" s="22"/>
      <c r="PKK142" s="22"/>
      <c r="PKL142" s="22"/>
      <c r="PKM142" s="22"/>
      <c r="PKN142" s="22"/>
      <c r="PKO142" s="22"/>
      <c r="PKP142" s="22"/>
      <c r="PKQ142" s="22"/>
      <c r="PKR142" s="22"/>
      <c r="PKS142" s="22"/>
      <c r="PKT142" s="22"/>
      <c r="PKU142" s="22"/>
      <c r="PKV142" s="22"/>
      <c r="PKW142" s="22"/>
      <c r="PKX142" s="22"/>
      <c r="PKY142" s="22"/>
      <c r="PKZ142" s="22"/>
      <c r="PLA142" s="22"/>
      <c r="PLB142" s="22"/>
      <c r="PLC142" s="22"/>
      <c r="PLD142" s="22"/>
      <c r="PLE142" s="22"/>
      <c r="PLF142" s="22"/>
      <c r="PLG142" s="22"/>
      <c r="PLH142" s="22"/>
      <c r="PLI142" s="22"/>
      <c r="PLJ142" s="22"/>
      <c r="PLK142" s="22"/>
      <c r="PLL142" s="22"/>
      <c r="PLM142" s="22"/>
      <c r="PLN142" s="22"/>
      <c r="PLO142" s="22"/>
      <c r="PLP142" s="22"/>
      <c r="PLQ142" s="22"/>
      <c r="PLR142" s="22"/>
      <c r="PLS142" s="22"/>
      <c r="PLT142" s="22"/>
      <c r="PLU142" s="22"/>
      <c r="PLV142" s="22"/>
      <c r="PLW142" s="22"/>
      <c r="PLX142" s="22"/>
      <c r="PLY142" s="22"/>
      <c r="PLZ142" s="22"/>
      <c r="PMA142" s="22"/>
      <c r="PMB142" s="22"/>
      <c r="PMC142" s="22"/>
      <c r="PMD142" s="22"/>
      <c r="PME142" s="22"/>
      <c r="PMF142" s="22"/>
      <c r="PMG142" s="22"/>
      <c r="PMH142" s="22"/>
      <c r="PMI142" s="22"/>
      <c r="PMJ142" s="22"/>
      <c r="PMK142" s="22"/>
      <c r="PML142" s="22"/>
      <c r="PMM142" s="22"/>
      <c r="PMN142" s="22"/>
      <c r="PMO142" s="22"/>
      <c r="PMP142" s="22"/>
      <c r="PMQ142" s="22"/>
      <c r="PMR142" s="22"/>
      <c r="PMS142" s="22"/>
      <c r="PMT142" s="22"/>
      <c r="PMU142" s="22"/>
      <c r="PMV142" s="22"/>
      <c r="PMW142" s="22"/>
      <c r="PMX142" s="22"/>
      <c r="PMY142" s="22"/>
      <c r="PMZ142" s="22"/>
      <c r="PNA142" s="22"/>
      <c r="PNB142" s="22"/>
      <c r="PNC142" s="22"/>
      <c r="PND142" s="22"/>
      <c r="PNE142" s="22"/>
      <c r="PNF142" s="22"/>
      <c r="PNG142" s="22"/>
      <c r="PNH142" s="22"/>
      <c r="PNI142" s="22"/>
      <c r="PNJ142" s="22"/>
      <c r="PNK142" s="22"/>
      <c r="PNL142" s="22"/>
      <c r="PNM142" s="22"/>
      <c r="PNN142" s="22"/>
      <c r="PNO142" s="22"/>
      <c r="PNP142" s="22"/>
      <c r="PNQ142" s="22"/>
      <c r="PNR142" s="22"/>
      <c r="PNS142" s="22"/>
      <c r="PNT142" s="22"/>
      <c r="PNU142" s="22"/>
      <c r="PNV142" s="22"/>
      <c r="PNW142" s="22"/>
      <c r="PNX142" s="22"/>
      <c r="PNY142" s="22"/>
      <c r="PNZ142" s="22"/>
      <c r="POA142" s="22"/>
      <c r="POB142" s="22"/>
      <c r="POC142" s="22"/>
      <c r="POD142" s="22"/>
      <c r="POE142" s="22"/>
      <c r="POF142" s="22"/>
      <c r="POG142" s="22"/>
      <c r="POH142" s="22"/>
      <c r="POI142" s="22"/>
      <c r="POJ142" s="22"/>
      <c r="POK142" s="22"/>
      <c r="POL142" s="22"/>
      <c r="POM142" s="22"/>
      <c r="PON142" s="22"/>
      <c r="POO142" s="22"/>
      <c r="POP142" s="22"/>
      <c r="POQ142" s="22"/>
      <c r="POR142" s="22"/>
      <c r="POS142" s="22"/>
      <c r="POT142" s="22"/>
      <c r="POU142" s="22"/>
      <c r="POV142" s="22"/>
      <c r="POW142" s="22"/>
      <c r="POX142" s="22"/>
      <c r="POY142" s="22"/>
      <c r="POZ142" s="22"/>
      <c r="PPA142" s="22"/>
      <c r="PPB142" s="22"/>
      <c r="PPC142" s="22"/>
      <c r="PPD142" s="22"/>
      <c r="PPE142" s="22"/>
      <c r="PPF142" s="22"/>
      <c r="PPG142" s="22"/>
      <c r="PPH142" s="22"/>
      <c r="PPI142" s="22"/>
      <c r="PPJ142" s="22"/>
      <c r="PPK142" s="22"/>
      <c r="PPL142" s="22"/>
      <c r="PPM142" s="22"/>
      <c r="PPN142" s="22"/>
      <c r="PPO142" s="22"/>
      <c r="PPP142" s="22"/>
      <c r="PPQ142" s="22"/>
      <c r="PPR142" s="22"/>
      <c r="PPS142" s="22"/>
      <c r="PPT142" s="22"/>
      <c r="PPU142" s="22"/>
      <c r="PPV142" s="22"/>
      <c r="PPW142" s="22"/>
      <c r="PPX142" s="22"/>
      <c r="PPY142" s="22"/>
      <c r="PPZ142" s="22"/>
      <c r="PQA142" s="22"/>
      <c r="PQB142" s="22"/>
      <c r="PQC142" s="22"/>
      <c r="PQD142" s="22"/>
      <c r="PQE142" s="22"/>
      <c r="PQF142" s="22"/>
      <c r="PQG142" s="22"/>
      <c r="PQH142" s="22"/>
      <c r="PQI142" s="22"/>
      <c r="PQJ142" s="22"/>
      <c r="PQK142" s="22"/>
      <c r="PQL142" s="22"/>
      <c r="PQM142" s="22"/>
      <c r="PQN142" s="22"/>
      <c r="PQO142" s="22"/>
      <c r="PQP142" s="22"/>
      <c r="PQQ142" s="22"/>
      <c r="PQR142" s="22"/>
      <c r="PQS142" s="22"/>
      <c r="PQT142" s="22"/>
      <c r="PQU142" s="22"/>
      <c r="PQV142" s="22"/>
      <c r="PQW142" s="22"/>
      <c r="PQX142" s="22"/>
      <c r="PQY142" s="22"/>
      <c r="PQZ142" s="22"/>
      <c r="PRA142" s="22"/>
      <c r="PRB142" s="22"/>
      <c r="PRC142" s="22"/>
      <c r="PRD142" s="22"/>
      <c r="PRE142" s="22"/>
      <c r="PRF142" s="22"/>
      <c r="PRG142" s="22"/>
      <c r="PRH142" s="22"/>
      <c r="PRI142" s="22"/>
      <c r="PRJ142" s="22"/>
      <c r="PRK142" s="22"/>
      <c r="PRL142" s="22"/>
      <c r="PRM142" s="22"/>
      <c r="PRN142" s="22"/>
      <c r="PRO142" s="22"/>
      <c r="PRP142" s="22"/>
      <c r="PRQ142" s="22"/>
      <c r="PRR142" s="22"/>
      <c r="PRS142" s="22"/>
      <c r="PRT142" s="22"/>
      <c r="PRU142" s="22"/>
      <c r="PRV142" s="22"/>
      <c r="PRW142" s="22"/>
      <c r="PRX142" s="22"/>
      <c r="PRY142" s="22"/>
      <c r="PRZ142" s="22"/>
      <c r="PSA142" s="22"/>
      <c r="PSB142" s="22"/>
      <c r="PSC142" s="22"/>
      <c r="PSD142" s="22"/>
      <c r="PSE142" s="22"/>
      <c r="PSF142" s="22"/>
      <c r="PSG142" s="22"/>
      <c r="PSH142" s="22"/>
      <c r="PSI142" s="22"/>
      <c r="PSJ142" s="22"/>
      <c r="PSK142" s="22"/>
      <c r="PSL142" s="22"/>
      <c r="PSM142" s="22"/>
      <c r="PSN142" s="22"/>
      <c r="PSO142" s="22"/>
      <c r="PSP142" s="22"/>
      <c r="PSQ142" s="22"/>
      <c r="PSR142" s="22"/>
      <c r="PSS142" s="22"/>
      <c r="PST142" s="22"/>
      <c r="PSU142" s="22"/>
      <c r="PSV142" s="22"/>
      <c r="PSW142" s="22"/>
      <c r="PSX142" s="22"/>
      <c r="PSY142" s="22"/>
      <c r="PSZ142" s="22"/>
      <c r="PTA142" s="22"/>
      <c r="PTB142" s="22"/>
      <c r="PTC142" s="22"/>
      <c r="PTD142" s="22"/>
      <c r="PTE142" s="22"/>
      <c r="PTF142" s="22"/>
      <c r="PTG142" s="22"/>
      <c r="PTH142" s="22"/>
      <c r="PTI142" s="22"/>
      <c r="PTJ142" s="22"/>
      <c r="PTK142" s="22"/>
      <c r="PTL142" s="22"/>
      <c r="PTM142" s="22"/>
      <c r="PTN142" s="22"/>
      <c r="PTO142" s="22"/>
      <c r="PTP142" s="22"/>
      <c r="PTQ142" s="22"/>
      <c r="PTR142" s="22"/>
      <c r="PTS142" s="22"/>
      <c r="PTT142" s="22"/>
      <c r="PTU142" s="22"/>
      <c r="PTV142" s="22"/>
      <c r="PTW142" s="22"/>
      <c r="PTX142" s="22"/>
      <c r="PTY142" s="22"/>
      <c r="PTZ142" s="22"/>
      <c r="PUA142" s="22"/>
      <c r="PUB142" s="22"/>
      <c r="PUC142" s="22"/>
      <c r="PUD142" s="22"/>
      <c r="PUE142" s="22"/>
      <c r="PUF142" s="22"/>
      <c r="PUG142" s="22"/>
      <c r="PUH142" s="22"/>
      <c r="PUI142" s="22"/>
      <c r="PUJ142" s="22"/>
      <c r="PUK142" s="22"/>
      <c r="PUL142" s="22"/>
      <c r="PUM142" s="22"/>
      <c r="PUN142" s="22"/>
      <c r="PUO142" s="22"/>
      <c r="PUP142" s="22"/>
      <c r="PUQ142" s="22"/>
      <c r="PUR142" s="22"/>
      <c r="PUS142" s="22"/>
      <c r="PUT142" s="22"/>
      <c r="PUU142" s="22"/>
      <c r="PUV142" s="22"/>
      <c r="PUW142" s="22"/>
      <c r="PUX142" s="22"/>
      <c r="PUY142" s="22"/>
      <c r="PUZ142" s="22"/>
      <c r="PVA142" s="22"/>
      <c r="PVB142" s="22"/>
      <c r="PVC142" s="22"/>
      <c r="PVD142" s="22"/>
      <c r="PVE142" s="22"/>
      <c r="PVF142" s="22"/>
      <c r="PVG142" s="22"/>
      <c r="PVH142" s="22"/>
      <c r="PVI142" s="22"/>
      <c r="PVJ142" s="22"/>
      <c r="PVK142" s="22"/>
      <c r="PVL142" s="22"/>
      <c r="PVM142" s="22"/>
      <c r="PVN142" s="22"/>
      <c r="PVO142" s="22"/>
      <c r="PVP142" s="22"/>
      <c r="PVQ142" s="22"/>
      <c r="PVR142" s="22"/>
      <c r="PVS142" s="22"/>
      <c r="PVT142" s="22"/>
      <c r="PVU142" s="22"/>
      <c r="PVV142" s="22"/>
      <c r="PVW142" s="22"/>
      <c r="PVX142" s="22"/>
      <c r="PVY142" s="22"/>
      <c r="PVZ142" s="22"/>
      <c r="PWA142" s="22"/>
      <c r="PWB142" s="22"/>
      <c r="PWC142" s="22"/>
      <c r="PWD142" s="22"/>
      <c r="PWE142" s="22"/>
      <c r="PWF142" s="22"/>
      <c r="PWG142" s="22"/>
      <c r="PWH142" s="22"/>
      <c r="PWI142" s="22"/>
      <c r="PWJ142" s="22"/>
      <c r="PWK142" s="22"/>
      <c r="PWL142" s="22"/>
      <c r="PWM142" s="22"/>
      <c r="PWN142" s="22"/>
      <c r="PWO142" s="22"/>
      <c r="PWP142" s="22"/>
      <c r="PWQ142" s="22"/>
      <c r="PWR142" s="22"/>
      <c r="PWS142" s="22"/>
      <c r="PWT142" s="22"/>
      <c r="PWU142" s="22"/>
      <c r="PWV142" s="22"/>
      <c r="PWW142" s="22"/>
      <c r="PWX142" s="22"/>
      <c r="PWY142" s="22"/>
      <c r="PWZ142" s="22"/>
      <c r="PXA142" s="22"/>
      <c r="PXB142" s="22"/>
      <c r="PXC142" s="22"/>
      <c r="PXD142" s="22"/>
      <c r="PXE142" s="22"/>
      <c r="PXF142" s="22"/>
      <c r="PXG142" s="22"/>
      <c r="PXH142" s="22"/>
      <c r="PXI142" s="22"/>
      <c r="PXJ142" s="22"/>
      <c r="PXK142" s="22"/>
      <c r="PXL142" s="22"/>
      <c r="PXM142" s="22"/>
      <c r="PXN142" s="22"/>
      <c r="PXO142" s="22"/>
      <c r="PXP142" s="22"/>
      <c r="PXQ142" s="22"/>
      <c r="PXR142" s="22"/>
      <c r="PXS142" s="22"/>
      <c r="PXT142" s="22"/>
      <c r="PXU142" s="22"/>
      <c r="PXV142" s="22"/>
      <c r="PXW142" s="22"/>
      <c r="PXX142" s="22"/>
      <c r="PXY142" s="22"/>
      <c r="PXZ142" s="22"/>
      <c r="PYA142" s="22"/>
      <c r="PYB142" s="22"/>
      <c r="PYC142" s="22"/>
      <c r="PYD142" s="22"/>
      <c r="PYE142" s="22"/>
      <c r="PYF142" s="22"/>
      <c r="PYG142" s="22"/>
      <c r="PYH142" s="22"/>
      <c r="PYI142" s="22"/>
      <c r="PYJ142" s="22"/>
      <c r="PYK142" s="22"/>
      <c r="PYL142" s="22"/>
      <c r="PYM142" s="22"/>
      <c r="PYN142" s="22"/>
      <c r="PYO142" s="22"/>
      <c r="PYP142" s="22"/>
      <c r="PYQ142" s="22"/>
      <c r="PYR142" s="22"/>
      <c r="PYS142" s="22"/>
      <c r="PYT142" s="22"/>
      <c r="PYU142" s="22"/>
      <c r="PYV142" s="22"/>
      <c r="PYW142" s="22"/>
      <c r="PYX142" s="22"/>
      <c r="PYY142" s="22"/>
      <c r="PYZ142" s="22"/>
      <c r="PZA142" s="22"/>
      <c r="PZB142" s="22"/>
      <c r="PZC142" s="22"/>
      <c r="PZD142" s="22"/>
      <c r="PZE142" s="22"/>
      <c r="PZF142" s="22"/>
      <c r="PZG142" s="22"/>
      <c r="PZH142" s="22"/>
      <c r="PZI142" s="22"/>
      <c r="PZJ142" s="22"/>
      <c r="PZK142" s="22"/>
      <c r="PZL142" s="22"/>
      <c r="PZM142" s="22"/>
      <c r="PZN142" s="22"/>
      <c r="PZO142" s="22"/>
      <c r="PZP142" s="22"/>
      <c r="PZQ142" s="22"/>
      <c r="PZR142" s="22"/>
      <c r="PZS142" s="22"/>
      <c r="PZT142" s="22"/>
      <c r="PZU142" s="22"/>
      <c r="PZV142" s="22"/>
      <c r="PZW142" s="22"/>
      <c r="PZX142" s="22"/>
      <c r="PZY142" s="22"/>
      <c r="PZZ142" s="22"/>
      <c r="QAA142" s="22"/>
      <c r="QAB142" s="22"/>
      <c r="QAC142" s="22"/>
      <c r="QAD142" s="22"/>
      <c r="QAE142" s="22"/>
      <c r="QAF142" s="22"/>
      <c r="QAG142" s="22"/>
      <c r="QAH142" s="22"/>
      <c r="QAI142" s="22"/>
      <c r="QAJ142" s="22"/>
      <c r="QAK142" s="22"/>
      <c r="QAL142" s="22"/>
      <c r="QAM142" s="22"/>
      <c r="QAN142" s="22"/>
      <c r="QAO142" s="22"/>
      <c r="QAP142" s="22"/>
      <c r="QAQ142" s="22"/>
      <c r="QAR142" s="22"/>
      <c r="QAS142" s="22"/>
      <c r="QAT142" s="22"/>
      <c r="QAU142" s="22"/>
      <c r="QAV142" s="22"/>
      <c r="QAW142" s="22"/>
      <c r="QAX142" s="22"/>
      <c r="QAY142" s="22"/>
      <c r="QAZ142" s="22"/>
      <c r="QBA142" s="22"/>
      <c r="QBB142" s="22"/>
      <c r="QBC142" s="22"/>
      <c r="QBD142" s="22"/>
      <c r="QBE142" s="22"/>
      <c r="QBF142" s="22"/>
      <c r="QBG142" s="22"/>
      <c r="QBH142" s="22"/>
      <c r="QBI142" s="22"/>
      <c r="QBJ142" s="22"/>
      <c r="QBK142" s="22"/>
      <c r="QBL142" s="22"/>
      <c r="QBM142" s="22"/>
      <c r="QBN142" s="22"/>
      <c r="QBO142" s="22"/>
      <c r="QBP142" s="22"/>
      <c r="QBQ142" s="22"/>
      <c r="QBR142" s="22"/>
      <c r="QBS142" s="22"/>
      <c r="QBT142" s="22"/>
      <c r="QBU142" s="22"/>
      <c r="QBV142" s="22"/>
      <c r="QBW142" s="22"/>
      <c r="QBX142" s="22"/>
      <c r="QBY142" s="22"/>
      <c r="QBZ142" s="22"/>
      <c r="QCA142" s="22"/>
      <c r="QCB142" s="22"/>
      <c r="QCC142" s="22"/>
      <c r="QCD142" s="22"/>
      <c r="QCE142" s="22"/>
      <c r="QCF142" s="22"/>
      <c r="QCG142" s="22"/>
      <c r="QCH142" s="22"/>
      <c r="QCI142" s="22"/>
      <c r="QCJ142" s="22"/>
      <c r="QCK142" s="22"/>
      <c r="QCL142" s="22"/>
      <c r="QCM142" s="22"/>
      <c r="QCN142" s="22"/>
      <c r="QCO142" s="22"/>
      <c r="QCP142" s="22"/>
      <c r="QCQ142" s="22"/>
      <c r="QCR142" s="22"/>
      <c r="QCS142" s="22"/>
      <c r="QCT142" s="22"/>
      <c r="QCU142" s="22"/>
      <c r="QCV142" s="22"/>
      <c r="QCW142" s="22"/>
      <c r="QCX142" s="22"/>
      <c r="QCY142" s="22"/>
      <c r="QCZ142" s="22"/>
      <c r="QDA142" s="22"/>
      <c r="QDB142" s="22"/>
      <c r="QDC142" s="22"/>
      <c r="QDD142" s="22"/>
      <c r="QDE142" s="22"/>
      <c r="QDF142" s="22"/>
      <c r="QDG142" s="22"/>
      <c r="QDH142" s="22"/>
      <c r="QDI142" s="22"/>
      <c r="QDJ142" s="22"/>
      <c r="QDK142" s="22"/>
      <c r="QDL142" s="22"/>
      <c r="QDM142" s="22"/>
      <c r="QDN142" s="22"/>
      <c r="QDO142" s="22"/>
      <c r="QDP142" s="22"/>
      <c r="QDQ142" s="22"/>
      <c r="QDR142" s="22"/>
      <c r="QDS142" s="22"/>
      <c r="QDT142" s="22"/>
      <c r="QDU142" s="22"/>
      <c r="QDV142" s="22"/>
      <c r="QDW142" s="22"/>
      <c r="QDX142" s="22"/>
      <c r="QDY142" s="22"/>
      <c r="QDZ142" s="22"/>
      <c r="QEA142" s="22"/>
      <c r="QEB142" s="22"/>
      <c r="QEC142" s="22"/>
      <c r="QED142" s="22"/>
      <c r="QEE142" s="22"/>
      <c r="QEF142" s="22"/>
      <c r="QEG142" s="22"/>
      <c r="QEH142" s="22"/>
      <c r="QEI142" s="22"/>
      <c r="QEJ142" s="22"/>
      <c r="QEK142" s="22"/>
      <c r="QEL142" s="22"/>
      <c r="QEM142" s="22"/>
      <c r="QEN142" s="22"/>
      <c r="QEO142" s="22"/>
      <c r="QEP142" s="22"/>
      <c r="QEQ142" s="22"/>
      <c r="QER142" s="22"/>
      <c r="QES142" s="22"/>
      <c r="QET142" s="22"/>
      <c r="QEU142" s="22"/>
      <c r="QEV142" s="22"/>
      <c r="QEW142" s="22"/>
      <c r="QEX142" s="22"/>
      <c r="QEY142" s="22"/>
      <c r="QEZ142" s="22"/>
      <c r="QFA142" s="22"/>
      <c r="QFB142" s="22"/>
      <c r="QFC142" s="22"/>
      <c r="QFD142" s="22"/>
      <c r="QFE142" s="22"/>
      <c r="QFF142" s="22"/>
      <c r="QFG142" s="22"/>
      <c r="QFH142" s="22"/>
      <c r="QFI142" s="22"/>
      <c r="QFJ142" s="22"/>
      <c r="QFK142" s="22"/>
      <c r="QFL142" s="22"/>
      <c r="QFM142" s="22"/>
      <c r="QFN142" s="22"/>
      <c r="QFO142" s="22"/>
      <c r="QFP142" s="22"/>
      <c r="QFQ142" s="22"/>
      <c r="QFR142" s="22"/>
      <c r="QFS142" s="22"/>
      <c r="QFT142" s="22"/>
      <c r="QFU142" s="22"/>
      <c r="QFV142" s="22"/>
      <c r="QFW142" s="22"/>
      <c r="QFX142" s="22"/>
      <c r="QFY142" s="22"/>
      <c r="QFZ142" s="22"/>
      <c r="QGA142" s="22"/>
      <c r="QGB142" s="22"/>
      <c r="QGC142" s="22"/>
      <c r="QGD142" s="22"/>
      <c r="QGE142" s="22"/>
      <c r="QGF142" s="22"/>
      <c r="QGG142" s="22"/>
      <c r="QGH142" s="22"/>
      <c r="QGI142" s="22"/>
      <c r="QGJ142" s="22"/>
      <c r="QGK142" s="22"/>
      <c r="QGL142" s="22"/>
      <c r="QGM142" s="22"/>
      <c r="QGN142" s="22"/>
      <c r="QGO142" s="22"/>
      <c r="QGP142" s="22"/>
      <c r="QGQ142" s="22"/>
      <c r="QGR142" s="22"/>
      <c r="QGS142" s="22"/>
      <c r="QGT142" s="22"/>
      <c r="QGU142" s="22"/>
      <c r="QGV142" s="22"/>
      <c r="QGW142" s="22"/>
      <c r="QGX142" s="22"/>
      <c r="QGY142" s="22"/>
      <c r="QGZ142" s="22"/>
      <c r="QHA142" s="22"/>
      <c r="QHB142" s="22"/>
      <c r="QHC142" s="22"/>
      <c r="QHD142" s="22"/>
      <c r="QHE142" s="22"/>
      <c r="QHF142" s="22"/>
      <c r="QHG142" s="22"/>
      <c r="QHH142" s="22"/>
      <c r="QHI142" s="22"/>
      <c r="QHJ142" s="22"/>
      <c r="QHK142" s="22"/>
      <c r="QHL142" s="22"/>
      <c r="QHM142" s="22"/>
      <c r="QHN142" s="22"/>
      <c r="QHO142" s="22"/>
      <c r="QHP142" s="22"/>
      <c r="QHQ142" s="22"/>
      <c r="QHR142" s="22"/>
      <c r="QHS142" s="22"/>
      <c r="QHT142" s="22"/>
      <c r="QHU142" s="22"/>
      <c r="QHV142" s="22"/>
      <c r="QHW142" s="22"/>
      <c r="QHX142" s="22"/>
      <c r="QHY142" s="22"/>
      <c r="QHZ142" s="22"/>
      <c r="QIA142" s="22"/>
      <c r="QIB142" s="22"/>
      <c r="QIC142" s="22"/>
      <c r="QID142" s="22"/>
      <c r="QIE142" s="22"/>
      <c r="QIF142" s="22"/>
      <c r="QIG142" s="22"/>
      <c r="QIH142" s="22"/>
      <c r="QII142" s="22"/>
      <c r="QIJ142" s="22"/>
      <c r="QIK142" s="22"/>
      <c r="QIL142" s="22"/>
      <c r="QIM142" s="22"/>
      <c r="QIN142" s="22"/>
      <c r="QIO142" s="22"/>
      <c r="QIP142" s="22"/>
      <c r="QIQ142" s="22"/>
      <c r="QIR142" s="22"/>
      <c r="QIS142" s="22"/>
      <c r="QIT142" s="22"/>
      <c r="QIU142" s="22"/>
      <c r="QIV142" s="22"/>
      <c r="QIW142" s="22"/>
      <c r="QIX142" s="22"/>
      <c r="QIY142" s="22"/>
      <c r="QIZ142" s="22"/>
      <c r="QJA142" s="22"/>
      <c r="QJB142" s="22"/>
      <c r="QJC142" s="22"/>
      <c r="QJD142" s="22"/>
      <c r="QJE142" s="22"/>
      <c r="QJF142" s="22"/>
      <c r="QJG142" s="22"/>
      <c r="QJH142" s="22"/>
      <c r="QJI142" s="22"/>
      <c r="QJJ142" s="22"/>
      <c r="QJK142" s="22"/>
      <c r="QJL142" s="22"/>
      <c r="QJM142" s="22"/>
      <c r="QJN142" s="22"/>
      <c r="QJO142" s="22"/>
      <c r="QJP142" s="22"/>
      <c r="QJQ142" s="22"/>
      <c r="QJR142" s="22"/>
      <c r="QJS142" s="22"/>
      <c r="QJT142" s="22"/>
      <c r="QJU142" s="22"/>
      <c r="QJV142" s="22"/>
      <c r="QJW142" s="22"/>
      <c r="QJX142" s="22"/>
      <c r="QJY142" s="22"/>
      <c r="QJZ142" s="22"/>
      <c r="QKA142" s="22"/>
      <c r="QKB142" s="22"/>
      <c r="QKC142" s="22"/>
      <c r="QKD142" s="22"/>
      <c r="QKE142" s="22"/>
      <c r="QKF142" s="22"/>
      <c r="QKG142" s="22"/>
      <c r="QKH142" s="22"/>
      <c r="QKI142" s="22"/>
      <c r="QKJ142" s="22"/>
      <c r="QKK142" s="22"/>
      <c r="QKL142" s="22"/>
      <c r="QKM142" s="22"/>
      <c r="QKN142" s="22"/>
      <c r="QKO142" s="22"/>
      <c r="QKP142" s="22"/>
      <c r="QKQ142" s="22"/>
      <c r="QKR142" s="22"/>
      <c r="QKS142" s="22"/>
      <c r="QKT142" s="22"/>
      <c r="QKU142" s="22"/>
      <c r="QKV142" s="22"/>
      <c r="QKW142" s="22"/>
      <c r="QKX142" s="22"/>
      <c r="QKY142" s="22"/>
      <c r="QKZ142" s="22"/>
      <c r="QLA142" s="22"/>
      <c r="QLB142" s="22"/>
      <c r="QLC142" s="22"/>
      <c r="QLD142" s="22"/>
      <c r="QLE142" s="22"/>
      <c r="QLF142" s="22"/>
      <c r="QLG142" s="22"/>
      <c r="QLH142" s="22"/>
      <c r="QLI142" s="22"/>
      <c r="QLJ142" s="22"/>
      <c r="QLK142" s="22"/>
      <c r="QLL142" s="22"/>
      <c r="QLM142" s="22"/>
      <c r="QLN142" s="22"/>
      <c r="QLO142" s="22"/>
      <c r="QLP142" s="22"/>
      <c r="QLQ142" s="22"/>
      <c r="QLR142" s="22"/>
      <c r="QLS142" s="22"/>
      <c r="QLT142" s="22"/>
      <c r="QLU142" s="22"/>
      <c r="QLV142" s="22"/>
      <c r="QLW142" s="22"/>
      <c r="QLX142" s="22"/>
      <c r="QLY142" s="22"/>
      <c r="QLZ142" s="22"/>
      <c r="QMA142" s="22"/>
      <c r="QMB142" s="22"/>
      <c r="QMC142" s="22"/>
      <c r="QMD142" s="22"/>
      <c r="QME142" s="22"/>
      <c r="QMF142" s="22"/>
      <c r="QMG142" s="22"/>
      <c r="QMH142" s="22"/>
      <c r="QMI142" s="22"/>
      <c r="QMJ142" s="22"/>
      <c r="QMK142" s="22"/>
      <c r="QML142" s="22"/>
      <c r="QMM142" s="22"/>
      <c r="QMN142" s="22"/>
      <c r="QMO142" s="22"/>
      <c r="QMP142" s="22"/>
      <c r="QMQ142" s="22"/>
      <c r="QMR142" s="22"/>
      <c r="QMS142" s="22"/>
      <c r="QMT142" s="22"/>
      <c r="QMU142" s="22"/>
      <c r="QMV142" s="22"/>
      <c r="QMW142" s="22"/>
      <c r="QMX142" s="22"/>
      <c r="QMY142" s="22"/>
      <c r="QMZ142" s="22"/>
      <c r="QNA142" s="22"/>
      <c r="QNB142" s="22"/>
      <c r="QNC142" s="22"/>
      <c r="QND142" s="22"/>
      <c r="QNE142" s="22"/>
      <c r="QNF142" s="22"/>
      <c r="QNG142" s="22"/>
      <c r="QNH142" s="22"/>
      <c r="QNI142" s="22"/>
      <c r="QNJ142" s="22"/>
      <c r="QNK142" s="22"/>
      <c r="QNL142" s="22"/>
      <c r="QNM142" s="22"/>
      <c r="QNN142" s="22"/>
      <c r="QNO142" s="22"/>
      <c r="QNP142" s="22"/>
      <c r="QNQ142" s="22"/>
      <c r="QNR142" s="22"/>
      <c r="QNS142" s="22"/>
      <c r="QNT142" s="22"/>
      <c r="QNU142" s="22"/>
      <c r="QNV142" s="22"/>
      <c r="QNW142" s="22"/>
      <c r="QNX142" s="22"/>
      <c r="QNY142" s="22"/>
      <c r="QNZ142" s="22"/>
      <c r="QOA142" s="22"/>
      <c r="QOB142" s="22"/>
      <c r="QOC142" s="22"/>
      <c r="QOD142" s="22"/>
      <c r="QOE142" s="22"/>
      <c r="QOF142" s="22"/>
      <c r="QOG142" s="22"/>
      <c r="QOH142" s="22"/>
      <c r="QOI142" s="22"/>
      <c r="QOJ142" s="22"/>
      <c r="QOK142" s="22"/>
      <c r="QOL142" s="22"/>
      <c r="QOM142" s="22"/>
      <c r="QON142" s="22"/>
      <c r="QOO142" s="22"/>
      <c r="QOP142" s="22"/>
      <c r="QOQ142" s="22"/>
      <c r="QOR142" s="22"/>
      <c r="QOS142" s="22"/>
      <c r="QOT142" s="22"/>
      <c r="QOU142" s="22"/>
      <c r="QOV142" s="22"/>
      <c r="QOW142" s="22"/>
      <c r="QOX142" s="22"/>
      <c r="QOY142" s="22"/>
      <c r="QOZ142" s="22"/>
      <c r="QPA142" s="22"/>
      <c r="QPB142" s="22"/>
      <c r="QPC142" s="22"/>
      <c r="QPD142" s="22"/>
      <c r="QPE142" s="22"/>
      <c r="QPF142" s="22"/>
      <c r="QPG142" s="22"/>
      <c r="QPH142" s="22"/>
      <c r="QPI142" s="22"/>
      <c r="QPJ142" s="22"/>
      <c r="QPK142" s="22"/>
      <c r="QPL142" s="22"/>
      <c r="QPM142" s="22"/>
      <c r="QPN142" s="22"/>
      <c r="QPO142" s="22"/>
      <c r="QPP142" s="22"/>
      <c r="QPQ142" s="22"/>
      <c r="QPR142" s="22"/>
      <c r="QPS142" s="22"/>
      <c r="QPT142" s="22"/>
      <c r="QPU142" s="22"/>
      <c r="QPV142" s="22"/>
      <c r="QPW142" s="22"/>
      <c r="QPX142" s="22"/>
      <c r="QPY142" s="22"/>
      <c r="QPZ142" s="22"/>
      <c r="QQA142" s="22"/>
      <c r="QQB142" s="22"/>
      <c r="QQC142" s="22"/>
      <c r="QQD142" s="22"/>
      <c r="QQE142" s="22"/>
      <c r="QQF142" s="22"/>
      <c r="QQG142" s="22"/>
      <c r="QQH142" s="22"/>
      <c r="QQI142" s="22"/>
      <c r="QQJ142" s="22"/>
      <c r="QQK142" s="22"/>
      <c r="QQL142" s="22"/>
      <c r="QQM142" s="22"/>
      <c r="QQN142" s="22"/>
      <c r="QQO142" s="22"/>
      <c r="QQP142" s="22"/>
      <c r="QQQ142" s="22"/>
      <c r="QQR142" s="22"/>
      <c r="QQS142" s="22"/>
      <c r="QQT142" s="22"/>
      <c r="QQU142" s="22"/>
      <c r="QQV142" s="22"/>
      <c r="QQW142" s="22"/>
      <c r="QQX142" s="22"/>
      <c r="QQY142" s="22"/>
      <c r="QQZ142" s="22"/>
      <c r="QRA142" s="22"/>
      <c r="QRB142" s="22"/>
      <c r="QRC142" s="22"/>
      <c r="QRD142" s="22"/>
      <c r="QRE142" s="22"/>
      <c r="QRF142" s="22"/>
      <c r="QRG142" s="22"/>
      <c r="QRH142" s="22"/>
      <c r="QRI142" s="22"/>
      <c r="QRJ142" s="22"/>
      <c r="QRK142" s="22"/>
      <c r="QRL142" s="22"/>
      <c r="QRM142" s="22"/>
      <c r="QRN142" s="22"/>
      <c r="QRO142" s="22"/>
      <c r="QRP142" s="22"/>
      <c r="QRQ142" s="22"/>
      <c r="QRR142" s="22"/>
      <c r="QRS142" s="22"/>
      <c r="QRT142" s="22"/>
      <c r="QRU142" s="22"/>
      <c r="QRV142" s="22"/>
      <c r="QRW142" s="22"/>
      <c r="QRX142" s="22"/>
      <c r="QRY142" s="22"/>
      <c r="QRZ142" s="22"/>
      <c r="QSA142" s="22"/>
      <c r="QSB142" s="22"/>
      <c r="QSC142" s="22"/>
      <c r="QSD142" s="22"/>
      <c r="QSE142" s="22"/>
      <c r="QSF142" s="22"/>
      <c r="QSG142" s="22"/>
      <c r="QSH142" s="22"/>
      <c r="QSI142" s="22"/>
      <c r="QSJ142" s="22"/>
      <c r="QSK142" s="22"/>
      <c r="QSL142" s="22"/>
      <c r="QSM142" s="22"/>
      <c r="QSN142" s="22"/>
      <c r="QSO142" s="22"/>
      <c r="QSP142" s="22"/>
      <c r="QSQ142" s="22"/>
      <c r="QSR142" s="22"/>
      <c r="QSS142" s="22"/>
      <c r="QST142" s="22"/>
      <c r="QSU142" s="22"/>
      <c r="QSV142" s="22"/>
      <c r="QSW142" s="22"/>
      <c r="QSX142" s="22"/>
      <c r="QSY142" s="22"/>
      <c r="QSZ142" s="22"/>
      <c r="QTA142" s="22"/>
      <c r="QTB142" s="22"/>
      <c r="QTC142" s="22"/>
      <c r="QTD142" s="22"/>
      <c r="QTE142" s="22"/>
      <c r="QTF142" s="22"/>
      <c r="QTG142" s="22"/>
      <c r="QTH142" s="22"/>
      <c r="QTI142" s="22"/>
      <c r="QTJ142" s="22"/>
      <c r="QTK142" s="22"/>
      <c r="QTL142" s="22"/>
      <c r="QTM142" s="22"/>
      <c r="QTN142" s="22"/>
      <c r="QTO142" s="22"/>
      <c r="QTP142" s="22"/>
      <c r="QTQ142" s="22"/>
      <c r="QTR142" s="22"/>
      <c r="QTS142" s="22"/>
      <c r="QTT142" s="22"/>
      <c r="QTU142" s="22"/>
      <c r="QTV142" s="22"/>
      <c r="QTW142" s="22"/>
      <c r="QTX142" s="22"/>
      <c r="QTY142" s="22"/>
      <c r="QTZ142" s="22"/>
      <c r="QUA142" s="22"/>
      <c r="QUB142" s="22"/>
      <c r="QUC142" s="22"/>
      <c r="QUD142" s="22"/>
      <c r="QUE142" s="22"/>
      <c r="QUF142" s="22"/>
      <c r="QUG142" s="22"/>
      <c r="QUH142" s="22"/>
      <c r="QUI142" s="22"/>
      <c r="QUJ142" s="22"/>
      <c r="QUK142" s="22"/>
      <c r="QUL142" s="22"/>
      <c r="QUM142" s="22"/>
      <c r="QUN142" s="22"/>
      <c r="QUO142" s="22"/>
      <c r="QUP142" s="22"/>
      <c r="QUQ142" s="22"/>
      <c r="QUR142" s="22"/>
      <c r="QUS142" s="22"/>
      <c r="QUT142" s="22"/>
      <c r="QUU142" s="22"/>
      <c r="QUV142" s="22"/>
      <c r="QUW142" s="22"/>
      <c r="QUX142" s="22"/>
      <c r="QUY142" s="22"/>
      <c r="QUZ142" s="22"/>
      <c r="QVA142" s="22"/>
      <c r="QVB142" s="22"/>
      <c r="QVC142" s="22"/>
      <c r="QVD142" s="22"/>
      <c r="QVE142" s="22"/>
      <c r="QVF142" s="22"/>
      <c r="QVG142" s="22"/>
      <c r="QVH142" s="22"/>
      <c r="QVI142" s="22"/>
      <c r="QVJ142" s="22"/>
      <c r="QVK142" s="22"/>
      <c r="QVL142" s="22"/>
      <c r="QVM142" s="22"/>
      <c r="QVN142" s="22"/>
      <c r="QVO142" s="22"/>
      <c r="QVP142" s="22"/>
      <c r="QVQ142" s="22"/>
      <c r="QVR142" s="22"/>
      <c r="QVS142" s="22"/>
      <c r="QVT142" s="22"/>
      <c r="QVU142" s="22"/>
      <c r="QVV142" s="22"/>
      <c r="QVW142" s="22"/>
      <c r="QVX142" s="22"/>
      <c r="QVY142" s="22"/>
      <c r="QVZ142" s="22"/>
      <c r="QWA142" s="22"/>
      <c r="QWB142" s="22"/>
      <c r="QWC142" s="22"/>
      <c r="QWD142" s="22"/>
      <c r="QWE142" s="22"/>
      <c r="QWF142" s="22"/>
      <c r="QWG142" s="22"/>
      <c r="QWH142" s="22"/>
      <c r="QWI142" s="22"/>
      <c r="QWJ142" s="22"/>
      <c r="QWK142" s="22"/>
      <c r="QWL142" s="22"/>
      <c r="QWM142" s="22"/>
      <c r="QWN142" s="22"/>
      <c r="QWO142" s="22"/>
      <c r="QWP142" s="22"/>
      <c r="QWQ142" s="22"/>
      <c r="QWR142" s="22"/>
      <c r="QWS142" s="22"/>
      <c r="QWT142" s="22"/>
      <c r="QWU142" s="22"/>
      <c r="QWV142" s="22"/>
      <c r="QWW142" s="22"/>
      <c r="QWX142" s="22"/>
      <c r="QWY142" s="22"/>
      <c r="QWZ142" s="22"/>
      <c r="QXA142" s="22"/>
      <c r="QXB142" s="22"/>
      <c r="QXC142" s="22"/>
      <c r="QXD142" s="22"/>
      <c r="QXE142" s="22"/>
      <c r="QXF142" s="22"/>
      <c r="QXG142" s="22"/>
      <c r="QXH142" s="22"/>
      <c r="QXI142" s="22"/>
      <c r="QXJ142" s="22"/>
      <c r="QXK142" s="22"/>
      <c r="QXL142" s="22"/>
      <c r="QXM142" s="22"/>
      <c r="QXN142" s="22"/>
      <c r="QXO142" s="22"/>
      <c r="QXP142" s="22"/>
      <c r="QXQ142" s="22"/>
      <c r="QXR142" s="22"/>
      <c r="QXS142" s="22"/>
      <c r="QXT142" s="22"/>
      <c r="QXU142" s="22"/>
      <c r="QXV142" s="22"/>
      <c r="QXW142" s="22"/>
      <c r="QXX142" s="22"/>
      <c r="QXY142" s="22"/>
      <c r="QXZ142" s="22"/>
      <c r="QYA142" s="22"/>
      <c r="QYB142" s="22"/>
      <c r="QYC142" s="22"/>
      <c r="QYD142" s="22"/>
      <c r="QYE142" s="22"/>
      <c r="QYF142" s="22"/>
      <c r="QYG142" s="22"/>
      <c r="QYH142" s="22"/>
      <c r="QYI142" s="22"/>
      <c r="QYJ142" s="22"/>
      <c r="QYK142" s="22"/>
      <c r="QYL142" s="22"/>
      <c r="QYM142" s="22"/>
      <c r="QYN142" s="22"/>
      <c r="QYO142" s="22"/>
      <c r="QYP142" s="22"/>
      <c r="QYQ142" s="22"/>
      <c r="QYR142" s="22"/>
      <c r="QYS142" s="22"/>
      <c r="QYT142" s="22"/>
      <c r="QYU142" s="22"/>
      <c r="QYV142" s="22"/>
      <c r="QYW142" s="22"/>
      <c r="QYX142" s="22"/>
      <c r="QYY142" s="22"/>
      <c r="QYZ142" s="22"/>
      <c r="QZA142" s="22"/>
      <c r="QZB142" s="22"/>
      <c r="QZC142" s="22"/>
      <c r="QZD142" s="22"/>
      <c r="QZE142" s="22"/>
      <c r="QZF142" s="22"/>
      <c r="QZG142" s="22"/>
      <c r="QZH142" s="22"/>
      <c r="QZI142" s="22"/>
      <c r="QZJ142" s="22"/>
      <c r="QZK142" s="22"/>
      <c r="QZL142" s="22"/>
      <c r="QZM142" s="22"/>
      <c r="QZN142" s="22"/>
      <c r="QZO142" s="22"/>
      <c r="QZP142" s="22"/>
      <c r="QZQ142" s="22"/>
      <c r="QZR142" s="22"/>
      <c r="QZS142" s="22"/>
      <c r="QZT142" s="22"/>
      <c r="QZU142" s="22"/>
      <c r="QZV142" s="22"/>
      <c r="QZW142" s="22"/>
      <c r="QZX142" s="22"/>
      <c r="QZY142" s="22"/>
      <c r="QZZ142" s="22"/>
      <c r="RAA142" s="22"/>
      <c r="RAB142" s="22"/>
      <c r="RAC142" s="22"/>
      <c r="RAD142" s="22"/>
      <c r="RAE142" s="22"/>
      <c r="RAF142" s="22"/>
      <c r="RAG142" s="22"/>
      <c r="RAH142" s="22"/>
      <c r="RAI142" s="22"/>
      <c r="RAJ142" s="22"/>
      <c r="RAK142" s="22"/>
      <c r="RAL142" s="22"/>
      <c r="RAM142" s="22"/>
      <c r="RAN142" s="22"/>
      <c r="RAO142" s="22"/>
      <c r="RAP142" s="22"/>
      <c r="RAQ142" s="22"/>
      <c r="RAR142" s="22"/>
      <c r="RAS142" s="22"/>
      <c r="RAT142" s="22"/>
      <c r="RAU142" s="22"/>
      <c r="RAV142" s="22"/>
      <c r="RAW142" s="22"/>
      <c r="RAX142" s="22"/>
      <c r="RAY142" s="22"/>
      <c r="RAZ142" s="22"/>
      <c r="RBA142" s="22"/>
      <c r="RBB142" s="22"/>
      <c r="RBC142" s="22"/>
      <c r="RBD142" s="22"/>
      <c r="RBE142" s="22"/>
      <c r="RBF142" s="22"/>
      <c r="RBG142" s="22"/>
      <c r="RBH142" s="22"/>
      <c r="RBI142" s="22"/>
      <c r="RBJ142" s="22"/>
      <c r="RBK142" s="22"/>
      <c r="RBL142" s="22"/>
      <c r="RBM142" s="22"/>
      <c r="RBN142" s="22"/>
      <c r="RBO142" s="22"/>
      <c r="RBP142" s="22"/>
      <c r="RBQ142" s="22"/>
      <c r="RBR142" s="22"/>
      <c r="RBS142" s="22"/>
      <c r="RBT142" s="22"/>
      <c r="RBU142" s="22"/>
      <c r="RBV142" s="22"/>
      <c r="RBW142" s="22"/>
      <c r="RBX142" s="22"/>
      <c r="RBY142" s="22"/>
      <c r="RBZ142" s="22"/>
      <c r="RCA142" s="22"/>
      <c r="RCB142" s="22"/>
      <c r="RCC142" s="22"/>
      <c r="RCD142" s="22"/>
      <c r="RCE142" s="22"/>
      <c r="RCF142" s="22"/>
      <c r="RCG142" s="22"/>
      <c r="RCH142" s="22"/>
      <c r="RCI142" s="22"/>
      <c r="RCJ142" s="22"/>
      <c r="RCK142" s="22"/>
      <c r="RCL142" s="22"/>
      <c r="RCM142" s="22"/>
      <c r="RCN142" s="22"/>
      <c r="RCO142" s="22"/>
      <c r="RCP142" s="22"/>
      <c r="RCQ142" s="22"/>
      <c r="RCR142" s="22"/>
      <c r="RCS142" s="22"/>
      <c r="RCT142" s="22"/>
      <c r="RCU142" s="22"/>
      <c r="RCV142" s="22"/>
      <c r="RCW142" s="22"/>
      <c r="RCX142" s="22"/>
      <c r="RCY142" s="22"/>
      <c r="RCZ142" s="22"/>
      <c r="RDA142" s="22"/>
      <c r="RDB142" s="22"/>
      <c r="RDC142" s="22"/>
      <c r="RDD142" s="22"/>
      <c r="RDE142" s="22"/>
      <c r="RDF142" s="22"/>
      <c r="RDG142" s="22"/>
      <c r="RDH142" s="22"/>
      <c r="RDI142" s="22"/>
      <c r="RDJ142" s="22"/>
      <c r="RDK142" s="22"/>
      <c r="RDL142" s="22"/>
      <c r="RDM142" s="22"/>
      <c r="RDN142" s="22"/>
      <c r="RDO142" s="22"/>
      <c r="RDP142" s="22"/>
      <c r="RDQ142" s="22"/>
      <c r="RDR142" s="22"/>
      <c r="RDS142" s="22"/>
      <c r="RDT142" s="22"/>
      <c r="RDU142" s="22"/>
      <c r="RDV142" s="22"/>
      <c r="RDW142" s="22"/>
      <c r="RDX142" s="22"/>
      <c r="RDY142" s="22"/>
      <c r="RDZ142" s="22"/>
      <c r="REA142" s="22"/>
      <c r="REB142" s="22"/>
      <c r="REC142" s="22"/>
      <c r="RED142" s="22"/>
      <c r="REE142" s="22"/>
      <c r="REF142" s="22"/>
      <c r="REG142" s="22"/>
      <c r="REH142" s="22"/>
      <c r="REI142" s="22"/>
      <c r="REJ142" s="22"/>
      <c r="REK142" s="22"/>
      <c r="REL142" s="22"/>
      <c r="REM142" s="22"/>
      <c r="REN142" s="22"/>
      <c r="REO142" s="22"/>
      <c r="REP142" s="22"/>
      <c r="REQ142" s="22"/>
      <c r="RER142" s="22"/>
      <c r="RES142" s="22"/>
      <c r="RET142" s="22"/>
      <c r="REU142" s="22"/>
      <c r="REV142" s="22"/>
      <c r="REW142" s="22"/>
      <c r="REX142" s="22"/>
      <c r="REY142" s="22"/>
      <c r="REZ142" s="22"/>
      <c r="RFA142" s="22"/>
      <c r="RFB142" s="22"/>
      <c r="RFC142" s="22"/>
      <c r="RFD142" s="22"/>
      <c r="RFE142" s="22"/>
      <c r="RFF142" s="22"/>
      <c r="RFG142" s="22"/>
      <c r="RFH142" s="22"/>
      <c r="RFI142" s="22"/>
      <c r="RFJ142" s="22"/>
      <c r="RFK142" s="22"/>
      <c r="RFL142" s="22"/>
      <c r="RFM142" s="22"/>
      <c r="RFN142" s="22"/>
      <c r="RFO142" s="22"/>
      <c r="RFP142" s="22"/>
      <c r="RFQ142" s="22"/>
      <c r="RFR142" s="22"/>
      <c r="RFS142" s="22"/>
      <c r="RFT142" s="22"/>
      <c r="RFU142" s="22"/>
      <c r="RFV142" s="22"/>
      <c r="RFW142" s="22"/>
      <c r="RFX142" s="22"/>
      <c r="RFY142" s="22"/>
      <c r="RFZ142" s="22"/>
      <c r="RGA142" s="22"/>
      <c r="RGB142" s="22"/>
      <c r="RGC142" s="22"/>
      <c r="RGD142" s="22"/>
      <c r="RGE142" s="22"/>
      <c r="RGF142" s="22"/>
      <c r="RGG142" s="22"/>
      <c r="RGH142" s="22"/>
      <c r="RGI142" s="22"/>
      <c r="RGJ142" s="22"/>
      <c r="RGK142" s="22"/>
      <c r="RGL142" s="22"/>
      <c r="RGM142" s="22"/>
      <c r="RGN142" s="22"/>
      <c r="RGO142" s="22"/>
      <c r="RGP142" s="22"/>
      <c r="RGQ142" s="22"/>
      <c r="RGR142" s="22"/>
      <c r="RGS142" s="22"/>
      <c r="RGT142" s="22"/>
      <c r="RGU142" s="22"/>
      <c r="RGV142" s="22"/>
      <c r="RGW142" s="22"/>
      <c r="RGX142" s="22"/>
      <c r="RGY142" s="22"/>
      <c r="RGZ142" s="22"/>
      <c r="RHA142" s="22"/>
      <c r="RHB142" s="22"/>
      <c r="RHC142" s="22"/>
      <c r="RHD142" s="22"/>
      <c r="RHE142" s="22"/>
      <c r="RHF142" s="22"/>
      <c r="RHG142" s="22"/>
      <c r="RHH142" s="22"/>
      <c r="RHI142" s="22"/>
      <c r="RHJ142" s="22"/>
      <c r="RHK142" s="22"/>
      <c r="RHL142" s="22"/>
      <c r="RHM142" s="22"/>
      <c r="RHN142" s="22"/>
      <c r="RHO142" s="22"/>
      <c r="RHP142" s="22"/>
      <c r="RHQ142" s="22"/>
      <c r="RHR142" s="22"/>
      <c r="RHS142" s="22"/>
      <c r="RHT142" s="22"/>
      <c r="RHU142" s="22"/>
      <c r="RHV142" s="22"/>
      <c r="RHW142" s="22"/>
      <c r="RHX142" s="22"/>
      <c r="RHY142" s="22"/>
      <c r="RHZ142" s="22"/>
      <c r="RIA142" s="22"/>
      <c r="RIB142" s="22"/>
      <c r="RIC142" s="22"/>
      <c r="RID142" s="22"/>
      <c r="RIE142" s="22"/>
      <c r="RIF142" s="22"/>
      <c r="RIG142" s="22"/>
      <c r="RIH142" s="22"/>
      <c r="RII142" s="22"/>
      <c r="RIJ142" s="22"/>
      <c r="RIK142" s="22"/>
      <c r="RIL142" s="22"/>
      <c r="RIM142" s="22"/>
      <c r="RIN142" s="22"/>
      <c r="RIO142" s="22"/>
      <c r="RIP142" s="22"/>
      <c r="RIQ142" s="22"/>
      <c r="RIR142" s="22"/>
      <c r="RIS142" s="22"/>
      <c r="RIT142" s="22"/>
      <c r="RIU142" s="22"/>
      <c r="RIV142" s="22"/>
      <c r="RIW142" s="22"/>
      <c r="RIX142" s="22"/>
      <c r="RIY142" s="22"/>
      <c r="RIZ142" s="22"/>
      <c r="RJA142" s="22"/>
      <c r="RJB142" s="22"/>
      <c r="RJC142" s="22"/>
      <c r="RJD142" s="22"/>
      <c r="RJE142" s="22"/>
      <c r="RJF142" s="22"/>
      <c r="RJG142" s="22"/>
      <c r="RJH142" s="22"/>
      <c r="RJI142" s="22"/>
      <c r="RJJ142" s="22"/>
      <c r="RJK142" s="22"/>
      <c r="RJL142" s="22"/>
      <c r="RJM142" s="22"/>
      <c r="RJN142" s="22"/>
      <c r="RJO142" s="22"/>
      <c r="RJP142" s="22"/>
      <c r="RJQ142" s="22"/>
      <c r="RJR142" s="22"/>
      <c r="RJS142" s="22"/>
      <c r="RJT142" s="22"/>
      <c r="RJU142" s="22"/>
      <c r="RJV142" s="22"/>
      <c r="RJW142" s="22"/>
      <c r="RJX142" s="22"/>
      <c r="RJY142" s="22"/>
      <c r="RJZ142" s="22"/>
      <c r="RKA142" s="22"/>
      <c r="RKB142" s="22"/>
      <c r="RKC142" s="22"/>
      <c r="RKD142" s="22"/>
      <c r="RKE142" s="22"/>
      <c r="RKF142" s="22"/>
      <c r="RKG142" s="22"/>
      <c r="RKH142" s="22"/>
      <c r="RKI142" s="22"/>
      <c r="RKJ142" s="22"/>
      <c r="RKK142" s="22"/>
      <c r="RKL142" s="22"/>
      <c r="RKM142" s="22"/>
      <c r="RKN142" s="22"/>
      <c r="RKO142" s="22"/>
      <c r="RKP142" s="22"/>
      <c r="RKQ142" s="22"/>
      <c r="RKR142" s="22"/>
      <c r="RKS142" s="22"/>
      <c r="RKT142" s="22"/>
      <c r="RKU142" s="22"/>
      <c r="RKV142" s="22"/>
      <c r="RKW142" s="22"/>
      <c r="RKX142" s="22"/>
      <c r="RKY142" s="22"/>
      <c r="RKZ142" s="22"/>
      <c r="RLA142" s="22"/>
      <c r="RLB142" s="22"/>
      <c r="RLC142" s="22"/>
      <c r="RLD142" s="22"/>
      <c r="RLE142" s="22"/>
      <c r="RLF142" s="22"/>
      <c r="RLG142" s="22"/>
      <c r="RLH142" s="22"/>
      <c r="RLI142" s="22"/>
      <c r="RLJ142" s="22"/>
      <c r="RLK142" s="22"/>
      <c r="RLL142" s="22"/>
      <c r="RLM142" s="22"/>
      <c r="RLN142" s="22"/>
      <c r="RLO142" s="22"/>
      <c r="RLP142" s="22"/>
      <c r="RLQ142" s="22"/>
      <c r="RLR142" s="22"/>
      <c r="RLS142" s="22"/>
      <c r="RLT142" s="22"/>
      <c r="RLU142" s="22"/>
      <c r="RLV142" s="22"/>
      <c r="RLW142" s="22"/>
      <c r="RLX142" s="22"/>
      <c r="RLY142" s="22"/>
      <c r="RLZ142" s="22"/>
      <c r="RMA142" s="22"/>
      <c r="RMB142" s="22"/>
      <c r="RMC142" s="22"/>
      <c r="RMD142" s="22"/>
      <c r="RME142" s="22"/>
      <c r="RMF142" s="22"/>
      <c r="RMG142" s="22"/>
      <c r="RMH142" s="22"/>
      <c r="RMI142" s="22"/>
      <c r="RMJ142" s="22"/>
      <c r="RMK142" s="22"/>
      <c r="RML142" s="22"/>
      <c r="RMM142" s="22"/>
      <c r="RMN142" s="22"/>
      <c r="RMO142" s="22"/>
      <c r="RMP142" s="22"/>
      <c r="RMQ142" s="22"/>
      <c r="RMR142" s="22"/>
      <c r="RMS142" s="22"/>
      <c r="RMT142" s="22"/>
      <c r="RMU142" s="22"/>
      <c r="RMV142" s="22"/>
      <c r="RMW142" s="22"/>
      <c r="RMX142" s="22"/>
      <c r="RMY142" s="22"/>
      <c r="RMZ142" s="22"/>
      <c r="RNA142" s="22"/>
      <c r="RNB142" s="22"/>
      <c r="RNC142" s="22"/>
      <c r="RND142" s="22"/>
      <c r="RNE142" s="22"/>
      <c r="RNF142" s="22"/>
      <c r="RNG142" s="22"/>
      <c r="RNH142" s="22"/>
      <c r="RNI142" s="22"/>
      <c r="RNJ142" s="22"/>
      <c r="RNK142" s="22"/>
      <c r="RNL142" s="22"/>
      <c r="RNM142" s="22"/>
      <c r="RNN142" s="22"/>
      <c r="RNO142" s="22"/>
      <c r="RNP142" s="22"/>
      <c r="RNQ142" s="22"/>
      <c r="RNR142" s="22"/>
      <c r="RNS142" s="22"/>
      <c r="RNT142" s="22"/>
      <c r="RNU142" s="22"/>
      <c r="RNV142" s="22"/>
      <c r="RNW142" s="22"/>
      <c r="RNX142" s="22"/>
      <c r="RNY142" s="22"/>
      <c r="RNZ142" s="22"/>
      <c r="ROA142" s="22"/>
      <c r="ROB142" s="22"/>
      <c r="ROC142" s="22"/>
      <c r="ROD142" s="22"/>
      <c r="ROE142" s="22"/>
      <c r="ROF142" s="22"/>
      <c r="ROG142" s="22"/>
      <c r="ROH142" s="22"/>
      <c r="ROI142" s="22"/>
      <c r="ROJ142" s="22"/>
      <c r="ROK142" s="22"/>
      <c r="ROL142" s="22"/>
      <c r="ROM142" s="22"/>
      <c r="RON142" s="22"/>
      <c r="ROO142" s="22"/>
      <c r="ROP142" s="22"/>
      <c r="ROQ142" s="22"/>
      <c r="ROR142" s="22"/>
      <c r="ROS142" s="22"/>
      <c r="ROT142" s="22"/>
      <c r="ROU142" s="22"/>
      <c r="ROV142" s="22"/>
      <c r="ROW142" s="22"/>
      <c r="ROX142" s="22"/>
      <c r="ROY142" s="22"/>
      <c r="ROZ142" s="22"/>
      <c r="RPA142" s="22"/>
      <c r="RPB142" s="22"/>
      <c r="RPC142" s="22"/>
      <c r="RPD142" s="22"/>
      <c r="RPE142" s="22"/>
      <c r="RPF142" s="22"/>
      <c r="RPG142" s="22"/>
      <c r="RPH142" s="22"/>
      <c r="RPI142" s="22"/>
      <c r="RPJ142" s="22"/>
      <c r="RPK142" s="22"/>
      <c r="RPL142" s="22"/>
      <c r="RPM142" s="22"/>
      <c r="RPN142" s="22"/>
      <c r="RPO142" s="22"/>
      <c r="RPP142" s="22"/>
      <c r="RPQ142" s="22"/>
      <c r="RPR142" s="22"/>
      <c r="RPS142" s="22"/>
      <c r="RPT142" s="22"/>
      <c r="RPU142" s="22"/>
      <c r="RPV142" s="22"/>
      <c r="RPW142" s="22"/>
      <c r="RPX142" s="22"/>
      <c r="RPY142" s="22"/>
      <c r="RPZ142" s="22"/>
      <c r="RQA142" s="22"/>
      <c r="RQB142" s="22"/>
      <c r="RQC142" s="22"/>
      <c r="RQD142" s="22"/>
      <c r="RQE142" s="22"/>
      <c r="RQF142" s="22"/>
      <c r="RQG142" s="22"/>
      <c r="RQH142" s="22"/>
      <c r="RQI142" s="22"/>
      <c r="RQJ142" s="22"/>
      <c r="RQK142" s="22"/>
      <c r="RQL142" s="22"/>
      <c r="RQM142" s="22"/>
      <c r="RQN142" s="22"/>
      <c r="RQO142" s="22"/>
      <c r="RQP142" s="22"/>
      <c r="RQQ142" s="22"/>
      <c r="RQR142" s="22"/>
      <c r="RQS142" s="22"/>
      <c r="RQT142" s="22"/>
      <c r="RQU142" s="22"/>
      <c r="RQV142" s="22"/>
      <c r="RQW142" s="22"/>
      <c r="RQX142" s="22"/>
      <c r="RQY142" s="22"/>
      <c r="RQZ142" s="22"/>
      <c r="RRA142" s="22"/>
      <c r="RRB142" s="22"/>
      <c r="RRC142" s="22"/>
      <c r="RRD142" s="22"/>
      <c r="RRE142" s="22"/>
      <c r="RRF142" s="22"/>
      <c r="RRG142" s="22"/>
      <c r="RRH142" s="22"/>
      <c r="RRI142" s="22"/>
      <c r="RRJ142" s="22"/>
      <c r="RRK142" s="22"/>
      <c r="RRL142" s="22"/>
      <c r="RRM142" s="22"/>
      <c r="RRN142" s="22"/>
      <c r="RRO142" s="22"/>
      <c r="RRP142" s="22"/>
      <c r="RRQ142" s="22"/>
      <c r="RRR142" s="22"/>
      <c r="RRS142" s="22"/>
      <c r="RRT142" s="22"/>
      <c r="RRU142" s="22"/>
      <c r="RRV142" s="22"/>
      <c r="RRW142" s="22"/>
      <c r="RRX142" s="22"/>
      <c r="RRY142" s="22"/>
      <c r="RRZ142" s="22"/>
      <c r="RSA142" s="22"/>
      <c r="RSB142" s="22"/>
      <c r="RSC142" s="22"/>
      <c r="RSD142" s="22"/>
      <c r="RSE142" s="22"/>
      <c r="RSF142" s="22"/>
      <c r="RSG142" s="22"/>
      <c r="RSH142" s="22"/>
      <c r="RSI142" s="22"/>
      <c r="RSJ142" s="22"/>
      <c r="RSK142" s="22"/>
      <c r="RSL142" s="22"/>
      <c r="RSM142" s="22"/>
      <c r="RSN142" s="22"/>
      <c r="RSO142" s="22"/>
      <c r="RSP142" s="22"/>
      <c r="RSQ142" s="22"/>
      <c r="RSR142" s="22"/>
      <c r="RSS142" s="22"/>
      <c r="RST142" s="22"/>
      <c r="RSU142" s="22"/>
      <c r="RSV142" s="22"/>
      <c r="RSW142" s="22"/>
      <c r="RSX142" s="22"/>
      <c r="RSY142" s="22"/>
      <c r="RSZ142" s="22"/>
      <c r="RTA142" s="22"/>
      <c r="RTB142" s="22"/>
      <c r="RTC142" s="22"/>
      <c r="RTD142" s="22"/>
      <c r="RTE142" s="22"/>
      <c r="RTF142" s="22"/>
      <c r="RTG142" s="22"/>
      <c r="RTH142" s="22"/>
      <c r="RTI142" s="22"/>
      <c r="RTJ142" s="22"/>
      <c r="RTK142" s="22"/>
      <c r="RTL142" s="22"/>
      <c r="RTM142" s="22"/>
      <c r="RTN142" s="22"/>
      <c r="RTO142" s="22"/>
      <c r="RTP142" s="22"/>
      <c r="RTQ142" s="22"/>
      <c r="RTR142" s="22"/>
      <c r="RTS142" s="22"/>
      <c r="RTT142" s="22"/>
      <c r="RTU142" s="22"/>
      <c r="RTV142" s="22"/>
      <c r="RTW142" s="22"/>
      <c r="RTX142" s="22"/>
      <c r="RTY142" s="22"/>
      <c r="RTZ142" s="22"/>
      <c r="RUA142" s="22"/>
      <c r="RUB142" s="22"/>
      <c r="RUC142" s="22"/>
      <c r="RUD142" s="22"/>
      <c r="RUE142" s="22"/>
      <c r="RUF142" s="22"/>
      <c r="RUG142" s="22"/>
      <c r="RUH142" s="22"/>
      <c r="RUI142" s="22"/>
      <c r="RUJ142" s="22"/>
      <c r="RUK142" s="22"/>
      <c r="RUL142" s="22"/>
      <c r="RUM142" s="22"/>
      <c r="RUN142" s="22"/>
      <c r="RUO142" s="22"/>
      <c r="RUP142" s="22"/>
      <c r="RUQ142" s="22"/>
      <c r="RUR142" s="22"/>
      <c r="RUS142" s="22"/>
      <c r="RUT142" s="22"/>
      <c r="RUU142" s="22"/>
      <c r="RUV142" s="22"/>
      <c r="RUW142" s="22"/>
      <c r="RUX142" s="22"/>
      <c r="RUY142" s="22"/>
      <c r="RUZ142" s="22"/>
      <c r="RVA142" s="22"/>
      <c r="RVB142" s="22"/>
      <c r="RVC142" s="22"/>
      <c r="RVD142" s="22"/>
      <c r="RVE142" s="22"/>
      <c r="RVF142" s="22"/>
      <c r="RVG142" s="22"/>
      <c r="RVH142" s="22"/>
      <c r="RVI142" s="22"/>
      <c r="RVJ142" s="22"/>
      <c r="RVK142" s="22"/>
      <c r="RVL142" s="22"/>
      <c r="RVM142" s="22"/>
      <c r="RVN142" s="22"/>
      <c r="RVO142" s="22"/>
      <c r="RVP142" s="22"/>
      <c r="RVQ142" s="22"/>
      <c r="RVR142" s="22"/>
      <c r="RVS142" s="22"/>
      <c r="RVT142" s="22"/>
      <c r="RVU142" s="22"/>
      <c r="RVV142" s="22"/>
      <c r="RVW142" s="22"/>
      <c r="RVX142" s="22"/>
      <c r="RVY142" s="22"/>
      <c r="RVZ142" s="22"/>
      <c r="RWA142" s="22"/>
      <c r="RWB142" s="22"/>
      <c r="RWC142" s="22"/>
      <c r="RWD142" s="22"/>
      <c r="RWE142" s="22"/>
      <c r="RWF142" s="22"/>
      <c r="RWG142" s="22"/>
      <c r="RWH142" s="22"/>
      <c r="RWI142" s="22"/>
      <c r="RWJ142" s="22"/>
      <c r="RWK142" s="22"/>
      <c r="RWL142" s="22"/>
      <c r="RWM142" s="22"/>
      <c r="RWN142" s="22"/>
      <c r="RWO142" s="22"/>
      <c r="RWP142" s="22"/>
      <c r="RWQ142" s="22"/>
      <c r="RWR142" s="22"/>
      <c r="RWS142" s="22"/>
      <c r="RWT142" s="22"/>
      <c r="RWU142" s="22"/>
      <c r="RWV142" s="22"/>
      <c r="RWW142" s="22"/>
      <c r="RWX142" s="22"/>
      <c r="RWY142" s="22"/>
      <c r="RWZ142" s="22"/>
      <c r="RXA142" s="22"/>
      <c r="RXB142" s="22"/>
      <c r="RXC142" s="22"/>
      <c r="RXD142" s="22"/>
      <c r="RXE142" s="22"/>
      <c r="RXF142" s="22"/>
      <c r="RXG142" s="22"/>
      <c r="RXH142" s="22"/>
      <c r="RXI142" s="22"/>
      <c r="RXJ142" s="22"/>
      <c r="RXK142" s="22"/>
      <c r="RXL142" s="22"/>
      <c r="RXM142" s="22"/>
      <c r="RXN142" s="22"/>
      <c r="RXO142" s="22"/>
      <c r="RXP142" s="22"/>
      <c r="RXQ142" s="22"/>
      <c r="RXR142" s="22"/>
      <c r="RXS142" s="22"/>
      <c r="RXT142" s="22"/>
      <c r="RXU142" s="22"/>
      <c r="RXV142" s="22"/>
      <c r="RXW142" s="22"/>
      <c r="RXX142" s="22"/>
      <c r="RXY142" s="22"/>
      <c r="RXZ142" s="22"/>
      <c r="RYA142" s="22"/>
      <c r="RYB142" s="22"/>
      <c r="RYC142" s="22"/>
      <c r="RYD142" s="22"/>
      <c r="RYE142" s="22"/>
      <c r="RYF142" s="22"/>
      <c r="RYG142" s="22"/>
      <c r="RYH142" s="22"/>
      <c r="RYI142" s="22"/>
      <c r="RYJ142" s="22"/>
      <c r="RYK142" s="22"/>
      <c r="RYL142" s="22"/>
      <c r="RYM142" s="22"/>
      <c r="RYN142" s="22"/>
      <c r="RYO142" s="22"/>
      <c r="RYP142" s="22"/>
      <c r="RYQ142" s="22"/>
      <c r="RYR142" s="22"/>
      <c r="RYS142" s="22"/>
      <c r="RYT142" s="22"/>
      <c r="RYU142" s="22"/>
      <c r="RYV142" s="22"/>
      <c r="RYW142" s="22"/>
      <c r="RYX142" s="22"/>
      <c r="RYY142" s="22"/>
      <c r="RYZ142" s="22"/>
      <c r="RZA142" s="22"/>
      <c r="RZB142" s="22"/>
      <c r="RZC142" s="22"/>
      <c r="RZD142" s="22"/>
      <c r="RZE142" s="22"/>
      <c r="RZF142" s="22"/>
      <c r="RZG142" s="22"/>
      <c r="RZH142" s="22"/>
      <c r="RZI142" s="22"/>
      <c r="RZJ142" s="22"/>
      <c r="RZK142" s="22"/>
      <c r="RZL142" s="22"/>
      <c r="RZM142" s="22"/>
      <c r="RZN142" s="22"/>
      <c r="RZO142" s="22"/>
      <c r="RZP142" s="22"/>
      <c r="RZQ142" s="22"/>
      <c r="RZR142" s="22"/>
      <c r="RZS142" s="22"/>
      <c r="RZT142" s="22"/>
      <c r="RZU142" s="22"/>
      <c r="RZV142" s="22"/>
      <c r="RZW142" s="22"/>
      <c r="RZX142" s="22"/>
      <c r="RZY142" s="22"/>
      <c r="RZZ142" s="22"/>
      <c r="SAA142" s="22"/>
      <c r="SAB142" s="22"/>
      <c r="SAC142" s="22"/>
      <c r="SAD142" s="22"/>
      <c r="SAE142" s="22"/>
      <c r="SAF142" s="22"/>
      <c r="SAG142" s="22"/>
      <c r="SAH142" s="22"/>
      <c r="SAI142" s="22"/>
      <c r="SAJ142" s="22"/>
      <c r="SAK142" s="22"/>
      <c r="SAL142" s="22"/>
      <c r="SAM142" s="22"/>
      <c r="SAN142" s="22"/>
      <c r="SAO142" s="22"/>
      <c r="SAP142" s="22"/>
      <c r="SAQ142" s="22"/>
      <c r="SAR142" s="22"/>
      <c r="SAS142" s="22"/>
      <c r="SAT142" s="22"/>
      <c r="SAU142" s="22"/>
      <c r="SAV142" s="22"/>
      <c r="SAW142" s="22"/>
      <c r="SAX142" s="22"/>
      <c r="SAY142" s="22"/>
      <c r="SAZ142" s="22"/>
      <c r="SBA142" s="22"/>
      <c r="SBB142" s="22"/>
      <c r="SBC142" s="22"/>
      <c r="SBD142" s="22"/>
      <c r="SBE142" s="22"/>
      <c r="SBF142" s="22"/>
      <c r="SBG142" s="22"/>
      <c r="SBH142" s="22"/>
      <c r="SBI142" s="22"/>
      <c r="SBJ142" s="22"/>
      <c r="SBK142" s="22"/>
      <c r="SBL142" s="22"/>
      <c r="SBM142" s="22"/>
      <c r="SBN142" s="22"/>
      <c r="SBO142" s="22"/>
      <c r="SBP142" s="22"/>
      <c r="SBQ142" s="22"/>
      <c r="SBR142" s="22"/>
      <c r="SBS142" s="22"/>
      <c r="SBT142" s="22"/>
      <c r="SBU142" s="22"/>
      <c r="SBV142" s="22"/>
      <c r="SBW142" s="22"/>
      <c r="SBX142" s="22"/>
      <c r="SBY142" s="22"/>
      <c r="SBZ142" s="22"/>
      <c r="SCA142" s="22"/>
      <c r="SCB142" s="22"/>
      <c r="SCC142" s="22"/>
      <c r="SCD142" s="22"/>
      <c r="SCE142" s="22"/>
      <c r="SCF142" s="22"/>
      <c r="SCG142" s="22"/>
      <c r="SCH142" s="22"/>
      <c r="SCI142" s="22"/>
      <c r="SCJ142" s="22"/>
      <c r="SCK142" s="22"/>
      <c r="SCL142" s="22"/>
      <c r="SCM142" s="22"/>
      <c r="SCN142" s="22"/>
      <c r="SCO142" s="22"/>
      <c r="SCP142" s="22"/>
      <c r="SCQ142" s="22"/>
      <c r="SCR142" s="22"/>
      <c r="SCS142" s="22"/>
      <c r="SCT142" s="22"/>
      <c r="SCU142" s="22"/>
      <c r="SCV142" s="22"/>
      <c r="SCW142" s="22"/>
      <c r="SCX142" s="22"/>
      <c r="SCY142" s="22"/>
      <c r="SCZ142" s="22"/>
      <c r="SDA142" s="22"/>
      <c r="SDB142" s="22"/>
      <c r="SDC142" s="22"/>
      <c r="SDD142" s="22"/>
      <c r="SDE142" s="22"/>
      <c r="SDF142" s="22"/>
      <c r="SDG142" s="22"/>
      <c r="SDH142" s="22"/>
      <c r="SDI142" s="22"/>
      <c r="SDJ142" s="22"/>
      <c r="SDK142" s="22"/>
      <c r="SDL142" s="22"/>
      <c r="SDM142" s="22"/>
      <c r="SDN142" s="22"/>
      <c r="SDO142" s="22"/>
      <c r="SDP142" s="22"/>
      <c r="SDQ142" s="22"/>
      <c r="SDR142" s="22"/>
      <c r="SDS142" s="22"/>
      <c r="SDT142" s="22"/>
      <c r="SDU142" s="22"/>
      <c r="SDV142" s="22"/>
      <c r="SDW142" s="22"/>
      <c r="SDX142" s="22"/>
      <c r="SDY142" s="22"/>
      <c r="SDZ142" s="22"/>
      <c r="SEA142" s="22"/>
      <c r="SEB142" s="22"/>
      <c r="SEC142" s="22"/>
      <c r="SED142" s="22"/>
      <c r="SEE142" s="22"/>
      <c r="SEF142" s="22"/>
      <c r="SEG142" s="22"/>
      <c r="SEH142" s="22"/>
      <c r="SEI142" s="22"/>
      <c r="SEJ142" s="22"/>
      <c r="SEK142" s="22"/>
      <c r="SEL142" s="22"/>
      <c r="SEM142" s="22"/>
      <c r="SEN142" s="22"/>
      <c r="SEO142" s="22"/>
      <c r="SEP142" s="22"/>
      <c r="SEQ142" s="22"/>
      <c r="SER142" s="22"/>
      <c r="SES142" s="22"/>
      <c r="SET142" s="22"/>
      <c r="SEU142" s="22"/>
      <c r="SEV142" s="22"/>
      <c r="SEW142" s="22"/>
      <c r="SEX142" s="22"/>
      <c r="SEY142" s="22"/>
      <c r="SEZ142" s="22"/>
      <c r="SFA142" s="22"/>
      <c r="SFB142" s="22"/>
      <c r="SFC142" s="22"/>
      <c r="SFD142" s="22"/>
      <c r="SFE142" s="22"/>
      <c r="SFF142" s="22"/>
      <c r="SFG142" s="22"/>
      <c r="SFH142" s="22"/>
      <c r="SFI142" s="22"/>
      <c r="SFJ142" s="22"/>
      <c r="SFK142" s="22"/>
      <c r="SFL142" s="22"/>
      <c r="SFM142" s="22"/>
      <c r="SFN142" s="22"/>
      <c r="SFO142" s="22"/>
      <c r="SFP142" s="22"/>
      <c r="SFQ142" s="22"/>
      <c r="SFR142" s="22"/>
      <c r="SFS142" s="22"/>
      <c r="SFT142" s="22"/>
      <c r="SFU142" s="22"/>
      <c r="SFV142" s="22"/>
      <c r="SFW142" s="22"/>
      <c r="SFX142" s="22"/>
      <c r="SFY142" s="22"/>
      <c r="SFZ142" s="22"/>
      <c r="SGA142" s="22"/>
      <c r="SGB142" s="22"/>
      <c r="SGC142" s="22"/>
      <c r="SGD142" s="22"/>
      <c r="SGE142" s="22"/>
      <c r="SGF142" s="22"/>
      <c r="SGG142" s="22"/>
      <c r="SGH142" s="22"/>
      <c r="SGI142" s="22"/>
      <c r="SGJ142" s="22"/>
      <c r="SGK142" s="22"/>
      <c r="SGL142" s="22"/>
      <c r="SGM142" s="22"/>
      <c r="SGN142" s="22"/>
      <c r="SGO142" s="22"/>
      <c r="SGP142" s="22"/>
      <c r="SGQ142" s="22"/>
      <c r="SGR142" s="22"/>
      <c r="SGS142" s="22"/>
      <c r="SGT142" s="22"/>
      <c r="SGU142" s="22"/>
      <c r="SGV142" s="22"/>
      <c r="SGW142" s="22"/>
      <c r="SGX142" s="22"/>
      <c r="SGY142" s="22"/>
      <c r="SGZ142" s="22"/>
      <c r="SHA142" s="22"/>
      <c r="SHB142" s="22"/>
      <c r="SHC142" s="22"/>
      <c r="SHD142" s="22"/>
      <c r="SHE142" s="22"/>
      <c r="SHF142" s="22"/>
      <c r="SHG142" s="22"/>
      <c r="SHH142" s="22"/>
      <c r="SHI142" s="22"/>
      <c r="SHJ142" s="22"/>
      <c r="SHK142" s="22"/>
      <c r="SHL142" s="22"/>
      <c r="SHM142" s="22"/>
      <c r="SHN142" s="22"/>
      <c r="SHO142" s="22"/>
      <c r="SHP142" s="22"/>
      <c r="SHQ142" s="22"/>
      <c r="SHR142" s="22"/>
      <c r="SHS142" s="22"/>
      <c r="SHT142" s="22"/>
      <c r="SHU142" s="22"/>
      <c r="SHV142" s="22"/>
      <c r="SHW142" s="22"/>
      <c r="SHX142" s="22"/>
      <c r="SHY142" s="22"/>
      <c r="SHZ142" s="22"/>
      <c r="SIA142" s="22"/>
      <c r="SIB142" s="22"/>
      <c r="SIC142" s="22"/>
      <c r="SID142" s="22"/>
      <c r="SIE142" s="22"/>
      <c r="SIF142" s="22"/>
      <c r="SIG142" s="22"/>
      <c r="SIH142" s="22"/>
      <c r="SII142" s="22"/>
      <c r="SIJ142" s="22"/>
      <c r="SIK142" s="22"/>
      <c r="SIL142" s="22"/>
      <c r="SIM142" s="22"/>
      <c r="SIN142" s="22"/>
      <c r="SIO142" s="22"/>
      <c r="SIP142" s="22"/>
      <c r="SIQ142" s="22"/>
      <c r="SIR142" s="22"/>
      <c r="SIS142" s="22"/>
      <c r="SIT142" s="22"/>
      <c r="SIU142" s="22"/>
      <c r="SIV142" s="22"/>
      <c r="SIW142" s="22"/>
      <c r="SIX142" s="22"/>
      <c r="SIY142" s="22"/>
      <c r="SIZ142" s="22"/>
      <c r="SJA142" s="22"/>
      <c r="SJB142" s="22"/>
      <c r="SJC142" s="22"/>
      <c r="SJD142" s="22"/>
      <c r="SJE142" s="22"/>
      <c r="SJF142" s="22"/>
      <c r="SJG142" s="22"/>
      <c r="SJH142" s="22"/>
      <c r="SJI142" s="22"/>
      <c r="SJJ142" s="22"/>
      <c r="SJK142" s="22"/>
      <c r="SJL142" s="22"/>
      <c r="SJM142" s="22"/>
      <c r="SJN142" s="22"/>
      <c r="SJO142" s="22"/>
      <c r="SJP142" s="22"/>
      <c r="SJQ142" s="22"/>
      <c r="SJR142" s="22"/>
      <c r="SJS142" s="22"/>
      <c r="SJT142" s="22"/>
      <c r="SJU142" s="22"/>
      <c r="SJV142" s="22"/>
      <c r="SJW142" s="22"/>
      <c r="SJX142" s="22"/>
      <c r="SJY142" s="22"/>
      <c r="SJZ142" s="22"/>
      <c r="SKA142" s="22"/>
      <c r="SKB142" s="22"/>
      <c r="SKC142" s="22"/>
      <c r="SKD142" s="22"/>
      <c r="SKE142" s="22"/>
      <c r="SKF142" s="22"/>
      <c r="SKG142" s="22"/>
      <c r="SKH142" s="22"/>
      <c r="SKI142" s="22"/>
      <c r="SKJ142" s="22"/>
      <c r="SKK142" s="22"/>
      <c r="SKL142" s="22"/>
      <c r="SKM142" s="22"/>
      <c r="SKN142" s="22"/>
      <c r="SKO142" s="22"/>
      <c r="SKP142" s="22"/>
      <c r="SKQ142" s="22"/>
      <c r="SKR142" s="22"/>
      <c r="SKS142" s="22"/>
      <c r="SKT142" s="22"/>
      <c r="SKU142" s="22"/>
      <c r="SKV142" s="22"/>
      <c r="SKW142" s="22"/>
      <c r="SKX142" s="22"/>
      <c r="SKY142" s="22"/>
      <c r="SKZ142" s="22"/>
      <c r="SLA142" s="22"/>
      <c r="SLB142" s="22"/>
      <c r="SLC142" s="22"/>
      <c r="SLD142" s="22"/>
      <c r="SLE142" s="22"/>
      <c r="SLF142" s="22"/>
      <c r="SLG142" s="22"/>
      <c r="SLH142" s="22"/>
      <c r="SLI142" s="22"/>
      <c r="SLJ142" s="22"/>
      <c r="SLK142" s="22"/>
      <c r="SLL142" s="22"/>
      <c r="SLM142" s="22"/>
      <c r="SLN142" s="22"/>
      <c r="SLO142" s="22"/>
      <c r="SLP142" s="22"/>
      <c r="SLQ142" s="22"/>
      <c r="SLR142" s="22"/>
      <c r="SLS142" s="22"/>
      <c r="SLT142" s="22"/>
      <c r="SLU142" s="22"/>
      <c r="SLV142" s="22"/>
      <c r="SLW142" s="22"/>
      <c r="SLX142" s="22"/>
      <c r="SLY142" s="22"/>
      <c r="SLZ142" s="22"/>
      <c r="SMA142" s="22"/>
      <c r="SMB142" s="22"/>
      <c r="SMC142" s="22"/>
      <c r="SMD142" s="22"/>
      <c r="SME142" s="22"/>
      <c r="SMF142" s="22"/>
      <c r="SMG142" s="22"/>
      <c r="SMH142" s="22"/>
      <c r="SMI142" s="22"/>
      <c r="SMJ142" s="22"/>
      <c r="SMK142" s="22"/>
      <c r="SML142" s="22"/>
      <c r="SMM142" s="22"/>
      <c r="SMN142" s="22"/>
      <c r="SMO142" s="22"/>
      <c r="SMP142" s="22"/>
      <c r="SMQ142" s="22"/>
      <c r="SMR142" s="22"/>
      <c r="SMS142" s="22"/>
      <c r="SMT142" s="22"/>
      <c r="SMU142" s="22"/>
      <c r="SMV142" s="22"/>
      <c r="SMW142" s="22"/>
      <c r="SMX142" s="22"/>
      <c r="SMY142" s="22"/>
      <c r="SMZ142" s="22"/>
      <c r="SNA142" s="22"/>
      <c r="SNB142" s="22"/>
      <c r="SNC142" s="22"/>
      <c r="SND142" s="22"/>
      <c r="SNE142" s="22"/>
      <c r="SNF142" s="22"/>
      <c r="SNG142" s="22"/>
      <c r="SNH142" s="22"/>
      <c r="SNI142" s="22"/>
      <c r="SNJ142" s="22"/>
      <c r="SNK142" s="22"/>
      <c r="SNL142" s="22"/>
      <c r="SNM142" s="22"/>
      <c r="SNN142" s="22"/>
      <c r="SNO142" s="22"/>
      <c r="SNP142" s="22"/>
      <c r="SNQ142" s="22"/>
      <c r="SNR142" s="22"/>
      <c r="SNS142" s="22"/>
      <c r="SNT142" s="22"/>
      <c r="SNU142" s="22"/>
      <c r="SNV142" s="22"/>
      <c r="SNW142" s="22"/>
      <c r="SNX142" s="22"/>
      <c r="SNY142" s="22"/>
      <c r="SNZ142" s="22"/>
      <c r="SOA142" s="22"/>
      <c r="SOB142" s="22"/>
      <c r="SOC142" s="22"/>
      <c r="SOD142" s="22"/>
      <c r="SOE142" s="22"/>
      <c r="SOF142" s="22"/>
      <c r="SOG142" s="22"/>
      <c r="SOH142" s="22"/>
      <c r="SOI142" s="22"/>
      <c r="SOJ142" s="22"/>
      <c r="SOK142" s="22"/>
      <c r="SOL142" s="22"/>
      <c r="SOM142" s="22"/>
      <c r="SON142" s="22"/>
      <c r="SOO142" s="22"/>
      <c r="SOP142" s="22"/>
      <c r="SOQ142" s="22"/>
      <c r="SOR142" s="22"/>
      <c r="SOS142" s="22"/>
      <c r="SOT142" s="22"/>
      <c r="SOU142" s="22"/>
      <c r="SOV142" s="22"/>
      <c r="SOW142" s="22"/>
      <c r="SOX142" s="22"/>
      <c r="SOY142" s="22"/>
      <c r="SOZ142" s="22"/>
      <c r="SPA142" s="22"/>
      <c r="SPB142" s="22"/>
      <c r="SPC142" s="22"/>
      <c r="SPD142" s="22"/>
      <c r="SPE142" s="22"/>
      <c r="SPF142" s="22"/>
      <c r="SPG142" s="22"/>
      <c r="SPH142" s="22"/>
      <c r="SPI142" s="22"/>
      <c r="SPJ142" s="22"/>
      <c r="SPK142" s="22"/>
      <c r="SPL142" s="22"/>
      <c r="SPM142" s="22"/>
      <c r="SPN142" s="22"/>
      <c r="SPO142" s="22"/>
      <c r="SPP142" s="22"/>
      <c r="SPQ142" s="22"/>
      <c r="SPR142" s="22"/>
      <c r="SPS142" s="22"/>
      <c r="SPT142" s="22"/>
      <c r="SPU142" s="22"/>
      <c r="SPV142" s="22"/>
      <c r="SPW142" s="22"/>
      <c r="SPX142" s="22"/>
      <c r="SPY142" s="22"/>
      <c r="SPZ142" s="22"/>
      <c r="SQA142" s="22"/>
      <c r="SQB142" s="22"/>
      <c r="SQC142" s="22"/>
      <c r="SQD142" s="22"/>
      <c r="SQE142" s="22"/>
      <c r="SQF142" s="22"/>
      <c r="SQG142" s="22"/>
      <c r="SQH142" s="22"/>
      <c r="SQI142" s="22"/>
      <c r="SQJ142" s="22"/>
      <c r="SQK142" s="22"/>
      <c r="SQL142" s="22"/>
      <c r="SQM142" s="22"/>
      <c r="SQN142" s="22"/>
      <c r="SQO142" s="22"/>
      <c r="SQP142" s="22"/>
      <c r="SQQ142" s="22"/>
      <c r="SQR142" s="22"/>
      <c r="SQS142" s="22"/>
      <c r="SQT142" s="22"/>
      <c r="SQU142" s="22"/>
      <c r="SQV142" s="22"/>
      <c r="SQW142" s="22"/>
      <c r="SQX142" s="22"/>
      <c r="SQY142" s="22"/>
      <c r="SQZ142" s="22"/>
      <c r="SRA142" s="22"/>
      <c r="SRB142" s="22"/>
      <c r="SRC142" s="22"/>
      <c r="SRD142" s="22"/>
      <c r="SRE142" s="22"/>
      <c r="SRF142" s="22"/>
      <c r="SRG142" s="22"/>
      <c r="SRH142" s="22"/>
      <c r="SRI142" s="22"/>
      <c r="SRJ142" s="22"/>
      <c r="SRK142" s="22"/>
      <c r="SRL142" s="22"/>
      <c r="SRM142" s="22"/>
      <c r="SRN142" s="22"/>
      <c r="SRO142" s="22"/>
      <c r="SRP142" s="22"/>
      <c r="SRQ142" s="22"/>
      <c r="SRR142" s="22"/>
      <c r="SRS142" s="22"/>
      <c r="SRT142" s="22"/>
      <c r="SRU142" s="22"/>
      <c r="SRV142" s="22"/>
      <c r="SRW142" s="22"/>
      <c r="SRX142" s="22"/>
      <c r="SRY142" s="22"/>
      <c r="SRZ142" s="22"/>
      <c r="SSA142" s="22"/>
      <c r="SSB142" s="22"/>
      <c r="SSC142" s="22"/>
      <c r="SSD142" s="22"/>
      <c r="SSE142" s="22"/>
      <c r="SSF142" s="22"/>
      <c r="SSG142" s="22"/>
      <c r="SSH142" s="22"/>
      <c r="SSI142" s="22"/>
      <c r="SSJ142" s="22"/>
      <c r="SSK142" s="22"/>
      <c r="SSL142" s="22"/>
      <c r="SSM142" s="22"/>
      <c r="SSN142" s="22"/>
      <c r="SSO142" s="22"/>
      <c r="SSP142" s="22"/>
      <c r="SSQ142" s="22"/>
      <c r="SSR142" s="22"/>
      <c r="SSS142" s="22"/>
      <c r="SST142" s="22"/>
      <c r="SSU142" s="22"/>
      <c r="SSV142" s="22"/>
      <c r="SSW142" s="22"/>
      <c r="SSX142" s="22"/>
      <c r="SSY142" s="22"/>
      <c r="SSZ142" s="22"/>
      <c r="STA142" s="22"/>
      <c r="STB142" s="22"/>
      <c r="STC142" s="22"/>
      <c r="STD142" s="22"/>
      <c r="STE142" s="22"/>
      <c r="STF142" s="22"/>
      <c r="STG142" s="22"/>
      <c r="STH142" s="22"/>
      <c r="STI142" s="22"/>
      <c r="STJ142" s="22"/>
      <c r="STK142" s="22"/>
      <c r="STL142" s="22"/>
      <c r="STM142" s="22"/>
      <c r="STN142" s="22"/>
      <c r="STO142" s="22"/>
      <c r="STP142" s="22"/>
      <c r="STQ142" s="22"/>
      <c r="STR142" s="22"/>
      <c r="STS142" s="22"/>
      <c r="STT142" s="22"/>
      <c r="STU142" s="22"/>
      <c r="STV142" s="22"/>
      <c r="STW142" s="22"/>
      <c r="STX142" s="22"/>
      <c r="STY142" s="22"/>
      <c r="STZ142" s="22"/>
      <c r="SUA142" s="22"/>
      <c r="SUB142" s="22"/>
      <c r="SUC142" s="22"/>
      <c r="SUD142" s="22"/>
      <c r="SUE142" s="22"/>
      <c r="SUF142" s="22"/>
      <c r="SUG142" s="22"/>
      <c r="SUH142" s="22"/>
      <c r="SUI142" s="22"/>
      <c r="SUJ142" s="22"/>
      <c r="SUK142" s="22"/>
      <c r="SUL142" s="22"/>
      <c r="SUM142" s="22"/>
      <c r="SUN142" s="22"/>
      <c r="SUO142" s="22"/>
      <c r="SUP142" s="22"/>
      <c r="SUQ142" s="22"/>
      <c r="SUR142" s="22"/>
      <c r="SUS142" s="22"/>
      <c r="SUT142" s="22"/>
      <c r="SUU142" s="22"/>
      <c r="SUV142" s="22"/>
      <c r="SUW142" s="22"/>
      <c r="SUX142" s="22"/>
      <c r="SUY142" s="22"/>
      <c r="SUZ142" s="22"/>
      <c r="SVA142" s="22"/>
      <c r="SVB142" s="22"/>
      <c r="SVC142" s="22"/>
      <c r="SVD142" s="22"/>
      <c r="SVE142" s="22"/>
      <c r="SVF142" s="22"/>
      <c r="SVG142" s="22"/>
      <c r="SVH142" s="22"/>
      <c r="SVI142" s="22"/>
      <c r="SVJ142" s="22"/>
      <c r="SVK142" s="22"/>
      <c r="SVL142" s="22"/>
      <c r="SVM142" s="22"/>
      <c r="SVN142" s="22"/>
      <c r="SVO142" s="22"/>
      <c r="SVP142" s="22"/>
      <c r="SVQ142" s="22"/>
      <c r="SVR142" s="22"/>
      <c r="SVS142" s="22"/>
      <c r="SVT142" s="22"/>
      <c r="SVU142" s="22"/>
      <c r="SVV142" s="22"/>
      <c r="SVW142" s="22"/>
      <c r="SVX142" s="22"/>
      <c r="SVY142" s="22"/>
      <c r="SVZ142" s="22"/>
      <c r="SWA142" s="22"/>
      <c r="SWB142" s="22"/>
      <c r="SWC142" s="22"/>
      <c r="SWD142" s="22"/>
      <c r="SWE142" s="22"/>
      <c r="SWF142" s="22"/>
      <c r="SWG142" s="22"/>
      <c r="SWH142" s="22"/>
      <c r="SWI142" s="22"/>
      <c r="SWJ142" s="22"/>
      <c r="SWK142" s="22"/>
      <c r="SWL142" s="22"/>
      <c r="SWM142" s="22"/>
      <c r="SWN142" s="22"/>
      <c r="SWO142" s="22"/>
      <c r="SWP142" s="22"/>
      <c r="SWQ142" s="22"/>
      <c r="SWR142" s="22"/>
      <c r="SWS142" s="22"/>
      <c r="SWT142" s="22"/>
      <c r="SWU142" s="22"/>
      <c r="SWV142" s="22"/>
      <c r="SWW142" s="22"/>
      <c r="SWX142" s="22"/>
      <c r="SWY142" s="22"/>
      <c r="SWZ142" s="22"/>
      <c r="SXA142" s="22"/>
      <c r="SXB142" s="22"/>
      <c r="SXC142" s="22"/>
      <c r="SXD142" s="22"/>
      <c r="SXE142" s="22"/>
      <c r="SXF142" s="22"/>
      <c r="SXG142" s="22"/>
      <c r="SXH142" s="22"/>
      <c r="SXI142" s="22"/>
      <c r="SXJ142" s="22"/>
      <c r="SXK142" s="22"/>
      <c r="SXL142" s="22"/>
      <c r="SXM142" s="22"/>
      <c r="SXN142" s="22"/>
      <c r="SXO142" s="22"/>
      <c r="SXP142" s="22"/>
      <c r="SXQ142" s="22"/>
      <c r="SXR142" s="22"/>
      <c r="SXS142" s="22"/>
      <c r="SXT142" s="22"/>
      <c r="SXU142" s="22"/>
      <c r="SXV142" s="22"/>
      <c r="SXW142" s="22"/>
      <c r="SXX142" s="22"/>
      <c r="SXY142" s="22"/>
      <c r="SXZ142" s="22"/>
      <c r="SYA142" s="22"/>
      <c r="SYB142" s="22"/>
      <c r="SYC142" s="22"/>
      <c r="SYD142" s="22"/>
      <c r="SYE142" s="22"/>
      <c r="SYF142" s="22"/>
      <c r="SYG142" s="22"/>
      <c r="SYH142" s="22"/>
      <c r="SYI142" s="22"/>
      <c r="SYJ142" s="22"/>
      <c r="SYK142" s="22"/>
      <c r="SYL142" s="22"/>
      <c r="SYM142" s="22"/>
      <c r="SYN142" s="22"/>
      <c r="SYO142" s="22"/>
      <c r="SYP142" s="22"/>
      <c r="SYQ142" s="22"/>
      <c r="SYR142" s="22"/>
      <c r="SYS142" s="22"/>
      <c r="SYT142" s="22"/>
      <c r="SYU142" s="22"/>
      <c r="SYV142" s="22"/>
      <c r="SYW142" s="22"/>
      <c r="SYX142" s="22"/>
      <c r="SYY142" s="22"/>
      <c r="SYZ142" s="22"/>
      <c r="SZA142" s="22"/>
      <c r="SZB142" s="22"/>
      <c r="SZC142" s="22"/>
      <c r="SZD142" s="22"/>
      <c r="SZE142" s="22"/>
      <c r="SZF142" s="22"/>
      <c r="SZG142" s="22"/>
      <c r="SZH142" s="22"/>
      <c r="SZI142" s="22"/>
      <c r="SZJ142" s="22"/>
      <c r="SZK142" s="22"/>
      <c r="SZL142" s="22"/>
      <c r="SZM142" s="22"/>
      <c r="SZN142" s="22"/>
      <c r="SZO142" s="22"/>
      <c r="SZP142" s="22"/>
      <c r="SZQ142" s="22"/>
      <c r="SZR142" s="22"/>
      <c r="SZS142" s="22"/>
      <c r="SZT142" s="22"/>
      <c r="SZU142" s="22"/>
      <c r="SZV142" s="22"/>
      <c r="SZW142" s="22"/>
      <c r="SZX142" s="22"/>
      <c r="SZY142" s="22"/>
      <c r="SZZ142" s="22"/>
      <c r="TAA142" s="22"/>
      <c r="TAB142" s="22"/>
      <c r="TAC142" s="22"/>
      <c r="TAD142" s="22"/>
      <c r="TAE142" s="22"/>
      <c r="TAF142" s="22"/>
      <c r="TAG142" s="22"/>
      <c r="TAH142" s="22"/>
      <c r="TAI142" s="22"/>
      <c r="TAJ142" s="22"/>
      <c r="TAK142" s="22"/>
      <c r="TAL142" s="22"/>
      <c r="TAM142" s="22"/>
      <c r="TAN142" s="22"/>
      <c r="TAO142" s="22"/>
      <c r="TAP142" s="22"/>
      <c r="TAQ142" s="22"/>
      <c r="TAR142" s="22"/>
      <c r="TAS142" s="22"/>
      <c r="TAT142" s="22"/>
      <c r="TAU142" s="22"/>
      <c r="TAV142" s="22"/>
      <c r="TAW142" s="22"/>
      <c r="TAX142" s="22"/>
      <c r="TAY142" s="22"/>
      <c r="TAZ142" s="22"/>
      <c r="TBA142" s="22"/>
      <c r="TBB142" s="22"/>
      <c r="TBC142" s="22"/>
      <c r="TBD142" s="22"/>
      <c r="TBE142" s="22"/>
      <c r="TBF142" s="22"/>
      <c r="TBG142" s="22"/>
      <c r="TBH142" s="22"/>
      <c r="TBI142" s="22"/>
      <c r="TBJ142" s="22"/>
      <c r="TBK142" s="22"/>
      <c r="TBL142" s="22"/>
      <c r="TBM142" s="22"/>
      <c r="TBN142" s="22"/>
      <c r="TBO142" s="22"/>
      <c r="TBP142" s="22"/>
      <c r="TBQ142" s="22"/>
      <c r="TBR142" s="22"/>
      <c r="TBS142" s="22"/>
      <c r="TBT142" s="22"/>
      <c r="TBU142" s="22"/>
      <c r="TBV142" s="22"/>
      <c r="TBW142" s="22"/>
      <c r="TBX142" s="22"/>
      <c r="TBY142" s="22"/>
      <c r="TBZ142" s="22"/>
      <c r="TCA142" s="22"/>
      <c r="TCB142" s="22"/>
      <c r="TCC142" s="22"/>
      <c r="TCD142" s="22"/>
      <c r="TCE142" s="22"/>
      <c r="TCF142" s="22"/>
      <c r="TCG142" s="22"/>
      <c r="TCH142" s="22"/>
      <c r="TCI142" s="22"/>
      <c r="TCJ142" s="22"/>
      <c r="TCK142" s="22"/>
      <c r="TCL142" s="22"/>
      <c r="TCM142" s="22"/>
      <c r="TCN142" s="22"/>
      <c r="TCO142" s="22"/>
      <c r="TCP142" s="22"/>
      <c r="TCQ142" s="22"/>
      <c r="TCR142" s="22"/>
      <c r="TCS142" s="22"/>
      <c r="TCT142" s="22"/>
      <c r="TCU142" s="22"/>
      <c r="TCV142" s="22"/>
      <c r="TCW142" s="22"/>
      <c r="TCX142" s="22"/>
      <c r="TCY142" s="22"/>
      <c r="TCZ142" s="22"/>
      <c r="TDA142" s="22"/>
      <c r="TDB142" s="22"/>
      <c r="TDC142" s="22"/>
      <c r="TDD142" s="22"/>
      <c r="TDE142" s="22"/>
      <c r="TDF142" s="22"/>
      <c r="TDG142" s="22"/>
      <c r="TDH142" s="22"/>
      <c r="TDI142" s="22"/>
      <c r="TDJ142" s="22"/>
      <c r="TDK142" s="22"/>
      <c r="TDL142" s="22"/>
      <c r="TDM142" s="22"/>
      <c r="TDN142" s="22"/>
      <c r="TDO142" s="22"/>
      <c r="TDP142" s="22"/>
      <c r="TDQ142" s="22"/>
      <c r="TDR142" s="22"/>
      <c r="TDS142" s="22"/>
      <c r="TDT142" s="22"/>
      <c r="TDU142" s="22"/>
      <c r="TDV142" s="22"/>
      <c r="TDW142" s="22"/>
      <c r="TDX142" s="22"/>
      <c r="TDY142" s="22"/>
      <c r="TDZ142" s="22"/>
      <c r="TEA142" s="22"/>
      <c r="TEB142" s="22"/>
      <c r="TEC142" s="22"/>
      <c r="TED142" s="22"/>
      <c r="TEE142" s="22"/>
      <c r="TEF142" s="22"/>
      <c r="TEG142" s="22"/>
      <c r="TEH142" s="22"/>
      <c r="TEI142" s="22"/>
      <c r="TEJ142" s="22"/>
      <c r="TEK142" s="22"/>
      <c r="TEL142" s="22"/>
      <c r="TEM142" s="22"/>
      <c r="TEN142" s="22"/>
      <c r="TEO142" s="22"/>
      <c r="TEP142" s="22"/>
      <c r="TEQ142" s="22"/>
      <c r="TER142" s="22"/>
      <c r="TES142" s="22"/>
      <c r="TET142" s="22"/>
      <c r="TEU142" s="22"/>
      <c r="TEV142" s="22"/>
      <c r="TEW142" s="22"/>
      <c r="TEX142" s="22"/>
      <c r="TEY142" s="22"/>
      <c r="TEZ142" s="22"/>
      <c r="TFA142" s="22"/>
      <c r="TFB142" s="22"/>
      <c r="TFC142" s="22"/>
      <c r="TFD142" s="22"/>
      <c r="TFE142" s="22"/>
      <c r="TFF142" s="22"/>
      <c r="TFG142" s="22"/>
      <c r="TFH142" s="22"/>
      <c r="TFI142" s="22"/>
      <c r="TFJ142" s="22"/>
      <c r="TFK142" s="22"/>
      <c r="TFL142" s="22"/>
      <c r="TFM142" s="22"/>
      <c r="TFN142" s="22"/>
      <c r="TFO142" s="22"/>
      <c r="TFP142" s="22"/>
      <c r="TFQ142" s="22"/>
      <c r="TFR142" s="22"/>
      <c r="TFS142" s="22"/>
      <c r="TFT142" s="22"/>
      <c r="TFU142" s="22"/>
      <c r="TFV142" s="22"/>
      <c r="TFW142" s="22"/>
      <c r="TFX142" s="22"/>
      <c r="TFY142" s="22"/>
      <c r="TFZ142" s="22"/>
      <c r="TGA142" s="22"/>
      <c r="TGB142" s="22"/>
      <c r="TGC142" s="22"/>
      <c r="TGD142" s="22"/>
      <c r="TGE142" s="22"/>
      <c r="TGF142" s="22"/>
      <c r="TGG142" s="22"/>
      <c r="TGH142" s="22"/>
      <c r="TGI142" s="22"/>
      <c r="TGJ142" s="22"/>
      <c r="TGK142" s="22"/>
      <c r="TGL142" s="22"/>
      <c r="TGM142" s="22"/>
      <c r="TGN142" s="22"/>
      <c r="TGO142" s="22"/>
      <c r="TGP142" s="22"/>
      <c r="TGQ142" s="22"/>
      <c r="TGR142" s="22"/>
      <c r="TGS142" s="22"/>
      <c r="TGT142" s="22"/>
      <c r="TGU142" s="22"/>
      <c r="TGV142" s="22"/>
      <c r="TGW142" s="22"/>
      <c r="TGX142" s="22"/>
      <c r="TGY142" s="22"/>
      <c r="TGZ142" s="22"/>
      <c r="THA142" s="22"/>
      <c r="THB142" s="22"/>
      <c r="THC142" s="22"/>
      <c r="THD142" s="22"/>
      <c r="THE142" s="22"/>
      <c r="THF142" s="22"/>
      <c r="THG142" s="22"/>
      <c r="THH142" s="22"/>
      <c r="THI142" s="22"/>
      <c r="THJ142" s="22"/>
      <c r="THK142" s="22"/>
      <c r="THL142" s="22"/>
      <c r="THM142" s="22"/>
      <c r="THN142" s="22"/>
      <c r="THO142" s="22"/>
      <c r="THP142" s="22"/>
      <c r="THQ142" s="22"/>
      <c r="THR142" s="22"/>
      <c r="THS142" s="22"/>
      <c r="THT142" s="22"/>
      <c r="THU142" s="22"/>
      <c r="THV142" s="22"/>
      <c r="THW142" s="22"/>
      <c r="THX142" s="22"/>
      <c r="THY142" s="22"/>
      <c r="THZ142" s="22"/>
      <c r="TIA142" s="22"/>
      <c r="TIB142" s="22"/>
      <c r="TIC142" s="22"/>
      <c r="TID142" s="22"/>
      <c r="TIE142" s="22"/>
      <c r="TIF142" s="22"/>
      <c r="TIG142" s="22"/>
      <c r="TIH142" s="22"/>
      <c r="TII142" s="22"/>
      <c r="TIJ142" s="22"/>
      <c r="TIK142" s="22"/>
      <c r="TIL142" s="22"/>
      <c r="TIM142" s="22"/>
      <c r="TIN142" s="22"/>
      <c r="TIO142" s="22"/>
      <c r="TIP142" s="22"/>
      <c r="TIQ142" s="22"/>
      <c r="TIR142" s="22"/>
      <c r="TIS142" s="22"/>
      <c r="TIT142" s="22"/>
      <c r="TIU142" s="22"/>
      <c r="TIV142" s="22"/>
      <c r="TIW142" s="22"/>
      <c r="TIX142" s="22"/>
      <c r="TIY142" s="22"/>
      <c r="TIZ142" s="22"/>
      <c r="TJA142" s="22"/>
      <c r="TJB142" s="22"/>
      <c r="TJC142" s="22"/>
      <c r="TJD142" s="22"/>
      <c r="TJE142" s="22"/>
      <c r="TJF142" s="22"/>
      <c r="TJG142" s="22"/>
      <c r="TJH142" s="22"/>
      <c r="TJI142" s="22"/>
      <c r="TJJ142" s="22"/>
      <c r="TJK142" s="22"/>
      <c r="TJL142" s="22"/>
      <c r="TJM142" s="22"/>
      <c r="TJN142" s="22"/>
      <c r="TJO142" s="22"/>
      <c r="TJP142" s="22"/>
      <c r="TJQ142" s="22"/>
      <c r="TJR142" s="22"/>
      <c r="TJS142" s="22"/>
      <c r="TJT142" s="22"/>
      <c r="TJU142" s="22"/>
      <c r="TJV142" s="22"/>
      <c r="TJW142" s="22"/>
      <c r="TJX142" s="22"/>
      <c r="TJY142" s="22"/>
      <c r="TJZ142" s="22"/>
      <c r="TKA142" s="22"/>
      <c r="TKB142" s="22"/>
      <c r="TKC142" s="22"/>
      <c r="TKD142" s="22"/>
      <c r="TKE142" s="22"/>
      <c r="TKF142" s="22"/>
      <c r="TKG142" s="22"/>
      <c r="TKH142" s="22"/>
      <c r="TKI142" s="22"/>
      <c r="TKJ142" s="22"/>
      <c r="TKK142" s="22"/>
      <c r="TKL142" s="22"/>
      <c r="TKM142" s="22"/>
      <c r="TKN142" s="22"/>
      <c r="TKO142" s="22"/>
      <c r="TKP142" s="22"/>
      <c r="TKQ142" s="22"/>
      <c r="TKR142" s="22"/>
      <c r="TKS142" s="22"/>
      <c r="TKT142" s="22"/>
      <c r="TKU142" s="22"/>
      <c r="TKV142" s="22"/>
      <c r="TKW142" s="22"/>
      <c r="TKX142" s="22"/>
      <c r="TKY142" s="22"/>
      <c r="TKZ142" s="22"/>
      <c r="TLA142" s="22"/>
      <c r="TLB142" s="22"/>
      <c r="TLC142" s="22"/>
      <c r="TLD142" s="22"/>
      <c r="TLE142" s="22"/>
      <c r="TLF142" s="22"/>
      <c r="TLG142" s="22"/>
      <c r="TLH142" s="22"/>
      <c r="TLI142" s="22"/>
      <c r="TLJ142" s="22"/>
      <c r="TLK142" s="22"/>
      <c r="TLL142" s="22"/>
      <c r="TLM142" s="22"/>
      <c r="TLN142" s="22"/>
      <c r="TLO142" s="22"/>
      <c r="TLP142" s="22"/>
      <c r="TLQ142" s="22"/>
      <c r="TLR142" s="22"/>
      <c r="TLS142" s="22"/>
      <c r="TLT142" s="22"/>
      <c r="TLU142" s="22"/>
      <c r="TLV142" s="22"/>
      <c r="TLW142" s="22"/>
      <c r="TLX142" s="22"/>
      <c r="TLY142" s="22"/>
      <c r="TLZ142" s="22"/>
      <c r="TMA142" s="22"/>
      <c r="TMB142" s="22"/>
      <c r="TMC142" s="22"/>
      <c r="TMD142" s="22"/>
      <c r="TME142" s="22"/>
      <c r="TMF142" s="22"/>
      <c r="TMG142" s="22"/>
      <c r="TMH142" s="22"/>
      <c r="TMI142" s="22"/>
      <c r="TMJ142" s="22"/>
      <c r="TMK142" s="22"/>
      <c r="TML142" s="22"/>
      <c r="TMM142" s="22"/>
      <c r="TMN142" s="22"/>
      <c r="TMO142" s="22"/>
      <c r="TMP142" s="22"/>
      <c r="TMQ142" s="22"/>
      <c r="TMR142" s="22"/>
      <c r="TMS142" s="22"/>
      <c r="TMT142" s="22"/>
      <c r="TMU142" s="22"/>
      <c r="TMV142" s="22"/>
      <c r="TMW142" s="22"/>
      <c r="TMX142" s="22"/>
      <c r="TMY142" s="22"/>
      <c r="TMZ142" s="22"/>
      <c r="TNA142" s="22"/>
      <c r="TNB142" s="22"/>
      <c r="TNC142" s="22"/>
      <c r="TND142" s="22"/>
      <c r="TNE142" s="22"/>
      <c r="TNF142" s="22"/>
      <c r="TNG142" s="22"/>
      <c r="TNH142" s="22"/>
      <c r="TNI142" s="22"/>
      <c r="TNJ142" s="22"/>
      <c r="TNK142" s="22"/>
      <c r="TNL142" s="22"/>
      <c r="TNM142" s="22"/>
      <c r="TNN142" s="22"/>
      <c r="TNO142" s="22"/>
      <c r="TNP142" s="22"/>
      <c r="TNQ142" s="22"/>
      <c r="TNR142" s="22"/>
      <c r="TNS142" s="22"/>
      <c r="TNT142" s="22"/>
      <c r="TNU142" s="22"/>
      <c r="TNV142" s="22"/>
      <c r="TNW142" s="22"/>
      <c r="TNX142" s="22"/>
      <c r="TNY142" s="22"/>
      <c r="TNZ142" s="22"/>
      <c r="TOA142" s="22"/>
      <c r="TOB142" s="22"/>
      <c r="TOC142" s="22"/>
      <c r="TOD142" s="22"/>
      <c r="TOE142" s="22"/>
      <c r="TOF142" s="22"/>
      <c r="TOG142" s="22"/>
      <c r="TOH142" s="22"/>
      <c r="TOI142" s="22"/>
      <c r="TOJ142" s="22"/>
      <c r="TOK142" s="22"/>
      <c r="TOL142" s="22"/>
      <c r="TOM142" s="22"/>
      <c r="TON142" s="22"/>
      <c r="TOO142" s="22"/>
      <c r="TOP142" s="22"/>
      <c r="TOQ142" s="22"/>
      <c r="TOR142" s="22"/>
      <c r="TOS142" s="22"/>
      <c r="TOT142" s="22"/>
      <c r="TOU142" s="22"/>
      <c r="TOV142" s="22"/>
      <c r="TOW142" s="22"/>
      <c r="TOX142" s="22"/>
      <c r="TOY142" s="22"/>
      <c r="TOZ142" s="22"/>
      <c r="TPA142" s="22"/>
      <c r="TPB142" s="22"/>
      <c r="TPC142" s="22"/>
      <c r="TPD142" s="22"/>
      <c r="TPE142" s="22"/>
      <c r="TPF142" s="22"/>
      <c r="TPG142" s="22"/>
      <c r="TPH142" s="22"/>
      <c r="TPI142" s="22"/>
      <c r="TPJ142" s="22"/>
      <c r="TPK142" s="22"/>
      <c r="TPL142" s="22"/>
      <c r="TPM142" s="22"/>
      <c r="TPN142" s="22"/>
      <c r="TPO142" s="22"/>
      <c r="TPP142" s="22"/>
      <c r="TPQ142" s="22"/>
      <c r="TPR142" s="22"/>
      <c r="TPS142" s="22"/>
      <c r="TPT142" s="22"/>
      <c r="TPU142" s="22"/>
      <c r="TPV142" s="22"/>
      <c r="TPW142" s="22"/>
      <c r="TPX142" s="22"/>
      <c r="TPY142" s="22"/>
      <c r="TPZ142" s="22"/>
      <c r="TQA142" s="22"/>
      <c r="TQB142" s="22"/>
      <c r="TQC142" s="22"/>
      <c r="TQD142" s="22"/>
      <c r="TQE142" s="22"/>
      <c r="TQF142" s="22"/>
      <c r="TQG142" s="22"/>
      <c r="TQH142" s="22"/>
      <c r="TQI142" s="22"/>
      <c r="TQJ142" s="22"/>
      <c r="TQK142" s="22"/>
      <c r="TQL142" s="22"/>
      <c r="TQM142" s="22"/>
      <c r="TQN142" s="22"/>
      <c r="TQO142" s="22"/>
      <c r="TQP142" s="22"/>
      <c r="TQQ142" s="22"/>
      <c r="TQR142" s="22"/>
      <c r="TQS142" s="22"/>
      <c r="TQT142" s="22"/>
      <c r="TQU142" s="22"/>
      <c r="TQV142" s="22"/>
      <c r="TQW142" s="22"/>
      <c r="TQX142" s="22"/>
      <c r="TQY142" s="22"/>
      <c r="TQZ142" s="22"/>
      <c r="TRA142" s="22"/>
      <c r="TRB142" s="22"/>
      <c r="TRC142" s="22"/>
      <c r="TRD142" s="22"/>
      <c r="TRE142" s="22"/>
      <c r="TRF142" s="22"/>
      <c r="TRG142" s="22"/>
      <c r="TRH142" s="22"/>
      <c r="TRI142" s="22"/>
      <c r="TRJ142" s="22"/>
      <c r="TRK142" s="22"/>
      <c r="TRL142" s="22"/>
      <c r="TRM142" s="22"/>
      <c r="TRN142" s="22"/>
      <c r="TRO142" s="22"/>
      <c r="TRP142" s="22"/>
      <c r="TRQ142" s="22"/>
      <c r="TRR142" s="22"/>
      <c r="TRS142" s="22"/>
      <c r="TRT142" s="22"/>
      <c r="TRU142" s="22"/>
      <c r="TRV142" s="22"/>
      <c r="TRW142" s="22"/>
      <c r="TRX142" s="22"/>
      <c r="TRY142" s="22"/>
      <c r="TRZ142" s="22"/>
      <c r="TSA142" s="22"/>
      <c r="TSB142" s="22"/>
      <c r="TSC142" s="22"/>
      <c r="TSD142" s="22"/>
      <c r="TSE142" s="22"/>
      <c r="TSF142" s="22"/>
      <c r="TSG142" s="22"/>
      <c r="TSH142" s="22"/>
      <c r="TSI142" s="22"/>
      <c r="TSJ142" s="22"/>
      <c r="TSK142" s="22"/>
      <c r="TSL142" s="22"/>
      <c r="TSM142" s="22"/>
      <c r="TSN142" s="22"/>
      <c r="TSO142" s="22"/>
      <c r="TSP142" s="22"/>
      <c r="TSQ142" s="22"/>
      <c r="TSR142" s="22"/>
      <c r="TSS142" s="22"/>
      <c r="TST142" s="22"/>
      <c r="TSU142" s="22"/>
      <c r="TSV142" s="22"/>
      <c r="TSW142" s="22"/>
      <c r="TSX142" s="22"/>
      <c r="TSY142" s="22"/>
      <c r="TSZ142" s="22"/>
      <c r="TTA142" s="22"/>
      <c r="TTB142" s="22"/>
      <c r="TTC142" s="22"/>
      <c r="TTD142" s="22"/>
      <c r="TTE142" s="22"/>
      <c r="TTF142" s="22"/>
      <c r="TTG142" s="22"/>
      <c r="TTH142" s="22"/>
      <c r="TTI142" s="22"/>
      <c r="TTJ142" s="22"/>
      <c r="TTK142" s="22"/>
      <c r="TTL142" s="22"/>
      <c r="TTM142" s="22"/>
      <c r="TTN142" s="22"/>
      <c r="TTO142" s="22"/>
      <c r="TTP142" s="22"/>
      <c r="TTQ142" s="22"/>
      <c r="TTR142" s="22"/>
      <c r="TTS142" s="22"/>
      <c r="TTT142" s="22"/>
      <c r="TTU142" s="22"/>
      <c r="TTV142" s="22"/>
      <c r="TTW142" s="22"/>
      <c r="TTX142" s="22"/>
      <c r="TTY142" s="22"/>
      <c r="TTZ142" s="22"/>
      <c r="TUA142" s="22"/>
      <c r="TUB142" s="22"/>
      <c r="TUC142" s="22"/>
      <c r="TUD142" s="22"/>
      <c r="TUE142" s="22"/>
      <c r="TUF142" s="22"/>
      <c r="TUG142" s="22"/>
      <c r="TUH142" s="22"/>
      <c r="TUI142" s="22"/>
      <c r="TUJ142" s="22"/>
      <c r="TUK142" s="22"/>
      <c r="TUL142" s="22"/>
      <c r="TUM142" s="22"/>
      <c r="TUN142" s="22"/>
      <c r="TUO142" s="22"/>
      <c r="TUP142" s="22"/>
      <c r="TUQ142" s="22"/>
      <c r="TUR142" s="22"/>
      <c r="TUS142" s="22"/>
      <c r="TUT142" s="22"/>
      <c r="TUU142" s="22"/>
      <c r="TUV142" s="22"/>
      <c r="TUW142" s="22"/>
      <c r="TUX142" s="22"/>
      <c r="TUY142" s="22"/>
      <c r="TUZ142" s="22"/>
      <c r="TVA142" s="22"/>
      <c r="TVB142" s="22"/>
      <c r="TVC142" s="22"/>
      <c r="TVD142" s="22"/>
      <c r="TVE142" s="22"/>
      <c r="TVF142" s="22"/>
      <c r="TVG142" s="22"/>
      <c r="TVH142" s="22"/>
      <c r="TVI142" s="22"/>
      <c r="TVJ142" s="22"/>
      <c r="TVK142" s="22"/>
      <c r="TVL142" s="22"/>
      <c r="TVM142" s="22"/>
      <c r="TVN142" s="22"/>
      <c r="TVO142" s="22"/>
      <c r="TVP142" s="22"/>
      <c r="TVQ142" s="22"/>
      <c r="TVR142" s="22"/>
      <c r="TVS142" s="22"/>
      <c r="TVT142" s="22"/>
      <c r="TVU142" s="22"/>
      <c r="TVV142" s="22"/>
      <c r="TVW142" s="22"/>
      <c r="TVX142" s="22"/>
      <c r="TVY142" s="22"/>
      <c r="TVZ142" s="22"/>
      <c r="TWA142" s="22"/>
      <c r="TWB142" s="22"/>
      <c r="TWC142" s="22"/>
      <c r="TWD142" s="22"/>
      <c r="TWE142" s="22"/>
      <c r="TWF142" s="22"/>
      <c r="TWG142" s="22"/>
      <c r="TWH142" s="22"/>
      <c r="TWI142" s="22"/>
      <c r="TWJ142" s="22"/>
      <c r="TWK142" s="22"/>
      <c r="TWL142" s="22"/>
      <c r="TWM142" s="22"/>
      <c r="TWN142" s="22"/>
      <c r="TWO142" s="22"/>
      <c r="TWP142" s="22"/>
      <c r="TWQ142" s="22"/>
      <c r="TWR142" s="22"/>
      <c r="TWS142" s="22"/>
      <c r="TWT142" s="22"/>
      <c r="TWU142" s="22"/>
      <c r="TWV142" s="22"/>
      <c r="TWW142" s="22"/>
      <c r="TWX142" s="22"/>
      <c r="TWY142" s="22"/>
      <c r="TWZ142" s="22"/>
      <c r="TXA142" s="22"/>
      <c r="TXB142" s="22"/>
      <c r="TXC142" s="22"/>
      <c r="TXD142" s="22"/>
      <c r="TXE142" s="22"/>
      <c r="TXF142" s="22"/>
      <c r="TXG142" s="22"/>
      <c r="TXH142" s="22"/>
      <c r="TXI142" s="22"/>
      <c r="TXJ142" s="22"/>
      <c r="TXK142" s="22"/>
      <c r="TXL142" s="22"/>
      <c r="TXM142" s="22"/>
      <c r="TXN142" s="22"/>
      <c r="TXO142" s="22"/>
      <c r="TXP142" s="22"/>
      <c r="TXQ142" s="22"/>
      <c r="TXR142" s="22"/>
      <c r="TXS142" s="22"/>
      <c r="TXT142" s="22"/>
      <c r="TXU142" s="22"/>
      <c r="TXV142" s="22"/>
      <c r="TXW142" s="22"/>
      <c r="TXX142" s="22"/>
      <c r="TXY142" s="22"/>
      <c r="TXZ142" s="22"/>
      <c r="TYA142" s="22"/>
      <c r="TYB142" s="22"/>
      <c r="TYC142" s="22"/>
      <c r="TYD142" s="22"/>
      <c r="TYE142" s="22"/>
      <c r="TYF142" s="22"/>
      <c r="TYG142" s="22"/>
      <c r="TYH142" s="22"/>
      <c r="TYI142" s="22"/>
      <c r="TYJ142" s="22"/>
      <c r="TYK142" s="22"/>
      <c r="TYL142" s="22"/>
      <c r="TYM142" s="22"/>
      <c r="TYN142" s="22"/>
      <c r="TYO142" s="22"/>
      <c r="TYP142" s="22"/>
      <c r="TYQ142" s="22"/>
      <c r="TYR142" s="22"/>
      <c r="TYS142" s="22"/>
      <c r="TYT142" s="22"/>
      <c r="TYU142" s="22"/>
      <c r="TYV142" s="22"/>
      <c r="TYW142" s="22"/>
      <c r="TYX142" s="22"/>
      <c r="TYY142" s="22"/>
      <c r="TYZ142" s="22"/>
      <c r="TZA142" s="22"/>
      <c r="TZB142" s="22"/>
      <c r="TZC142" s="22"/>
      <c r="TZD142" s="22"/>
      <c r="TZE142" s="22"/>
      <c r="TZF142" s="22"/>
      <c r="TZG142" s="22"/>
      <c r="TZH142" s="22"/>
      <c r="TZI142" s="22"/>
      <c r="TZJ142" s="22"/>
      <c r="TZK142" s="22"/>
      <c r="TZL142" s="22"/>
      <c r="TZM142" s="22"/>
      <c r="TZN142" s="22"/>
      <c r="TZO142" s="22"/>
      <c r="TZP142" s="22"/>
      <c r="TZQ142" s="22"/>
      <c r="TZR142" s="22"/>
      <c r="TZS142" s="22"/>
      <c r="TZT142" s="22"/>
      <c r="TZU142" s="22"/>
      <c r="TZV142" s="22"/>
      <c r="TZW142" s="22"/>
      <c r="TZX142" s="22"/>
      <c r="TZY142" s="22"/>
      <c r="TZZ142" s="22"/>
      <c r="UAA142" s="22"/>
      <c r="UAB142" s="22"/>
      <c r="UAC142" s="22"/>
      <c r="UAD142" s="22"/>
      <c r="UAE142" s="22"/>
      <c r="UAF142" s="22"/>
      <c r="UAG142" s="22"/>
      <c r="UAH142" s="22"/>
      <c r="UAI142" s="22"/>
      <c r="UAJ142" s="22"/>
      <c r="UAK142" s="22"/>
      <c r="UAL142" s="22"/>
      <c r="UAM142" s="22"/>
      <c r="UAN142" s="22"/>
      <c r="UAO142" s="22"/>
      <c r="UAP142" s="22"/>
      <c r="UAQ142" s="22"/>
      <c r="UAR142" s="22"/>
      <c r="UAS142" s="22"/>
      <c r="UAT142" s="22"/>
      <c r="UAU142" s="22"/>
      <c r="UAV142" s="22"/>
      <c r="UAW142" s="22"/>
      <c r="UAX142" s="22"/>
      <c r="UAY142" s="22"/>
      <c r="UAZ142" s="22"/>
      <c r="UBA142" s="22"/>
      <c r="UBB142" s="22"/>
      <c r="UBC142" s="22"/>
      <c r="UBD142" s="22"/>
      <c r="UBE142" s="22"/>
      <c r="UBF142" s="22"/>
      <c r="UBG142" s="22"/>
      <c r="UBH142" s="22"/>
      <c r="UBI142" s="22"/>
      <c r="UBJ142" s="22"/>
      <c r="UBK142" s="22"/>
      <c r="UBL142" s="22"/>
      <c r="UBM142" s="22"/>
      <c r="UBN142" s="22"/>
      <c r="UBO142" s="22"/>
      <c r="UBP142" s="22"/>
      <c r="UBQ142" s="22"/>
      <c r="UBR142" s="22"/>
      <c r="UBS142" s="22"/>
      <c r="UBT142" s="22"/>
      <c r="UBU142" s="22"/>
      <c r="UBV142" s="22"/>
      <c r="UBW142" s="22"/>
      <c r="UBX142" s="22"/>
      <c r="UBY142" s="22"/>
      <c r="UBZ142" s="22"/>
      <c r="UCA142" s="22"/>
      <c r="UCB142" s="22"/>
      <c r="UCC142" s="22"/>
      <c r="UCD142" s="22"/>
      <c r="UCE142" s="22"/>
      <c r="UCF142" s="22"/>
      <c r="UCG142" s="22"/>
      <c r="UCH142" s="22"/>
      <c r="UCI142" s="22"/>
      <c r="UCJ142" s="22"/>
      <c r="UCK142" s="22"/>
      <c r="UCL142" s="22"/>
      <c r="UCM142" s="22"/>
      <c r="UCN142" s="22"/>
      <c r="UCO142" s="22"/>
      <c r="UCP142" s="22"/>
      <c r="UCQ142" s="22"/>
      <c r="UCR142" s="22"/>
      <c r="UCS142" s="22"/>
      <c r="UCT142" s="22"/>
      <c r="UCU142" s="22"/>
      <c r="UCV142" s="22"/>
      <c r="UCW142" s="22"/>
      <c r="UCX142" s="22"/>
      <c r="UCY142" s="22"/>
      <c r="UCZ142" s="22"/>
      <c r="UDA142" s="22"/>
      <c r="UDB142" s="22"/>
      <c r="UDC142" s="22"/>
      <c r="UDD142" s="22"/>
      <c r="UDE142" s="22"/>
      <c r="UDF142" s="22"/>
      <c r="UDG142" s="22"/>
      <c r="UDH142" s="22"/>
      <c r="UDI142" s="22"/>
      <c r="UDJ142" s="22"/>
      <c r="UDK142" s="22"/>
      <c r="UDL142" s="22"/>
      <c r="UDM142" s="22"/>
      <c r="UDN142" s="22"/>
      <c r="UDO142" s="22"/>
      <c r="UDP142" s="22"/>
      <c r="UDQ142" s="22"/>
      <c r="UDR142" s="22"/>
      <c r="UDS142" s="22"/>
      <c r="UDT142" s="22"/>
      <c r="UDU142" s="22"/>
      <c r="UDV142" s="22"/>
      <c r="UDW142" s="22"/>
      <c r="UDX142" s="22"/>
      <c r="UDY142" s="22"/>
      <c r="UDZ142" s="22"/>
      <c r="UEA142" s="22"/>
      <c r="UEB142" s="22"/>
      <c r="UEC142" s="22"/>
      <c r="UED142" s="22"/>
      <c r="UEE142" s="22"/>
      <c r="UEF142" s="22"/>
      <c r="UEG142" s="22"/>
      <c r="UEH142" s="22"/>
      <c r="UEI142" s="22"/>
      <c r="UEJ142" s="22"/>
      <c r="UEK142" s="22"/>
      <c r="UEL142" s="22"/>
      <c r="UEM142" s="22"/>
      <c r="UEN142" s="22"/>
      <c r="UEO142" s="22"/>
      <c r="UEP142" s="22"/>
      <c r="UEQ142" s="22"/>
      <c r="UER142" s="22"/>
      <c r="UES142" s="22"/>
      <c r="UET142" s="22"/>
      <c r="UEU142" s="22"/>
      <c r="UEV142" s="22"/>
      <c r="UEW142" s="22"/>
      <c r="UEX142" s="22"/>
      <c r="UEY142" s="22"/>
      <c r="UEZ142" s="22"/>
      <c r="UFA142" s="22"/>
      <c r="UFB142" s="22"/>
      <c r="UFC142" s="22"/>
      <c r="UFD142" s="22"/>
      <c r="UFE142" s="22"/>
      <c r="UFF142" s="22"/>
      <c r="UFG142" s="22"/>
      <c r="UFH142" s="22"/>
      <c r="UFI142" s="22"/>
      <c r="UFJ142" s="22"/>
      <c r="UFK142" s="22"/>
      <c r="UFL142" s="22"/>
      <c r="UFM142" s="22"/>
      <c r="UFN142" s="22"/>
      <c r="UFO142" s="22"/>
      <c r="UFP142" s="22"/>
      <c r="UFQ142" s="22"/>
      <c r="UFR142" s="22"/>
      <c r="UFS142" s="22"/>
      <c r="UFT142" s="22"/>
      <c r="UFU142" s="22"/>
      <c r="UFV142" s="22"/>
      <c r="UFW142" s="22"/>
      <c r="UFX142" s="22"/>
      <c r="UFY142" s="22"/>
      <c r="UFZ142" s="22"/>
      <c r="UGA142" s="22"/>
      <c r="UGB142" s="22"/>
      <c r="UGC142" s="22"/>
      <c r="UGD142" s="22"/>
      <c r="UGE142" s="22"/>
      <c r="UGF142" s="22"/>
      <c r="UGG142" s="22"/>
      <c r="UGH142" s="22"/>
      <c r="UGI142" s="22"/>
      <c r="UGJ142" s="22"/>
      <c r="UGK142" s="22"/>
      <c r="UGL142" s="22"/>
      <c r="UGM142" s="22"/>
      <c r="UGN142" s="22"/>
      <c r="UGO142" s="22"/>
      <c r="UGP142" s="22"/>
      <c r="UGQ142" s="22"/>
      <c r="UGR142" s="22"/>
      <c r="UGS142" s="22"/>
      <c r="UGT142" s="22"/>
      <c r="UGU142" s="22"/>
      <c r="UGV142" s="22"/>
      <c r="UGW142" s="22"/>
      <c r="UGX142" s="22"/>
      <c r="UGY142" s="22"/>
      <c r="UGZ142" s="22"/>
      <c r="UHA142" s="22"/>
      <c r="UHB142" s="22"/>
      <c r="UHC142" s="22"/>
      <c r="UHD142" s="22"/>
      <c r="UHE142" s="22"/>
      <c r="UHF142" s="22"/>
      <c r="UHG142" s="22"/>
      <c r="UHH142" s="22"/>
      <c r="UHI142" s="22"/>
      <c r="UHJ142" s="22"/>
      <c r="UHK142" s="22"/>
      <c r="UHL142" s="22"/>
      <c r="UHM142" s="22"/>
      <c r="UHN142" s="22"/>
      <c r="UHO142" s="22"/>
      <c r="UHP142" s="22"/>
      <c r="UHQ142" s="22"/>
      <c r="UHR142" s="22"/>
      <c r="UHS142" s="22"/>
      <c r="UHT142" s="22"/>
      <c r="UHU142" s="22"/>
      <c r="UHV142" s="22"/>
      <c r="UHW142" s="22"/>
      <c r="UHX142" s="22"/>
      <c r="UHY142" s="22"/>
      <c r="UHZ142" s="22"/>
      <c r="UIA142" s="22"/>
      <c r="UIB142" s="22"/>
      <c r="UIC142" s="22"/>
      <c r="UID142" s="22"/>
      <c r="UIE142" s="22"/>
      <c r="UIF142" s="22"/>
      <c r="UIG142" s="22"/>
      <c r="UIH142" s="22"/>
      <c r="UII142" s="22"/>
      <c r="UIJ142" s="22"/>
      <c r="UIK142" s="22"/>
      <c r="UIL142" s="22"/>
      <c r="UIM142" s="22"/>
      <c r="UIN142" s="22"/>
      <c r="UIO142" s="22"/>
      <c r="UIP142" s="22"/>
      <c r="UIQ142" s="22"/>
      <c r="UIR142" s="22"/>
      <c r="UIS142" s="22"/>
      <c r="UIT142" s="22"/>
      <c r="UIU142" s="22"/>
      <c r="UIV142" s="22"/>
      <c r="UIW142" s="22"/>
      <c r="UIX142" s="22"/>
      <c r="UIY142" s="22"/>
      <c r="UIZ142" s="22"/>
      <c r="UJA142" s="22"/>
      <c r="UJB142" s="22"/>
      <c r="UJC142" s="22"/>
      <c r="UJD142" s="22"/>
      <c r="UJE142" s="22"/>
      <c r="UJF142" s="22"/>
      <c r="UJG142" s="22"/>
      <c r="UJH142" s="22"/>
      <c r="UJI142" s="22"/>
      <c r="UJJ142" s="22"/>
      <c r="UJK142" s="22"/>
      <c r="UJL142" s="22"/>
      <c r="UJM142" s="22"/>
      <c r="UJN142" s="22"/>
      <c r="UJO142" s="22"/>
      <c r="UJP142" s="22"/>
      <c r="UJQ142" s="22"/>
      <c r="UJR142" s="22"/>
      <c r="UJS142" s="22"/>
      <c r="UJT142" s="22"/>
      <c r="UJU142" s="22"/>
      <c r="UJV142" s="22"/>
      <c r="UJW142" s="22"/>
      <c r="UJX142" s="22"/>
      <c r="UJY142" s="22"/>
      <c r="UJZ142" s="22"/>
      <c r="UKA142" s="22"/>
      <c r="UKB142" s="22"/>
      <c r="UKC142" s="22"/>
      <c r="UKD142" s="22"/>
      <c r="UKE142" s="22"/>
      <c r="UKF142" s="22"/>
      <c r="UKG142" s="22"/>
      <c r="UKH142" s="22"/>
      <c r="UKI142" s="22"/>
      <c r="UKJ142" s="22"/>
      <c r="UKK142" s="22"/>
      <c r="UKL142" s="22"/>
      <c r="UKM142" s="22"/>
      <c r="UKN142" s="22"/>
      <c r="UKO142" s="22"/>
      <c r="UKP142" s="22"/>
      <c r="UKQ142" s="22"/>
      <c r="UKR142" s="22"/>
      <c r="UKS142" s="22"/>
      <c r="UKT142" s="22"/>
      <c r="UKU142" s="22"/>
      <c r="UKV142" s="22"/>
      <c r="UKW142" s="22"/>
      <c r="UKX142" s="22"/>
      <c r="UKY142" s="22"/>
      <c r="UKZ142" s="22"/>
      <c r="ULA142" s="22"/>
      <c r="ULB142" s="22"/>
      <c r="ULC142" s="22"/>
      <c r="ULD142" s="22"/>
      <c r="ULE142" s="22"/>
      <c r="ULF142" s="22"/>
      <c r="ULG142" s="22"/>
      <c r="ULH142" s="22"/>
      <c r="ULI142" s="22"/>
      <c r="ULJ142" s="22"/>
      <c r="ULK142" s="22"/>
      <c r="ULL142" s="22"/>
      <c r="ULM142" s="22"/>
      <c r="ULN142" s="22"/>
      <c r="ULO142" s="22"/>
      <c r="ULP142" s="22"/>
      <c r="ULQ142" s="22"/>
      <c r="ULR142" s="22"/>
      <c r="ULS142" s="22"/>
      <c r="ULT142" s="22"/>
      <c r="ULU142" s="22"/>
      <c r="ULV142" s="22"/>
      <c r="ULW142" s="22"/>
      <c r="ULX142" s="22"/>
      <c r="ULY142" s="22"/>
      <c r="ULZ142" s="22"/>
      <c r="UMA142" s="22"/>
      <c r="UMB142" s="22"/>
      <c r="UMC142" s="22"/>
      <c r="UMD142" s="22"/>
      <c r="UME142" s="22"/>
      <c r="UMF142" s="22"/>
      <c r="UMG142" s="22"/>
      <c r="UMH142" s="22"/>
      <c r="UMI142" s="22"/>
      <c r="UMJ142" s="22"/>
      <c r="UMK142" s="22"/>
      <c r="UML142" s="22"/>
      <c r="UMM142" s="22"/>
      <c r="UMN142" s="22"/>
      <c r="UMO142" s="22"/>
      <c r="UMP142" s="22"/>
      <c r="UMQ142" s="22"/>
      <c r="UMR142" s="22"/>
      <c r="UMS142" s="22"/>
      <c r="UMT142" s="22"/>
      <c r="UMU142" s="22"/>
      <c r="UMV142" s="22"/>
      <c r="UMW142" s="22"/>
      <c r="UMX142" s="22"/>
      <c r="UMY142" s="22"/>
      <c r="UMZ142" s="22"/>
      <c r="UNA142" s="22"/>
      <c r="UNB142" s="22"/>
      <c r="UNC142" s="22"/>
      <c r="UND142" s="22"/>
      <c r="UNE142" s="22"/>
      <c r="UNF142" s="22"/>
      <c r="UNG142" s="22"/>
      <c r="UNH142" s="22"/>
      <c r="UNI142" s="22"/>
      <c r="UNJ142" s="22"/>
      <c r="UNK142" s="22"/>
      <c r="UNL142" s="22"/>
      <c r="UNM142" s="22"/>
      <c r="UNN142" s="22"/>
      <c r="UNO142" s="22"/>
      <c r="UNP142" s="22"/>
      <c r="UNQ142" s="22"/>
      <c r="UNR142" s="22"/>
      <c r="UNS142" s="22"/>
      <c r="UNT142" s="22"/>
      <c r="UNU142" s="22"/>
      <c r="UNV142" s="22"/>
      <c r="UNW142" s="22"/>
      <c r="UNX142" s="22"/>
      <c r="UNY142" s="22"/>
      <c r="UNZ142" s="22"/>
      <c r="UOA142" s="22"/>
      <c r="UOB142" s="22"/>
      <c r="UOC142" s="22"/>
      <c r="UOD142" s="22"/>
      <c r="UOE142" s="22"/>
      <c r="UOF142" s="22"/>
      <c r="UOG142" s="22"/>
      <c r="UOH142" s="22"/>
      <c r="UOI142" s="22"/>
      <c r="UOJ142" s="22"/>
      <c r="UOK142" s="22"/>
      <c r="UOL142" s="22"/>
      <c r="UOM142" s="22"/>
      <c r="UON142" s="22"/>
      <c r="UOO142" s="22"/>
      <c r="UOP142" s="22"/>
      <c r="UOQ142" s="22"/>
      <c r="UOR142" s="22"/>
      <c r="UOS142" s="22"/>
      <c r="UOT142" s="22"/>
      <c r="UOU142" s="22"/>
      <c r="UOV142" s="22"/>
      <c r="UOW142" s="22"/>
      <c r="UOX142" s="22"/>
      <c r="UOY142" s="22"/>
      <c r="UOZ142" s="22"/>
      <c r="UPA142" s="22"/>
      <c r="UPB142" s="22"/>
      <c r="UPC142" s="22"/>
      <c r="UPD142" s="22"/>
      <c r="UPE142" s="22"/>
      <c r="UPF142" s="22"/>
      <c r="UPG142" s="22"/>
      <c r="UPH142" s="22"/>
      <c r="UPI142" s="22"/>
      <c r="UPJ142" s="22"/>
      <c r="UPK142" s="22"/>
      <c r="UPL142" s="22"/>
      <c r="UPM142" s="22"/>
      <c r="UPN142" s="22"/>
      <c r="UPO142" s="22"/>
      <c r="UPP142" s="22"/>
      <c r="UPQ142" s="22"/>
      <c r="UPR142" s="22"/>
      <c r="UPS142" s="22"/>
      <c r="UPT142" s="22"/>
      <c r="UPU142" s="22"/>
      <c r="UPV142" s="22"/>
      <c r="UPW142" s="22"/>
      <c r="UPX142" s="22"/>
      <c r="UPY142" s="22"/>
      <c r="UPZ142" s="22"/>
      <c r="UQA142" s="22"/>
      <c r="UQB142" s="22"/>
      <c r="UQC142" s="22"/>
      <c r="UQD142" s="22"/>
      <c r="UQE142" s="22"/>
      <c r="UQF142" s="22"/>
      <c r="UQG142" s="22"/>
      <c r="UQH142" s="22"/>
      <c r="UQI142" s="22"/>
      <c r="UQJ142" s="22"/>
      <c r="UQK142" s="22"/>
      <c r="UQL142" s="22"/>
      <c r="UQM142" s="22"/>
      <c r="UQN142" s="22"/>
      <c r="UQO142" s="22"/>
      <c r="UQP142" s="22"/>
      <c r="UQQ142" s="22"/>
      <c r="UQR142" s="22"/>
      <c r="UQS142" s="22"/>
      <c r="UQT142" s="22"/>
      <c r="UQU142" s="22"/>
      <c r="UQV142" s="22"/>
      <c r="UQW142" s="22"/>
      <c r="UQX142" s="22"/>
      <c r="UQY142" s="22"/>
      <c r="UQZ142" s="22"/>
      <c r="URA142" s="22"/>
      <c r="URB142" s="22"/>
      <c r="URC142" s="22"/>
      <c r="URD142" s="22"/>
      <c r="URE142" s="22"/>
      <c r="URF142" s="22"/>
      <c r="URG142" s="22"/>
      <c r="URH142" s="22"/>
      <c r="URI142" s="22"/>
      <c r="URJ142" s="22"/>
      <c r="URK142" s="22"/>
      <c r="URL142" s="22"/>
      <c r="URM142" s="22"/>
      <c r="URN142" s="22"/>
      <c r="URO142" s="22"/>
      <c r="URP142" s="22"/>
      <c r="URQ142" s="22"/>
      <c r="URR142" s="22"/>
      <c r="URS142" s="22"/>
      <c r="URT142" s="22"/>
      <c r="URU142" s="22"/>
      <c r="URV142" s="22"/>
      <c r="URW142" s="22"/>
      <c r="URX142" s="22"/>
      <c r="URY142" s="22"/>
      <c r="URZ142" s="22"/>
      <c r="USA142" s="22"/>
      <c r="USB142" s="22"/>
      <c r="USC142" s="22"/>
      <c r="USD142" s="22"/>
      <c r="USE142" s="22"/>
      <c r="USF142" s="22"/>
      <c r="USG142" s="22"/>
      <c r="USH142" s="22"/>
      <c r="USI142" s="22"/>
      <c r="USJ142" s="22"/>
      <c r="USK142" s="22"/>
      <c r="USL142" s="22"/>
      <c r="USM142" s="22"/>
      <c r="USN142" s="22"/>
      <c r="USO142" s="22"/>
      <c r="USP142" s="22"/>
      <c r="USQ142" s="22"/>
      <c r="USR142" s="22"/>
      <c r="USS142" s="22"/>
      <c r="UST142" s="22"/>
      <c r="USU142" s="22"/>
      <c r="USV142" s="22"/>
      <c r="USW142" s="22"/>
      <c r="USX142" s="22"/>
      <c r="USY142" s="22"/>
      <c r="USZ142" s="22"/>
      <c r="UTA142" s="22"/>
      <c r="UTB142" s="22"/>
      <c r="UTC142" s="22"/>
      <c r="UTD142" s="22"/>
      <c r="UTE142" s="22"/>
      <c r="UTF142" s="22"/>
      <c r="UTG142" s="22"/>
      <c r="UTH142" s="22"/>
      <c r="UTI142" s="22"/>
      <c r="UTJ142" s="22"/>
      <c r="UTK142" s="22"/>
      <c r="UTL142" s="22"/>
      <c r="UTM142" s="22"/>
      <c r="UTN142" s="22"/>
      <c r="UTO142" s="22"/>
      <c r="UTP142" s="22"/>
      <c r="UTQ142" s="22"/>
      <c r="UTR142" s="22"/>
      <c r="UTS142" s="22"/>
      <c r="UTT142" s="22"/>
      <c r="UTU142" s="22"/>
      <c r="UTV142" s="22"/>
      <c r="UTW142" s="22"/>
      <c r="UTX142" s="22"/>
      <c r="UTY142" s="22"/>
      <c r="UTZ142" s="22"/>
      <c r="UUA142" s="22"/>
      <c r="UUB142" s="22"/>
      <c r="UUC142" s="22"/>
      <c r="UUD142" s="22"/>
      <c r="UUE142" s="22"/>
      <c r="UUF142" s="22"/>
      <c r="UUG142" s="22"/>
      <c r="UUH142" s="22"/>
      <c r="UUI142" s="22"/>
      <c r="UUJ142" s="22"/>
      <c r="UUK142" s="22"/>
      <c r="UUL142" s="22"/>
      <c r="UUM142" s="22"/>
      <c r="UUN142" s="22"/>
      <c r="UUO142" s="22"/>
      <c r="UUP142" s="22"/>
      <c r="UUQ142" s="22"/>
      <c r="UUR142" s="22"/>
      <c r="UUS142" s="22"/>
      <c r="UUT142" s="22"/>
      <c r="UUU142" s="22"/>
      <c r="UUV142" s="22"/>
      <c r="UUW142" s="22"/>
      <c r="UUX142" s="22"/>
      <c r="UUY142" s="22"/>
      <c r="UUZ142" s="22"/>
      <c r="UVA142" s="22"/>
      <c r="UVB142" s="22"/>
      <c r="UVC142" s="22"/>
      <c r="UVD142" s="22"/>
      <c r="UVE142" s="22"/>
      <c r="UVF142" s="22"/>
      <c r="UVG142" s="22"/>
      <c r="UVH142" s="22"/>
      <c r="UVI142" s="22"/>
      <c r="UVJ142" s="22"/>
      <c r="UVK142" s="22"/>
      <c r="UVL142" s="22"/>
      <c r="UVM142" s="22"/>
      <c r="UVN142" s="22"/>
      <c r="UVO142" s="22"/>
      <c r="UVP142" s="22"/>
      <c r="UVQ142" s="22"/>
      <c r="UVR142" s="22"/>
      <c r="UVS142" s="22"/>
      <c r="UVT142" s="22"/>
      <c r="UVU142" s="22"/>
      <c r="UVV142" s="22"/>
      <c r="UVW142" s="22"/>
      <c r="UVX142" s="22"/>
      <c r="UVY142" s="22"/>
      <c r="UVZ142" s="22"/>
      <c r="UWA142" s="22"/>
      <c r="UWB142" s="22"/>
      <c r="UWC142" s="22"/>
      <c r="UWD142" s="22"/>
      <c r="UWE142" s="22"/>
      <c r="UWF142" s="22"/>
      <c r="UWG142" s="22"/>
      <c r="UWH142" s="22"/>
      <c r="UWI142" s="22"/>
      <c r="UWJ142" s="22"/>
      <c r="UWK142" s="22"/>
      <c r="UWL142" s="22"/>
      <c r="UWM142" s="22"/>
      <c r="UWN142" s="22"/>
      <c r="UWO142" s="22"/>
      <c r="UWP142" s="22"/>
      <c r="UWQ142" s="22"/>
      <c r="UWR142" s="22"/>
      <c r="UWS142" s="22"/>
      <c r="UWT142" s="22"/>
      <c r="UWU142" s="22"/>
      <c r="UWV142" s="22"/>
      <c r="UWW142" s="22"/>
      <c r="UWX142" s="22"/>
      <c r="UWY142" s="22"/>
      <c r="UWZ142" s="22"/>
      <c r="UXA142" s="22"/>
      <c r="UXB142" s="22"/>
      <c r="UXC142" s="22"/>
      <c r="UXD142" s="22"/>
      <c r="UXE142" s="22"/>
      <c r="UXF142" s="22"/>
      <c r="UXG142" s="22"/>
      <c r="UXH142" s="22"/>
      <c r="UXI142" s="22"/>
      <c r="UXJ142" s="22"/>
      <c r="UXK142" s="22"/>
      <c r="UXL142" s="22"/>
      <c r="UXM142" s="22"/>
      <c r="UXN142" s="22"/>
      <c r="UXO142" s="22"/>
      <c r="UXP142" s="22"/>
      <c r="UXQ142" s="22"/>
      <c r="UXR142" s="22"/>
      <c r="UXS142" s="22"/>
      <c r="UXT142" s="22"/>
      <c r="UXU142" s="22"/>
      <c r="UXV142" s="22"/>
      <c r="UXW142" s="22"/>
      <c r="UXX142" s="22"/>
      <c r="UXY142" s="22"/>
      <c r="UXZ142" s="22"/>
      <c r="UYA142" s="22"/>
      <c r="UYB142" s="22"/>
      <c r="UYC142" s="22"/>
      <c r="UYD142" s="22"/>
      <c r="UYE142" s="22"/>
      <c r="UYF142" s="22"/>
      <c r="UYG142" s="22"/>
      <c r="UYH142" s="22"/>
      <c r="UYI142" s="22"/>
      <c r="UYJ142" s="22"/>
      <c r="UYK142" s="22"/>
      <c r="UYL142" s="22"/>
      <c r="UYM142" s="22"/>
      <c r="UYN142" s="22"/>
      <c r="UYO142" s="22"/>
      <c r="UYP142" s="22"/>
      <c r="UYQ142" s="22"/>
      <c r="UYR142" s="22"/>
      <c r="UYS142" s="22"/>
      <c r="UYT142" s="22"/>
      <c r="UYU142" s="22"/>
      <c r="UYV142" s="22"/>
      <c r="UYW142" s="22"/>
      <c r="UYX142" s="22"/>
      <c r="UYY142" s="22"/>
      <c r="UYZ142" s="22"/>
      <c r="UZA142" s="22"/>
      <c r="UZB142" s="22"/>
      <c r="UZC142" s="22"/>
      <c r="UZD142" s="22"/>
      <c r="UZE142" s="22"/>
      <c r="UZF142" s="22"/>
      <c r="UZG142" s="22"/>
      <c r="UZH142" s="22"/>
      <c r="UZI142" s="22"/>
      <c r="UZJ142" s="22"/>
      <c r="UZK142" s="22"/>
      <c r="UZL142" s="22"/>
      <c r="UZM142" s="22"/>
      <c r="UZN142" s="22"/>
      <c r="UZO142" s="22"/>
      <c r="UZP142" s="22"/>
      <c r="UZQ142" s="22"/>
      <c r="UZR142" s="22"/>
      <c r="UZS142" s="22"/>
      <c r="UZT142" s="22"/>
      <c r="UZU142" s="22"/>
      <c r="UZV142" s="22"/>
      <c r="UZW142" s="22"/>
      <c r="UZX142" s="22"/>
      <c r="UZY142" s="22"/>
      <c r="UZZ142" s="22"/>
      <c r="VAA142" s="22"/>
      <c r="VAB142" s="22"/>
      <c r="VAC142" s="22"/>
      <c r="VAD142" s="22"/>
      <c r="VAE142" s="22"/>
      <c r="VAF142" s="22"/>
      <c r="VAG142" s="22"/>
      <c r="VAH142" s="22"/>
      <c r="VAI142" s="22"/>
      <c r="VAJ142" s="22"/>
      <c r="VAK142" s="22"/>
      <c r="VAL142" s="22"/>
      <c r="VAM142" s="22"/>
      <c r="VAN142" s="22"/>
      <c r="VAO142" s="22"/>
      <c r="VAP142" s="22"/>
      <c r="VAQ142" s="22"/>
      <c r="VAR142" s="22"/>
      <c r="VAS142" s="22"/>
      <c r="VAT142" s="22"/>
      <c r="VAU142" s="22"/>
      <c r="VAV142" s="22"/>
      <c r="VAW142" s="22"/>
      <c r="VAX142" s="22"/>
      <c r="VAY142" s="22"/>
      <c r="VAZ142" s="22"/>
      <c r="VBA142" s="22"/>
      <c r="VBB142" s="22"/>
      <c r="VBC142" s="22"/>
      <c r="VBD142" s="22"/>
      <c r="VBE142" s="22"/>
      <c r="VBF142" s="22"/>
      <c r="VBG142" s="22"/>
      <c r="VBH142" s="22"/>
      <c r="VBI142" s="22"/>
      <c r="VBJ142" s="22"/>
      <c r="VBK142" s="22"/>
      <c r="VBL142" s="22"/>
      <c r="VBM142" s="22"/>
      <c r="VBN142" s="22"/>
      <c r="VBO142" s="22"/>
      <c r="VBP142" s="22"/>
      <c r="VBQ142" s="22"/>
      <c r="VBR142" s="22"/>
      <c r="VBS142" s="22"/>
      <c r="VBT142" s="22"/>
      <c r="VBU142" s="22"/>
      <c r="VBV142" s="22"/>
      <c r="VBW142" s="22"/>
      <c r="VBX142" s="22"/>
      <c r="VBY142" s="22"/>
      <c r="VBZ142" s="22"/>
      <c r="VCA142" s="22"/>
      <c r="VCB142" s="22"/>
      <c r="VCC142" s="22"/>
      <c r="VCD142" s="22"/>
      <c r="VCE142" s="22"/>
      <c r="VCF142" s="22"/>
      <c r="VCG142" s="22"/>
      <c r="VCH142" s="22"/>
      <c r="VCI142" s="22"/>
      <c r="VCJ142" s="22"/>
      <c r="VCK142" s="22"/>
      <c r="VCL142" s="22"/>
      <c r="VCM142" s="22"/>
      <c r="VCN142" s="22"/>
      <c r="VCO142" s="22"/>
      <c r="VCP142" s="22"/>
      <c r="VCQ142" s="22"/>
      <c r="VCR142" s="22"/>
      <c r="VCS142" s="22"/>
      <c r="VCT142" s="22"/>
      <c r="VCU142" s="22"/>
      <c r="VCV142" s="22"/>
      <c r="VCW142" s="22"/>
      <c r="VCX142" s="22"/>
      <c r="VCY142" s="22"/>
      <c r="VCZ142" s="22"/>
      <c r="VDA142" s="22"/>
      <c r="VDB142" s="22"/>
      <c r="VDC142" s="22"/>
      <c r="VDD142" s="22"/>
      <c r="VDE142" s="22"/>
      <c r="VDF142" s="22"/>
      <c r="VDG142" s="22"/>
      <c r="VDH142" s="22"/>
      <c r="VDI142" s="22"/>
      <c r="VDJ142" s="22"/>
      <c r="VDK142" s="22"/>
      <c r="VDL142" s="22"/>
      <c r="VDM142" s="22"/>
      <c r="VDN142" s="22"/>
      <c r="VDO142" s="22"/>
      <c r="VDP142" s="22"/>
      <c r="VDQ142" s="22"/>
      <c r="VDR142" s="22"/>
      <c r="VDS142" s="22"/>
      <c r="VDT142" s="22"/>
      <c r="VDU142" s="22"/>
      <c r="VDV142" s="22"/>
      <c r="VDW142" s="22"/>
      <c r="VDX142" s="22"/>
      <c r="VDY142" s="22"/>
      <c r="VDZ142" s="22"/>
      <c r="VEA142" s="22"/>
      <c r="VEB142" s="22"/>
      <c r="VEC142" s="22"/>
      <c r="VED142" s="22"/>
      <c r="VEE142" s="22"/>
      <c r="VEF142" s="22"/>
      <c r="VEG142" s="22"/>
      <c r="VEH142" s="22"/>
      <c r="VEI142" s="22"/>
      <c r="VEJ142" s="22"/>
      <c r="VEK142" s="22"/>
      <c r="VEL142" s="22"/>
      <c r="VEM142" s="22"/>
      <c r="VEN142" s="22"/>
      <c r="VEO142" s="22"/>
      <c r="VEP142" s="22"/>
      <c r="VEQ142" s="22"/>
      <c r="VER142" s="22"/>
      <c r="VES142" s="22"/>
      <c r="VET142" s="22"/>
      <c r="VEU142" s="22"/>
      <c r="VEV142" s="22"/>
      <c r="VEW142" s="22"/>
      <c r="VEX142" s="22"/>
      <c r="VEY142" s="22"/>
      <c r="VEZ142" s="22"/>
      <c r="VFA142" s="22"/>
      <c r="VFB142" s="22"/>
      <c r="VFC142" s="22"/>
      <c r="VFD142" s="22"/>
      <c r="VFE142" s="22"/>
      <c r="VFF142" s="22"/>
      <c r="VFG142" s="22"/>
      <c r="VFH142" s="22"/>
      <c r="VFI142" s="22"/>
      <c r="VFJ142" s="22"/>
      <c r="VFK142" s="22"/>
      <c r="VFL142" s="22"/>
      <c r="VFM142" s="22"/>
      <c r="VFN142" s="22"/>
      <c r="VFO142" s="22"/>
      <c r="VFP142" s="22"/>
      <c r="VFQ142" s="22"/>
      <c r="VFR142" s="22"/>
      <c r="VFS142" s="22"/>
      <c r="VFT142" s="22"/>
      <c r="VFU142" s="22"/>
      <c r="VFV142" s="22"/>
      <c r="VFW142" s="22"/>
      <c r="VFX142" s="22"/>
      <c r="VFY142" s="22"/>
      <c r="VFZ142" s="22"/>
      <c r="VGA142" s="22"/>
      <c r="VGB142" s="22"/>
      <c r="VGC142" s="22"/>
      <c r="VGD142" s="22"/>
      <c r="VGE142" s="22"/>
      <c r="VGF142" s="22"/>
      <c r="VGG142" s="22"/>
      <c r="VGH142" s="22"/>
      <c r="VGI142" s="22"/>
      <c r="VGJ142" s="22"/>
      <c r="VGK142" s="22"/>
      <c r="VGL142" s="22"/>
      <c r="VGM142" s="22"/>
      <c r="VGN142" s="22"/>
      <c r="VGO142" s="22"/>
      <c r="VGP142" s="22"/>
      <c r="VGQ142" s="22"/>
      <c r="VGR142" s="22"/>
      <c r="VGS142" s="22"/>
      <c r="VGT142" s="22"/>
      <c r="VGU142" s="22"/>
      <c r="VGV142" s="22"/>
      <c r="VGW142" s="22"/>
      <c r="VGX142" s="22"/>
      <c r="VGY142" s="22"/>
      <c r="VGZ142" s="22"/>
      <c r="VHA142" s="22"/>
      <c r="VHB142" s="22"/>
      <c r="VHC142" s="22"/>
      <c r="VHD142" s="22"/>
      <c r="VHE142" s="22"/>
      <c r="VHF142" s="22"/>
      <c r="VHG142" s="22"/>
      <c r="VHH142" s="22"/>
      <c r="VHI142" s="22"/>
      <c r="VHJ142" s="22"/>
      <c r="VHK142" s="22"/>
      <c r="VHL142" s="22"/>
      <c r="VHM142" s="22"/>
      <c r="VHN142" s="22"/>
      <c r="VHO142" s="22"/>
      <c r="VHP142" s="22"/>
      <c r="VHQ142" s="22"/>
      <c r="VHR142" s="22"/>
      <c r="VHS142" s="22"/>
      <c r="VHT142" s="22"/>
      <c r="VHU142" s="22"/>
      <c r="VHV142" s="22"/>
      <c r="VHW142" s="22"/>
      <c r="VHX142" s="22"/>
      <c r="VHY142" s="22"/>
      <c r="VHZ142" s="22"/>
      <c r="VIA142" s="22"/>
      <c r="VIB142" s="22"/>
      <c r="VIC142" s="22"/>
      <c r="VID142" s="22"/>
      <c r="VIE142" s="22"/>
      <c r="VIF142" s="22"/>
      <c r="VIG142" s="22"/>
      <c r="VIH142" s="22"/>
      <c r="VII142" s="22"/>
      <c r="VIJ142" s="22"/>
      <c r="VIK142" s="22"/>
      <c r="VIL142" s="22"/>
      <c r="VIM142" s="22"/>
      <c r="VIN142" s="22"/>
      <c r="VIO142" s="22"/>
      <c r="VIP142" s="22"/>
      <c r="VIQ142" s="22"/>
      <c r="VIR142" s="22"/>
      <c r="VIS142" s="22"/>
      <c r="VIT142" s="22"/>
      <c r="VIU142" s="22"/>
      <c r="VIV142" s="22"/>
      <c r="VIW142" s="22"/>
      <c r="VIX142" s="22"/>
      <c r="VIY142" s="22"/>
      <c r="VIZ142" s="22"/>
      <c r="VJA142" s="22"/>
      <c r="VJB142" s="22"/>
      <c r="VJC142" s="22"/>
      <c r="VJD142" s="22"/>
      <c r="VJE142" s="22"/>
      <c r="VJF142" s="22"/>
      <c r="VJG142" s="22"/>
      <c r="VJH142" s="22"/>
      <c r="VJI142" s="22"/>
      <c r="VJJ142" s="22"/>
      <c r="VJK142" s="22"/>
      <c r="VJL142" s="22"/>
      <c r="VJM142" s="22"/>
      <c r="VJN142" s="22"/>
      <c r="VJO142" s="22"/>
      <c r="VJP142" s="22"/>
      <c r="VJQ142" s="22"/>
      <c r="VJR142" s="22"/>
      <c r="VJS142" s="22"/>
      <c r="VJT142" s="22"/>
      <c r="VJU142" s="22"/>
      <c r="VJV142" s="22"/>
      <c r="VJW142" s="22"/>
      <c r="VJX142" s="22"/>
      <c r="VJY142" s="22"/>
      <c r="VJZ142" s="22"/>
      <c r="VKA142" s="22"/>
      <c r="VKB142" s="22"/>
      <c r="VKC142" s="22"/>
      <c r="VKD142" s="22"/>
      <c r="VKE142" s="22"/>
      <c r="VKF142" s="22"/>
      <c r="VKG142" s="22"/>
      <c r="VKH142" s="22"/>
      <c r="VKI142" s="22"/>
      <c r="VKJ142" s="22"/>
      <c r="VKK142" s="22"/>
      <c r="VKL142" s="22"/>
      <c r="VKM142" s="22"/>
      <c r="VKN142" s="22"/>
      <c r="VKO142" s="22"/>
      <c r="VKP142" s="22"/>
      <c r="VKQ142" s="22"/>
      <c r="VKR142" s="22"/>
      <c r="VKS142" s="22"/>
      <c r="VKT142" s="22"/>
      <c r="VKU142" s="22"/>
      <c r="VKV142" s="22"/>
      <c r="VKW142" s="22"/>
      <c r="VKX142" s="22"/>
      <c r="VKY142" s="22"/>
      <c r="VKZ142" s="22"/>
      <c r="VLA142" s="22"/>
      <c r="VLB142" s="22"/>
      <c r="VLC142" s="22"/>
      <c r="VLD142" s="22"/>
      <c r="VLE142" s="22"/>
      <c r="VLF142" s="22"/>
      <c r="VLG142" s="22"/>
      <c r="VLH142" s="22"/>
      <c r="VLI142" s="22"/>
      <c r="VLJ142" s="22"/>
      <c r="VLK142" s="22"/>
      <c r="VLL142" s="22"/>
      <c r="VLM142" s="22"/>
      <c r="VLN142" s="22"/>
      <c r="VLO142" s="22"/>
      <c r="VLP142" s="22"/>
      <c r="VLQ142" s="22"/>
      <c r="VLR142" s="22"/>
      <c r="VLS142" s="22"/>
      <c r="VLT142" s="22"/>
      <c r="VLU142" s="22"/>
      <c r="VLV142" s="22"/>
      <c r="VLW142" s="22"/>
      <c r="VLX142" s="22"/>
      <c r="VLY142" s="22"/>
      <c r="VLZ142" s="22"/>
      <c r="VMA142" s="22"/>
      <c r="VMB142" s="22"/>
      <c r="VMC142" s="22"/>
      <c r="VMD142" s="22"/>
      <c r="VME142" s="22"/>
      <c r="VMF142" s="22"/>
      <c r="VMG142" s="22"/>
      <c r="VMH142" s="22"/>
      <c r="VMI142" s="22"/>
      <c r="VMJ142" s="22"/>
      <c r="VMK142" s="22"/>
      <c r="VML142" s="22"/>
      <c r="VMM142" s="22"/>
      <c r="VMN142" s="22"/>
      <c r="VMO142" s="22"/>
      <c r="VMP142" s="22"/>
      <c r="VMQ142" s="22"/>
      <c r="VMR142" s="22"/>
      <c r="VMS142" s="22"/>
      <c r="VMT142" s="22"/>
      <c r="VMU142" s="22"/>
      <c r="VMV142" s="22"/>
      <c r="VMW142" s="22"/>
      <c r="VMX142" s="22"/>
      <c r="VMY142" s="22"/>
      <c r="VMZ142" s="22"/>
      <c r="VNA142" s="22"/>
      <c r="VNB142" s="22"/>
      <c r="VNC142" s="22"/>
      <c r="VND142" s="22"/>
      <c r="VNE142" s="22"/>
      <c r="VNF142" s="22"/>
      <c r="VNG142" s="22"/>
      <c r="VNH142" s="22"/>
      <c r="VNI142" s="22"/>
      <c r="VNJ142" s="22"/>
      <c r="VNK142" s="22"/>
      <c r="VNL142" s="22"/>
      <c r="VNM142" s="22"/>
      <c r="VNN142" s="22"/>
      <c r="VNO142" s="22"/>
      <c r="VNP142" s="22"/>
      <c r="VNQ142" s="22"/>
      <c r="VNR142" s="22"/>
      <c r="VNS142" s="22"/>
      <c r="VNT142" s="22"/>
      <c r="VNU142" s="22"/>
      <c r="VNV142" s="22"/>
      <c r="VNW142" s="22"/>
      <c r="VNX142" s="22"/>
      <c r="VNY142" s="22"/>
      <c r="VNZ142" s="22"/>
      <c r="VOA142" s="22"/>
      <c r="VOB142" s="22"/>
      <c r="VOC142" s="22"/>
      <c r="VOD142" s="22"/>
      <c r="VOE142" s="22"/>
      <c r="VOF142" s="22"/>
      <c r="VOG142" s="22"/>
      <c r="VOH142" s="22"/>
      <c r="VOI142" s="22"/>
      <c r="VOJ142" s="22"/>
      <c r="VOK142" s="22"/>
      <c r="VOL142" s="22"/>
      <c r="VOM142" s="22"/>
      <c r="VON142" s="22"/>
      <c r="VOO142" s="22"/>
      <c r="VOP142" s="22"/>
      <c r="VOQ142" s="22"/>
      <c r="VOR142" s="22"/>
      <c r="VOS142" s="22"/>
      <c r="VOT142" s="22"/>
      <c r="VOU142" s="22"/>
      <c r="VOV142" s="22"/>
      <c r="VOW142" s="22"/>
      <c r="VOX142" s="22"/>
      <c r="VOY142" s="22"/>
      <c r="VOZ142" s="22"/>
      <c r="VPA142" s="22"/>
      <c r="VPB142" s="22"/>
      <c r="VPC142" s="22"/>
      <c r="VPD142" s="22"/>
      <c r="VPE142" s="22"/>
      <c r="VPF142" s="22"/>
      <c r="VPG142" s="22"/>
      <c r="VPH142" s="22"/>
      <c r="VPI142" s="22"/>
      <c r="VPJ142" s="22"/>
      <c r="VPK142" s="22"/>
      <c r="VPL142" s="22"/>
      <c r="VPM142" s="22"/>
      <c r="VPN142" s="22"/>
      <c r="VPO142" s="22"/>
      <c r="VPP142" s="22"/>
      <c r="VPQ142" s="22"/>
      <c r="VPR142" s="22"/>
      <c r="VPS142" s="22"/>
      <c r="VPT142" s="22"/>
      <c r="VPU142" s="22"/>
      <c r="VPV142" s="22"/>
      <c r="VPW142" s="22"/>
      <c r="VPX142" s="22"/>
      <c r="VPY142" s="22"/>
      <c r="VPZ142" s="22"/>
      <c r="VQA142" s="22"/>
      <c r="VQB142" s="22"/>
      <c r="VQC142" s="22"/>
      <c r="VQD142" s="22"/>
      <c r="VQE142" s="22"/>
      <c r="VQF142" s="22"/>
      <c r="VQG142" s="22"/>
      <c r="VQH142" s="22"/>
      <c r="VQI142" s="22"/>
      <c r="VQJ142" s="22"/>
      <c r="VQK142" s="22"/>
      <c r="VQL142" s="22"/>
      <c r="VQM142" s="22"/>
      <c r="VQN142" s="22"/>
      <c r="VQO142" s="22"/>
      <c r="VQP142" s="22"/>
      <c r="VQQ142" s="22"/>
      <c r="VQR142" s="22"/>
      <c r="VQS142" s="22"/>
      <c r="VQT142" s="22"/>
      <c r="VQU142" s="22"/>
      <c r="VQV142" s="22"/>
      <c r="VQW142" s="22"/>
      <c r="VQX142" s="22"/>
      <c r="VQY142" s="22"/>
      <c r="VQZ142" s="22"/>
      <c r="VRA142" s="22"/>
      <c r="VRB142" s="22"/>
      <c r="VRC142" s="22"/>
      <c r="VRD142" s="22"/>
      <c r="VRE142" s="22"/>
      <c r="VRF142" s="22"/>
      <c r="VRG142" s="22"/>
      <c r="VRH142" s="22"/>
      <c r="VRI142" s="22"/>
      <c r="VRJ142" s="22"/>
      <c r="VRK142" s="22"/>
      <c r="VRL142" s="22"/>
      <c r="VRM142" s="22"/>
      <c r="VRN142" s="22"/>
      <c r="VRO142" s="22"/>
      <c r="VRP142" s="22"/>
      <c r="VRQ142" s="22"/>
      <c r="VRR142" s="22"/>
      <c r="VRS142" s="22"/>
      <c r="VRT142" s="22"/>
      <c r="VRU142" s="22"/>
      <c r="VRV142" s="22"/>
      <c r="VRW142" s="22"/>
      <c r="VRX142" s="22"/>
      <c r="VRY142" s="22"/>
      <c r="VRZ142" s="22"/>
      <c r="VSA142" s="22"/>
      <c r="VSB142" s="22"/>
      <c r="VSC142" s="22"/>
      <c r="VSD142" s="22"/>
      <c r="VSE142" s="22"/>
      <c r="VSF142" s="22"/>
      <c r="VSG142" s="22"/>
      <c r="VSH142" s="22"/>
      <c r="VSI142" s="22"/>
      <c r="VSJ142" s="22"/>
      <c r="VSK142" s="22"/>
      <c r="VSL142" s="22"/>
      <c r="VSM142" s="22"/>
      <c r="VSN142" s="22"/>
      <c r="VSO142" s="22"/>
      <c r="VSP142" s="22"/>
      <c r="VSQ142" s="22"/>
      <c r="VSR142" s="22"/>
      <c r="VSS142" s="22"/>
      <c r="VST142" s="22"/>
      <c r="VSU142" s="22"/>
      <c r="VSV142" s="22"/>
      <c r="VSW142" s="22"/>
      <c r="VSX142" s="22"/>
      <c r="VSY142" s="22"/>
      <c r="VSZ142" s="22"/>
      <c r="VTA142" s="22"/>
      <c r="VTB142" s="22"/>
      <c r="VTC142" s="22"/>
      <c r="VTD142" s="22"/>
      <c r="VTE142" s="22"/>
      <c r="VTF142" s="22"/>
      <c r="VTG142" s="22"/>
      <c r="VTH142" s="22"/>
      <c r="VTI142" s="22"/>
      <c r="VTJ142" s="22"/>
      <c r="VTK142" s="22"/>
      <c r="VTL142" s="22"/>
      <c r="VTM142" s="22"/>
      <c r="VTN142" s="22"/>
      <c r="VTO142" s="22"/>
      <c r="VTP142" s="22"/>
      <c r="VTQ142" s="22"/>
      <c r="VTR142" s="22"/>
      <c r="VTS142" s="22"/>
      <c r="VTT142" s="22"/>
      <c r="VTU142" s="22"/>
      <c r="VTV142" s="22"/>
      <c r="VTW142" s="22"/>
      <c r="VTX142" s="22"/>
      <c r="VTY142" s="22"/>
      <c r="VTZ142" s="22"/>
      <c r="VUA142" s="22"/>
      <c r="VUB142" s="22"/>
      <c r="VUC142" s="22"/>
      <c r="VUD142" s="22"/>
      <c r="VUE142" s="22"/>
      <c r="VUF142" s="22"/>
      <c r="VUG142" s="22"/>
      <c r="VUH142" s="22"/>
      <c r="VUI142" s="22"/>
      <c r="VUJ142" s="22"/>
      <c r="VUK142" s="22"/>
      <c r="VUL142" s="22"/>
      <c r="VUM142" s="22"/>
      <c r="VUN142" s="22"/>
      <c r="VUO142" s="22"/>
      <c r="VUP142" s="22"/>
      <c r="VUQ142" s="22"/>
      <c r="VUR142" s="22"/>
      <c r="VUS142" s="22"/>
      <c r="VUT142" s="22"/>
      <c r="VUU142" s="22"/>
      <c r="VUV142" s="22"/>
      <c r="VUW142" s="22"/>
      <c r="VUX142" s="22"/>
      <c r="VUY142" s="22"/>
      <c r="VUZ142" s="22"/>
      <c r="VVA142" s="22"/>
      <c r="VVB142" s="22"/>
      <c r="VVC142" s="22"/>
      <c r="VVD142" s="22"/>
      <c r="VVE142" s="22"/>
      <c r="VVF142" s="22"/>
      <c r="VVG142" s="22"/>
      <c r="VVH142" s="22"/>
      <c r="VVI142" s="22"/>
      <c r="VVJ142" s="22"/>
      <c r="VVK142" s="22"/>
      <c r="VVL142" s="22"/>
      <c r="VVM142" s="22"/>
      <c r="VVN142" s="22"/>
      <c r="VVO142" s="22"/>
      <c r="VVP142" s="22"/>
      <c r="VVQ142" s="22"/>
      <c r="VVR142" s="22"/>
      <c r="VVS142" s="22"/>
      <c r="VVT142" s="22"/>
      <c r="VVU142" s="22"/>
      <c r="VVV142" s="22"/>
      <c r="VVW142" s="22"/>
      <c r="VVX142" s="22"/>
      <c r="VVY142" s="22"/>
      <c r="VVZ142" s="22"/>
      <c r="VWA142" s="22"/>
      <c r="VWB142" s="22"/>
      <c r="VWC142" s="22"/>
      <c r="VWD142" s="22"/>
      <c r="VWE142" s="22"/>
      <c r="VWF142" s="22"/>
      <c r="VWG142" s="22"/>
      <c r="VWH142" s="22"/>
      <c r="VWI142" s="22"/>
      <c r="VWJ142" s="22"/>
      <c r="VWK142" s="22"/>
      <c r="VWL142" s="22"/>
      <c r="VWM142" s="22"/>
      <c r="VWN142" s="22"/>
      <c r="VWO142" s="22"/>
      <c r="VWP142" s="22"/>
      <c r="VWQ142" s="22"/>
      <c r="VWR142" s="22"/>
      <c r="VWS142" s="22"/>
      <c r="VWT142" s="22"/>
      <c r="VWU142" s="22"/>
      <c r="VWV142" s="22"/>
      <c r="VWW142" s="22"/>
      <c r="VWX142" s="22"/>
      <c r="VWY142" s="22"/>
      <c r="VWZ142" s="22"/>
      <c r="VXA142" s="22"/>
      <c r="VXB142" s="22"/>
      <c r="VXC142" s="22"/>
      <c r="VXD142" s="22"/>
      <c r="VXE142" s="22"/>
      <c r="VXF142" s="22"/>
      <c r="VXG142" s="22"/>
      <c r="VXH142" s="22"/>
      <c r="VXI142" s="22"/>
      <c r="VXJ142" s="22"/>
      <c r="VXK142" s="22"/>
      <c r="VXL142" s="22"/>
      <c r="VXM142" s="22"/>
      <c r="VXN142" s="22"/>
      <c r="VXO142" s="22"/>
      <c r="VXP142" s="22"/>
      <c r="VXQ142" s="22"/>
      <c r="VXR142" s="22"/>
      <c r="VXS142" s="22"/>
      <c r="VXT142" s="22"/>
      <c r="VXU142" s="22"/>
      <c r="VXV142" s="22"/>
      <c r="VXW142" s="22"/>
      <c r="VXX142" s="22"/>
      <c r="VXY142" s="22"/>
      <c r="VXZ142" s="22"/>
      <c r="VYA142" s="22"/>
      <c r="VYB142" s="22"/>
      <c r="VYC142" s="22"/>
      <c r="VYD142" s="22"/>
      <c r="VYE142" s="22"/>
      <c r="VYF142" s="22"/>
      <c r="VYG142" s="22"/>
      <c r="VYH142" s="22"/>
      <c r="VYI142" s="22"/>
      <c r="VYJ142" s="22"/>
      <c r="VYK142" s="22"/>
      <c r="VYL142" s="22"/>
      <c r="VYM142" s="22"/>
      <c r="VYN142" s="22"/>
      <c r="VYO142" s="22"/>
      <c r="VYP142" s="22"/>
      <c r="VYQ142" s="22"/>
      <c r="VYR142" s="22"/>
      <c r="VYS142" s="22"/>
      <c r="VYT142" s="22"/>
      <c r="VYU142" s="22"/>
      <c r="VYV142" s="22"/>
      <c r="VYW142" s="22"/>
      <c r="VYX142" s="22"/>
      <c r="VYY142" s="22"/>
      <c r="VYZ142" s="22"/>
      <c r="VZA142" s="22"/>
      <c r="VZB142" s="22"/>
      <c r="VZC142" s="22"/>
      <c r="VZD142" s="22"/>
      <c r="VZE142" s="22"/>
      <c r="VZF142" s="22"/>
      <c r="VZG142" s="22"/>
      <c r="VZH142" s="22"/>
      <c r="VZI142" s="22"/>
      <c r="VZJ142" s="22"/>
      <c r="VZK142" s="22"/>
      <c r="VZL142" s="22"/>
      <c r="VZM142" s="22"/>
      <c r="VZN142" s="22"/>
      <c r="VZO142" s="22"/>
      <c r="VZP142" s="22"/>
      <c r="VZQ142" s="22"/>
      <c r="VZR142" s="22"/>
      <c r="VZS142" s="22"/>
      <c r="VZT142" s="22"/>
      <c r="VZU142" s="22"/>
      <c r="VZV142" s="22"/>
      <c r="VZW142" s="22"/>
      <c r="VZX142" s="22"/>
      <c r="VZY142" s="22"/>
      <c r="VZZ142" s="22"/>
      <c r="WAA142" s="22"/>
      <c r="WAB142" s="22"/>
      <c r="WAC142" s="22"/>
      <c r="WAD142" s="22"/>
      <c r="WAE142" s="22"/>
      <c r="WAF142" s="22"/>
      <c r="WAG142" s="22"/>
      <c r="WAH142" s="22"/>
      <c r="WAI142" s="22"/>
      <c r="WAJ142" s="22"/>
      <c r="WAK142" s="22"/>
      <c r="WAL142" s="22"/>
      <c r="WAM142" s="22"/>
      <c r="WAN142" s="22"/>
      <c r="WAO142" s="22"/>
      <c r="WAP142" s="22"/>
      <c r="WAQ142" s="22"/>
      <c r="WAR142" s="22"/>
      <c r="WAS142" s="22"/>
      <c r="WAT142" s="22"/>
      <c r="WAU142" s="22"/>
      <c r="WAV142" s="22"/>
      <c r="WAW142" s="22"/>
      <c r="WAX142" s="22"/>
      <c r="WAY142" s="22"/>
      <c r="WAZ142" s="22"/>
      <c r="WBA142" s="22"/>
      <c r="WBB142" s="22"/>
      <c r="WBC142" s="22"/>
      <c r="WBD142" s="22"/>
      <c r="WBE142" s="22"/>
      <c r="WBF142" s="22"/>
      <c r="WBG142" s="22"/>
      <c r="WBH142" s="22"/>
      <c r="WBI142" s="22"/>
      <c r="WBJ142" s="22"/>
      <c r="WBK142" s="22"/>
      <c r="WBL142" s="22"/>
      <c r="WBM142" s="22"/>
      <c r="WBN142" s="22"/>
      <c r="WBO142" s="22"/>
      <c r="WBP142" s="22"/>
      <c r="WBQ142" s="22"/>
      <c r="WBR142" s="22"/>
      <c r="WBS142" s="22"/>
      <c r="WBT142" s="22"/>
      <c r="WBU142" s="22"/>
      <c r="WBV142" s="22"/>
      <c r="WBW142" s="22"/>
      <c r="WBX142" s="22"/>
      <c r="WBY142" s="22"/>
      <c r="WBZ142" s="22"/>
      <c r="WCA142" s="22"/>
      <c r="WCB142" s="22"/>
      <c r="WCC142" s="22"/>
      <c r="WCD142" s="22"/>
      <c r="WCE142" s="22"/>
      <c r="WCF142" s="22"/>
      <c r="WCG142" s="22"/>
      <c r="WCH142" s="22"/>
      <c r="WCI142" s="22"/>
      <c r="WCJ142" s="22"/>
      <c r="WCK142" s="22"/>
      <c r="WCL142" s="22"/>
      <c r="WCM142" s="22"/>
      <c r="WCN142" s="22"/>
      <c r="WCO142" s="22"/>
      <c r="WCP142" s="22"/>
      <c r="WCQ142" s="22"/>
      <c r="WCR142" s="22"/>
      <c r="WCS142" s="22"/>
      <c r="WCT142" s="22"/>
      <c r="WCU142" s="22"/>
      <c r="WCV142" s="22"/>
      <c r="WCW142" s="22"/>
      <c r="WCX142" s="22"/>
      <c r="WCY142" s="22"/>
      <c r="WCZ142" s="22"/>
      <c r="WDA142" s="22"/>
      <c r="WDB142" s="22"/>
      <c r="WDC142" s="22"/>
      <c r="WDD142" s="22"/>
      <c r="WDE142" s="22"/>
      <c r="WDF142" s="22"/>
      <c r="WDG142" s="22"/>
      <c r="WDH142" s="22"/>
      <c r="WDI142" s="22"/>
      <c r="WDJ142" s="22"/>
      <c r="WDK142" s="22"/>
      <c r="WDL142" s="22"/>
      <c r="WDM142" s="22"/>
      <c r="WDN142" s="22"/>
      <c r="WDO142" s="22"/>
      <c r="WDP142" s="22"/>
      <c r="WDQ142" s="22"/>
      <c r="WDR142" s="22"/>
      <c r="WDS142" s="22"/>
      <c r="WDT142" s="22"/>
      <c r="WDU142" s="22"/>
      <c r="WDV142" s="22"/>
      <c r="WDW142" s="22"/>
      <c r="WDX142" s="22"/>
      <c r="WDY142" s="22"/>
      <c r="WDZ142" s="22"/>
      <c r="WEA142" s="22"/>
      <c r="WEB142" s="22"/>
      <c r="WEC142" s="22"/>
      <c r="WED142" s="22"/>
      <c r="WEE142" s="22"/>
      <c r="WEF142" s="22"/>
      <c r="WEG142" s="22"/>
      <c r="WEH142" s="22"/>
      <c r="WEI142" s="22"/>
      <c r="WEJ142" s="22"/>
      <c r="WEK142" s="22"/>
      <c r="WEL142" s="22"/>
      <c r="WEM142" s="22"/>
      <c r="WEN142" s="22"/>
      <c r="WEO142" s="22"/>
      <c r="WEP142" s="22"/>
      <c r="WEQ142" s="22"/>
      <c r="WER142" s="22"/>
      <c r="WES142" s="22"/>
      <c r="WET142" s="22"/>
      <c r="WEU142" s="22"/>
      <c r="WEV142" s="22"/>
      <c r="WEW142" s="22"/>
      <c r="WEX142" s="22"/>
      <c r="WEY142" s="22"/>
      <c r="WEZ142" s="22"/>
      <c r="WFA142" s="22"/>
      <c r="WFB142" s="22"/>
      <c r="WFC142" s="22"/>
      <c r="WFD142" s="22"/>
      <c r="WFE142" s="22"/>
      <c r="WFF142" s="22"/>
      <c r="WFG142" s="22"/>
      <c r="WFH142" s="22"/>
      <c r="WFI142" s="22"/>
      <c r="WFJ142" s="22"/>
      <c r="WFK142" s="22"/>
      <c r="WFL142" s="22"/>
      <c r="WFM142" s="22"/>
      <c r="WFN142" s="22"/>
      <c r="WFO142" s="22"/>
      <c r="WFP142" s="22"/>
      <c r="WFQ142" s="22"/>
      <c r="WFR142" s="22"/>
      <c r="WFS142" s="22"/>
      <c r="WFT142" s="22"/>
      <c r="WFU142" s="22"/>
      <c r="WFV142" s="22"/>
      <c r="WFW142" s="22"/>
      <c r="WFX142" s="22"/>
      <c r="WFY142" s="22"/>
      <c r="WFZ142" s="22"/>
      <c r="WGA142" s="22"/>
      <c r="WGB142" s="22"/>
      <c r="WGC142" s="22"/>
      <c r="WGD142" s="22"/>
      <c r="WGE142" s="22"/>
      <c r="WGF142" s="22"/>
      <c r="WGG142" s="22"/>
      <c r="WGH142" s="22"/>
      <c r="WGI142" s="22"/>
      <c r="WGJ142" s="22"/>
      <c r="WGK142" s="22"/>
      <c r="WGL142" s="22"/>
      <c r="WGM142" s="22"/>
      <c r="WGN142" s="22"/>
      <c r="WGO142" s="22"/>
      <c r="WGP142" s="22"/>
      <c r="WGQ142" s="22"/>
      <c r="WGR142" s="22"/>
      <c r="WGS142" s="22"/>
      <c r="WGT142" s="22"/>
      <c r="WGU142" s="22"/>
      <c r="WGV142" s="22"/>
      <c r="WGW142" s="22"/>
      <c r="WGX142" s="22"/>
      <c r="WGY142" s="22"/>
      <c r="WGZ142" s="22"/>
      <c r="WHA142" s="22"/>
      <c r="WHB142" s="22"/>
      <c r="WHC142" s="22"/>
      <c r="WHD142" s="22"/>
      <c r="WHE142" s="22"/>
      <c r="WHF142" s="22"/>
      <c r="WHG142" s="22"/>
      <c r="WHH142" s="22"/>
      <c r="WHI142" s="22"/>
      <c r="WHJ142" s="22"/>
      <c r="WHK142" s="22"/>
      <c r="WHL142" s="22"/>
      <c r="WHM142" s="22"/>
      <c r="WHN142" s="22"/>
      <c r="WHO142" s="22"/>
      <c r="WHP142" s="22"/>
      <c r="WHQ142" s="22"/>
      <c r="WHR142" s="22"/>
      <c r="WHS142" s="22"/>
      <c r="WHT142" s="22"/>
      <c r="WHU142" s="22"/>
      <c r="WHV142" s="22"/>
      <c r="WHW142" s="22"/>
      <c r="WHX142" s="22"/>
      <c r="WHY142" s="22"/>
      <c r="WHZ142" s="22"/>
      <c r="WIA142" s="22"/>
      <c r="WIB142" s="22"/>
      <c r="WIC142" s="22"/>
      <c r="WID142" s="22"/>
      <c r="WIE142" s="22"/>
      <c r="WIF142" s="22"/>
      <c r="WIG142" s="22"/>
      <c r="WIH142" s="22"/>
      <c r="WII142" s="22"/>
      <c r="WIJ142" s="22"/>
      <c r="WIK142" s="22"/>
      <c r="WIL142" s="22"/>
      <c r="WIM142" s="22"/>
      <c r="WIN142" s="22"/>
      <c r="WIO142" s="22"/>
      <c r="WIP142" s="22"/>
      <c r="WIQ142" s="22"/>
      <c r="WIR142" s="22"/>
      <c r="WIS142" s="22"/>
      <c r="WIT142" s="22"/>
      <c r="WIU142" s="22"/>
      <c r="WIV142" s="22"/>
      <c r="WIW142" s="22"/>
      <c r="WIX142" s="22"/>
      <c r="WIY142" s="22"/>
      <c r="WIZ142" s="22"/>
      <c r="WJA142" s="22"/>
      <c r="WJB142" s="22"/>
      <c r="WJC142" s="22"/>
      <c r="WJD142" s="22"/>
      <c r="WJE142" s="22"/>
      <c r="WJF142" s="22"/>
      <c r="WJG142" s="22"/>
      <c r="WJH142" s="22"/>
      <c r="WJI142" s="22"/>
      <c r="WJJ142" s="22"/>
      <c r="WJK142" s="22"/>
      <c r="WJL142" s="22"/>
      <c r="WJM142" s="22"/>
      <c r="WJN142" s="22"/>
      <c r="WJO142" s="22"/>
      <c r="WJP142" s="22"/>
      <c r="WJQ142" s="22"/>
      <c r="WJR142" s="22"/>
      <c r="WJS142" s="22"/>
      <c r="WJT142" s="22"/>
      <c r="WJU142" s="22"/>
      <c r="WJV142" s="22"/>
      <c r="WJW142" s="22"/>
      <c r="WJX142" s="22"/>
      <c r="WJY142" s="22"/>
      <c r="WJZ142" s="22"/>
      <c r="WKA142" s="22"/>
      <c r="WKB142" s="22"/>
      <c r="WKC142" s="22"/>
      <c r="WKD142" s="22"/>
      <c r="WKE142" s="22"/>
      <c r="WKF142" s="22"/>
      <c r="WKG142" s="22"/>
      <c r="WKH142" s="22"/>
      <c r="WKI142" s="22"/>
      <c r="WKJ142" s="22"/>
      <c r="WKK142" s="22"/>
      <c r="WKL142" s="22"/>
      <c r="WKM142" s="22"/>
      <c r="WKN142" s="22"/>
      <c r="WKO142" s="22"/>
      <c r="WKP142" s="22"/>
      <c r="WKQ142" s="22"/>
      <c r="WKR142" s="22"/>
      <c r="WKS142" s="22"/>
      <c r="WKT142" s="22"/>
      <c r="WKU142" s="22"/>
      <c r="WKV142" s="22"/>
      <c r="WKW142" s="22"/>
      <c r="WKX142" s="22"/>
      <c r="WKY142" s="22"/>
      <c r="WKZ142" s="22"/>
      <c r="WLA142" s="22"/>
      <c r="WLB142" s="22"/>
      <c r="WLC142" s="22"/>
      <c r="WLD142" s="22"/>
      <c r="WLE142" s="22"/>
      <c r="WLF142" s="22"/>
      <c r="WLG142" s="22"/>
      <c r="WLH142" s="22"/>
      <c r="WLI142" s="22"/>
      <c r="WLJ142" s="22"/>
      <c r="WLK142" s="22"/>
      <c r="WLL142" s="22"/>
      <c r="WLM142" s="22"/>
      <c r="WLN142" s="22"/>
      <c r="WLO142" s="22"/>
      <c r="WLP142" s="22"/>
      <c r="WLQ142" s="22"/>
      <c r="WLR142" s="22"/>
      <c r="WLS142" s="22"/>
      <c r="WLT142" s="22"/>
      <c r="WLU142" s="22"/>
      <c r="WLV142" s="22"/>
      <c r="WLW142" s="22"/>
      <c r="WLX142" s="22"/>
      <c r="WLY142" s="22"/>
      <c r="WLZ142" s="22"/>
      <c r="WMA142" s="22"/>
      <c r="WMB142" s="22"/>
      <c r="WMC142" s="22"/>
      <c r="WMD142" s="22"/>
      <c r="WME142" s="22"/>
      <c r="WMF142" s="22"/>
      <c r="WMG142" s="22"/>
      <c r="WMH142" s="22"/>
      <c r="WMI142" s="22"/>
      <c r="WMJ142" s="22"/>
      <c r="WMK142" s="22"/>
      <c r="WML142" s="22"/>
      <c r="WMM142" s="22"/>
      <c r="WMN142" s="22"/>
      <c r="WMO142" s="22"/>
      <c r="WMP142" s="22"/>
      <c r="WMQ142" s="22"/>
      <c r="WMR142" s="22"/>
      <c r="WMS142" s="22"/>
      <c r="WMT142" s="22"/>
      <c r="WMU142" s="22"/>
      <c r="WMV142" s="22"/>
      <c r="WMW142" s="22"/>
      <c r="WMX142" s="22"/>
      <c r="WMY142" s="22"/>
      <c r="WMZ142" s="22"/>
      <c r="WNA142" s="22"/>
      <c r="WNB142" s="22"/>
      <c r="WNC142" s="22"/>
      <c r="WND142" s="22"/>
      <c r="WNE142" s="22"/>
      <c r="WNF142" s="22"/>
      <c r="WNG142" s="22"/>
      <c r="WNH142" s="22"/>
      <c r="WNI142" s="22"/>
      <c r="WNJ142" s="22"/>
      <c r="WNK142" s="22"/>
      <c r="WNL142" s="22"/>
      <c r="WNM142" s="22"/>
      <c r="WNN142" s="22"/>
      <c r="WNO142" s="22"/>
      <c r="WNP142" s="22"/>
      <c r="WNQ142" s="22"/>
      <c r="WNR142" s="22"/>
      <c r="WNS142" s="22"/>
      <c r="WNT142" s="22"/>
      <c r="WNU142" s="22"/>
      <c r="WNV142" s="22"/>
      <c r="WNW142" s="22"/>
      <c r="WNX142" s="22"/>
      <c r="WNY142" s="22"/>
      <c r="WNZ142" s="22"/>
      <c r="WOA142" s="22"/>
      <c r="WOB142" s="22"/>
      <c r="WOC142" s="22"/>
      <c r="WOD142" s="22"/>
      <c r="WOE142" s="22"/>
      <c r="WOF142" s="22"/>
      <c r="WOG142" s="22"/>
      <c r="WOH142" s="22"/>
      <c r="WOI142" s="22"/>
      <c r="WOJ142" s="22"/>
      <c r="WOK142" s="22"/>
      <c r="WOL142" s="22"/>
      <c r="WOM142" s="22"/>
      <c r="WON142" s="22"/>
      <c r="WOO142" s="22"/>
      <c r="WOP142" s="22"/>
      <c r="WOQ142" s="22"/>
      <c r="WOR142" s="22"/>
      <c r="WOS142" s="22"/>
      <c r="WOT142" s="22"/>
      <c r="WOU142" s="22"/>
      <c r="WOV142" s="22"/>
      <c r="WOW142" s="22"/>
      <c r="WOX142" s="22"/>
      <c r="WOY142" s="22"/>
      <c r="WOZ142" s="22"/>
      <c r="WPA142" s="22"/>
      <c r="WPB142" s="22"/>
      <c r="WPC142" s="22"/>
      <c r="WPD142" s="22"/>
      <c r="WPE142" s="22"/>
      <c r="WPF142" s="22"/>
      <c r="WPG142" s="22"/>
      <c r="WPH142" s="22"/>
      <c r="WPI142" s="22"/>
      <c r="WPJ142" s="22"/>
      <c r="WPK142" s="22"/>
      <c r="WPL142" s="22"/>
      <c r="WPM142" s="22"/>
      <c r="WPN142" s="22"/>
      <c r="WPO142" s="22"/>
      <c r="WPP142" s="22"/>
      <c r="WPQ142" s="22"/>
      <c r="WPR142" s="22"/>
      <c r="WPS142" s="22"/>
      <c r="WPT142" s="22"/>
      <c r="WPU142" s="22"/>
      <c r="WPV142" s="22"/>
      <c r="WPW142" s="22"/>
      <c r="WPX142" s="22"/>
      <c r="WPY142" s="22"/>
      <c r="WPZ142" s="22"/>
      <c r="WQA142" s="22"/>
      <c r="WQB142" s="22"/>
      <c r="WQC142" s="22"/>
      <c r="WQD142" s="22"/>
      <c r="WQE142" s="22"/>
      <c r="WQF142" s="22"/>
      <c r="WQG142" s="22"/>
      <c r="WQH142" s="22"/>
      <c r="WQI142" s="22"/>
      <c r="WQJ142" s="22"/>
      <c r="WQK142" s="22"/>
      <c r="WQL142" s="22"/>
      <c r="WQM142" s="22"/>
      <c r="WQN142" s="22"/>
      <c r="WQO142" s="22"/>
      <c r="WQP142" s="22"/>
      <c r="WQQ142" s="22"/>
      <c r="WQR142" s="22"/>
      <c r="WQS142" s="22"/>
      <c r="WQT142" s="22"/>
      <c r="WQU142" s="22"/>
      <c r="WQV142" s="22"/>
      <c r="WQW142" s="22"/>
      <c r="WQX142" s="22"/>
      <c r="WQY142" s="22"/>
      <c r="WQZ142" s="22"/>
      <c r="WRA142" s="22"/>
      <c r="WRB142" s="22"/>
      <c r="WRC142" s="22"/>
      <c r="WRD142" s="22"/>
      <c r="WRE142" s="22"/>
      <c r="WRF142" s="22"/>
      <c r="WRG142" s="22"/>
      <c r="WRH142" s="22"/>
      <c r="WRI142" s="22"/>
      <c r="WRJ142" s="22"/>
      <c r="WRK142" s="22"/>
      <c r="WRL142" s="22"/>
      <c r="WRM142" s="22"/>
      <c r="WRN142" s="22"/>
      <c r="WRO142" s="22"/>
      <c r="WRP142" s="22"/>
      <c r="WRQ142" s="22"/>
      <c r="WRR142" s="22"/>
      <c r="WRS142" s="22"/>
      <c r="WRT142" s="22"/>
      <c r="WRU142" s="22"/>
      <c r="WRV142" s="22"/>
      <c r="WRW142" s="22"/>
      <c r="WRX142" s="22"/>
      <c r="WRY142" s="22"/>
      <c r="WRZ142" s="22"/>
      <c r="WSA142" s="22"/>
      <c r="WSB142" s="22"/>
      <c r="WSC142" s="22"/>
      <c r="WSD142" s="22"/>
      <c r="WSE142" s="22"/>
      <c r="WSF142" s="22"/>
      <c r="WSG142" s="22"/>
      <c r="WSH142" s="22"/>
      <c r="WSI142" s="22"/>
      <c r="WSJ142" s="22"/>
      <c r="WSK142" s="22"/>
      <c r="WSL142" s="22"/>
      <c r="WSM142" s="22"/>
      <c r="WSN142" s="22"/>
      <c r="WSO142" s="22"/>
      <c r="WSP142" s="22"/>
      <c r="WSQ142" s="22"/>
      <c r="WSR142" s="22"/>
      <c r="WSS142" s="22"/>
      <c r="WST142" s="22"/>
      <c r="WSU142" s="22"/>
      <c r="WSV142" s="22"/>
      <c r="WSW142" s="22"/>
      <c r="WSX142" s="22"/>
      <c r="WSY142" s="22"/>
      <c r="WSZ142" s="22"/>
      <c r="WTA142" s="22"/>
      <c r="WTB142" s="22"/>
      <c r="WTC142" s="22"/>
      <c r="WTD142" s="22"/>
      <c r="WTE142" s="22"/>
      <c r="WTF142" s="22"/>
      <c r="WTG142" s="22"/>
      <c r="WTH142" s="22"/>
      <c r="WTI142" s="22"/>
      <c r="WTJ142" s="22"/>
      <c r="WTK142" s="22"/>
      <c r="WTL142" s="22"/>
      <c r="WTM142" s="22"/>
      <c r="WTN142" s="22"/>
      <c r="WTO142" s="22"/>
      <c r="WTP142" s="22"/>
      <c r="WTQ142" s="22"/>
      <c r="WTR142" s="22"/>
      <c r="WTS142" s="22"/>
      <c r="WTT142" s="22"/>
      <c r="WTU142" s="22"/>
      <c r="WTV142" s="22"/>
      <c r="WTW142" s="22"/>
      <c r="WTX142" s="22"/>
      <c r="WTY142" s="22"/>
      <c r="WTZ142" s="22"/>
      <c r="WUA142" s="22"/>
      <c r="WUB142" s="22"/>
      <c r="WUC142" s="22"/>
      <c r="WUD142" s="22"/>
      <c r="WUE142" s="22"/>
      <c r="WUF142" s="22"/>
      <c r="WUG142" s="22"/>
      <c r="WUH142" s="22"/>
      <c r="WUI142" s="22"/>
      <c r="WUJ142" s="22"/>
      <c r="WUK142" s="22"/>
      <c r="WUL142" s="22"/>
      <c r="WUM142" s="22"/>
      <c r="WUN142" s="22"/>
      <c r="WUO142" s="22"/>
      <c r="WUP142" s="22"/>
      <c r="WUQ142" s="22"/>
      <c r="WUR142" s="22"/>
      <c r="WUS142" s="22"/>
      <c r="WUT142" s="22"/>
      <c r="WUU142" s="22"/>
      <c r="WUV142" s="22"/>
      <c r="WUW142" s="22"/>
      <c r="WUX142" s="22"/>
      <c r="WUY142" s="22"/>
      <c r="WUZ142" s="22"/>
      <c r="WVA142" s="22"/>
      <c r="WVB142" s="22"/>
      <c r="WVC142" s="22"/>
      <c r="WVD142" s="22"/>
      <c r="WVE142" s="22"/>
      <c r="WVF142" s="22"/>
      <c r="WVG142" s="22"/>
      <c r="WVH142" s="22"/>
      <c r="WVI142" s="22"/>
      <c r="WVJ142" s="22"/>
      <c r="WVK142" s="22"/>
      <c r="WVL142" s="22"/>
      <c r="WVM142" s="22"/>
      <c r="WVN142" s="22"/>
      <c r="WVO142" s="22"/>
      <c r="WVP142" s="22"/>
      <c r="WVQ142" s="22"/>
      <c r="WVR142" s="22"/>
      <c r="WVS142" s="22"/>
      <c r="WVT142" s="22"/>
      <c r="WVU142" s="22"/>
      <c r="WVV142" s="22"/>
      <c r="WVW142" s="22"/>
      <c r="WVX142" s="22"/>
      <c r="WVY142" s="22"/>
      <c r="WVZ142" s="22"/>
      <c r="WWA142" s="22"/>
      <c r="WWB142" s="22"/>
      <c r="WWC142" s="22"/>
      <c r="WWD142" s="22"/>
      <c r="WWE142" s="22"/>
      <c r="WWF142" s="22"/>
      <c r="WWG142" s="22"/>
      <c r="WWH142" s="22"/>
      <c r="WWI142" s="22"/>
      <c r="WWJ142" s="22"/>
      <c r="WWK142" s="22"/>
      <c r="WWL142" s="22"/>
      <c r="WWM142" s="22"/>
      <c r="WWN142" s="22"/>
      <c r="WWO142" s="22"/>
      <c r="WWP142" s="22"/>
      <c r="WWQ142" s="22"/>
      <c r="WWR142" s="22"/>
      <c r="WWS142" s="22"/>
      <c r="WWT142" s="22"/>
      <c r="WWU142" s="22"/>
      <c r="WWV142" s="22"/>
      <c r="WWW142" s="22"/>
      <c r="WWX142" s="22"/>
      <c r="WWY142" s="22"/>
      <c r="WWZ142" s="22"/>
      <c r="WXA142" s="22"/>
      <c r="WXB142" s="22"/>
      <c r="WXC142" s="22"/>
      <c r="WXD142" s="22"/>
      <c r="WXE142" s="22"/>
      <c r="WXF142" s="22"/>
      <c r="WXG142" s="22"/>
      <c r="WXH142" s="22"/>
      <c r="WXI142" s="22"/>
      <c r="WXJ142" s="22"/>
      <c r="WXK142" s="22"/>
      <c r="WXL142" s="22"/>
      <c r="WXM142" s="22"/>
      <c r="WXN142" s="22"/>
      <c r="WXO142" s="22"/>
      <c r="WXP142" s="22"/>
      <c r="WXQ142" s="22"/>
      <c r="WXR142" s="22"/>
      <c r="WXS142" s="22"/>
      <c r="WXT142" s="22"/>
      <c r="WXU142" s="22"/>
      <c r="WXV142" s="22"/>
      <c r="WXW142" s="22"/>
      <c r="WXX142" s="22"/>
      <c r="WXY142" s="22"/>
      <c r="WXZ142" s="22"/>
      <c r="WYA142" s="22"/>
      <c r="WYB142" s="22"/>
      <c r="WYC142" s="22"/>
      <c r="WYD142" s="22"/>
      <c r="WYE142" s="22"/>
      <c r="WYF142" s="22"/>
      <c r="WYG142" s="22"/>
      <c r="WYH142" s="22"/>
      <c r="WYI142" s="22"/>
      <c r="WYJ142" s="22"/>
      <c r="WYK142" s="22"/>
      <c r="WYL142" s="22"/>
      <c r="WYM142" s="22"/>
      <c r="WYN142" s="22"/>
      <c r="WYO142" s="22"/>
      <c r="WYP142" s="22"/>
      <c r="WYQ142" s="22"/>
      <c r="WYR142" s="22"/>
      <c r="WYS142" s="22"/>
      <c r="WYT142" s="22"/>
      <c r="WYU142" s="22"/>
      <c r="WYV142" s="22"/>
      <c r="WYW142" s="22"/>
      <c r="WYX142" s="22"/>
      <c r="WYY142" s="22"/>
      <c r="WYZ142" s="22"/>
      <c r="WZA142" s="22"/>
      <c r="WZB142" s="22"/>
      <c r="WZC142" s="22"/>
      <c r="WZD142" s="22"/>
      <c r="WZE142" s="22"/>
      <c r="WZF142" s="22"/>
      <c r="WZG142" s="22"/>
      <c r="WZH142" s="22"/>
      <c r="WZI142" s="22"/>
      <c r="WZJ142" s="22"/>
      <c r="WZK142" s="22"/>
      <c r="WZL142" s="22"/>
      <c r="WZM142" s="22"/>
      <c r="WZN142" s="22"/>
      <c r="WZO142" s="22"/>
      <c r="WZP142" s="22"/>
      <c r="WZQ142" s="22"/>
      <c r="WZR142" s="22"/>
      <c r="WZS142" s="22"/>
      <c r="WZT142" s="22"/>
      <c r="WZU142" s="22"/>
      <c r="WZV142" s="22"/>
      <c r="WZW142" s="22"/>
      <c r="WZX142" s="22"/>
      <c r="WZY142" s="22"/>
      <c r="WZZ142" s="22"/>
      <c r="XAA142" s="22"/>
      <c r="XAB142" s="22"/>
      <c r="XAC142" s="22"/>
      <c r="XAD142" s="22"/>
      <c r="XAE142" s="22"/>
      <c r="XAF142" s="22"/>
      <c r="XAG142" s="22"/>
      <c r="XAH142" s="22"/>
      <c r="XAI142" s="22"/>
      <c r="XAJ142" s="22"/>
      <c r="XAK142" s="22"/>
      <c r="XAL142" s="22"/>
      <c r="XAM142" s="22"/>
      <c r="XAN142" s="22"/>
      <c r="XAO142" s="22"/>
      <c r="XAP142" s="22"/>
      <c r="XAQ142" s="22"/>
      <c r="XAR142" s="22"/>
      <c r="XAS142" s="22"/>
      <c r="XAT142" s="22"/>
      <c r="XAU142" s="22"/>
      <c r="XAV142" s="22"/>
      <c r="XAW142" s="22"/>
      <c r="XAX142" s="22"/>
      <c r="XAY142" s="22"/>
      <c r="XAZ142" s="22"/>
      <c r="XBA142" s="22"/>
      <c r="XBB142" s="22"/>
      <c r="XBC142" s="22"/>
      <c r="XBD142" s="22"/>
      <c r="XBE142" s="22"/>
      <c r="XBF142" s="22"/>
      <c r="XBG142" s="22"/>
      <c r="XBH142" s="22"/>
      <c r="XBI142" s="22"/>
      <c r="XBJ142" s="22"/>
      <c r="XBK142" s="22"/>
      <c r="XBL142" s="22"/>
      <c r="XBM142" s="22"/>
      <c r="XBN142" s="22"/>
      <c r="XBO142" s="22"/>
      <c r="XBP142" s="22"/>
      <c r="XBQ142" s="22"/>
      <c r="XBR142" s="22"/>
      <c r="XBS142" s="22"/>
      <c r="XBT142" s="22"/>
      <c r="XBU142" s="22"/>
      <c r="XBV142" s="22"/>
      <c r="XBW142" s="22"/>
      <c r="XBX142" s="22"/>
      <c r="XBY142" s="22"/>
      <c r="XBZ142" s="22"/>
      <c r="XCA142" s="22"/>
      <c r="XCB142" s="22"/>
      <c r="XCC142" s="22"/>
      <c r="XCD142" s="22"/>
      <c r="XCE142" s="22"/>
      <c r="XCF142" s="22"/>
      <c r="XCG142" s="22"/>
      <c r="XCH142" s="22"/>
      <c r="XCI142" s="22"/>
      <c r="XCJ142" s="22"/>
      <c r="XCK142" s="22"/>
      <c r="XCL142" s="22"/>
      <c r="XCM142" s="22"/>
      <c r="XCN142" s="22"/>
      <c r="XCO142" s="22"/>
      <c r="XCP142" s="22"/>
      <c r="XCQ142" s="22"/>
      <c r="XCR142" s="22"/>
      <c r="XCS142" s="22"/>
      <c r="XCT142" s="22"/>
      <c r="XCU142" s="22"/>
      <c r="XCV142" s="22"/>
      <c r="XCW142" s="22"/>
      <c r="XCX142" s="22"/>
      <c r="XCY142" s="22"/>
      <c r="XCZ142" s="22"/>
      <c r="XDA142" s="22"/>
      <c r="XDB142" s="22"/>
      <c r="XDC142" s="22"/>
      <c r="XDD142" s="22"/>
      <c r="XDE142" s="22"/>
      <c r="XDF142" s="22"/>
      <c r="XDG142" s="22"/>
      <c r="XDH142" s="22"/>
      <c r="XDI142" s="22"/>
      <c r="XDJ142" s="22"/>
      <c r="XDK142" s="22"/>
      <c r="XDL142" s="22"/>
      <c r="XDM142" s="22"/>
      <c r="XDN142" s="22"/>
      <c r="XDO142" s="22"/>
      <c r="XDP142" s="22"/>
      <c r="XDQ142" s="22"/>
      <c r="XDR142" s="22"/>
      <c r="XDS142" s="22"/>
      <c r="XDT142" s="22"/>
      <c r="XDU142" s="22"/>
      <c r="XDV142" s="22"/>
      <c r="XDW142" s="22"/>
      <c r="XDX142" s="22"/>
      <c r="XDY142" s="22"/>
      <c r="XDZ142" s="22"/>
      <c r="XEA142" s="22"/>
      <c r="XEB142" s="22"/>
      <c r="XEC142" s="22"/>
      <c r="XED142" s="22"/>
      <c r="XEE142" s="22"/>
      <c r="XEF142" s="22"/>
      <c r="XEG142" s="22"/>
      <c r="XEH142" s="22"/>
      <c r="XEI142" s="22"/>
      <c r="XEJ142" s="22"/>
      <c r="XEK142" s="22"/>
      <c r="XEL142" s="22"/>
      <c r="XEM142" s="22"/>
      <c r="XEN142" s="22"/>
      <c r="XEO142" s="22"/>
      <c r="XEP142" s="22"/>
      <c r="XEQ142" s="22"/>
      <c r="XER142" s="22"/>
      <c r="XES142" s="22"/>
      <c r="XET142" s="22"/>
      <c r="XEU142" s="22"/>
      <c r="XEV142" s="22"/>
      <c r="XEW142" s="22"/>
      <c r="XEX142" s="22"/>
      <c r="XEY142" s="22"/>
      <c r="XEZ142" s="22"/>
      <c r="XFA142" s="22"/>
      <c r="XFB142" s="22"/>
      <c r="XFC142" s="22"/>
      <c r="XFD142" s="22"/>
    </row>
    <row r="143" spans="1:16384" s="35" customFormat="1" hidden="1" outlineLevel="1" x14ac:dyDescent="0.25">
      <c r="A143" s="14"/>
      <c r="B143" s="15"/>
      <c r="C143" s="16" t="str">
        <f t="shared" si="186"/>
        <v xml:space="preserve"> </v>
      </c>
      <c r="D143" s="16" t="str">
        <f t="shared" si="187"/>
        <v xml:space="preserve"> </v>
      </c>
      <c r="E143" s="18"/>
      <c r="F143" s="18"/>
      <c r="G143" s="47">
        <f t="shared" si="188"/>
        <v>0</v>
      </c>
      <c r="H143" s="20">
        <f t="shared" si="189"/>
        <v>0</v>
      </c>
      <c r="I143" s="18"/>
      <c r="J143" s="21">
        <f t="shared" si="190"/>
        <v>0</v>
      </c>
    </row>
    <row r="144" spans="1:16384" s="22" customFormat="1" hidden="1" outlineLevel="1" x14ac:dyDescent="0.25">
      <c r="A144" s="14"/>
      <c r="B144" s="15"/>
      <c r="C144" s="16" t="str">
        <f>VLOOKUP(LEFT(B144,2)&amp;0,invCustomer,2)</f>
        <v xml:space="preserve"> </v>
      </c>
      <c r="D144" s="16" t="str">
        <f>VLOOKUP(LEFT(B144,4)&amp;0,invProject,2)</f>
        <v xml:space="preserve"> </v>
      </c>
      <c r="E144" s="18"/>
      <c r="F144" s="18"/>
      <c r="G144" s="47">
        <f>ROUND(SUM(E144:F144)*0.1,2)</f>
        <v>0</v>
      </c>
      <c r="H144" s="20">
        <f>SUM(E144:G144)</f>
        <v>0</v>
      </c>
      <c r="I144" s="18"/>
      <c r="J144" s="21">
        <f>SUM(H144:I144)</f>
        <v>0</v>
      </c>
      <c r="K144" s="318"/>
    </row>
    <row r="145" spans="1:16384" s="54" customFormat="1" hidden="1" outlineLevel="1" x14ac:dyDescent="0.25">
      <c r="A145" s="14"/>
      <c r="B145" s="15"/>
      <c r="C145" s="16" t="str">
        <f t="shared" ref="C145:C146" si="201">VLOOKUP(LEFT(B145,2)&amp;0,invCustomer,2)</f>
        <v xml:space="preserve"> </v>
      </c>
      <c r="D145" s="16" t="str">
        <f t="shared" ref="D145:D146" si="202">VLOOKUP(LEFT(B145,4)&amp;0,invProject,2)</f>
        <v xml:space="preserve"> </v>
      </c>
      <c r="E145" s="18"/>
      <c r="F145" s="18"/>
      <c r="G145" s="47">
        <f t="shared" ref="G145:G146" si="203">ROUND(SUM(E145:F145)*0.1,2)</f>
        <v>0</v>
      </c>
      <c r="H145" s="20">
        <f t="shared" ref="H145:H146" si="204">SUM(E145:G145)</f>
        <v>0</v>
      </c>
      <c r="I145" s="18"/>
      <c r="J145" s="21">
        <f t="shared" ref="J145:J146" si="205">SUM(H145:I145)</f>
        <v>0</v>
      </c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2"/>
      <c r="AP145" s="22"/>
      <c r="AQ145" s="22"/>
      <c r="AR145" s="22"/>
      <c r="AS145" s="22"/>
      <c r="AT145" s="22"/>
      <c r="AU145" s="22"/>
      <c r="AV145" s="22"/>
      <c r="AW145" s="22"/>
      <c r="AX145" s="22"/>
      <c r="AY145" s="22"/>
      <c r="AZ145" s="22"/>
      <c r="BA145" s="22"/>
      <c r="BB145" s="22"/>
      <c r="BC145" s="22"/>
      <c r="BD145" s="22"/>
      <c r="BE145" s="22"/>
      <c r="BF145" s="22"/>
      <c r="BG145" s="22"/>
      <c r="BH145" s="22"/>
      <c r="BI145" s="22"/>
      <c r="BJ145" s="22"/>
      <c r="BK145" s="22"/>
      <c r="BL145" s="22"/>
      <c r="BM145" s="22"/>
      <c r="BN145" s="22"/>
      <c r="BO145" s="22"/>
      <c r="BP145" s="22"/>
      <c r="BQ145" s="22"/>
      <c r="BR145" s="22"/>
      <c r="BS145" s="22"/>
      <c r="BT145" s="22"/>
      <c r="BU145" s="22"/>
      <c r="BV145" s="22"/>
      <c r="BW145" s="22"/>
      <c r="BX145" s="22"/>
      <c r="BY145" s="22"/>
      <c r="BZ145" s="22"/>
      <c r="CA145" s="22"/>
      <c r="CB145" s="22"/>
      <c r="CC145" s="22"/>
      <c r="CD145" s="22"/>
      <c r="CE145" s="22"/>
      <c r="CF145" s="22"/>
      <c r="CG145" s="22"/>
      <c r="CH145" s="22"/>
      <c r="CI145" s="22"/>
      <c r="CJ145" s="22"/>
      <c r="CK145" s="22"/>
      <c r="CL145" s="22"/>
      <c r="CM145" s="22"/>
      <c r="CN145" s="22"/>
      <c r="CO145" s="22"/>
      <c r="CP145" s="22"/>
      <c r="CQ145" s="22"/>
      <c r="CR145" s="22"/>
      <c r="CS145" s="22"/>
      <c r="CT145" s="22"/>
      <c r="CU145" s="22"/>
      <c r="CV145" s="22"/>
      <c r="CW145" s="22"/>
      <c r="CX145" s="22"/>
      <c r="CY145" s="22"/>
      <c r="CZ145" s="22"/>
      <c r="DA145" s="22"/>
      <c r="DB145" s="22"/>
      <c r="DC145" s="22"/>
      <c r="DD145" s="22"/>
      <c r="DE145" s="22"/>
      <c r="DF145" s="22"/>
      <c r="DG145" s="22"/>
      <c r="DH145" s="22"/>
      <c r="DI145" s="22"/>
      <c r="DJ145" s="22"/>
      <c r="DK145" s="22"/>
      <c r="DL145" s="22"/>
      <c r="DM145" s="22"/>
      <c r="DN145" s="22"/>
      <c r="DO145" s="22"/>
      <c r="DP145" s="22"/>
      <c r="DQ145" s="22"/>
      <c r="DR145" s="22"/>
      <c r="DS145" s="22"/>
      <c r="DT145" s="22"/>
      <c r="DU145" s="22"/>
      <c r="DV145" s="22"/>
      <c r="DW145" s="22"/>
      <c r="DX145" s="22"/>
      <c r="DY145" s="22"/>
      <c r="DZ145" s="22"/>
      <c r="EA145" s="22"/>
      <c r="EB145" s="22"/>
      <c r="EC145" s="22"/>
      <c r="ED145" s="22"/>
      <c r="EE145" s="22"/>
      <c r="EF145" s="22"/>
      <c r="EG145" s="22"/>
      <c r="EH145" s="22"/>
      <c r="EI145" s="22"/>
      <c r="EJ145" s="22"/>
      <c r="EK145" s="22"/>
      <c r="EL145" s="22"/>
      <c r="EM145" s="22"/>
      <c r="EN145" s="22"/>
      <c r="EO145" s="22"/>
      <c r="EP145" s="22"/>
      <c r="EQ145" s="22"/>
      <c r="ER145" s="22"/>
      <c r="ES145" s="22"/>
      <c r="ET145" s="22"/>
      <c r="EU145" s="22"/>
      <c r="EV145" s="22"/>
      <c r="EW145" s="22"/>
      <c r="EX145" s="22"/>
      <c r="EY145" s="22"/>
      <c r="EZ145" s="22"/>
      <c r="FA145" s="22"/>
      <c r="FB145" s="22"/>
      <c r="FC145" s="22"/>
      <c r="FD145" s="22"/>
      <c r="FE145" s="22"/>
      <c r="FF145" s="22"/>
      <c r="FG145" s="22"/>
      <c r="FH145" s="22"/>
      <c r="FI145" s="22"/>
      <c r="FJ145" s="22"/>
      <c r="FK145" s="22"/>
      <c r="FL145" s="22"/>
      <c r="FM145" s="22"/>
      <c r="FN145" s="22"/>
      <c r="FO145" s="22"/>
      <c r="FP145" s="22"/>
      <c r="FQ145" s="22"/>
      <c r="FR145" s="22"/>
      <c r="FS145" s="22"/>
      <c r="FT145" s="22"/>
      <c r="FU145" s="22"/>
      <c r="FV145" s="22"/>
      <c r="FW145" s="22"/>
      <c r="FX145" s="22"/>
      <c r="FY145" s="22"/>
      <c r="FZ145" s="22"/>
      <c r="GA145" s="22"/>
      <c r="GB145" s="22"/>
      <c r="GC145" s="22"/>
      <c r="GD145" s="22"/>
      <c r="GE145" s="22"/>
      <c r="GF145" s="22"/>
      <c r="GG145" s="22"/>
      <c r="GH145" s="22"/>
      <c r="GI145" s="22"/>
      <c r="GJ145" s="22"/>
      <c r="GK145" s="22"/>
      <c r="GL145" s="22"/>
      <c r="GM145" s="22"/>
      <c r="GN145" s="22"/>
      <c r="GO145" s="22"/>
      <c r="GP145" s="22"/>
      <c r="GQ145" s="22"/>
      <c r="GR145" s="22"/>
      <c r="GS145" s="22"/>
      <c r="GT145" s="22"/>
      <c r="GU145" s="22"/>
      <c r="GV145" s="22"/>
      <c r="GW145" s="22"/>
      <c r="GX145" s="22"/>
      <c r="GY145" s="22"/>
      <c r="GZ145" s="22"/>
      <c r="HA145" s="22"/>
      <c r="HB145" s="22"/>
      <c r="HC145" s="22"/>
      <c r="HD145" s="22"/>
      <c r="HE145" s="22"/>
      <c r="HF145" s="22"/>
      <c r="HG145" s="22"/>
      <c r="HH145" s="22"/>
      <c r="HI145" s="22"/>
      <c r="HJ145" s="22"/>
      <c r="HK145" s="22"/>
      <c r="HL145" s="22"/>
      <c r="HM145" s="22"/>
      <c r="HN145" s="22"/>
      <c r="HO145" s="22"/>
      <c r="HP145" s="22"/>
      <c r="HQ145" s="22"/>
      <c r="HR145" s="22"/>
      <c r="HS145" s="22"/>
      <c r="HT145" s="22"/>
      <c r="HU145" s="22"/>
      <c r="HV145" s="22"/>
      <c r="HW145" s="22"/>
      <c r="HX145" s="22"/>
      <c r="HY145" s="22"/>
      <c r="HZ145" s="22"/>
      <c r="IA145" s="22"/>
      <c r="IB145" s="22"/>
      <c r="IC145" s="22"/>
      <c r="ID145" s="22"/>
      <c r="IE145" s="22"/>
      <c r="IF145" s="22"/>
      <c r="IG145" s="22"/>
      <c r="IH145" s="22"/>
      <c r="II145" s="22"/>
      <c r="IJ145" s="22"/>
      <c r="IK145" s="22"/>
      <c r="IL145" s="22"/>
      <c r="IM145" s="22"/>
      <c r="IN145" s="22"/>
      <c r="IO145" s="22"/>
      <c r="IP145" s="22"/>
      <c r="IQ145" s="22"/>
      <c r="IR145" s="22"/>
      <c r="IS145" s="22"/>
      <c r="IT145" s="22"/>
      <c r="IU145" s="22"/>
      <c r="IV145" s="22"/>
      <c r="IW145" s="22"/>
      <c r="IX145" s="22"/>
      <c r="IY145" s="22"/>
      <c r="IZ145" s="22"/>
      <c r="JA145" s="22"/>
      <c r="JB145" s="22"/>
      <c r="JC145" s="22"/>
      <c r="JD145" s="22"/>
      <c r="JE145" s="22"/>
      <c r="JF145" s="22"/>
      <c r="JG145" s="22"/>
      <c r="JH145" s="22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2"/>
      <c r="LK145" s="22"/>
      <c r="LL145" s="22"/>
      <c r="LM145" s="22"/>
      <c r="LN145" s="22"/>
      <c r="LO145" s="22"/>
      <c r="LP145" s="22"/>
      <c r="LQ145" s="22"/>
      <c r="LR145" s="22"/>
      <c r="LS145" s="22"/>
      <c r="LT145" s="22"/>
      <c r="LU145" s="22"/>
      <c r="LV145" s="22"/>
      <c r="LW145" s="22"/>
      <c r="LX145" s="22"/>
      <c r="LY145" s="22"/>
      <c r="LZ145" s="22"/>
      <c r="MA145" s="22"/>
      <c r="MB145" s="22"/>
      <c r="MC145" s="22"/>
      <c r="MD145" s="22"/>
      <c r="ME145" s="22"/>
      <c r="MF145" s="22"/>
      <c r="MG145" s="22"/>
      <c r="MH145" s="22"/>
      <c r="MI145" s="22"/>
      <c r="MJ145" s="22"/>
      <c r="MK145" s="22"/>
      <c r="ML145" s="22"/>
      <c r="MM145" s="22"/>
      <c r="MN145" s="22"/>
      <c r="MO145" s="22"/>
      <c r="MP145" s="22"/>
      <c r="MQ145" s="22"/>
      <c r="MR145" s="22"/>
      <c r="MS145" s="22"/>
      <c r="MT145" s="22"/>
      <c r="MU145" s="22"/>
      <c r="MV145" s="22"/>
      <c r="MW145" s="22"/>
      <c r="MX145" s="22"/>
      <c r="MY145" s="22"/>
      <c r="MZ145" s="22"/>
      <c r="NA145" s="22"/>
      <c r="NB145" s="22"/>
      <c r="NC145" s="22"/>
      <c r="ND145" s="22"/>
      <c r="NE145" s="22"/>
      <c r="NF145" s="22"/>
      <c r="NG145" s="22"/>
      <c r="NH145" s="22"/>
      <c r="NI145" s="22"/>
      <c r="NJ145" s="22"/>
      <c r="NK145" s="22"/>
      <c r="NL145" s="22"/>
      <c r="NM145" s="22"/>
      <c r="NN145" s="22"/>
      <c r="NO145" s="22"/>
      <c r="NP145" s="22"/>
      <c r="NQ145" s="22"/>
      <c r="NR145" s="22"/>
      <c r="NS145" s="22"/>
      <c r="NT145" s="22"/>
      <c r="NU145" s="22"/>
      <c r="NV145" s="22"/>
      <c r="NW145" s="22"/>
      <c r="NX145" s="22"/>
      <c r="NY145" s="22"/>
      <c r="NZ145" s="22"/>
      <c r="OA145" s="22"/>
      <c r="OB145" s="22"/>
      <c r="OC145" s="22"/>
      <c r="OD145" s="22"/>
      <c r="OE145" s="22"/>
      <c r="OF145" s="22"/>
      <c r="OG145" s="22"/>
      <c r="OH145" s="22"/>
      <c r="OI145" s="22"/>
      <c r="OJ145" s="22"/>
      <c r="OK145" s="22"/>
      <c r="OL145" s="22"/>
      <c r="OM145" s="22"/>
      <c r="ON145" s="22"/>
      <c r="OO145" s="22"/>
      <c r="OP145" s="22"/>
      <c r="OQ145" s="22"/>
      <c r="OR145" s="22"/>
      <c r="OS145" s="22"/>
      <c r="OT145" s="22"/>
      <c r="OU145" s="22"/>
      <c r="OV145" s="22"/>
      <c r="OW145" s="22"/>
      <c r="OX145" s="22"/>
      <c r="OY145" s="22"/>
      <c r="OZ145" s="22"/>
      <c r="PA145" s="22"/>
      <c r="PB145" s="22"/>
      <c r="PC145" s="22"/>
      <c r="PD145" s="22"/>
      <c r="PE145" s="22"/>
      <c r="PF145" s="22"/>
      <c r="PG145" s="22"/>
      <c r="PH145" s="22"/>
      <c r="PI145" s="22"/>
      <c r="PJ145" s="22"/>
      <c r="PK145" s="22"/>
      <c r="PL145" s="22"/>
      <c r="PM145" s="22"/>
      <c r="PN145" s="22"/>
      <c r="PO145" s="22"/>
      <c r="PP145" s="22"/>
      <c r="PQ145" s="22"/>
      <c r="PR145" s="22"/>
      <c r="PS145" s="22"/>
      <c r="PT145" s="22"/>
      <c r="PU145" s="22"/>
      <c r="PV145" s="22"/>
      <c r="PW145" s="22"/>
      <c r="PX145" s="22"/>
      <c r="PY145" s="22"/>
      <c r="PZ145" s="22"/>
      <c r="QA145" s="22"/>
      <c r="QB145" s="22"/>
      <c r="QC145" s="22"/>
      <c r="QD145" s="22"/>
      <c r="QE145" s="22"/>
      <c r="QF145" s="22"/>
      <c r="QG145" s="22"/>
      <c r="QH145" s="22"/>
      <c r="QI145" s="22"/>
      <c r="QJ145" s="22"/>
      <c r="QK145" s="22"/>
      <c r="QL145" s="22"/>
      <c r="QM145" s="22"/>
      <c r="QN145" s="22"/>
      <c r="QO145" s="22"/>
      <c r="QP145" s="22"/>
      <c r="QQ145" s="22"/>
      <c r="QR145" s="22"/>
      <c r="QS145" s="22"/>
      <c r="QT145" s="22"/>
      <c r="QU145" s="22"/>
      <c r="QV145" s="22"/>
      <c r="QW145" s="22"/>
      <c r="QX145" s="22"/>
      <c r="QY145" s="22"/>
      <c r="QZ145" s="22"/>
      <c r="RA145" s="22"/>
      <c r="RB145" s="22"/>
      <c r="RC145" s="22"/>
      <c r="RD145" s="22"/>
      <c r="RE145" s="22"/>
      <c r="RF145" s="22"/>
      <c r="RG145" s="22"/>
      <c r="RH145" s="22"/>
      <c r="RI145" s="22"/>
      <c r="RJ145" s="22"/>
      <c r="RK145" s="22"/>
      <c r="RL145" s="22"/>
      <c r="RM145" s="22"/>
      <c r="RN145" s="22"/>
      <c r="RO145" s="22"/>
      <c r="RP145" s="22"/>
      <c r="RQ145" s="22"/>
      <c r="RR145" s="22"/>
      <c r="RS145" s="22"/>
      <c r="RT145" s="22"/>
      <c r="RU145" s="22"/>
      <c r="RV145" s="22"/>
      <c r="RW145" s="22"/>
      <c r="RX145" s="22"/>
      <c r="RY145" s="22"/>
      <c r="RZ145" s="22"/>
      <c r="SA145" s="22"/>
      <c r="SB145" s="22"/>
      <c r="SC145" s="22"/>
      <c r="SD145" s="22"/>
      <c r="SE145" s="22"/>
      <c r="SF145" s="22"/>
      <c r="SG145" s="22"/>
      <c r="SH145" s="22"/>
      <c r="SI145" s="22"/>
      <c r="SJ145" s="22"/>
      <c r="SK145" s="22"/>
      <c r="SL145" s="22"/>
      <c r="SM145" s="22"/>
      <c r="SN145" s="22"/>
      <c r="SO145" s="22"/>
      <c r="SP145" s="22"/>
      <c r="SQ145" s="22"/>
      <c r="SR145" s="22"/>
      <c r="SS145" s="22"/>
      <c r="ST145" s="22"/>
      <c r="SU145" s="22"/>
      <c r="SV145" s="22"/>
      <c r="SW145" s="22"/>
      <c r="SX145" s="22"/>
      <c r="SY145" s="22"/>
      <c r="SZ145" s="22"/>
      <c r="TA145" s="22"/>
      <c r="TB145" s="22"/>
      <c r="TC145" s="22"/>
      <c r="TD145" s="22"/>
      <c r="TE145" s="22"/>
      <c r="TF145" s="22"/>
      <c r="TG145" s="22"/>
      <c r="TH145" s="22"/>
      <c r="TI145" s="22"/>
      <c r="TJ145" s="22"/>
      <c r="TK145" s="22"/>
      <c r="TL145" s="22"/>
      <c r="TM145" s="22"/>
      <c r="TN145" s="22"/>
      <c r="TO145" s="22"/>
      <c r="TP145" s="22"/>
      <c r="TQ145" s="22"/>
      <c r="TR145" s="22"/>
      <c r="TS145" s="22"/>
      <c r="TT145" s="22"/>
      <c r="TU145" s="22"/>
      <c r="TV145" s="22"/>
      <c r="TW145" s="22"/>
      <c r="TX145" s="22"/>
      <c r="TY145" s="22"/>
      <c r="TZ145" s="22"/>
      <c r="UA145" s="22"/>
      <c r="UB145" s="22"/>
      <c r="UC145" s="22"/>
      <c r="UD145" s="22"/>
      <c r="UE145" s="22"/>
      <c r="UF145" s="22"/>
      <c r="UG145" s="22"/>
      <c r="UH145" s="22"/>
      <c r="UI145" s="22"/>
      <c r="UJ145" s="22"/>
      <c r="UK145" s="22"/>
      <c r="UL145" s="22"/>
      <c r="UM145" s="22"/>
      <c r="UN145" s="22"/>
      <c r="UO145" s="22"/>
      <c r="UP145" s="22"/>
      <c r="UQ145" s="22"/>
      <c r="UR145" s="22"/>
      <c r="US145" s="22"/>
      <c r="UT145" s="22"/>
      <c r="UU145" s="22"/>
      <c r="UV145" s="22"/>
      <c r="UW145" s="22"/>
      <c r="UX145" s="22"/>
      <c r="UY145" s="22"/>
      <c r="UZ145" s="22"/>
      <c r="VA145" s="22"/>
      <c r="VB145" s="22"/>
      <c r="VC145" s="22"/>
      <c r="VD145" s="22"/>
      <c r="VE145" s="22"/>
      <c r="VF145" s="22"/>
      <c r="VG145" s="22"/>
      <c r="VH145" s="22"/>
      <c r="VI145" s="22"/>
      <c r="VJ145" s="22"/>
      <c r="VK145" s="22"/>
      <c r="VL145" s="22"/>
      <c r="VM145" s="22"/>
      <c r="VN145" s="22"/>
      <c r="VO145" s="22"/>
      <c r="VP145" s="22"/>
      <c r="VQ145" s="22"/>
      <c r="VR145" s="22"/>
      <c r="VS145" s="22"/>
      <c r="VT145" s="22"/>
      <c r="VU145" s="22"/>
      <c r="VV145" s="22"/>
      <c r="VW145" s="22"/>
      <c r="VX145" s="22"/>
      <c r="VY145" s="22"/>
      <c r="VZ145" s="22"/>
      <c r="WA145" s="22"/>
      <c r="WB145" s="22"/>
      <c r="WC145" s="22"/>
      <c r="WD145" s="22"/>
      <c r="WE145" s="22"/>
      <c r="WF145" s="22"/>
      <c r="WG145" s="22"/>
      <c r="WH145" s="22"/>
      <c r="WI145" s="22"/>
      <c r="WJ145" s="22"/>
      <c r="WK145" s="22"/>
      <c r="WL145" s="22"/>
      <c r="WM145" s="22"/>
      <c r="WN145" s="22"/>
      <c r="WO145" s="22"/>
      <c r="WP145" s="22"/>
      <c r="WQ145" s="22"/>
      <c r="WR145" s="22"/>
      <c r="WS145" s="22"/>
      <c r="WT145" s="22"/>
      <c r="WU145" s="22"/>
      <c r="WV145" s="22"/>
      <c r="WW145" s="22"/>
      <c r="WX145" s="22"/>
      <c r="WY145" s="22"/>
      <c r="WZ145" s="22"/>
      <c r="XA145" s="22"/>
      <c r="XB145" s="22"/>
      <c r="XC145" s="22"/>
      <c r="XD145" s="22"/>
      <c r="XE145" s="22"/>
      <c r="XF145" s="22"/>
      <c r="XG145" s="22"/>
      <c r="XH145" s="22"/>
      <c r="XI145" s="22"/>
      <c r="XJ145" s="22"/>
      <c r="XK145" s="22"/>
      <c r="XL145" s="22"/>
      <c r="XM145" s="22"/>
      <c r="XN145" s="22"/>
      <c r="XO145" s="22"/>
      <c r="XP145" s="22"/>
      <c r="XQ145" s="22"/>
      <c r="XR145" s="22"/>
      <c r="XS145" s="22"/>
      <c r="XT145" s="22"/>
      <c r="XU145" s="22"/>
      <c r="XV145" s="22"/>
      <c r="XW145" s="22"/>
      <c r="XX145" s="22"/>
      <c r="XY145" s="22"/>
      <c r="XZ145" s="22"/>
      <c r="YA145" s="22"/>
      <c r="YB145" s="22"/>
      <c r="YC145" s="22"/>
      <c r="YD145" s="22"/>
      <c r="YE145" s="22"/>
      <c r="YF145" s="22"/>
      <c r="YG145" s="22"/>
      <c r="YH145" s="22"/>
      <c r="YI145" s="22"/>
      <c r="YJ145" s="22"/>
      <c r="YK145" s="22"/>
      <c r="YL145" s="22"/>
      <c r="YM145" s="22"/>
      <c r="YN145" s="22"/>
      <c r="YO145" s="22"/>
      <c r="YP145" s="22"/>
      <c r="YQ145" s="22"/>
      <c r="YR145" s="22"/>
      <c r="YS145" s="22"/>
      <c r="YT145" s="22"/>
      <c r="YU145" s="22"/>
      <c r="YV145" s="22"/>
      <c r="YW145" s="22"/>
      <c r="YX145" s="22"/>
      <c r="YY145" s="22"/>
      <c r="YZ145" s="22"/>
      <c r="ZA145" s="22"/>
      <c r="ZB145" s="22"/>
      <c r="ZC145" s="22"/>
      <c r="ZD145" s="22"/>
      <c r="ZE145" s="22"/>
      <c r="ZF145" s="22"/>
      <c r="ZG145" s="22"/>
      <c r="ZH145" s="22"/>
      <c r="ZI145" s="22"/>
      <c r="ZJ145" s="22"/>
      <c r="ZK145" s="22"/>
      <c r="ZL145" s="22"/>
      <c r="ZM145" s="22"/>
      <c r="ZN145" s="22"/>
      <c r="ZO145" s="22"/>
      <c r="ZP145" s="22"/>
      <c r="ZQ145" s="22"/>
      <c r="ZR145" s="22"/>
      <c r="ZS145" s="22"/>
      <c r="ZT145" s="22"/>
      <c r="ZU145" s="22"/>
      <c r="ZV145" s="22"/>
      <c r="ZW145" s="22"/>
      <c r="ZX145" s="22"/>
      <c r="ZY145" s="22"/>
      <c r="ZZ145" s="22"/>
      <c r="AAA145" s="22"/>
      <c r="AAB145" s="22"/>
      <c r="AAC145" s="22"/>
      <c r="AAD145" s="22"/>
      <c r="AAE145" s="22"/>
      <c r="AAF145" s="22"/>
      <c r="AAG145" s="22"/>
      <c r="AAH145" s="22"/>
      <c r="AAI145" s="22"/>
      <c r="AAJ145" s="22"/>
      <c r="AAK145" s="22"/>
      <c r="AAL145" s="22"/>
      <c r="AAM145" s="22"/>
      <c r="AAN145" s="22"/>
      <c r="AAO145" s="22"/>
      <c r="AAP145" s="22"/>
      <c r="AAQ145" s="22"/>
      <c r="AAR145" s="22"/>
      <c r="AAS145" s="22"/>
      <c r="AAT145" s="22"/>
      <c r="AAU145" s="22"/>
      <c r="AAV145" s="22"/>
      <c r="AAW145" s="22"/>
      <c r="AAX145" s="22"/>
      <c r="AAY145" s="22"/>
      <c r="AAZ145" s="22"/>
      <c r="ABA145" s="22"/>
      <c r="ABB145" s="22"/>
      <c r="ABC145" s="22"/>
      <c r="ABD145" s="22"/>
      <c r="ABE145" s="22"/>
      <c r="ABF145" s="22"/>
      <c r="ABG145" s="22"/>
      <c r="ABH145" s="22"/>
      <c r="ABI145" s="22"/>
      <c r="ABJ145" s="22"/>
      <c r="ABK145" s="22"/>
      <c r="ABL145" s="22"/>
      <c r="ABM145" s="22"/>
      <c r="ABN145" s="22"/>
      <c r="ABO145" s="22"/>
      <c r="ABP145" s="22"/>
      <c r="ABQ145" s="22"/>
      <c r="ABR145" s="22"/>
      <c r="ABS145" s="22"/>
      <c r="ABT145" s="22"/>
      <c r="ABU145" s="22"/>
      <c r="ABV145" s="22"/>
      <c r="ABW145" s="22"/>
      <c r="ABX145" s="22"/>
      <c r="ABY145" s="22"/>
      <c r="ABZ145" s="22"/>
      <c r="ACA145" s="22"/>
      <c r="ACB145" s="22"/>
      <c r="ACC145" s="22"/>
      <c r="ACD145" s="22"/>
      <c r="ACE145" s="22"/>
      <c r="ACF145" s="22"/>
      <c r="ACG145" s="22"/>
      <c r="ACH145" s="22"/>
      <c r="ACI145" s="22"/>
      <c r="ACJ145" s="22"/>
      <c r="ACK145" s="22"/>
      <c r="ACL145" s="22"/>
      <c r="ACM145" s="22"/>
      <c r="ACN145" s="22"/>
      <c r="ACO145" s="22"/>
      <c r="ACP145" s="22"/>
      <c r="ACQ145" s="22"/>
      <c r="ACR145" s="22"/>
      <c r="ACS145" s="22"/>
      <c r="ACT145" s="22"/>
      <c r="ACU145" s="22"/>
      <c r="ACV145" s="22"/>
      <c r="ACW145" s="22"/>
      <c r="ACX145" s="22"/>
      <c r="ACY145" s="22"/>
      <c r="ACZ145" s="22"/>
      <c r="ADA145" s="22"/>
      <c r="ADB145" s="22"/>
      <c r="ADC145" s="22"/>
      <c r="ADD145" s="22"/>
      <c r="ADE145" s="22"/>
      <c r="ADF145" s="22"/>
      <c r="ADG145" s="22"/>
      <c r="ADH145" s="22"/>
      <c r="ADI145" s="22"/>
      <c r="ADJ145" s="22"/>
      <c r="ADK145" s="22"/>
      <c r="ADL145" s="22"/>
      <c r="ADM145" s="22"/>
      <c r="ADN145" s="22"/>
      <c r="ADO145" s="22"/>
      <c r="ADP145" s="22"/>
      <c r="ADQ145" s="22"/>
      <c r="ADR145" s="22"/>
      <c r="ADS145" s="22"/>
      <c r="ADT145" s="22"/>
      <c r="ADU145" s="22"/>
      <c r="ADV145" s="22"/>
      <c r="ADW145" s="22"/>
      <c r="ADX145" s="22"/>
      <c r="ADY145" s="22"/>
      <c r="ADZ145" s="22"/>
      <c r="AEA145" s="22"/>
      <c r="AEB145" s="22"/>
      <c r="AEC145" s="22"/>
      <c r="AED145" s="22"/>
      <c r="AEE145" s="22"/>
      <c r="AEF145" s="22"/>
      <c r="AEG145" s="22"/>
      <c r="AEH145" s="22"/>
      <c r="AEI145" s="22"/>
      <c r="AEJ145" s="22"/>
      <c r="AEK145" s="22"/>
      <c r="AEL145" s="22"/>
      <c r="AEM145" s="22"/>
      <c r="AEN145" s="22"/>
      <c r="AEO145" s="22"/>
      <c r="AEP145" s="22"/>
      <c r="AEQ145" s="22"/>
      <c r="AER145" s="22"/>
      <c r="AES145" s="22"/>
      <c r="AET145" s="22"/>
      <c r="AEU145" s="22"/>
      <c r="AEV145" s="22"/>
      <c r="AEW145" s="22"/>
      <c r="AEX145" s="22"/>
      <c r="AEY145" s="22"/>
      <c r="AEZ145" s="22"/>
      <c r="AFA145" s="22"/>
      <c r="AFB145" s="22"/>
      <c r="AFC145" s="22"/>
      <c r="AFD145" s="22"/>
      <c r="AFE145" s="22"/>
      <c r="AFF145" s="22"/>
      <c r="AFG145" s="22"/>
      <c r="AFH145" s="22"/>
      <c r="AFI145" s="22"/>
      <c r="AFJ145" s="22"/>
      <c r="AFK145" s="22"/>
      <c r="AFL145" s="22"/>
      <c r="AFM145" s="22"/>
      <c r="AFN145" s="22"/>
      <c r="AFO145" s="22"/>
      <c r="AFP145" s="22"/>
      <c r="AFQ145" s="22"/>
      <c r="AFR145" s="22"/>
      <c r="AFS145" s="22"/>
      <c r="AFT145" s="22"/>
      <c r="AFU145" s="22"/>
      <c r="AFV145" s="22"/>
      <c r="AFW145" s="22"/>
      <c r="AFX145" s="22"/>
      <c r="AFY145" s="22"/>
      <c r="AFZ145" s="22"/>
      <c r="AGA145" s="22"/>
      <c r="AGB145" s="22"/>
      <c r="AGC145" s="22"/>
      <c r="AGD145" s="22"/>
      <c r="AGE145" s="22"/>
      <c r="AGF145" s="22"/>
      <c r="AGG145" s="22"/>
      <c r="AGH145" s="22"/>
      <c r="AGI145" s="22"/>
      <c r="AGJ145" s="22"/>
      <c r="AGK145" s="22"/>
      <c r="AGL145" s="22"/>
      <c r="AGM145" s="22"/>
      <c r="AGN145" s="22"/>
      <c r="AGO145" s="22"/>
      <c r="AGP145" s="22"/>
      <c r="AGQ145" s="22"/>
      <c r="AGR145" s="22"/>
      <c r="AGS145" s="22"/>
      <c r="AGT145" s="22"/>
      <c r="AGU145" s="22"/>
      <c r="AGV145" s="22"/>
      <c r="AGW145" s="22"/>
      <c r="AGX145" s="22"/>
      <c r="AGY145" s="22"/>
      <c r="AGZ145" s="22"/>
      <c r="AHA145" s="22"/>
      <c r="AHB145" s="22"/>
      <c r="AHC145" s="22"/>
      <c r="AHD145" s="22"/>
      <c r="AHE145" s="22"/>
      <c r="AHF145" s="22"/>
      <c r="AHG145" s="22"/>
      <c r="AHH145" s="22"/>
      <c r="AHI145" s="22"/>
      <c r="AHJ145" s="22"/>
      <c r="AHK145" s="22"/>
      <c r="AHL145" s="22"/>
      <c r="AHM145" s="22"/>
      <c r="AHN145" s="22"/>
      <c r="AHO145" s="22"/>
      <c r="AHP145" s="22"/>
      <c r="AHQ145" s="22"/>
      <c r="AHR145" s="22"/>
      <c r="AHS145" s="22"/>
      <c r="AHT145" s="22"/>
      <c r="AHU145" s="22"/>
      <c r="AHV145" s="22"/>
      <c r="AHW145" s="22"/>
      <c r="AHX145" s="22"/>
      <c r="AHY145" s="22"/>
      <c r="AHZ145" s="22"/>
      <c r="AIA145" s="22"/>
      <c r="AIB145" s="22"/>
      <c r="AIC145" s="22"/>
      <c r="AID145" s="22"/>
      <c r="AIE145" s="22"/>
      <c r="AIF145" s="22"/>
      <c r="AIG145" s="22"/>
      <c r="AIH145" s="22"/>
      <c r="AII145" s="22"/>
      <c r="AIJ145" s="22"/>
      <c r="AIK145" s="22"/>
      <c r="AIL145" s="22"/>
      <c r="AIM145" s="22"/>
      <c r="AIN145" s="22"/>
      <c r="AIO145" s="22"/>
      <c r="AIP145" s="22"/>
      <c r="AIQ145" s="22"/>
      <c r="AIR145" s="22"/>
      <c r="AIS145" s="22"/>
      <c r="AIT145" s="22"/>
      <c r="AIU145" s="22"/>
      <c r="AIV145" s="22"/>
      <c r="AIW145" s="22"/>
      <c r="AIX145" s="22"/>
      <c r="AIY145" s="22"/>
      <c r="AIZ145" s="22"/>
      <c r="AJA145" s="22"/>
      <c r="AJB145" s="22"/>
      <c r="AJC145" s="22"/>
      <c r="AJD145" s="22"/>
      <c r="AJE145" s="22"/>
      <c r="AJF145" s="22"/>
      <c r="AJG145" s="22"/>
      <c r="AJH145" s="22"/>
      <c r="AJI145" s="22"/>
      <c r="AJJ145" s="22"/>
      <c r="AJK145" s="22"/>
      <c r="AJL145" s="22"/>
      <c r="AJM145" s="22"/>
      <c r="AJN145" s="22"/>
      <c r="AJO145" s="22"/>
      <c r="AJP145" s="22"/>
      <c r="AJQ145" s="22"/>
      <c r="AJR145" s="22"/>
      <c r="AJS145" s="22"/>
      <c r="AJT145" s="22"/>
      <c r="AJU145" s="22"/>
      <c r="AJV145" s="22"/>
      <c r="AJW145" s="22"/>
      <c r="AJX145" s="22"/>
      <c r="AJY145" s="22"/>
      <c r="AJZ145" s="22"/>
      <c r="AKA145" s="22"/>
      <c r="AKB145" s="22"/>
      <c r="AKC145" s="22"/>
      <c r="AKD145" s="22"/>
      <c r="AKE145" s="22"/>
      <c r="AKF145" s="22"/>
      <c r="AKG145" s="22"/>
      <c r="AKH145" s="22"/>
      <c r="AKI145" s="22"/>
      <c r="AKJ145" s="22"/>
      <c r="AKK145" s="22"/>
      <c r="AKL145" s="22"/>
      <c r="AKM145" s="22"/>
      <c r="AKN145" s="22"/>
      <c r="AKO145" s="22"/>
      <c r="AKP145" s="22"/>
      <c r="AKQ145" s="22"/>
      <c r="AKR145" s="22"/>
      <c r="AKS145" s="22"/>
      <c r="AKT145" s="22"/>
      <c r="AKU145" s="22"/>
      <c r="AKV145" s="22"/>
      <c r="AKW145" s="22"/>
      <c r="AKX145" s="22"/>
      <c r="AKY145" s="22"/>
      <c r="AKZ145" s="22"/>
      <c r="ALA145" s="22"/>
      <c r="ALB145" s="22"/>
      <c r="ALC145" s="22"/>
      <c r="ALD145" s="22"/>
      <c r="ALE145" s="22"/>
      <c r="ALF145" s="22"/>
      <c r="ALG145" s="22"/>
      <c r="ALH145" s="22"/>
      <c r="ALI145" s="22"/>
      <c r="ALJ145" s="22"/>
      <c r="ALK145" s="22"/>
      <c r="ALL145" s="22"/>
      <c r="ALM145" s="22"/>
      <c r="ALN145" s="22"/>
      <c r="ALO145" s="22"/>
      <c r="ALP145" s="22"/>
      <c r="ALQ145" s="22"/>
      <c r="ALR145" s="22"/>
      <c r="ALS145" s="22"/>
      <c r="ALT145" s="22"/>
      <c r="ALU145" s="22"/>
      <c r="ALV145" s="22"/>
      <c r="ALW145" s="22"/>
      <c r="ALX145" s="22"/>
      <c r="ALY145" s="22"/>
      <c r="ALZ145" s="22"/>
      <c r="AMA145" s="22"/>
      <c r="AMB145" s="22"/>
      <c r="AMC145" s="22"/>
      <c r="AMD145" s="22"/>
      <c r="AME145" s="22"/>
      <c r="AMF145" s="22"/>
      <c r="AMG145" s="22"/>
      <c r="AMH145" s="22"/>
      <c r="AMI145" s="22"/>
      <c r="AMJ145" s="22"/>
      <c r="AMK145" s="22"/>
      <c r="AML145" s="22"/>
      <c r="AMM145" s="22"/>
      <c r="AMN145" s="22"/>
      <c r="AMO145" s="22"/>
      <c r="AMP145" s="22"/>
      <c r="AMQ145" s="22"/>
      <c r="AMR145" s="22"/>
      <c r="AMS145" s="22"/>
      <c r="AMT145" s="22"/>
      <c r="AMU145" s="22"/>
      <c r="AMV145" s="22"/>
      <c r="AMW145" s="22"/>
      <c r="AMX145" s="22"/>
      <c r="AMY145" s="22"/>
      <c r="AMZ145" s="22"/>
      <c r="ANA145" s="22"/>
      <c r="ANB145" s="22"/>
      <c r="ANC145" s="22"/>
      <c r="AND145" s="22"/>
      <c r="ANE145" s="22"/>
      <c r="ANF145" s="22"/>
      <c r="ANG145" s="22"/>
      <c r="ANH145" s="22"/>
      <c r="ANI145" s="22"/>
      <c r="ANJ145" s="22"/>
      <c r="ANK145" s="22"/>
      <c r="ANL145" s="22"/>
      <c r="ANM145" s="22"/>
      <c r="ANN145" s="22"/>
      <c r="ANO145" s="22"/>
      <c r="ANP145" s="22"/>
      <c r="ANQ145" s="22"/>
      <c r="ANR145" s="22"/>
      <c r="ANS145" s="22"/>
      <c r="ANT145" s="22"/>
      <c r="ANU145" s="22"/>
      <c r="ANV145" s="22"/>
      <c r="ANW145" s="22"/>
      <c r="ANX145" s="22"/>
      <c r="ANY145" s="22"/>
      <c r="ANZ145" s="22"/>
      <c r="AOA145" s="22"/>
      <c r="AOB145" s="22"/>
      <c r="AOC145" s="22"/>
      <c r="AOD145" s="22"/>
      <c r="AOE145" s="22"/>
      <c r="AOF145" s="22"/>
      <c r="AOG145" s="22"/>
      <c r="AOH145" s="22"/>
      <c r="AOI145" s="22"/>
      <c r="AOJ145" s="22"/>
      <c r="AOK145" s="22"/>
      <c r="AOL145" s="22"/>
      <c r="AOM145" s="22"/>
      <c r="AON145" s="22"/>
      <c r="AOO145" s="22"/>
      <c r="AOP145" s="22"/>
      <c r="AOQ145" s="22"/>
      <c r="AOR145" s="22"/>
      <c r="AOS145" s="22"/>
      <c r="AOT145" s="22"/>
      <c r="AOU145" s="22"/>
      <c r="AOV145" s="22"/>
      <c r="AOW145" s="22"/>
      <c r="AOX145" s="22"/>
      <c r="AOY145" s="22"/>
      <c r="AOZ145" s="22"/>
      <c r="APA145" s="22"/>
      <c r="APB145" s="22"/>
      <c r="APC145" s="22"/>
      <c r="APD145" s="22"/>
      <c r="APE145" s="22"/>
      <c r="APF145" s="22"/>
      <c r="APG145" s="22"/>
      <c r="APH145" s="22"/>
      <c r="API145" s="22"/>
      <c r="APJ145" s="22"/>
      <c r="APK145" s="22"/>
      <c r="APL145" s="22"/>
      <c r="APM145" s="22"/>
      <c r="APN145" s="22"/>
      <c r="APO145" s="22"/>
      <c r="APP145" s="22"/>
      <c r="APQ145" s="22"/>
      <c r="APR145" s="22"/>
      <c r="APS145" s="22"/>
      <c r="APT145" s="22"/>
      <c r="APU145" s="22"/>
      <c r="APV145" s="22"/>
      <c r="APW145" s="22"/>
      <c r="APX145" s="22"/>
      <c r="APY145" s="22"/>
      <c r="APZ145" s="22"/>
      <c r="AQA145" s="22"/>
      <c r="AQB145" s="22"/>
      <c r="AQC145" s="22"/>
      <c r="AQD145" s="22"/>
      <c r="AQE145" s="22"/>
      <c r="AQF145" s="22"/>
      <c r="AQG145" s="22"/>
      <c r="AQH145" s="22"/>
      <c r="AQI145" s="22"/>
      <c r="AQJ145" s="22"/>
      <c r="AQK145" s="22"/>
      <c r="AQL145" s="22"/>
      <c r="AQM145" s="22"/>
      <c r="AQN145" s="22"/>
      <c r="AQO145" s="22"/>
      <c r="AQP145" s="22"/>
      <c r="AQQ145" s="22"/>
      <c r="AQR145" s="22"/>
      <c r="AQS145" s="22"/>
      <c r="AQT145" s="22"/>
      <c r="AQU145" s="22"/>
      <c r="AQV145" s="22"/>
      <c r="AQW145" s="22"/>
      <c r="AQX145" s="22"/>
      <c r="AQY145" s="22"/>
      <c r="AQZ145" s="22"/>
      <c r="ARA145" s="22"/>
      <c r="ARB145" s="22"/>
      <c r="ARC145" s="22"/>
      <c r="ARD145" s="22"/>
      <c r="ARE145" s="22"/>
      <c r="ARF145" s="22"/>
      <c r="ARG145" s="22"/>
      <c r="ARH145" s="22"/>
      <c r="ARI145" s="22"/>
      <c r="ARJ145" s="22"/>
      <c r="ARK145" s="22"/>
      <c r="ARL145" s="22"/>
      <c r="ARM145" s="22"/>
      <c r="ARN145" s="22"/>
      <c r="ARO145" s="22"/>
      <c r="ARP145" s="22"/>
      <c r="ARQ145" s="22"/>
      <c r="ARR145" s="22"/>
      <c r="ARS145" s="22"/>
      <c r="ART145" s="22"/>
      <c r="ARU145" s="22"/>
      <c r="ARV145" s="22"/>
      <c r="ARW145" s="22"/>
      <c r="ARX145" s="22"/>
      <c r="ARY145" s="22"/>
      <c r="ARZ145" s="22"/>
      <c r="ASA145" s="22"/>
      <c r="ASB145" s="22"/>
      <c r="ASC145" s="22"/>
      <c r="ASD145" s="22"/>
      <c r="ASE145" s="22"/>
      <c r="ASF145" s="22"/>
      <c r="ASG145" s="22"/>
      <c r="ASH145" s="22"/>
      <c r="ASI145" s="22"/>
      <c r="ASJ145" s="22"/>
      <c r="ASK145" s="22"/>
      <c r="ASL145" s="22"/>
      <c r="ASM145" s="22"/>
      <c r="ASN145" s="22"/>
      <c r="ASO145" s="22"/>
      <c r="ASP145" s="22"/>
      <c r="ASQ145" s="22"/>
      <c r="ASR145" s="22"/>
      <c r="ASS145" s="22"/>
      <c r="AST145" s="22"/>
      <c r="ASU145" s="22"/>
      <c r="ASV145" s="22"/>
      <c r="ASW145" s="22"/>
      <c r="ASX145" s="22"/>
      <c r="ASY145" s="22"/>
      <c r="ASZ145" s="22"/>
      <c r="ATA145" s="22"/>
      <c r="ATB145" s="22"/>
      <c r="ATC145" s="22"/>
      <c r="ATD145" s="22"/>
      <c r="ATE145" s="22"/>
      <c r="ATF145" s="22"/>
      <c r="ATG145" s="22"/>
      <c r="ATH145" s="22"/>
      <c r="ATI145" s="22"/>
      <c r="ATJ145" s="22"/>
      <c r="ATK145" s="22"/>
      <c r="ATL145" s="22"/>
      <c r="ATM145" s="22"/>
      <c r="ATN145" s="22"/>
      <c r="ATO145" s="22"/>
      <c r="ATP145" s="22"/>
      <c r="ATQ145" s="22"/>
      <c r="ATR145" s="22"/>
      <c r="ATS145" s="22"/>
      <c r="ATT145" s="22"/>
      <c r="ATU145" s="22"/>
      <c r="ATV145" s="22"/>
      <c r="ATW145" s="22"/>
      <c r="ATX145" s="22"/>
      <c r="ATY145" s="22"/>
      <c r="ATZ145" s="22"/>
      <c r="AUA145" s="22"/>
      <c r="AUB145" s="22"/>
      <c r="AUC145" s="22"/>
      <c r="AUD145" s="22"/>
      <c r="AUE145" s="22"/>
      <c r="AUF145" s="22"/>
      <c r="AUG145" s="22"/>
      <c r="AUH145" s="22"/>
      <c r="AUI145" s="22"/>
      <c r="AUJ145" s="22"/>
      <c r="AUK145" s="22"/>
      <c r="AUL145" s="22"/>
      <c r="AUM145" s="22"/>
      <c r="AUN145" s="22"/>
      <c r="AUO145" s="22"/>
      <c r="AUP145" s="22"/>
      <c r="AUQ145" s="22"/>
      <c r="AUR145" s="22"/>
      <c r="AUS145" s="22"/>
      <c r="AUT145" s="22"/>
      <c r="AUU145" s="22"/>
      <c r="AUV145" s="22"/>
      <c r="AUW145" s="22"/>
      <c r="AUX145" s="22"/>
      <c r="AUY145" s="22"/>
      <c r="AUZ145" s="22"/>
      <c r="AVA145" s="22"/>
      <c r="AVB145" s="22"/>
      <c r="AVC145" s="22"/>
      <c r="AVD145" s="22"/>
      <c r="AVE145" s="22"/>
      <c r="AVF145" s="22"/>
      <c r="AVG145" s="22"/>
      <c r="AVH145" s="22"/>
      <c r="AVI145" s="22"/>
      <c r="AVJ145" s="22"/>
      <c r="AVK145" s="22"/>
      <c r="AVL145" s="22"/>
      <c r="AVM145" s="22"/>
      <c r="AVN145" s="22"/>
      <c r="AVO145" s="22"/>
      <c r="AVP145" s="22"/>
      <c r="AVQ145" s="22"/>
      <c r="AVR145" s="22"/>
      <c r="AVS145" s="22"/>
      <c r="AVT145" s="22"/>
      <c r="AVU145" s="22"/>
      <c r="AVV145" s="22"/>
      <c r="AVW145" s="22"/>
      <c r="AVX145" s="22"/>
      <c r="AVY145" s="22"/>
      <c r="AVZ145" s="22"/>
      <c r="AWA145" s="22"/>
      <c r="AWB145" s="22"/>
      <c r="AWC145" s="22"/>
      <c r="AWD145" s="22"/>
      <c r="AWE145" s="22"/>
      <c r="AWF145" s="22"/>
      <c r="AWG145" s="22"/>
      <c r="AWH145" s="22"/>
      <c r="AWI145" s="22"/>
      <c r="AWJ145" s="22"/>
      <c r="AWK145" s="22"/>
      <c r="AWL145" s="22"/>
      <c r="AWM145" s="22"/>
      <c r="AWN145" s="22"/>
      <c r="AWO145" s="22"/>
      <c r="AWP145" s="22"/>
      <c r="AWQ145" s="22"/>
      <c r="AWR145" s="22"/>
      <c r="AWS145" s="22"/>
      <c r="AWT145" s="22"/>
      <c r="AWU145" s="22"/>
      <c r="AWV145" s="22"/>
      <c r="AWW145" s="22"/>
      <c r="AWX145" s="22"/>
      <c r="AWY145" s="22"/>
      <c r="AWZ145" s="22"/>
      <c r="AXA145" s="22"/>
      <c r="AXB145" s="22"/>
      <c r="AXC145" s="22"/>
      <c r="AXD145" s="22"/>
      <c r="AXE145" s="22"/>
      <c r="AXF145" s="22"/>
      <c r="AXG145" s="22"/>
      <c r="AXH145" s="22"/>
      <c r="AXI145" s="22"/>
      <c r="AXJ145" s="22"/>
      <c r="AXK145" s="22"/>
      <c r="AXL145" s="22"/>
      <c r="AXM145" s="22"/>
      <c r="AXN145" s="22"/>
      <c r="AXO145" s="22"/>
      <c r="AXP145" s="22"/>
      <c r="AXQ145" s="22"/>
      <c r="AXR145" s="22"/>
      <c r="AXS145" s="22"/>
      <c r="AXT145" s="22"/>
      <c r="AXU145" s="22"/>
      <c r="AXV145" s="22"/>
      <c r="AXW145" s="22"/>
      <c r="AXX145" s="22"/>
      <c r="AXY145" s="22"/>
      <c r="AXZ145" s="22"/>
      <c r="AYA145" s="22"/>
      <c r="AYB145" s="22"/>
      <c r="AYC145" s="22"/>
      <c r="AYD145" s="22"/>
      <c r="AYE145" s="22"/>
      <c r="AYF145" s="22"/>
      <c r="AYG145" s="22"/>
      <c r="AYH145" s="22"/>
      <c r="AYI145" s="22"/>
      <c r="AYJ145" s="22"/>
      <c r="AYK145" s="22"/>
      <c r="AYL145" s="22"/>
      <c r="AYM145" s="22"/>
      <c r="AYN145" s="22"/>
      <c r="AYO145" s="22"/>
      <c r="AYP145" s="22"/>
      <c r="AYQ145" s="22"/>
      <c r="AYR145" s="22"/>
      <c r="AYS145" s="22"/>
      <c r="AYT145" s="22"/>
      <c r="AYU145" s="22"/>
      <c r="AYV145" s="22"/>
      <c r="AYW145" s="22"/>
      <c r="AYX145" s="22"/>
      <c r="AYY145" s="22"/>
      <c r="AYZ145" s="22"/>
      <c r="AZA145" s="22"/>
      <c r="AZB145" s="22"/>
      <c r="AZC145" s="22"/>
      <c r="AZD145" s="22"/>
      <c r="AZE145" s="22"/>
      <c r="AZF145" s="22"/>
      <c r="AZG145" s="22"/>
      <c r="AZH145" s="22"/>
      <c r="AZI145" s="22"/>
      <c r="AZJ145" s="22"/>
      <c r="AZK145" s="22"/>
      <c r="AZL145" s="22"/>
      <c r="AZM145" s="22"/>
      <c r="AZN145" s="22"/>
      <c r="AZO145" s="22"/>
      <c r="AZP145" s="22"/>
      <c r="AZQ145" s="22"/>
      <c r="AZR145" s="22"/>
      <c r="AZS145" s="22"/>
      <c r="AZT145" s="22"/>
      <c r="AZU145" s="22"/>
      <c r="AZV145" s="22"/>
      <c r="AZW145" s="22"/>
      <c r="AZX145" s="22"/>
      <c r="AZY145" s="22"/>
      <c r="AZZ145" s="22"/>
      <c r="BAA145" s="22"/>
      <c r="BAB145" s="22"/>
      <c r="BAC145" s="22"/>
      <c r="BAD145" s="22"/>
      <c r="BAE145" s="22"/>
      <c r="BAF145" s="22"/>
      <c r="BAG145" s="22"/>
      <c r="BAH145" s="22"/>
      <c r="BAI145" s="22"/>
      <c r="BAJ145" s="22"/>
      <c r="BAK145" s="22"/>
      <c r="BAL145" s="22"/>
      <c r="BAM145" s="22"/>
      <c r="BAN145" s="22"/>
      <c r="BAO145" s="22"/>
      <c r="BAP145" s="22"/>
      <c r="BAQ145" s="22"/>
      <c r="BAR145" s="22"/>
      <c r="BAS145" s="22"/>
      <c r="BAT145" s="22"/>
      <c r="BAU145" s="22"/>
      <c r="BAV145" s="22"/>
      <c r="BAW145" s="22"/>
      <c r="BAX145" s="22"/>
      <c r="BAY145" s="22"/>
      <c r="BAZ145" s="22"/>
      <c r="BBA145" s="22"/>
      <c r="BBB145" s="22"/>
      <c r="BBC145" s="22"/>
      <c r="BBD145" s="22"/>
      <c r="BBE145" s="22"/>
      <c r="BBF145" s="22"/>
      <c r="BBG145" s="22"/>
      <c r="BBH145" s="22"/>
      <c r="BBI145" s="22"/>
      <c r="BBJ145" s="22"/>
      <c r="BBK145" s="22"/>
      <c r="BBL145" s="22"/>
      <c r="BBM145" s="22"/>
      <c r="BBN145" s="22"/>
      <c r="BBO145" s="22"/>
      <c r="BBP145" s="22"/>
      <c r="BBQ145" s="22"/>
      <c r="BBR145" s="22"/>
      <c r="BBS145" s="22"/>
      <c r="BBT145" s="22"/>
      <c r="BBU145" s="22"/>
      <c r="BBV145" s="22"/>
      <c r="BBW145" s="22"/>
      <c r="BBX145" s="22"/>
      <c r="BBY145" s="22"/>
      <c r="BBZ145" s="22"/>
      <c r="BCA145" s="22"/>
      <c r="BCB145" s="22"/>
      <c r="BCC145" s="22"/>
      <c r="BCD145" s="22"/>
      <c r="BCE145" s="22"/>
      <c r="BCF145" s="22"/>
      <c r="BCG145" s="22"/>
      <c r="BCH145" s="22"/>
      <c r="BCI145" s="22"/>
      <c r="BCJ145" s="22"/>
      <c r="BCK145" s="22"/>
      <c r="BCL145" s="22"/>
      <c r="BCM145" s="22"/>
      <c r="BCN145" s="22"/>
      <c r="BCO145" s="22"/>
      <c r="BCP145" s="22"/>
      <c r="BCQ145" s="22"/>
      <c r="BCR145" s="22"/>
      <c r="BCS145" s="22"/>
      <c r="BCT145" s="22"/>
      <c r="BCU145" s="22"/>
      <c r="BCV145" s="22"/>
      <c r="BCW145" s="22"/>
      <c r="BCX145" s="22"/>
      <c r="BCY145" s="22"/>
      <c r="BCZ145" s="22"/>
      <c r="BDA145" s="22"/>
      <c r="BDB145" s="22"/>
      <c r="BDC145" s="22"/>
      <c r="BDD145" s="22"/>
      <c r="BDE145" s="22"/>
      <c r="BDF145" s="22"/>
      <c r="BDG145" s="22"/>
      <c r="BDH145" s="22"/>
      <c r="BDI145" s="22"/>
      <c r="BDJ145" s="22"/>
      <c r="BDK145" s="22"/>
      <c r="BDL145" s="22"/>
      <c r="BDM145" s="22"/>
      <c r="BDN145" s="22"/>
      <c r="BDO145" s="22"/>
      <c r="BDP145" s="22"/>
      <c r="BDQ145" s="22"/>
      <c r="BDR145" s="22"/>
      <c r="BDS145" s="22"/>
      <c r="BDT145" s="22"/>
      <c r="BDU145" s="22"/>
      <c r="BDV145" s="22"/>
      <c r="BDW145" s="22"/>
      <c r="BDX145" s="22"/>
      <c r="BDY145" s="22"/>
      <c r="BDZ145" s="22"/>
      <c r="BEA145" s="22"/>
      <c r="BEB145" s="22"/>
      <c r="BEC145" s="22"/>
      <c r="BED145" s="22"/>
      <c r="BEE145" s="22"/>
      <c r="BEF145" s="22"/>
      <c r="BEG145" s="22"/>
      <c r="BEH145" s="22"/>
      <c r="BEI145" s="22"/>
      <c r="BEJ145" s="22"/>
      <c r="BEK145" s="22"/>
      <c r="BEL145" s="22"/>
      <c r="BEM145" s="22"/>
      <c r="BEN145" s="22"/>
      <c r="BEO145" s="22"/>
      <c r="BEP145" s="22"/>
      <c r="BEQ145" s="22"/>
      <c r="BER145" s="22"/>
      <c r="BES145" s="22"/>
      <c r="BET145" s="22"/>
      <c r="BEU145" s="22"/>
      <c r="BEV145" s="22"/>
      <c r="BEW145" s="22"/>
      <c r="BEX145" s="22"/>
      <c r="BEY145" s="22"/>
      <c r="BEZ145" s="22"/>
      <c r="BFA145" s="22"/>
      <c r="BFB145" s="22"/>
      <c r="BFC145" s="22"/>
      <c r="BFD145" s="22"/>
      <c r="BFE145" s="22"/>
      <c r="BFF145" s="22"/>
      <c r="BFG145" s="22"/>
      <c r="BFH145" s="22"/>
      <c r="BFI145" s="22"/>
      <c r="BFJ145" s="22"/>
      <c r="BFK145" s="22"/>
      <c r="BFL145" s="22"/>
      <c r="BFM145" s="22"/>
      <c r="BFN145" s="22"/>
      <c r="BFO145" s="22"/>
      <c r="BFP145" s="22"/>
      <c r="BFQ145" s="22"/>
      <c r="BFR145" s="22"/>
      <c r="BFS145" s="22"/>
      <c r="BFT145" s="22"/>
      <c r="BFU145" s="22"/>
      <c r="BFV145" s="22"/>
      <c r="BFW145" s="22"/>
      <c r="BFX145" s="22"/>
      <c r="BFY145" s="22"/>
      <c r="BFZ145" s="22"/>
      <c r="BGA145" s="22"/>
      <c r="BGB145" s="22"/>
      <c r="BGC145" s="22"/>
      <c r="BGD145" s="22"/>
      <c r="BGE145" s="22"/>
      <c r="BGF145" s="22"/>
      <c r="BGG145" s="22"/>
      <c r="BGH145" s="22"/>
      <c r="BGI145" s="22"/>
      <c r="BGJ145" s="22"/>
      <c r="BGK145" s="22"/>
      <c r="BGL145" s="22"/>
      <c r="BGM145" s="22"/>
      <c r="BGN145" s="22"/>
      <c r="BGO145" s="22"/>
      <c r="BGP145" s="22"/>
      <c r="BGQ145" s="22"/>
      <c r="BGR145" s="22"/>
      <c r="BGS145" s="22"/>
      <c r="BGT145" s="22"/>
      <c r="BGU145" s="22"/>
      <c r="BGV145" s="22"/>
      <c r="BGW145" s="22"/>
      <c r="BGX145" s="22"/>
      <c r="BGY145" s="22"/>
      <c r="BGZ145" s="22"/>
      <c r="BHA145" s="22"/>
      <c r="BHB145" s="22"/>
      <c r="BHC145" s="22"/>
      <c r="BHD145" s="22"/>
      <c r="BHE145" s="22"/>
      <c r="BHF145" s="22"/>
      <c r="BHG145" s="22"/>
      <c r="BHH145" s="22"/>
      <c r="BHI145" s="22"/>
      <c r="BHJ145" s="22"/>
      <c r="BHK145" s="22"/>
      <c r="BHL145" s="22"/>
      <c r="BHM145" s="22"/>
      <c r="BHN145" s="22"/>
      <c r="BHO145" s="22"/>
      <c r="BHP145" s="22"/>
      <c r="BHQ145" s="22"/>
      <c r="BHR145" s="22"/>
      <c r="BHS145" s="22"/>
      <c r="BHT145" s="22"/>
      <c r="BHU145" s="22"/>
      <c r="BHV145" s="22"/>
      <c r="BHW145" s="22"/>
      <c r="BHX145" s="22"/>
      <c r="BHY145" s="22"/>
      <c r="BHZ145" s="22"/>
      <c r="BIA145" s="22"/>
      <c r="BIB145" s="22"/>
      <c r="BIC145" s="22"/>
      <c r="BID145" s="22"/>
      <c r="BIE145" s="22"/>
      <c r="BIF145" s="22"/>
      <c r="BIG145" s="22"/>
      <c r="BIH145" s="22"/>
      <c r="BII145" s="22"/>
      <c r="BIJ145" s="22"/>
      <c r="BIK145" s="22"/>
      <c r="BIL145" s="22"/>
      <c r="BIM145" s="22"/>
      <c r="BIN145" s="22"/>
      <c r="BIO145" s="22"/>
      <c r="BIP145" s="22"/>
      <c r="BIQ145" s="22"/>
      <c r="BIR145" s="22"/>
      <c r="BIS145" s="22"/>
      <c r="BIT145" s="22"/>
      <c r="BIU145" s="22"/>
      <c r="BIV145" s="22"/>
      <c r="BIW145" s="22"/>
      <c r="BIX145" s="22"/>
      <c r="BIY145" s="22"/>
      <c r="BIZ145" s="22"/>
      <c r="BJA145" s="22"/>
      <c r="BJB145" s="22"/>
      <c r="BJC145" s="22"/>
      <c r="BJD145" s="22"/>
      <c r="BJE145" s="22"/>
      <c r="BJF145" s="22"/>
      <c r="BJG145" s="22"/>
      <c r="BJH145" s="22"/>
      <c r="BJI145" s="22"/>
      <c r="BJJ145" s="22"/>
      <c r="BJK145" s="22"/>
      <c r="BJL145" s="22"/>
      <c r="BJM145" s="22"/>
      <c r="BJN145" s="22"/>
      <c r="BJO145" s="22"/>
      <c r="BJP145" s="22"/>
      <c r="BJQ145" s="22"/>
      <c r="BJR145" s="22"/>
      <c r="BJS145" s="22"/>
      <c r="BJT145" s="22"/>
      <c r="BJU145" s="22"/>
      <c r="BJV145" s="22"/>
      <c r="BJW145" s="22"/>
      <c r="BJX145" s="22"/>
      <c r="BJY145" s="22"/>
      <c r="BJZ145" s="22"/>
      <c r="BKA145" s="22"/>
      <c r="BKB145" s="22"/>
      <c r="BKC145" s="22"/>
      <c r="BKD145" s="22"/>
      <c r="BKE145" s="22"/>
      <c r="BKF145" s="22"/>
      <c r="BKG145" s="22"/>
      <c r="BKH145" s="22"/>
      <c r="BKI145" s="22"/>
      <c r="BKJ145" s="22"/>
      <c r="BKK145" s="22"/>
      <c r="BKL145" s="22"/>
      <c r="BKM145" s="22"/>
      <c r="BKN145" s="22"/>
      <c r="BKO145" s="22"/>
      <c r="BKP145" s="22"/>
      <c r="BKQ145" s="22"/>
      <c r="BKR145" s="22"/>
      <c r="BKS145" s="22"/>
      <c r="BKT145" s="22"/>
      <c r="BKU145" s="22"/>
      <c r="BKV145" s="22"/>
      <c r="BKW145" s="22"/>
      <c r="BKX145" s="22"/>
      <c r="BKY145" s="22"/>
      <c r="BKZ145" s="22"/>
      <c r="BLA145" s="22"/>
      <c r="BLB145" s="22"/>
      <c r="BLC145" s="22"/>
      <c r="BLD145" s="22"/>
      <c r="BLE145" s="22"/>
      <c r="BLF145" s="22"/>
      <c r="BLG145" s="22"/>
      <c r="BLH145" s="22"/>
      <c r="BLI145" s="22"/>
      <c r="BLJ145" s="22"/>
      <c r="BLK145" s="22"/>
      <c r="BLL145" s="22"/>
      <c r="BLM145" s="22"/>
      <c r="BLN145" s="22"/>
      <c r="BLO145" s="22"/>
      <c r="BLP145" s="22"/>
      <c r="BLQ145" s="22"/>
      <c r="BLR145" s="22"/>
      <c r="BLS145" s="22"/>
      <c r="BLT145" s="22"/>
      <c r="BLU145" s="22"/>
      <c r="BLV145" s="22"/>
      <c r="BLW145" s="22"/>
      <c r="BLX145" s="22"/>
      <c r="BLY145" s="22"/>
      <c r="BLZ145" s="22"/>
      <c r="BMA145" s="22"/>
      <c r="BMB145" s="22"/>
      <c r="BMC145" s="22"/>
      <c r="BMD145" s="22"/>
      <c r="BME145" s="22"/>
      <c r="BMF145" s="22"/>
      <c r="BMG145" s="22"/>
      <c r="BMH145" s="22"/>
      <c r="BMI145" s="22"/>
      <c r="BMJ145" s="22"/>
      <c r="BMK145" s="22"/>
      <c r="BML145" s="22"/>
      <c r="BMM145" s="22"/>
      <c r="BMN145" s="22"/>
      <c r="BMO145" s="22"/>
      <c r="BMP145" s="22"/>
      <c r="BMQ145" s="22"/>
      <c r="BMR145" s="22"/>
      <c r="BMS145" s="22"/>
      <c r="BMT145" s="22"/>
      <c r="BMU145" s="22"/>
      <c r="BMV145" s="22"/>
      <c r="BMW145" s="22"/>
      <c r="BMX145" s="22"/>
      <c r="BMY145" s="22"/>
      <c r="BMZ145" s="22"/>
      <c r="BNA145" s="22"/>
      <c r="BNB145" s="22"/>
      <c r="BNC145" s="22"/>
      <c r="BND145" s="22"/>
      <c r="BNE145" s="22"/>
      <c r="BNF145" s="22"/>
      <c r="BNG145" s="22"/>
      <c r="BNH145" s="22"/>
      <c r="BNI145" s="22"/>
      <c r="BNJ145" s="22"/>
      <c r="BNK145" s="22"/>
      <c r="BNL145" s="22"/>
      <c r="BNM145" s="22"/>
      <c r="BNN145" s="22"/>
      <c r="BNO145" s="22"/>
      <c r="BNP145" s="22"/>
      <c r="BNQ145" s="22"/>
      <c r="BNR145" s="22"/>
      <c r="BNS145" s="22"/>
      <c r="BNT145" s="22"/>
      <c r="BNU145" s="22"/>
      <c r="BNV145" s="22"/>
      <c r="BNW145" s="22"/>
      <c r="BNX145" s="22"/>
      <c r="BNY145" s="22"/>
      <c r="BNZ145" s="22"/>
      <c r="BOA145" s="22"/>
      <c r="BOB145" s="22"/>
      <c r="BOC145" s="22"/>
      <c r="BOD145" s="22"/>
      <c r="BOE145" s="22"/>
      <c r="BOF145" s="22"/>
      <c r="BOG145" s="22"/>
      <c r="BOH145" s="22"/>
      <c r="BOI145" s="22"/>
      <c r="BOJ145" s="22"/>
      <c r="BOK145" s="22"/>
      <c r="BOL145" s="22"/>
      <c r="BOM145" s="22"/>
      <c r="BON145" s="22"/>
      <c r="BOO145" s="22"/>
      <c r="BOP145" s="22"/>
      <c r="BOQ145" s="22"/>
      <c r="BOR145" s="22"/>
      <c r="BOS145" s="22"/>
      <c r="BOT145" s="22"/>
      <c r="BOU145" s="22"/>
      <c r="BOV145" s="22"/>
      <c r="BOW145" s="22"/>
      <c r="BOX145" s="22"/>
      <c r="BOY145" s="22"/>
      <c r="BOZ145" s="22"/>
      <c r="BPA145" s="22"/>
      <c r="BPB145" s="22"/>
      <c r="BPC145" s="22"/>
      <c r="BPD145" s="22"/>
      <c r="BPE145" s="22"/>
      <c r="BPF145" s="22"/>
      <c r="BPG145" s="22"/>
      <c r="BPH145" s="22"/>
      <c r="BPI145" s="22"/>
      <c r="BPJ145" s="22"/>
      <c r="BPK145" s="22"/>
      <c r="BPL145" s="22"/>
      <c r="BPM145" s="22"/>
      <c r="BPN145" s="22"/>
      <c r="BPO145" s="22"/>
      <c r="BPP145" s="22"/>
      <c r="BPQ145" s="22"/>
      <c r="BPR145" s="22"/>
      <c r="BPS145" s="22"/>
      <c r="BPT145" s="22"/>
      <c r="BPU145" s="22"/>
      <c r="BPV145" s="22"/>
      <c r="BPW145" s="22"/>
      <c r="BPX145" s="22"/>
      <c r="BPY145" s="22"/>
      <c r="BPZ145" s="22"/>
      <c r="BQA145" s="22"/>
      <c r="BQB145" s="22"/>
      <c r="BQC145" s="22"/>
      <c r="BQD145" s="22"/>
      <c r="BQE145" s="22"/>
      <c r="BQF145" s="22"/>
      <c r="BQG145" s="22"/>
      <c r="BQH145" s="22"/>
      <c r="BQI145" s="22"/>
      <c r="BQJ145" s="22"/>
      <c r="BQK145" s="22"/>
      <c r="BQL145" s="22"/>
      <c r="BQM145" s="22"/>
      <c r="BQN145" s="22"/>
      <c r="BQO145" s="22"/>
      <c r="BQP145" s="22"/>
      <c r="BQQ145" s="22"/>
      <c r="BQR145" s="22"/>
      <c r="BQS145" s="22"/>
      <c r="BQT145" s="22"/>
      <c r="BQU145" s="22"/>
      <c r="BQV145" s="22"/>
      <c r="BQW145" s="22"/>
      <c r="BQX145" s="22"/>
      <c r="BQY145" s="22"/>
      <c r="BQZ145" s="22"/>
      <c r="BRA145" s="22"/>
      <c r="BRB145" s="22"/>
      <c r="BRC145" s="22"/>
      <c r="BRD145" s="22"/>
      <c r="BRE145" s="22"/>
      <c r="BRF145" s="22"/>
      <c r="BRG145" s="22"/>
      <c r="BRH145" s="22"/>
      <c r="BRI145" s="22"/>
      <c r="BRJ145" s="22"/>
      <c r="BRK145" s="22"/>
      <c r="BRL145" s="22"/>
      <c r="BRM145" s="22"/>
      <c r="BRN145" s="22"/>
      <c r="BRO145" s="22"/>
      <c r="BRP145" s="22"/>
      <c r="BRQ145" s="22"/>
      <c r="BRR145" s="22"/>
      <c r="BRS145" s="22"/>
      <c r="BRT145" s="22"/>
      <c r="BRU145" s="22"/>
      <c r="BRV145" s="22"/>
      <c r="BRW145" s="22"/>
      <c r="BRX145" s="22"/>
      <c r="BRY145" s="22"/>
      <c r="BRZ145" s="22"/>
      <c r="BSA145" s="22"/>
      <c r="BSB145" s="22"/>
      <c r="BSC145" s="22"/>
      <c r="BSD145" s="22"/>
      <c r="BSE145" s="22"/>
      <c r="BSF145" s="22"/>
      <c r="BSG145" s="22"/>
      <c r="BSH145" s="22"/>
      <c r="BSI145" s="22"/>
      <c r="BSJ145" s="22"/>
      <c r="BSK145" s="22"/>
      <c r="BSL145" s="22"/>
      <c r="BSM145" s="22"/>
      <c r="BSN145" s="22"/>
      <c r="BSO145" s="22"/>
      <c r="BSP145" s="22"/>
      <c r="BSQ145" s="22"/>
      <c r="BSR145" s="22"/>
      <c r="BSS145" s="22"/>
      <c r="BST145" s="22"/>
      <c r="BSU145" s="22"/>
      <c r="BSV145" s="22"/>
      <c r="BSW145" s="22"/>
      <c r="BSX145" s="22"/>
      <c r="BSY145" s="22"/>
      <c r="BSZ145" s="22"/>
      <c r="BTA145" s="22"/>
      <c r="BTB145" s="22"/>
      <c r="BTC145" s="22"/>
      <c r="BTD145" s="22"/>
      <c r="BTE145" s="22"/>
      <c r="BTF145" s="22"/>
      <c r="BTG145" s="22"/>
      <c r="BTH145" s="22"/>
      <c r="BTI145" s="22"/>
      <c r="BTJ145" s="22"/>
      <c r="BTK145" s="22"/>
      <c r="BTL145" s="22"/>
      <c r="BTM145" s="22"/>
      <c r="BTN145" s="22"/>
      <c r="BTO145" s="22"/>
      <c r="BTP145" s="22"/>
      <c r="BTQ145" s="22"/>
      <c r="BTR145" s="22"/>
      <c r="BTS145" s="22"/>
      <c r="BTT145" s="22"/>
      <c r="BTU145" s="22"/>
      <c r="BTV145" s="22"/>
      <c r="BTW145" s="22"/>
      <c r="BTX145" s="22"/>
      <c r="BTY145" s="22"/>
      <c r="BTZ145" s="22"/>
      <c r="BUA145" s="22"/>
      <c r="BUB145" s="22"/>
      <c r="BUC145" s="22"/>
      <c r="BUD145" s="22"/>
      <c r="BUE145" s="22"/>
      <c r="BUF145" s="22"/>
      <c r="BUG145" s="22"/>
      <c r="BUH145" s="22"/>
      <c r="BUI145" s="22"/>
      <c r="BUJ145" s="22"/>
      <c r="BUK145" s="22"/>
      <c r="BUL145" s="22"/>
      <c r="BUM145" s="22"/>
      <c r="BUN145" s="22"/>
      <c r="BUO145" s="22"/>
      <c r="BUP145" s="22"/>
      <c r="BUQ145" s="22"/>
      <c r="BUR145" s="22"/>
      <c r="BUS145" s="22"/>
      <c r="BUT145" s="22"/>
      <c r="BUU145" s="22"/>
      <c r="BUV145" s="22"/>
      <c r="BUW145" s="22"/>
      <c r="BUX145" s="22"/>
      <c r="BUY145" s="22"/>
      <c r="BUZ145" s="22"/>
      <c r="BVA145" s="22"/>
      <c r="BVB145" s="22"/>
      <c r="BVC145" s="22"/>
      <c r="BVD145" s="22"/>
      <c r="BVE145" s="22"/>
      <c r="BVF145" s="22"/>
      <c r="BVG145" s="22"/>
      <c r="BVH145" s="22"/>
      <c r="BVI145" s="22"/>
      <c r="BVJ145" s="22"/>
      <c r="BVK145" s="22"/>
      <c r="BVL145" s="22"/>
      <c r="BVM145" s="22"/>
      <c r="BVN145" s="22"/>
      <c r="BVO145" s="22"/>
      <c r="BVP145" s="22"/>
      <c r="BVQ145" s="22"/>
      <c r="BVR145" s="22"/>
      <c r="BVS145" s="22"/>
      <c r="BVT145" s="22"/>
      <c r="BVU145" s="22"/>
      <c r="BVV145" s="22"/>
      <c r="BVW145" s="22"/>
      <c r="BVX145" s="22"/>
      <c r="BVY145" s="22"/>
      <c r="BVZ145" s="22"/>
      <c r="BWA145" s="22"/>
      <c r="BWB145" s="22"/>
      <c r="BWC145" s="22"/>
      <c r="BWD145" s="22"/>
      <c r="BWE145" s="22"/>
      <c r="BWF145" s="22"/>
      <c r="BWG145" s="22"/>
      <c r="BWH145" s="22"/>
      <c r="BWI145" s="22"/>
      <c r="BWJ145" s="22"/>
      <c r="BWK145" s="22"/>
      <c r="BWL145" s="22"/>
      <c r="BWM145" s="22"/>
      <c r="BWN145" s="22"/>
      <c r="BWO145" s="22"/>
      <c r="BWP145" s="22"/>
      <c r="BWQ145" s="22"/>
      <c r="BWR145" s="22"/>
      <c r="BWS145" s="22"/>
      <c r="BWT145" s="22"/>
      <c r="BWU145" s="22"/>
      <c r="BWV145" s="22"/>
      <c r="BWW145" s="22"/>
      <c r="BWX145" s="22"/>
      <c r="BWY145" s="22"/>
      <c r="BWZ145" s="22"/>
      <c r="BXA145" s="22"/>
      <c r="BXB145" s="22"/>
      <c r="BXC145" s="22"/>
      <c r="BXD145" s="22"/>
      <c r="BXE145" s="22"/>
      <c r="BXF145" s="22"/>
      <c r="BXG145" s="22"/>
      <c r="BXH145" s="22"/>
      <c r="BXI145" s="22"/>
      <c r="BXJ145" s="22"/>
      <c r="BXK145" s="22"/>
      <c r="BXL145" s="22"/>
      <c r="BXM145" s="22"/>
      <c r="BXN145" s="22"/>
      <c r="BXO145" s="22"/>
      <c r="BXP145" s="22"/>
      <c r="BXQ145" s="22"/>
      <c r="BXR145" s="22"/>
      <c r="BXS145" s="22"/>
      <c r="BXT145" s="22"/>
      <c r="BXU145" s="22"/>
      <c r="BXV145" s="22"/>
      <c r="BXW145" s="22"/>
      <c r="BXX145" s="22"/>
      <c r="BXY145" s="22"/>
      <c r="BXZ145" s="22"/>
      <c r="BYA145" s="22"/>
      <c r="BYB145" s="22"/>
      <c r="BYC145" s="22"/>
      <c r="BYD145" s="22"/>
      <c r="BYE145" s="22"/>
      <c r="BYF145" s="22"/>
      <c r="BYG145" s="22"/>
      <c r="BYH145" s="22"/>
      <c r="BYI145" s="22"/>
      <c r="BYJ145" s="22"/>
      <c r="BYK145" s="22"/>
      <c r="BYL145" s="22"/>
      <c r="BYM145" s="22"/>
      <c r="BYN145" s="22"/>
      <c r="BYO145" s="22"/>
      <c r="BYP145" s="22"/>
      <c r="BYQ145" s="22"/>
      <c r="BYR145" s="22"/>
      <c r="BYS145" s="22"/>
      <c r="BYT145" s="22"/>
      <c r="BYU145" s="22"/>
      <c r="BYV145" s="22"/>
      <c r="BYW145" s="22"/>
      <c r="BYX145" s="22"/>
      <c r="BYY145" s="22"/>
      <c r="BYZ145" s="22"/>
      <c r="BZA145" s="22"/>
      <c r="BZB145" s="22"/>
      <c r="BZC145" s="22"/>
      <c r="BZD145" s="22"/>
      <c r="BZE145" s="22"/>
      <c r="BZF145" s="22"/>
      <c r="BZG145" s="22"/>
      <c r="BZH145" s="22"/>
      <c r="BZI145" s="22"/>
      <c r="BZJ145" s="22"/>
      <c r="BZK145" s="22"/>
      <c r="BZL145" s="22"/>
      <c r="BZM145" s="22"/>
      <c r="BZN145" s="22"/>
      <c r="BZO145" s="22"/>
      <c r="BZP145" s="22"/>
      <c r="BZQ145" s="22"/>
      <c r="BZR145" s="22"/>
      <c r="BZS145" s="22"/>
      <c r="BZT145" s="22"/>
      <c r="BZU145" s="22"/>
      <c r="BZV145" s="22"/>
      <c r="BZW145" s="22"/>
      <c r="BZX145" s="22"/>
      <c r="BZY145" s="22"/>
      <c r="BZZ145" s="22"/>
      <c r="CAA145" s="22"/>
      <c r="CAB145" s="22"/>
      <c r="CAC145" s="22"/>
      <c r="CAD145" s="22"/>
      <c r="CAE145" s="22"/>
      <c r="CAF145" s="22"/>
      <c r="CAG145" s="22"/>
      <c r="CAH145" s="22"/>
      <c r="CAI145" s="22"/>
      <c r="CAJ145" s="22"/>
      <c r="CAK145" s="22"/>
      <c r="CAL145" s="22"/>
      <c r="CAM145" s="22"/>
      <c r="CAN145" s="22"/>
      <c r="CAO145" s="22"/>
      <c r="CAP145" s="22"/>
      <c r="CAQ145" s="22"/>
      <c r="CAR145" s="22"/>
      <c r="CAS145" s="22"/>
      <c r="CAT145" s="22"/>
      <c r="CAU145" s="22"/>
      <c r="CAV145" s="22"/>
      <c r="CAW145" s="22"/>
      <c r="CAX145" s="22"/>
      <c r="CAY145" s="22"/>
      <c r="CAZ145" s="22"/>
      <c r="CBA145" s="22"/>
      <c r="CBB145" s="22"/>
      <c r="CBC145" s="22"/>
      <c r="CBD145" s="22"/>
      <c r="CBE145" s="22"/>
      <c r="CBF145" s="22"/>
      <c r="CBG145" s="22"/>
      <c r="CBH145" s="22"/>
      <c r="CBI145" s="22"/>
      <c r="CBJ145" s="22"/>
      <c r="CBK145" s="22"/>
      <c r="CBL145" s="22"/>
      <c r="CBM145" s="22"/>
      <c r="CBN145" s="22"/>
      <c r="CBO145" s="22"/>
      <c r="CBP145" s="22"/>
      <c r="CBQ145" s="22"/>
      <c r="CBR145" s="22"/>
      <c r="CBS145" s="22"/>
      <c r="CBT145" s="22"/>
      <c r="CBU145" s="22"/>
      <c r="CBV145" s="22"/>
      <c r="CBW145" s="22"/>
      <c r="CBX145" s="22"/>
      <c r="CBY145" s="22"/>
      <c r="CBZ145" s="22"/>
      <c r="CCA145" s="22"/>
      <c r="CCB145" s="22"/>
      <c r="CCC145" s="22"/>
      <c r="CCD145" s="22"/>
      <c r="CCE145" s="22"/>
      <c r="CCF145" s="22"/>
      <c r="CCG145" s="22"/>
      <c r="CCH145" s="22"/>
      <c r="CCI145" s="22"/>
      <c r="CCJ145" s="22"/>
      <c r="CCK145" s="22"/>
      <c r="CCL145" s="22"/>
      <c r="CCM145" s="22"/>
      <c r="CCN145" s="22"/>
      <c r="CCO145" s="22"/>
      <c r="CCP145" s="22"/>
      <c r="CCQ145" s="22"/>
      <c r="CCR145" s="22"/>
      <c r="CCS145" s="22"/>
      <c r="CCT145" s="22"/>
      <c r="CCU145" s="22"/>
      <c r="CCV145" s="22"/>
      <c r="CCW145" s="22"/>
      <c r="CCX145" s="22"/>
      <c r="CCY145" s="22"/>
      <c r="CCZ145" s="22"/>
      <c r="CDA145" s="22"/>
      <c r="CDB145" s="22"/>
      <c r="CDC145" s="22"/>
      <c r="CDD145" s="22"/>
      <c r="CDE145" s="22"/>
      <c r="CDF145" s="22"/>
      <c r="CDG145" s="22"/>
      <c r="CDH145" s="22"/>
      <c r="CDI145" s="22"/>
      <c r="CDJ145" s="22"/>
      <c r="CDK145" s="22"/>
      <c r="CDL145" s="22"/>
      <c r="CDM145" s="22"/>
      <c r="CDN145" s="22"/>
      <c r="CDO145" s="22"/>
      <c r="CDP145" s="22"/>
      <c r="CDQ145" s="22"/>
      <c r="CDR145" s="22"/>
      <c r="CDS145" s="22"/>
      <c r="CDT145" s="22"/>
      <c r="CDU145" s="22"/>
      <c r="CDV145" s="22"/>
      <c r="CDW145" s="22"/>
      <c r="CDX145" s="22"/>
      <c r="CDY145" s="22"/>
      <c r="CDZ145" s="22"/>
      <c r="CEA145" s="22"/>
      <c r="CEB145" s="22"/>
      <c r="CEC145" s="22"/>
      <c r="CED145" s="22"/>
      <c r="CEE145" s="22"/>
      <c r="CEF145" s="22"/>
      <c r="CEG145" s="22"/>
      <c r="CEH145" s="22"/>
      <c r="CEI145" s="22"/>
      <c r="CEJ145" s="22"/>
      <c r="CEK145" s="22"/>
      <c r="CEL145" s="22"/>
      <c r="CEM145" s="22"/>
      <c r="CEN145" s="22"/>
      <c r="CEO145" s="22"/>
      <c r="CEP145" s="22"/>
      <c r="CEQ145" s="22"/>
      <c r="CER145" s="22"/>
      <c r="CES145" s="22"/>
      <c r="CET145" s="22"/>
      <c r="CEU145" s="22"/>
      <c r="CEV145" s="22"/>
      <c r="CEW145" s="22"/>
      <c r="CEX145" s="22"/>
      <c r="CEY145" s="22"/>
      <c r="CEZ145" s="22"/>
      <c r="CFA145" s="22"/>
      <c r="CFB145" s="22"/>
      <c r="CFC145" s="22"/>
      <c r="CFD145" s="22"/>
      <c r="CFE145" s="22"/>
      <c r="CFF145" s="22"/>
      <c r="CFG145" s="22"/>
      <c r="CFH145" s="22"/>
      <c r="CFI145" s="22"/>
      <c r="CFJ145" s="22"/>
      <c r="CFK145" s="22"/>
      <c r="CFL145" s="22"/>
      <c r="CFM145" s="22"/>
      <c r="CFN145" s="22"/>
      <c r="CFO145" s="22"/>
      <c r="CFP145" s="22"/>
      <c r="CFQ145" s="22"/>
      <c r="CFR145" s="22"/>
      <c r="CFS145" s="22"/>
      <c r="CFT145" s="22"/>
      <c r="CFU145" s="22"/>
      <c r="CFV145" s="22"/>
      <c r="CFW145" s="22"/>
      <c r="CFX145" s="22"/>
      <c r="CFY145" s="22"/>
      <c r="CFZ145" s="22"/>
      <c r="CGA145" s="22"/>
      <c r="CGB145" s="22"/>
      <c r="CGC145" s="22"/>
      <c r="CGD145" s="22"/>
      <c r="CGE145" s="22"/>
      <c r="CGF145" s="22"/>
      <c r="CGG145" s="22"/>
      <c r="CGH145" s="22"/>
      <c r="CGI145" s="22"/>
      <c r="CGJ145" s="22"/>
      <c r="CGK145" s="22"/>
      <c r="CGL145" s="22"/>
      <c r="CGM145" s="22"/>
      <c r="CGN145" s="22"/>
      <c r="CGO145" s="22"/>
      <c r="CGP145" s="22"/>
      <c r="CGQ145" s="22"/>
      <c r="CGR145" s="22"/>
      <c r="CGS145" s="22"/>
      <c r="CGT145" s="22"/>
      <c r="CGU145" s="22"/>
      <c r="CGV145" s="22"/>
      <c r="CGW145" s="22"/>
      <c r="CGX145" s="22"/>
      <c r="CGY145" s="22"/>
      <c r="CGZ145" s="22"/>
      <c r="CHA145" s="22"/>
      <c r="CHB145" s="22"/>
      <c r="CHC145" s="22"/>
      <c r="CHD145" s="22"/>
      <c r="CHE145" s="22"/>
      <c r="CHF145" s="22"/>
      <c r="CHG145" s="22"/>
      <c r="CHH145" s="22"/>
      <c r="CHI145" s="22"/>
      <c r="CHJ145" s="22"/>
      <c r="CHK145" s="22"/>
      <c r="CHL145" s="22"/>
      <c r="CHM145" s="22"/>
      <c r="CHN145" s="22"/>
      <c r="CHO145" s="22"/>
      <c r="CHP145" s="22"/>
      <c r="CHQ145" s="22"/>
      <c r="CHR145" s="22"/>
      <c r="CHS145" s="22"/>
      <c r="CHT145" s="22"/>
      <c r="CHU145" s="22"/>
      <c r="CHV145" s="22"/>
      <c r="CHW145" s="22"/>
      <c r="CHX145" s="22"/>
      <c r="CHY145" s="22"/>
      <c r="CHZ145" s="22"/>
      <c r="CIA145" s="22"/>
      <c r="CIB145" s="22"/>
      <c r="CIC145" s="22"/>
      <c r="CID145" s="22"/>
      <c r="CIE145" s="22"/>
      <c r="CIF145" s="22"/>
      <c r="CIG145" s="22"/>
      <c r="CIH145" s="22"/>
      <c r="CII145" s="22"/>
      <c r="CIJ145" s="22"/>
      <c r="CIK145" s="22"/>
      <c r="CIL145" s="22"/>
      <c r="CIM145" s="22"/>
      <c r="CIN145" s="22"/>
      <c r="CIO145" s="22"/>
      <c r="CIP145" s="22"/>
      <c r="CIQ145" s="22"/>
      <c r="CIR145" s="22"/>
      <c r="CIS145" s="22"/>
      <c r="CIT145" s="22"/>
      <c r="CIU145" s="22"/>
      <c r="CIV145" s="22"/>
      <c r="CIW145" s="22"/>
      <c r="CIX145" s="22"/>
      <c r="CIY145" s="22"/>
      <c r="CIZ145" s="22"/>
      <c r="CJA145" s="22"/>
      <c r="CJB145" s="22"/>
      <c r="CJC145" s="22"/>
      <c r="CJD145" s="22"/>
      <c r="CJE145" s="22"/>
      <c r="CJF145" s="22"/>
      <c r="CJG145" s="22"/>
      <c r="CJH145" s="22"/>
      <c r="CJI145" s="22"/>
      <c r="CJJ145" s="22"/>
      <c r="CJK145" s="22"/>
      <c r="CJL145" s="22"/>
      <c r="CJM145" s="22"/>
      <c r="CJN145" s="22"/>
      <c r="CJO145" s="22"/>
      <c r="CJP145" s="22"/>
      <c r="CJQ145" s="22"/>
      <c r="CJR145" s="22"/>
      <c r="CJS145" s="22"/>
      <c r="CJT145" s="22"/>
      <c r="CJU145" s="22"/>
      <c r="CJV145" s="22"/>
      <c r="CJW145" s="22"/>
      <c r="CJX145" s="22"/>
      <c r="CJY145" s="22"/>
      <c r="CJZ145" s="22"/>
      <c r="CKA145" s="22"/>
      <c r="CKB145" s="22"/>
      <c r="CKC145" s="22"/>
      <c r="CKD145" s="22"/>
      <c r="CKE145" s="22"/>
      <c r="CKF145" s="22"/>
      <c r="CKG145" s="22"/>
      <c r="CKH145" s="22"/>
      <c r="CKI145" s="22"/>
      <c r="CKJ145" s="22"/>
      <c r="CKK145" s="22"/>
      <c r="CKL145" s="22"/>
      <c r="CKM145" s="22"/>
      <c r="CKN145" s="22"/>
      <c r="CKO145" s="22"/>
      <c r="CKP145" s="22"/>
      <c r="CKQ145" s="22"/>
      <c r="CKR145" s="22"/>
      <c r="CKS145" s="22"/>
      <c r="CKT145" s="22"/>
      <c r="CKU145" s="22"/>
      <c r="CKV145" s="22"/>
      <c r="CKW145" s="22"/>
      <c r="CKX145" s="22"/>
      <c r="CKY145" s="22"/>
      <c r="CKZ145" s="22"/>
      <c r="CLA145" s="22"/>
      <c r="CLB145" s="22"/>
      <c r="CLC145" s="22"/>
      <c r="CLD145" s="22"/>
      <c r="CLE145" s="22"/>
      <c r="CLF145" s="22"/>
      <c r="CLG145" s="22"/>
      <c r="CLH145" s="22"/>
      <c r="CLI145" s="22"/>
      <c r="CLJ145" s="22"/>
      <c r="CLK145" s="22"/>
      <c r="CLL145" s="22"/>
      <c r="CLM145" s="22"/>
      <c r="CLN145" s="22"/>
      <c r="CLO145" s="22"/>
      <c r="CLP145" s="22"/>
      <c r="CLQ145" s="22"/>
      <c r="CLR145" s="22"/>
      <c r="CLS145" s="22"/>
      <c r="CLT145" s="22"/>
      <c r="CLU145" s="22"/>
      <c r="CLV145" s="22"/>
      <c r="CLW145" s="22"/>
      <c r="CLX145" s="22"/>
      <c r="CLY145" s="22"/>
      <c r="CLZ145" s="22"/>
      <c r="CMA145" s="22"/>
      <c r="CMB145" s="22"/>
      <c r="CMC145" s="22"/>
      <c r="CMD145" s="22"/>
      <c r="CME145" s="22"/>
      <c r="CMF145" s="22"/>
      <c r="CMG145" s="22"/>
      <c r="CMH145" s="22"/>
      <c r="CMI145" s="22"/>
      <c r="CMJ145" s="22"/>
      <c r="CMK145" s="22"/>
      <c r="CML145" s="22"/>
      <c r="CMM145" s="22"/>
      <c r="CMN145" s="22"/>
      <c r="CMO145" s="22"/>
      <c r="CMP145" s="22"/>
      <c r="CMQ145" s="22"/>
      <c r="CMR145" s="22"/>
      <c r="CMS145" s="22"/>
      <c r="CMT145" s="22"/>
      <c r="CMU145" s="22"/>
      <c r="CMV145" s="22"/>
      <c r="CMW145" s="22"/>
      <c r="CMX145" s="22"/>
      <c r="CMY145" s="22"/>
      <c r="CMZ145" s="22"/>
      <c r="CNA145" s="22"/>
      <c r="CNB145" s="22"/>
      <c r="CNC145" s="22"/>
      <c r="CND145" s="22"/>
      <c r="CNE145" s="22"/>
      <c r="CNF145" s="22"/>
      <c r="CNG145" s="22"/>
      <c r="CNH145" s="22"/>
      <c r="CNI145" s="22"/>
      <c r="CNJ145" s="22"/>
      <c r="CNK145" s="22"/>
      <c r="CNL145" s="22"/>
      <c r="CNM145" s="22"/>
      <c r="CNN145" s="22"/>
      <c r="CNO145" s="22"/>
      <c r="CNP145" s="22"/>
      <c r="CNQ145" s="22"/>
      <c r="CNR145" s="22"/>
      <c r="CNS145" s="22"/>
      <c r="CNT145" s="22"/>
      <c r="CNU145" s="22"/>
      <c r="CNV145" s="22"/>
      <c r="CNW145" s="22"/>
      <c r="CNX145" s="22"/>
      <c r="CNY145" s="22"/>
      <c r="CNZ145" s="22"/>
      <c r="COA145" s="22"/>
      <c r="COB145" s="22"/>
      <c r="COC145" s="22"/>
      <c r="COD145" s="22"/>
      <c r="COE145" s="22"/>
      <c r="COF145" s="22"/>
      <c r="COG145" s="22"/>
      <c r="COH145" s="22"/>
      <c r="COI145" s="22"/>
      <c r="COJ145" s="22"/>
      <c r="COK145" s="22"/>
      <c r="COL145" s="22"/>
      <c r="COM145" s="22"/>
      <c r="CON145" s="22"/>
      <c r="COO145" s="22"/>
      <c r="COP145" s="22"/>
      <c r="COQ145" s="22"/>
      <c r="COR145" s="22"/>
      <c r="COS145" s="22"/>
      <c r="COT145" s="22"/>
      <c r="COU145" s="22"/>
      <c r="COV145" s="22"/>
      <c r="COW145" s="22"/>
      <c r="COX145" s="22"/>
      <c r="COY145" s="22"/>
      <c r="COZ145" s="22"/>
      <c r="CPA145" s="22"/>
      <c r="CPB145" s="22"/>
      <c r="CPC145" s="22"/>
      <c r="CPD145" s="22"/>
      <c r="CPE145" s="22"/>
      <c r="CPF145" s="22"/>
      <c r="CPG145" s="22"/>
      <c r="CPH145" s="22"/>
      <c r="CPI145" s="22"/>
      <c r="CPJ145" s="22"/>
      <c r="CPK145" s="22"/>
      <c r="CPL145" s="22"/>
      <c r="CPM145" s="22"/>
      <c r="CPN145" s="22"/>
      <c r="CPO145" s="22"/>
      <c r="CPP145" s="22"/>
      <c r="CPQ145" s="22"/>
      <c r="CPR145" s="22"/>
      <c r="CPS145" s="22"/>
      <c r="CPT145" s="22"/>
      <c r="CPU145" s="22"/>
      <c r="CPV145" s="22"/>
      <c r="CPW145" s="22"/>
      <c r="CPX145" s="22"/>
      <c r="CPY145" s="22"/>
      <c r="CPZ145" s="22"/>
      <c r="CQA145" s="22"/>
      <c r="CQB145" s="22"/>
      <c r="CQC145" s="22"/>
      <c r="CQD145" s="22"/>
      <c r="CQE145" s="22"/>
      <c r="CQF145" s="22"/>
      <c r="CQG145" s="22"/>
      <c r="CQH145" s="22"/>
      <c r="CQI145" s="22"/>
      <c r="CQJ145" s="22"/>
      <c r="CQK145" s="22"/>
      <c r="CQL145" s="22"/>
      <c r="CQM145" s="22"/>
      <c r="CQN145" s="22"/>
      <c r="CQO145" s="22"/>
      <c r="CQP145" s="22"/>
      <c r="CQQ145" s="22"/>
      <c r="CQR145" s="22"/>
      <c r="CQS145" s="22"/>
      <c r="CQT145" s="22"/>
      <c r="CQU145" s="22"/>
      <c r="CQV145" s="22"/>
      <c r="CQW145" s="22"/>
      <c r="CQX145" s="22"/>
      <c r="CQY145" s="22"/>
      <c r="CQZ145" s="22"/>
      <c r="CRA145" s="22"/>
      <c r="CRB145" s="22"/>
      <c r="CRC145" s="22"/>
      <c r="CRD145" s="22"/>
      <c r="CRE145" s="22"/>
      <c r="CRF145" s="22"/>
      <c r="CRG145" s="22"/>
      <c r="CRH145" s="22"/>
      <c r="CRI145" s="22"/>
      <c r="CRJ145" s="22"/>
      <c r="CRK145" s="22"/>
      <c r="CRL145" s="22"/>
      <c r="CRM145" s="22"/>
      <c r="CRN145" s="22"/>
      <c r="CRO145" s="22"/>
      <c r="CRP145" s="22"/>
      <c r="CRQ145" s="22"/>
      <c r="CRR145" s="22"/>
      <c r="CRS145" s="22"/>
      <c r="CRT145" s="22"/>
      <c r="CRU145" s="22"/>
      <c r="CRV145" s="22"/>
      <c r="CRW145" s="22"/>
      <c r="CRX145" s="22"/>
      <c r="CRY145" s="22"/>
      <c r="CRZ145" s="22"/>
      <c r="CSA145" s="22"/>
      <c r="CSB145" s="22"/>
      <c r="CSC145" s="22"/>
      <c r="CSD145" s="22"/>
      <c r="CSE145" s="22"/>
      <c r="CSF145" s="22"/>
      <c r="CSG145" s="22"/>
      <c r="CSH145" s="22"/>
      <c r="CSI145" s="22"/>
      <c r="CSJ145" s="22"/>
      <c r="CSK145" s="22"/>
      <c r="CSL145" s="22"/>
      <c r="CSM145" s="22"/>
      <c r="CSN145" s="22"/>
      <c r="CSO145" s="22"/>
      <c r="CSP145" s="22"/>
      <c r="CSQ145" s="22"/>
      <c r="CSR145" s="22"/>
      <c r="CSS145" s="22"/>
      <c r="CST145" s="22"/>
      <c r="CSU145" s="22"/>
      <c r="CSV145" s="22"/>
      <c r="CSW145" s="22"/>
      <c r="CSX145" s="22"/>
      <c r="CSY145" s="22"/>
      <c r="CSZ145" s="22"/>
      <c r="CTA145" s="22"/>
      <c r="CTB145" s="22"/>
      <c r="CTC145" s="22"/>
      <c r="CTD145" s="22"/>
      <c r="CTE145" s="22"/>
      <c r="CTF145" s="22"/>
      <c r="CTG145" s="22"/>
      <c r="CTH145" s="22"/>
      <c r="CTI145" s="22"/>
      <c r="CTJ145" s="22"/>
      <c r="CTK145" s="22"/>
      <c r="CTL145" s="22"/>
      <c r="CTM145" s="22"/>
      <c r="CTN145" s="22"/>
      <c r="CTO145" s="22"/>
      <c r="CTP145" s="22"/>
      <c r="CTQ145" s="22"/>
      <c r="CTR145" s="22"/>
      <c r="CTS145" s="22"/>
      <c r="CTT145" s="22"/>
      <c r="CTU145" s="22"/>
      <c r="CTV145" s="22"/>
      <c r="CTW145" s="22"/>
      <c r="CTX145" s="22"/>
      <c r="CTY145" s="22"/>
      <c r="CTZ145" s="22"/>
      <c r="CUA145" s="22"/>
      <c r="CUB145" s="22"/>
      <c r="CUC145" s="22"/>
      <c r="CUD145" s="22"/>
      <c r="CUE145" s="22"/>
      <c r="CUF145" s="22"/>
      <c r="CUG145" s="22"/>
      <c r="CUH145" s="22"/>
      <c r="CUI145" s="22"/>
      <c r="CUJ145" s="22"/>
      <c r="CUK145" s="22"/>
      <c r="CUL145" s="22"/>
      <c r="CUM145" s="22"/>
      <c r="CUN145" s="22"/>
      <c r="CUO145" s="22"/>
      <c r="CUP145" s="22"/>
      <c r="CUQ145" s="22"/>
      <c r="CUR145" s="22"/>
      <c r="CUS145" s="22"/>
      <c r="CUT145" s="22"/>
      <c r="CUU145" s="22"/>
      <c r="CUV145" s="22"/>
      <c r="CUW145" s="22"/>
      <c r="CUX145" s="22"/>
      <c r="CUY145" s="22"/>
      <c r="CUZ145" s="22"/>
      <c r="CVA145" s="22"/>
      <c r="CVB145" s="22"/>
      <c r="CVC145" s="22"/>
      <c r="CVD145" s="22"/>
      <c r="CVE145" s="22"/>
      <c r="CVF145" s="22"/>
      <c r="CVG145" s="22"/>
      <c r="CVH145" s="22"/>
      <c r="CVI145" s="22"/>
      <c r="CVJ145" s="22"/>
      <c r="CVK145" s="22"/>
      <c r="CVL145" s="22"/>
      <c r="CVM145" s="22"/>
      <c r="CVN145" s="22"/>
      <c r="CVO145" s="22"/>
      <c r="CVP145" s="22"/>
      <c r="CVQ145" s="22"/>
      <c r="CVR145" s="22"/>
      <c r="CVS145" s="22"/>
      <c r="CVT145" s="22"/>
      <c r="CVU145" s="22"/>
      <c r="CVV145" s="22"/>
      <c r="CVW145" s="22"/>
      <c r="CVX145" s="22"/>
      <c r="CVY145" s="22"/>
      <c r="CVZ145" s="22"/>
      <c r="CWA145" s="22"/>
      <c r="CWB145" s="22"/>
      <c r="CWC145" s="22"/>
      <c r="CWD145" s="22"/>
      <c r="CWE145" s="22"/>
      <c r="CWF145" s="22"/>
      <c r="CWG145" s="22"/>
      <c r="CWH145" s="22"/>
      <c r="CWI145" s="22"/>
      <c r="CWJ145" s="22"/>
      <c r="CWK145" s="22"/>
      <c r="CWL145" s="22"/>
      <c r="CWM145" s="22"/>
      <c r="CWN145" s="22"/>
      <c r="CWO145" s="22"/>
      <c r="CWP145" s="22"/>
      <c r="CWQ145" s="22"/>
      <c r="CWR145" s="22"/>
      <c r="CWS145" s="22"/>
      <c r="CWT145" s="22"/>
      <c r="CWU145" s="22"/>
      <c r="CWV145" s="22"/>
      <c r="CWW145" s="22"/>
      <c r="CWX145" s="22"/>
      <c r="CWY145" s="22"/>
      <c r="CWZ145" s="22"/>
      <c r="CXA145" s="22"/>
      <c r="CXB145" s="22"/>
      <c r="CXC145" s="22"/>
      <c r="CXD145" s="22"/>
      <c r="CXE145" s="22"/>
      <c r="CXF145" s="22"/>
      <c r="CXG145" s="22"/>
      <c r="CXH145" s="22"/>
      <c r="CXI145" s="22"/>
      <c r="CXJ145" s="22"/>
      <c r="CXK145" s="22"/>
      <c r="CXL145" s="22"/>
      <c r="CXM145" s="22"/>
      <c r="CXN145" s="22"/>
      <c r="CXO145" s="22"/>
      <c r="CXP145" s="22"/>
      <c r="CXQ145" s="22"/>
      <c r="CXR145" s="22"/>
      <c r="CXS145" s="22"/>
      <c r="CXT145" s="22"/>
      <c r="CXU145" s="22"/>
      <c r="CXV145" s="22"/>
      <c r="CXW145" s="22"/>
      <c r="CXX145" s="22"/>
      <c r="CXY145" s="22"/>
      <c r="CXZ145" s="22"/>
      <c r="CYA145" s="22"/>
      <c r="CYB145" s="22"/>
      <c r="CYC145" s="22"/>
      <c r="CYD145" s="22"/>
      <c r="CYE145" s="22"/>
      <c r="CYF145" s="22"/>
      <c r="CYG145" s="22"/>
      <c r="CYH145" s="22"/>
      <c r="CYI145" s="22"/>
      <c r="CYJ145" s="22"/>
      <c r="CYK145" s="22"/>
      <c r="CYL145" s="22"/>
      <c r="CYM145" s="22"/>
      <c r="CYN145" s="22"/>
      <c r="CYO145" s="22"/>
      <c r="CYP145" s="22"/>
      <c r="CYQ145" s="22"/>
      <c r="CYR145" s="22"/>
      <c r="CYS145" s="22"/>
      <c r="CYT145" s="22"/>
      <c r="CYU145" s="22"/>
      <c r="CYV145" s="22"/>
      <c r="CYW145" s="22"/>
      <c r="CYX145" s="22"/>
      <c r="CYY145" s="22"/>
      <c r="CYZ145" s="22"/>
      <c r="CZA145" s="22"/>
      <c r="CZB145" s="22"/>
      <c r="CZC145" s="22"/>
      <c r="CZD145" s="22"/>
      <c r="CZE145" s="22"/>
      <c r="CZF145" s="22"/>
      <c r="CZG145" s="22"/>
      <c r="CZH145" s="22"/>
      <c r="CZI145" s="22"/>
      <c r="CZJ145" s="22"/>
      <c r="CZK145" s="22"/>
      <c r="CZL145" s="22"/>
      <c r="CZM145" s="22"/>
      <c r="CZN145" s="22"/>
      <c r="CZO145" s="22"/>
      <c r="CZP145" s="22"/>
      <c r="CZQ145" s="22"/>
      <c r="CZR145" s="22"/>
      <c r="CZS145" s="22"/>
      <c r="CZT145" s="22"/>
      <c r="CZU145" s="22"/>
      <c r="CZV145" s="22"/>
      <c r="CZW145" s="22"/>
      <c r="CZX145" s="22"/>
      <c r="CZY145" s="22"/>
      <c r="CZZ145" s="22"/>
      <c r="DAA145" s="22"/>
      <c r="DAB145" s="22"/>
      <c r="DAC145" s="22"/>
      <c r="DAD145" s="22"/>
      <c r="DAE145" s="22"/>
      <c r="DAF145" s="22"/>
      <c r="DAG145" s="22"/>
      <c r="DAH145" s="22"/>
      <c r="DAI145" s="22"/>
      <c r="DAJ145" s="22"/>
      <c r="DAK145" s="22"/>
      <c r="DAL145" s="22"/>
      <c r="DAM145" s="22"/>
      <c r="DAN145" s="22"/>
      <c r="DAO145" s="22"/>
      <c r="DAP145" s="22"/>
      <c r="DAQ145" s="22"/>
      <c r="DAR145" s="22"/>
      <c r="DAS145" s="22"/>
      <c r="DAT145" s="22"/>
      <c r="DAU145" s="22"/>
      <c r="DAV145" s="22"/>
      <c r="DAW145" s="22"/>
      <c r="DAX145" s="22"/>
      <c r="DAY145" s="22"/>
      <c r="DAZ145" s="22"/>
      <c r="DBA145" s="22"/>
      <c r="DBB145" s="22"/>
      <c r="DBC145" s="22"/>
      <c r="DBD145" s="22"/>
      <c r="DBE145" s="22"/>
      <c r="DBF145" s="22"/>
      <c r="DBG145" s="22"/>
      <c r="DBH145" s="22"/>
      <c r="DBI145" s="22"/>
      <c r="DBJ145" s="22"/>
      <c r="DBK145" s="22"/>
      <c r="DBL145" s="22"/>
      <c r="DBM145" s="22"/>
      <c r="DBN145" s="22"/>
      <c r="DBO145" s="22"/>
      <c r="DBP145" s="22"/>
      <c r="DBQ145" s="22"/>
      <c r="DBR145" s="22"/>
      <c r="DBS145" s="22"/>
      <c r="DBT145" s="22"/>
      <c r="DBU145" s="22"/>
      <c r="DBV145" s="22"/>
      <c r="DBW145" s="22"/>
      <c r="DBX145" s="22"/>
      <c r="DBY145" s="22"/>
      <c r="DBZ145" s="22"/>
      <c r="DCA145" s="22"/>
      <c r="DCB145" s="22"/>
      <c r="DCC145" s="22"/>
      <c r="DCD145" s="22"/>
      <c r="DCE145" s="22"/>
      <c r="DCF145" s="22"/>
      <c r="DCG145" s="22"/>
      <c r="DCH145" s="22"/>
      <c r="DCI145" s="22"/>
      <c r="DCJ145" s="22"/>
      <c r="DCK145" s="22"/>
      <c r="DCL145" s="22"/>
      <c r="DCM145" s="22"/>
      <c r="DCN145" s="22"/>
      <c r="DCO145" s="22"/>
      <c r="DCP145" s="22"/>
      <c r="DCQ145" s="22"/>
      <c r="DCR145" s="22"/>
      <c r="DCS145" s="22"/>
      <c r="DCT145" s="22"/>
      <c r="DCU145" s="22"/>
      <c r="DCV145" s="22"/>
      <c r="DCW145" s="22"/>
      <c r="DCX145" s="22"/>
      <c r="DCY145" s="22"/>
      <c r="DCZ145" s="22"/>
      <c r="DDA145" s="22"/>
      <c r="DDB145" s="22"/>
      <c r="DDC145" s="22"/>
      <c r="DDD145" s="22"/>
      <c r="DDE145" s="22"/>
      <c r="DDF145" s="22"/>
      <c r="DDG145" s="22"/>
      <c r="DDH145" s="22"/>
      <c r="DDI145" s="22"/>
      <c r="DDJ145" s="22"/>
      <c r="DDK145" s="22"/>
      <c r="DDL145" s="22"/>
      <c r="DDM145" s="22"/>
      <c r="DDN145" s="22"/>
      <c r="DDO145" s="22"/>
      <c r="DDP145" s="22"/>
      <c r="DDQ145" s="22"/>
      <c r="DDR145" s="22"/>
      <c r="DDS145" s="22"/>
      <c r="DDT145" s="22"/>
      <c r="DDU145" s="22"/>
      <c r="DDV145" s="22"/>
      <c r="DDW145" s="22"/>
      <c r="DDX145" s="22"/>
      <c r="DDY145" s="22"/>
      <c r="DDZ145" s="22"/>
      <c r="DEA145" s="22"/>
      <c r="DEB145" s="22"/>
      <c r="DEC145" s="22"/>
      <c r="DED145" s="22"/>
      <c r="DEE145" s="22"/>
      <c r="DEF145" s="22"/>
      <c r="DEG145" s="22"/>
      <c r="DEH145" s="22"/>
      <c r="DEI145" s="22"/>
      <c r="DEJ145" s="22"/>
      <c r="DEK145" s="22"/>
      <c r="DEL145" s="22"/>
      <c r="DEM145" s="22"/>
      <c r="DEN145" s="22"/>
      <c r="DEO145" s="22"/>
      <c r="DEP145" s="22"/>
      <c r="DEQ145" s="22"/>
      <c r="DER145" s="22"/>
      <c r="DES145" s="22"/>
      <c r="DET145" s="22"/>
      <c r="DEU145" s="22"/>
      <c r="DEV145" s="22"/>
      <c r="DEW145" s="22"/>
      <c r="DEX145" s="22"/>
      <c r="DEY145" s="22"/>
      <c r="DEZ145" s="22"/>
      <c r="DFA145" s="22"/>
      <c r="DFB145" s="22"/>
      <c r="DFC145" s="22"/>
      <c r="DFD145" s="22"/>
      <c r="DFE145" s="22"/>
      <c r="DFF145" s="22"/>
      <c r="DFG145" s="22"/>
      <c r="DFH145" s="22"/>
      <c r="DFI145" s="22"/>
      <c r="DFJ145" s="22"/>
      <c r="DFK145" s="22"/>
      <c r="DFL145" s="22"/>
      <c r="DFM145" s="22"/>
      <c r="DFN145" s="22"/>
      <c r="DFO145" s="22"/>
      <c r="DFP145" s="22"/>
      <c r="DFQ145" s="22"/>
      <c r="DFR145" s="22"/>
      <c r="DFS145" s="22"/>
      <c r="DFT145" s="22"/>
      <c r="DFU145" s="22"/>
      <c r="DFV145" s="22"/>
      <c r="DFW145" s="22"/>
      <c r="DFX145" s="22"/>
      <c r="DFY145" s="22"/>
      <c r="DFZ145" s="22"/>
      <c r="DGA145" s="22"/>
      <c r="DGB145" s="22"/>
      <c r="DGC145" s="22"/>
      <c r="DGD145" s="22"/>
      <c r="DGE145" s="22"/>
      <c r="DGF145" s="22"/>
      <c r="DGG145" s="22"/>
      <c r="DGH145" s="22"/>
      <c r="DGI145" s="22"/>
      <c r="DGJ145" s="22"/>
      <c r="DGK145" s="22"/>
      <c r="DGL145" s="22"/>
      <c r="DGM145" s="22"/>
      <c r="DGN145" s="22"/>
      <c r="DGO145" s="22"/>
      <c r="DGP145" s="22"/>
      <c r="DGQ145" s="22"/>
      <c r="DGR145" s="22"/>
      <c r="DGS145" s="22"/>
      <c r="DGT145" s="22"/>
      <c r="DGU145" s="22"/>
      <c r="DGV145" s="22"/>
      <c r="DGW145" s="22"/>
      <c r="DGX145" s="22"/>
      <c r="DGY145" s="22"/>
      <c r="DGZ145" s="22"/>
      <c r="DHA145" s="22"/>
      <c r="DHB145" s="22"/>
      <c r="DHC145" s="22"/>
      <c r="DHD145" s="22"/>
      <c r="DHE145" s="22"/>
      <c r="DHF145" s="22"/>
      <c r="DHG145" s="22"/>
      <c r="DHH145" s="22"/>
      <c r="DHI145" s="22"/>
      <c r="DHJ145" s="22"/>
      <c r="DHK145" s="22"/>
      <c r="DHL145" s="22"/>
      <c r="DHM145" s="22"/>
      <c r="DHN145" s="22"/>
      <c r="DHO145" s="22"/>
      <c r="DHP145" s="22"/>
      <c r="DHQ145" s="22"/>
      <c r="DHR145" s="22"/>
      <c r="DHS145" s="22"/>
      <c r="DHT145" s="22"/>
      <c r="DHU145" s="22"/>
      <c r="DHV145" s="22"/>
      <c r="DHW145" s="22"/>
      <c r="DHX145" s="22"/>
      <c r="DHY145" s="22"/>
      <c r="DHZ145" s="22"/>
      <c r="DIA145" s="22"/>
      <c r="DIB145" s="22"/>
      <c r="DIC145" s="22"/>
      <c r="DID145" s="22"/>
      <c r="DIE145" s="22"/>
      <c r="DIF145" s="22"/>
      <c r="DIG145" s="22"/>
      <c r="DIH145" s="22"/>
      <c r="DII145" s="22"/>
      <c r="DIJ145" s="22"/>
      <c r="DIK145" s="22"/>
      <c r="DIL145" s="22"/>
      <c r="DIM145" s="22"/>
      <c r="DIN145" s="22"/>
      <c r="DIO145" s="22"/>
      <c r="DIP145" s="22"/>
      <c r="DIQ145" s="22"/>
      <c r="DIR145" s="22"/>
      <c r="DIS145" s="22"/>
      <c r="DIT145" s="22"/>
      <c r="DIU145" s="22"/>
      <c r="DIV145" s="22"/>
      <c r="DIW145" s="22"/>
      <c r="DIX145" s="22"/>
      <c r="DIY145" s="22"/>
      <c r="DIZ145" s="22"/>
      <c r="DJA145" s="22"/>
      <c r="DJB145" s="22"/>
      <c r="DJC145" s="22"/>
      <c r="DJD145" s="22"/>
      <c r="DJE145" s="22"/>
      <c r="DJF145" s="22"/>
      <c r="DJG145" s="22"/>
      <c r="DJH145" s="22"/>
      <c r="DJI145" s="22"/>
      <c r="DJJ145" s="22"/>
      <c r="DJK145" s="22"/>
      <c r="DJL145" s="22"/>
      <c r="DJM145" s="22"/>
      <c r="DJN145" s="22"/>
      <c r="DJO145" s="22"/>
      <c r="DJP145" s="22"/>
      <c r="DJQ145" s="22"/>
      <c r="DJR145" s="22"/>
      <c r="DJS145" s="22"/>
      <c r="DJT145" s="22"/>
      <c r="DJU145" s="22"/>
      <c r="DJV145" s="22"/>
      <c r="DJW145" s="22"/>
      <c r="DJX145" s="22"/>
      <c r="DJY145" s="22"/>
      <c r="DJZ145" s="22"/>
      <c r="DKA145" s="22"/>
      <c r="DKB145" s="22"/>
      <c r="DKC145" s="22"/>
      <c r="DKD145" s="22"/>
      <c r="DKE145" s="22"/>
      <c r="DKF145" s="22"/>
      <c r="DKG145" s="22"/>
      <c r="DKH145" s="22"/>
      <c r="DKI145" s="22"/>
      <c r="DKJ145" s="22"/>
      <c r="DKK145" s="22"/>
      <c r="DKL145" s="22"/>
      <c r="DKM145" s="22"/>
      <c r="DKN145" s="22"/>
      <c r="DKO145" s="22"/>
      <c r="DKP145" s="22"/>
      <c r="DKQ145" s="22"/>
      <c r="DKR145" s="22"/>
      <c r="DKS145" s="22"/>
      <c r="DKT145" s="22"/>
      <c r="DKU145" s="22"/>
      <c r="DKV145" s="22"/>
      <c r="DKW145" s="22"/>
      <c r="DKX145" s="22"/>
      <c r="DKY145" s="22"/>
      <c r="DKZ145" s="22"/>
      <c r="DLA145" s="22"/>
      <c r="DLB145" s="22"/>
      <c r="DLC145" s="22"/>
      <c r="DLD145" s="22"/>
      <c r="DLE145" s="22"/>
      <c r="DLF145" s="22"/>
      <c r="DLG145" s="22"/>
      <c r="DLH145" s="22"/>
      <c r="DLI145" s="22"/>
      <c r="DLJ145" s="22"/>
      <c r="DLK145" s="22"/>
      <c r="DLL145" s="22"/>
      <c r="DLM145" s="22"/>
      <c r="DLN145" s="22"/>
      <c r="DLO145" s="22"/>
      <c r="DLP145" s="22"/>
      <c r="DLQ145" s="22"/>
      <c r="DLR145" s="22"/>
      <c r="DLS145" s="22"/>
      <c r="DLT145" s="22"/>
      <c r="DLU145" s="22"/>
      <c r="DLV145" s="22"/>
      <c r="DLW145" s="22"/>
      <c r="DLX145" s="22"/>
      <c r="DLY145" s="22"/>
      <c r="DLZ145" s="22"/>
      <c r="DMA145" s="22"/>
      <c r="DMB145" s="22"/>
      <c r="DMC145" s="22"/>
      <c r="DMD145" s="22"/>
      <c r="DME145" s="22"/>
      <c r="DMF145" s="22"/>
      <c r="DMG145" s="22"/>
      <c r="DMH145" s="22"/>
      <c r="DMI145" s="22"/>
      <c r="DMJ145" s="22"/>
      <c r="DMK145" s="22"/>
      <c r="DML145" s="22"/>
      <c r="DMM145" s="22"/>
      <c r="DMN145" s="22"/>
      <c r="DMO145" s="22"/>
      <c r="DMP145" s="22"/>
      <c r="DMQ145" s="22"/>
      <c r="DMR145" s="22"/>
      <c r="DMS145" s="22"/>
      <c r="DMT145" s="22"/>
      <c r="DMU145" s="22"/>
      <c r="DMV145" s="22"/>
      <c r="DMW145" s="22"/>
      <c r="DMX145" s="22"/>
      <c r="DMY145" s="22"/>
      <c r="DMZ145" s="22"/>
      <c r="DNA145" s="22"/>
      <c r="DNB145" s="22"/>
      <c r="DNC145" s="22"/>
      <c r="DND145" s="22"/>
      <c r="DNE145" s="22"/>
      <c r="DNF145" s="22"/>
      <c r="DNG145" s="22"/>
      <c r="DNH145" s="22"/>
      <c r="DNI145" s="22"/>
      <c r="DNJ145" s="22"/>
      <c r="DNK145" s="22"/>
      <c r="DNL145" s="22"/>
      <c r="DNM145" s="22"/>
      <c r="DNN145" s="22"/>
      <c r="DNO145" s="22"/>
      <c r="DNP145" s="22"/>
      <c r="DNQ145" s="22"/>
      <c r="DNR145" s="22"/>
      <c r="DNS145" s="22"/>
      <c r="DNT145" s="22"/>
      <c r="DNU145" s="22"/>
      <c r="DNV145" s="22"/>
      <c r="DNW145" s="22"/>
      <c r="DNX145" s="22"/>
      <c r="DNY145" s="22"/>
      <c r="DNZ145" s="22"/>
      <c r="DOA145" s="22"/>
      <c r="DOB145" s="22"/>
      <c r="DOC145" s="22"/>
      <c r="DOD145" s="22"/>
      <c r="DOE145" s="22"/>
      <c r="DOF145" s="22"/>
      <c r="DOG145" s="22"/>
      <c r="DOH145" s="22"/>
      <c r="DOI145" s="22"/>
      <c r="DOJ145" s="22"/>
      <c r="DOK145" s="22"/>
      <c r="DOL145" s="22"/>
      <c r="DOM145" s="22"/>
      <c r="DON145" s="22"/>
      <c r="DOO145" s="22"/>
      <c r="DOP145" s="22"/>
      <c r="DOQ145" s="22"/>
      <c r="DOR145" s="22"/>
      <c r="DOS145" s="22"/>
      <c r="DOT145" s="22"/>
      <c r="DOU145" s="22"/>
      <c r="DOV145" s="22"/>
      <c r="DOW145" s="22"/>
      <c r="DOX145" s="22"/>
      <c r="DOY145" s="22"/>
      <c r="DOZ145" s="22"/>
      <c r="DPA145" s="22"/>
      <c r="DPB145" s="22"/>
      <c r="DPC145" s="22"/>
      <c r="DPD145" s="22"/>
      <c r="DPE145" s="22"/>
      <c r="DPF145" s="22"/>
      <c r="DPG145" s="22"/>
      <c r="DPH145" s="22"/>
      <c r="DPI145" s="22"/>
      <c r="DPJ145" s="22"/>
      <c r="DPK145" s="22"/>
      <c r="DPL145" s="22"/>
      <c r="DPM145" s="22"/>
      <c r="DPN145" s="22"/>
      <c r="DPO145" s="22"/>
      <c r="DPP145" s="22"/>
      <c r="DPQ145" s="22"/>
      <c r="DPR145" s="22"/>
      <c r="DPS145" s="22"/>
      <c r="DPT145" s="22"/>
      <c r="DPU145" s="22"/>
      <c r="DPV145" s="22"/>
      <c r="DPW145" s="22"/>
      <c r="DPX145" s="22"/>
      <c r="DPY145" s="22"/>
      <c r="DPZ145" s="22"/>
      <c r="DQA145" s="22"/>
      <c r="DQB145" s="22"/>
      <c r="DQC145" s="22"/>
      <c r="DQD145" s="22"/>
      <c r="DQE145" s="22"/>
      <c r="DQF145" s="22"/>
      <c r="DQG145" s="22"/>
      <c r="DQH145" s="22"/>
      <c r="DQI145" s="22"/>
      <c r="DQJ145" s="22"/>
      <c r="DQK145" s="22"/>
      <c r="DQL145" s="22"/>
      <c r="DQM145" s="22"/>
      <c r="DQN145" s="22"/>
      <c r="DQO145" s="22"/>
      <c r="DQP145" s="22"/>
      <c r="DQQ145" s="22"/>
      <c r="DQR145" s="22"/>
      <c r="DQS145" s="22"/>
      <c r="DQT145" s="22"/>
      <c r="DQU145" s="22"/>
      <c r="DQV145" s="22"/>
      <c r="DQW145" s="22"/>
      <c r="DQX145" s="22"/>
      <c r="DQY145" s="22"/>
      <c r="DQZ145" s="22"/>
      <c r="DRA145" s="22"/>
      <c r="DRB145" s="22"/>
      <c r="DRC145" s="22"/>
      <c r="DRD145" s="22"/>
      <c r="DRE145" s="22"/>
      <c r="DRF145" s="22"/>
      <c r="DRG145" s="22"/>
      <c r="DRH145" s="22"/>
      <c r="DRI145" s="22"/>
      <c r="DRJ145" s="22"/>
      <c r="DRK145" s="22"/>
      <c r="DRL145" s="22"/>
      <c r="DRM145" s="22"/>
      <c r="DRN145" s="22"/>
      <c r="DRO145" s="22"/>
      <c r="DRP145" s="22"/>
      <c r="DRQ145" s="22"/>
      <c r="DRR145" s="22"/>
      <c r="DRS145" s="22"/>
      <c r="DRT145" s="22"/>
      <c r="DRU145" s="22"/>
      <c r="DRV145" s="22"/>
      <c r="DRW145" s="22"/>
      <c r="DRX145" s="22"/>
      <c r="DRY145" s="22"/>
      <c r="DRZ145" s="22"/>
      <c r="DSA145" s="22"/>
      <c r="DSB145" s="22"/>
      <c r="DSC145" s="22"/>
      <c r="DSD145" s="22"/>
      <c r="DSE145" s="22"/>
      <c r="DSF145" s="22"/>
      <c r="DSG145" s="22"/>
      <c r="DSH145" s="22"/>
      <c r="DSI145" s="22"/>
      <c r="DSJ145" s="22"/>
      <c r="DSK145" s="22"/>
      <c r="DSL145" s="22"/>
      <c r="DSM145" s="22"/>
      <c r="DSN145" s="22"/>
      <c r="DSO145" s="22"/>
      <c r="DSP145" s="22"/>
      <c r="DSQ145" s="22"/>
      <c r="DSR145" s="22"/>
      <c r="DSS145" s="22"/>
      <c r="DST145" s="22"/>
      <c r="DSU145" s="22"/>
      <c r="DSV145" s="22"/>
      <c r="DSW145" s="22"/>
      <c r="DSX145" s="22"/>
      <c r="DSY145" s="22"/>
      <c r="DSZ145" s="22"/>
      <c r="DTA145" s="22"/>
      <c r="DTB145" s="22"/>
      <c r="DTC145" s="22"/>
      <c r="DTD145" s="22"/>
      <c r="DTE145" s="22"/>
      <c r="DTF145" s="22"/>
      <c r="DTG145" s="22"/>
      <c r="DTH145" s="22"/>
      <c r="DTI145" s="22"/>
      <c r="DTJ145" s="22"/>
      <c r="DTK145" s="22"/>
      <c r="DTL145" s="22"/>
      <c r="DTM145" s="22"/>
      <c r="DTN145" s="22"/>
      <c r="DTO145" s="22"/>
      <c r="DTP145" s="22"/>
      <c r="DTQ145" s="22"/>
      <c r="DTR145" s="22"/>
      <c r="DTS145" s="22"/>
      <c r="DTT145" s="22"/>
      <c r="DTU145" s="22"/>
      <c r="DTV145" s="22"/>
      <c r="DTW145" s="22"/>
      <c r="DTX145" s="22"/>
      <c r="DTY145" s="22"/>
      <c r="DTZ145" s="22"/>
      <c r="DUA145" s="22"/>
      <c r="DUB145" s="22"/>
      <c r="DUC145" s="22"/>
      <c r="DUD145" s="22"/>
      <c r="DUE145" s="22"/>
      <c r="DUF145" s="22"/>
      <c r="DUG145" s="22"/>
      <c r="DUH145" s="22"/>
      <c r="DUI145" s="22"/>
      <c r="DUJ145" s="22"/>
      <c r="DUK145" s="22"/>
      <c r="DUL145" s="22"/>
      <c r="DUM145" s="22"/>
      <c r="DUN145" s="22"/>
      <c r="DUO145" s="22"/>
      <c r="DUP145" s="22"/>
      <c r="DUQ145" s="22"/>
      <c r="DUR145" s="22"/>
      <c r="DUS145" s="22"/>
      <c r="DUT145" s="22"/>
      <c r="DUU145" s="22"/>
      <c r="DUV145" s="22"/>
      <c r="DUW145" s="22"/>
      <c r="DUX145" s="22"/>
      <c r="DUY145" s="22"/>
      <c r="DUZ145" s="22"/>
      <c r="DVA145" s="22"/>
      <c r="DVB145" s="22"/>
      <c r="DVC145" s="22"/>
      <c r="DVD145" s="22"/>
      <c r="DVE145" s="22"/>
      <c r="DVF145" s="22"/>
      <c r="DVG145" s="22"/>
      <c r="DVH145" s="22"/>
      <c r="DVI145" s="22"/>
      <c r="DVJ145" s="22"/>
      <c r="DVK145" s="22"/>
      <c r="DVL145" s="22"/>
      <c r="DVM145" s="22"/>
      <c r="DVN145" s="22"/>
      <c r="DVO145" s="22"/>
      <c r="DVP145" s="22"/>
      <c r="DVQ145" s="22"/>
      <c r="DVR145" s="22"/>
      <c r="DVS145" s="22"/>
      <c r="DVT145" s="22"/>
      <c r="DVU145" s="22"/>
      <c r="DVV145" s="22"/>
      <c r="DVW145" s="22"/>
      <c r="DVX145" s="22"/>
      <c r="DVY145" s="22"/>
      <c r="DVZ145" s="22"/>
      <c r="DWA145" s="22"/>
      <c r="DWB145" s="22"/>
      <c r="DWC145" s="22"/>
      <c r="DWD145" s="22"/>
      <c r="DWE145" s="22"/>
      <c r="DWF145" s="22"/>
      <c r="DWG145" s="22"/>
      <c r="DWH145" s="22"/>
      <c r="DWI145" s="22"/>
      <c r="DWJ145" s="22"/>
      <c r="DWK145" s="22"/>
      <c r="DWL145" s="22"/>
      <c r="DWM145" s="22"/>
      <c r="DWN145" s="22"/>
      <c r="DWO145" s="22"/>
      <c r="DWP145" s="22"/>
      <c r="DWQ145" s="22"/>
      <c r="DWR145" s="22"/>
      <c r="DWS145" s="22"/>
      <c r="DWT145" s="22"/>
      <c r="DWU145" s="22"/>
      <c r="DWV145" s="22"/>
      <c r="DWW145" s="22"/>
      <c r="DWX145" s="22"/>
      <c r="DWY145" s="22"/>
      <c r="DWZ145" s="22"/>
      <c r="DXA145" s="22"/>
      <c r="DXB145" s="22"/>
      <c r="DXC145" s="22"/>
      <c r="DXD145" s="22"/>
      <c r="DXE145" s="22"/>
      <c r="DXF145" s="22"/>
      <c r="DXG145" s="22"/>
      <c r="DXH145" s="22"/>
      <c r="DXI145" s="22"/>
      <c r="DXJ145" s="22"/>
      <c r="DXK145" s="22"/>
      <c r="DXL145" s="22"/>
      <c r="DXM145" s="22"/>
      <c r="DXN145" s="22"/>
      <c r="DXO145" s="22"/>
      <c r="DXP145" s="22"/>
      <c r="DXQ145" s="22"/>
      <c r="DXR145" s="22"/>
      <c r="DXS145" s="22"/>
      <c r="DXT145" s="22"/>
      <c r="DXU145" s="22"/>
      <c r="DXV145" s="22"/>
      <c r="DXW145" s="22"/>
      <c r="DXX145" s="22"/>
      <c r="DXY145" s="22"/>
      <c r="DXZ145" s="22"/>
      <c r="DYA145" s="22"/>
      <c r="DYB145" s="22"/>
      <c r="DYC145" s="22"/>
      <c r="DYD145" s="22"/>
      <c r="DYE145" s="22"/>
      <c r="DYF145" s="22"/>
      <c r="DYG145" s="22"/>
      <c r="DYH145" s="22"/>
      <c r="DYI145" s="22"/>
      <c r="DYJ145" s="22"/>
      <c r="DYK145" s="22"/>
      <c r="DYL145" s="22"/>
      <c r="DYM145" s="22"/>
      <c r="DYN145" s="22"/>
      <c r="DYO145" s="22"/>
      <c r="DYP145" s="22"/>
      <c r="DYQ145" s="22"/>
      <c r="DYR145" s="22"/>
      <c r="DYS145" s="22"/>
      <c r="DYT145" s="22"/>
      <c r="DYU145" s="22"/>
      <c r="DYV145" s="22"/>
      <c r="DYW145" s="22"/>
      <c r="DYX145" s="22"/>
      <c r="DYY145" s="22"/>
      <c r="DYZ145" s="22"/>
      <c r="DZA145" s="22"/>
      <c r="DZB145" s="22"/>
      <c r="DZC145" s="22"/>
      <c r="DZD145" s="22"/>
      <c r="DZE145" s="22"/>
      <c r="DZF145" s="22"/>
      <c r="DZG145" s="22"/>
      <c r="DZH145" s="22"/>
      <c r="DZI145" s="22"/>
      <c r="DZJ145" s="22"/>
      <c r="DZK145" s="22"/>
      <c r="DZL145" s="22"/>
      <c r="DZM145" s="22"/>
      <c r="DZN145" s="22"/>
      <c r="DZO145" s="22"/>
      <c r="DZP145" s="22"/>
      <c r="DZQ145" s="22"/>
      <c r="DZR145" s="22"/>
      <c r="DZS145" s="22"/>
      <c r="DZT145" s="22"/>
      <c r="DZU145" s="22"/>
      <c r="DZV145" s="22"/>
      <c r="DZW145" s="22"/>
      <c r="DZX145" s="22"/>
      <c r="DZY145" s="22"/>
      <c r="DZZ145" s="22"/>
      <c r="EAA145" s="22"/>
      <c r="EAB145" s="22"/>
      <c r="EAC145" s="22"/>
      <c r="EAD145" s="22"/>
      <c r="EAE145" s="22"/>
      <c r="EAF145" s="22"/>
      <c r="EAG145" s="22"/>
      <c r="EAH145" s="22"/>
      <c r="EAI145" s="22"/>
      <c r="EAJ145" s="22"/>
      <c r="EAK145" s="22"/>
      <c r="EAL145" s="22"/>
      <c r="EAM145" s="22"/>
      <c r="EAN145" s="22"/>
      <c r="EAO145" s="22"/>
      <c r="EAP145" s="22"/>
      <c r="EAQ145" s="22"/>
      <c r="EAR145" s="22"/>
      <c r="EAS145" s="22"/>
      <c r="EAT145" s="22"/>
      <c r="EAU145" s="22"/>
      <c r="EAV145" s="22"/>
      <c r="EAW145" s="22"/>
      <c r="EAX145" s="22"/>
      <c r="EAY145" s="22"/>
      <c r="EAZ145" s="22"/>
      <c r="EBA145" s="22"/>
      <c r="EBB145" s="22"/>
      <c r="EBC145" s="22"/>
      <c r="EBD145" s="22"/>
      <c r="EBE145" s="22"/>
      <c r="EBF145" s="22"/>
      <c r="EBG145" s="22"/>
      <c r="EBH145" s="22"/>
      <c r="EBI145" s="22"/>
      <c r="EBJ145" s="22"/>
      <c r="EBK145" s="22"/>
      <c r="EBL145" s="22"/>
      <c r="EBM145" s="22"/>
      <c r="EBN145" s="22"/>
      <c r="EBO145" s="22"/>
      <c r="EBP145" s="22"/>
      <c r="EBQ145" s="22"/>
      <c r="EBR145" s="22"/>
      <c r="EBS145" s="22"/>
      <c r="EBT145" s="22"/>
      <c r="EBU145" s="22"/>
      <c r="EBV145" s="22"/>
      <c r="EBW145" s="22"/>
      <c r="EBX145" s="22"/>
      <c r="EBY145" s="22"/>
      <c r="EBZ145" s="22"/>
      <c r="ECA145" s="22"/>
      <c r="ECB145" s="22"/>
      <c r="ECC145" s="22"/>
      <c r="ECD145" s="22"/>
      <c r="ECE145" s="22"/>
      <c r="ECF145" s="22"/>
      <c r="ECG145" s="22"/>
      <c r="ECH145" s="22"/>
      <c r="ECI145" s="22"/>
      <c r="ECJ145" s="22"/>
      <c r="ECK145" s="22"/>
      <c r="ECL145" s="22"/>
      <c r="ECM145" s="22"/>
      <c r="ECN145" s="22"/>
      <c r="ECO145" s="22"/>
      <c r="ECP145" s="22"/>
      <c r="ECQ145" s="22"/>
      <c r="ECR145" s="22"/>
      <c r="ECS145" s="22"/>
      <c r="ECT145" s="22"/>
      <c r="ECU145" s="22"/>
      <c r="ECV145" s="22"/>
      <c r="ECW145" s="22"/>
      <c r="ECX145" s="22"/>
      <c r="ECY145" s="22"/>
      <c r="ECZ145" s="22"/>
      <c r="EDA145" s="22"/>
      <c r="EDB145" s="22"/>
      <c r="EDC145" s="22"/>
      <c r="EDD145" s="22"/>
      <c r="EDE145" s="22"/>
      <c r="EDF145" s="22"/>
      <c r="EDG145" s="22"/>
      <c r="EDH145" s="22"/>
      <c r="EDI145" s="22"/>
      <c r="EDJ145" s="22"/>
      <c r="EDK145" s="22"/>
      <c r="EDL145" s="22"/>
      <c r="EDM145" s="22"/>
      <c r="EDN145" s="22"/>
      <c r="EDO145" s="22"/>
      <c r="EDP145" s="22"/>
      <c r="EDQ145" s="22"/>
      <c r="EDR145" s="22"/>
      <c r="EDS145" s="22"/>
      <c r="EDT145" s="22"/>
      <c r="EDU145" s="22"/>
      <c r="EDV145" s="22"/>
      <c r="EDW145" s="22"/>
      <c r="EDX145" s="22"/>
      <c r="EDY145" s="22"/>
      <c r="EDZ145" s="22"/>
      <c r="EEA145" s="22"/>
      <c r="EEB145" s="22"/>
      <c r="EEC145" s="22"/>
      <c r="EED145" s="22"/>
      <c r="EEE145" s="22"/>
      <c r="EEF145" s="22"/>
      <c r="EEG145" s="22"/>
      <c r="EEH145" s="22"/>
      <c r="EEI145" s="22"/>
      <c r="EEJ145" s="22"/>
      <c r="EEK145" s="22"/>
      <c r="EEL145" s="22"/>
      <c r="EEM145" s="22"/>
      <c r="EEN145" s="22"/>
      <c r="EEO145" s="22"/>
      <c r="EEP145" s="22"/>
      <c r="EEQ145" s="22"/>
      <c r="EER145" s="22"/>
      <c r="EES145" s="22"/>
      <c r="EET145" s="22"/>
      <c r="EEU145" s="22"/>
      <c r="EEV145" s="22"/>
      <c r="EEW145" s="22"/>
      <c r="EEX145" s="22"/>
      <c r="EEY145" s="22"/>
      <c r="EEZ145" s="22"/>
      <c r="EFA145" s="22"/>
      <c r="EFB145" s="22"/>
      <c r="EFC145" s="22"/>
      <c r="EFD145" s="22"/>
      <c r="EFE145" s="22"/>
      <c r="EFF145" s="22"/>
      <c r="EFG145" s="22"/>
      <c r="EFH145" s="22"/>
      <c r="EFI145" s="22"/>
      <c r="EFJ145" s="22"/>
      <c r="EFK145" s="22"/>
      <c r="EFL145" s="22"/>
      <c r="EFM145" s="22"/>
      <c r="EFN145" s="22"/>
      <c r="EFO145" s="22"/>
      <c r="EFP145" s="22"/>
      <c r="EFQ145" s="22"/>
      <c r="EFR145" s="22"/>
      <c r="EFS145" s="22"/>
      <c r="EFT145" s="22"/>
      <c r="EFU145" s="22"/>
      <c r="EFV145" s="22"/>
      <c r="EFW145" s="22"/>
      <c r="EFX145" s="22"/>
      <c r="EFY145" s="22"/>
      <c r="EFZ145" s="22"/>
      <c r="EGA145" s="22"/>
      <c r="EGB145" s="22"/>
      <c r="EGC145" s="22"/>
      <c r="EGD145" s="22"/>
      <c r="EGE145" s="22"/>
      <c r="EGF145" s="22"/>
      <c r="EGG145" s="22"/>
      <c r="EGH145" s="22"/>
      <c r="EGI145" s="22"/>
      <c r="EGJ145" s="22"/>
      <c r="EGK145" s="22"/>
      <c r="EGL145" s="22"/>
      <c r="EGM145" s="22"/>
      <c r="EGN145" s="22"/>
      <c r="EGO145" s="22"/>
      <c r="EGP145" s="22"/>
      <c r="EGQ145" s="22"/>
      <c r="EGR145" s="22"/>
      <c r="EGS145" s="22"/>
      <c r="EGT145" s="22"/>
      <c r="EGU145" s="22"/>
      <c r="EGV145" s="22"/>
      <c r="EGW145" s="22"/>
      <c r="EGX145" s="22"/>
      <c r="EGY145" s="22"/>
      <c r="EGZ145" s="22"/>
      <c r="EHA145" s="22"/>
      <c r="EHB145" s="22"/>
      <c r="EHC145" s="22"/>
      <c r="EHD145" s="22"/>
      <c r="EHE145" s="22"/>
      <c r="EHF145" s="22"/>
      <c r="EHG145" s="22"/>
      <c r="EHH145" s="22"/>
      <c r="EHI145" s="22"/>
      <c r="EHJ145" s="22"/>
      <c r="EHK145" s="22"/>
      <c r="EHL145" s="22"/>
      <c r="EHM145" s="22"/>
      <c r="EHN145" s="22"/>
      <c r="EHO145" s="22"/>
      <c r="EHP145" s="22"/>
      <c r="EHQ145" s="22"/>
      <c r="EHR145" s="22"/>
      <c r="EHS145" s="22"/>
      <c r="EHT145" s="22"/>
      <c r="EHU145" s="22"/>
      <c r="EHV145" s="22"/>
      <c r="EHW145" s="22"/>
      <c r="EHX145" s="22"/>
      <c r="EHY145" s="22"/>
      <c r="EHZ145" s="22"/>
      <c r="EIA145" s="22"/>
      <c r="EIB145" s="22"/>
      <c r="EIC145" s="22"/>
      <c r="EID145" s="22"/>
      <c r="EIE145" s="22"/>
      <c r="EIF145" s="22"/>
      <c r="EIG145" s="22"/>
      <c r="EIH145" s="22"/>
      <c r="EII145" s="22"/>
      <c r="EIJ145" s="22"/>
      <c r="EIK145" s="22"/>
      <c r="EIL145" s="22"/>
      <c r="EIM145" s="22"/>
      <c r="EIN145" s="22"/>
      <c r="EIO145" s="22"/>
      <c r="EIP145" s="22"/>
      <c r="EIQ145" s="22"/>
      <c r="EIR145" s="22"/>
      <c r="EIS145" s="22"/>
      <c r="EIT145" s="22"/>
      <c r="EIU145" s="22"/>
      <c r="EIV145" s="22"/>
      <c r="EIW145" s="22"/>
      <c r="EIX145" s="22"/>
      <c r="EIY145" s="22"/>
      <c r="EIZ145" s="22"/>
      <c r="EJA145" s="22"/>
      <c r="EJB145" s="22"/>
      <c r="EJC145" s="22"/>
      <c r="EJD145" s="22"/>
      <c r="EJE145" s="22"/>
      <c r="EJF145" s="22"/>
      <c r="EJG145" s="22"/>
      <c r="EJH145" s="22"/>
      <c r="EJI145" s="22"/>
      <c r="EJJ145" s="22"/>
      <c r="EJK145" s="22"/>
      <c r="EJL145" s="22"/>
      <c r="EJM145" s="22"/>
      <c r="EJN145" s="22"/>
      <c r="EJO145" s="22"/>
      <c r="EJP145" s="22"/>
      <c r="EJQ145" s="22"/>
      <c r="EJR145" s="22"/>
      <c r="EJS145" s="22"/>
      <c r="EJT145" s="22"/>
      <c r="EJU145" s="22"/>
      <c r="EJV145" s="22"/>
      <c r="EJW145" s="22"/>
      <c r="EJX145" s="22"/>
      <c r="EJY145" s="22"/>
      <c r="EJZ145" s="22"/>
      <c r="EKA145" s="22"/>
      <c r="EKB145" s="22"/>
      <c r="EKC145" s="22"/>
      <c r="EKD145" s="22"/>
      <c r="EKE145" s="22"/>
      <c r="EKF145" s="22"/>
      <c r="EKG145" s="22"/>
      <c r="EKH145" s="22"/>
      <c r="EKI145" s="22"/>
      <c r="EKJ145" s="22"/>
      <c r="EKK145" s="22"/>
      <c r="EKL145" s="22"/>
      <c r="EKM145" s="22"/>
      <c r="EKN145" s="22"/>
      <c r="EKO145" s="22"/>
      <c r="EKP145" s="22"/>
      <c r="EKQ145" s="22"/>
      <c r="EKR145" s="22"/>
      <c r="EKS145" s="22"/>
      <c r="EKT145" s="22"/>
      <c r="EKU145" s="22"/>
      <c r="EKV145" s="22"/>
      <c r="EKW145" s="22"/>
      <c r="EKX145" s="22"/>
      <c r="EKY145" s="22"/>
      <c r="EKZ145" s="22"/>
      <c r="ELA145" s="22"/>
      <c r="ELB145" s="22"/>
      <c r="ELC145" s="22"/>
      <c r="ELD145" s="22"/>
      <c r="ELE145" s="22"/>
      <c r="ELF145" s="22"/>
      <c r="ELG145" s="22"/>
      <c r="ELH145" s="22"/>
      <c r="ELI145" s="22"/>
      <c r="ELJ145" s="22"/>
      <c r="ELK145" s="22"/>
      <c r="ELL145" s="22"/>
      <c r="ELM145" s="22"/>
      <c r="ELN145" s="22"/>
      <c r="ELO145" s="22"/>
      <c r="ELP145" s="22"/>
      <c r="ELQ145" s="22"/>
      <c r="ELR145" s="22"/>
      <c r="ELS145" s="22"/>
      <c r="ELT145" s="22"/>
      <c r="ELU145" s="22"/>
      <c r="ELV145" s="22"/>
      <c r="ELW145" s="22"/>
      <c r="ELX145" s="22"/>
      <c r="ELY145" s="22"/>
      <c r="ELZ145" s="22"/>
      <c r="EMA145" s="22"/>
      <c r="EMB145" s="22"/>
      <c r="EMC145" s="22"/>
      <c r="EMD145" s="22"/>
      <c r="EME145" s="22"/>
      <c r="EMF145" s="22"/>
      <c r="EMG145" s="22"/>
      <c r="EMH145" s="22"/>
      <c r="EMI145" s="22"/>
      <c r="EMJ145" s="22"/>
      <c r="EMK145" s="22"/>
      <c r="EML145" s="22"/>
      <c r="EMM145" s="22"/>
      <c r="EMN145" s="22"/>
      <c r="EMO145" s="22"/>
      <c r="EMP145" s="22"/>
      <c r="EMQ145" s="22"/>
      <c r="EMR145" s="22"/>
      <c r="EMS145" s="22"/>
      <c r="EMT145" s="22"/>
      <c r="EMU145" s="22"/>
      <c r="EMV145" s="22"/>
      <c r="EMW145" s="22"/>
      <c r="EMX145" s="22"/>
      <c r="EMY145" s="22"/>
      <c r="EMZ145" s="22"/>
      <c r="ENA145" s="22"/>
      <c r="ENB145" s="22"/>
      <c r="ENC145" s="22"/>
      <c r="END145" s="22"/>
      <c r="ENE145" s="22"/>
      <c r="ENF145" s="22"/>
      <c r="ENG145" s="22"/>
      <c r="ENH145" s="22"/>
      <c r="ENI145" s="22"/>
      <c r="ENJ145" s="22"/>
      <c r="ENK145" s="22"/>
      <c r="ENL145" s="22"/>
      <c r="ENM145" s="22"/>
      <c r="ENN145" s="22"/>
      <c r="ENO145" s="22"/>
      <c r="ENP145" s="22"/>
      <c r="ENQ145" s="22"/>
      <c r="ENR145" s="22"/>
      <c r="ENS145" s="22"/>
      <c r="ENT145" s="22"/>
      <c r="ENU145" s="22"/>
      <c r="ENV145" s="22"/>
      <c r="ENW145" s="22"/>
      <c r="ENX145" s="22"/>
      <c r="ENY145" s="22"/>
      <c r="ENZ145" s="22"/>
      <c r="EOA145" s="22"/>
      <c r="EOB145" s="22"/>
      <c r="EOC145" s="22"/>
      <c r="EOD145" s="22"/>
      <c r="EOE145" s="22"/>
      <c r="EOF145" s="22"/>
      <c r="EOG145" s="22"/>
      <c r="EOH145" s="22"/>
      <c r="EOI145" s="22"/>
      <c r="EOJ145" s="22"/>
      <c r="EOK145" s="22"/>
      <c r="EOL145" s="22"/>
      <c r="EOM145" s="22"/>
      <c r="EON145" s="22"/>
      <c r="EOO145" s="22"/>
      <c r="EOP145" s="22"/>
      <c r="EOQ145" s="22"/>
      <c r="EOR145" s="22"/>
      <c r="EOS145" s="22"/>
      <c r="EOT145" s="22"/>
      <c r="EOU145" s="22"/>
      <c r="EOV145" s="22"/>
      <c r="EOW145" s="22"/>
      <c r="EOX145" s="22"/>
      <c r="EOY145" s="22"/>
      <c r="EOZ145" s="22"/>
      <c r="EPA145" s="22"/>
      <c r="EPB145" s="22"/>
      <c r="EPC145" s="22"/>
      <c r="EPD145" s="22"/>
      <c r="EPE145" s="22"/>
      <c r="EPF145" s="22"/>
      <c r="EPG145" s="22"/>
      <c r="EPH145" s="22"/>
      <c r="EPI145" s="22"/>
      <c r="EPJ145" s="22"/>
      <c r="EPK145" s="22"/>
      <c r="EPL145" s="22"/>
      <c r="EPM145" s="22"/>
      <c r="EPN145" s="22"/>
      <c r="EPO145" s="22"/>
      <c r="EPP145" s="22"/>
      <c r="EPQ145" s="22"/>
      <c r="EPR145" s="22"/>
      <c r="EPS145" s="22"/>
      <c r="EPT145" s="22"/>
      <c r="EPU145" s="22"/>
      <c r="EPV145" s="22"/>
      <c r="EPW145" s="22"/>
      <c r="EPX145" s="22"/>
      <c r="EPY145" s="22"/>
      <c r="EPZ145" s="22"/>
      <c r="EQA145" s="22"/>
      <c r="EQB145" s="22"/>
      <c r="EQC145" s="22"/>
      <c r="EQD145" s="22"/>
      <c r="EQE145" s="22"/>
      <c r="EQF145" s="22"/>
      <c r="EQG145" s="22"/>
      <c r="EQH145" s="22"/>
      <c r="EQI145" s="22"/>
      <c r="EQJ145" s="22"/>
      <c r="EQK145" s="22"/>
      <c r="EQL145" s="22"/>
      <c r="EQM145" s="22"/>
      <c r="EQN145" s="22"/>
      <c r="EQO145" s="22"/>
      <c r="EQP145" s="22"/>
      <c r="EQQ145" s="22"/>
      <c r="EQR145" s="22"/>
      <c r="EQS145" s="22"/>
      <c r="EQT145" s="22"/>
      <c r="EQU145" s="22"/>
      <c r="EQV145" s="22"/>
      <c r="EQW145" s="22"/>
      <c r="EQX145" s="22"/>
      <c r="EQY145" s="22"/>
      <c r="EQZ145" s="22"/>
      <c r="ERA145" s="22"/>
      <c r="ERB145" s="22"/>
      <c r="ERC145" s="22"/>
      <c r="ERD145" s="22"/>
      <c r="ERE145" s="22"/>
      <c r="ERF145" s="22"/>
      <c r="ERG145" s="22"/>
      <c r="ERH145" s="22"/>
      <c r="ERI145" s="22"/>
      <c r="ERJ145" s="22"/>
      <c r="ERK145" s="22"/>
      <c r="ERL145" s="22"/>
      <c r="ERM145" s="22"/>
      <c r="ERN145" s="22"/>
      <c r="ERO145" s="22"/>
      <c r="ERP145" s="22"/>
      <c r="ERQ145" s="22"/>
      <c r="ERR145" s="22"/>
      <c r="ERS145" s="22"/>
      <c r="ERT145" s="22"/>
      <c r="ERU145" s="22"/>
      <c r="ERV145" s="22"/>
      <c r="ERW145" s="22"/>
      <c r="ERX145" s="22"/>
      <c r="ERY145" s="22"/>
      <c r="ERZ145" s="22"/>
      <c r="ESA145" s="22"/>
      <c r="ESB145" s="22"/>
      <c r="ESC145" s="22"/>
      <c r="ESD145" s="22"/>
      <c r="ESE145" s="22"/>
      <c r="ESF145" s="22"/>
      <c r="ESG145" s="22"/>
      <c r="ESH145" s="22"/>
      <c r="ESI145" s="22"/>
      <c r="ESJ145" s="22"/>
      <c r="ESK145" s="22"/>
      <c r="ESL145" s="22"/>
      <c r="ESM145" s="22"/>
      <c r="ESN145" s="22"/>
      <c r="ESO145" s="22"/>
      <c r="ESP145" s="22"/>
      <c r="ESQ145" s="22"/>
      <c r="ESR145" s="22"/>
      <c r="ESS145" s="22"/>
      <c r="EST145" s="22"/>
      <c r="ESU145" s="22"/>
      <c r="ESV145" s="22"/>
      <c r="ESW145" s="22"/>
      <c r="ESX145" s="22"/>
      <c r="ESY145" s="22"/>
      <c r="ESZ145" s="22"/>
      <c r="ETA145" s="22"/>
      <c r="ETB145" s="22"/>
      <c r="ETC145" s="22"/>
      <c r="ETD145" s="22"/>
      <c r="ETE145" s="22"/>
      <c r="ETF145" s="22"/>
      <c r="ETG145" s="22"/>
      <c r="ETH145" s="22"/>
      <c r="ETI145" s="22"/>
      <c r="ETJ145" s="22"/>
      <c r="ETK145" s="22"/>
      <c r="ETL145" s="22"/>
      <c r="ETM145" s="22"/>
      <c r="ETN145" s="22"/>
      <c r="ETO145" s="22"/>
      <c r="ETP145" s="22"/>
      <c r="ETQ145" s="22"/>
      <c r="ETR145" s="22"/>
      <c r="ETS145" s="22"/>
      <c r="ETT145" s="22"/>
      <c r="ETU145" s="22"/>
      <c r="ETV145" s="22"/>
      <c r="ETW145" s="22"/>
      <c r="ETX145" s="22"/>
      <c r="ETY145" s="22"/>
      <c r="ETZ145" s="22"/>
      <c r="EUA145" s="22"/>
      <c r="EUB145" s="22"/>
      <c r="EUC145" s="22"/>
      <c r="EUD145" s="22"/>
      <c r="EUE145" s="22"/>
      <c r="EUF145" s="22"/>
      <c r="EUG145" s="22"/>
      <c r="EUH145" s="22"/>
      <c r="EUI145" s="22"/>
      <c r="EUJ145" s="22"/>
      <c r="EUK145" s="22"/>
      <c r="EUL145" s="22"/>
      <c r="EUM145" s="22"/>
      <c r="EUN145" s="22"/>
      <c r="EUO145" s="22"/>
      <c r="EUP145" s="22"/>
      <c r="EUQ145" s="22"/>
      <c r="EUR145" s="22"/>
      <c r="EUS145" s="22"/>
      <c r="EUT145" s="22"/>
      <c r="EUU145" s="22"/>
      <c r="EUV145" s="22"/>
      <c r="EUW145" s="22"/>
      <c r="EUX145" s="22"/>
      <c r="EUY145" s="22"/>
      <c r="EUZ145" s="22"/>
      <c r="EVA145" s="22"/>
      <c r="EVB145" s="22"/>
      <c r="EVC145" s="22"/>
      <c r="EVD145" s="22"/>
      <c r="EVE145" s="22"/>
      <c r="EVF145" s="22"/>
      <c r="EVG145" s="22"/>
      <c r="EVH145" s="22"/>
      <c r="EVI145" s="22"/>
      <c r="EVJ145" s="22"/>
      <c r="EVK145" s="22"/>
      <c r="EVL145" s="22"/>
      <c r="EVM145" s="22"/>
      <c r="EVN145" s="22"/>
      <c r="EVO145" s="22"/>
      <c r="EVP145" s="22"/>
      <c r="EVQ145" s="22"/>
      <c r="EVR145" s="22"/>
      <c r="EVS145" s="22"/>
      <c r="EVT145" s="22"/>
      <c r="EVU145" s="22"/>
      <c r="EVV145" s="22"/>
      <c r="EVW145" s="22"/>
      <c r="EVX145" s="22"/>
      <c r="EVY145" s="22"/>
      <c r="EVZ145" s="22"/>
      <c r="EWA145" s="22"/>
      <c r="EWB145" s="22"/>
      <c r="EWC145" s="22"/>
      <c r="EWD145" s="22"/>
      <c r="EWE145" s="22"/>
      <c r="EWF145" s="22"/>
      <c r="EWG145" s="22"/>
      <c r="EWH145" s="22"/>
      <c r="EWI145" s="22"/>
      <c r="EWJ145" s="22"/>
      <c r="EWK145" s="22"/>
      <c r="EWL145" s="22"/>
      <c r="EWM145" s="22"/>
      <c r="EWN145" s="22"/>
      <c r="EWO145" s="22"/>
      <c r="EWP145" s="22"/>
      <c r="EWQ145" s="22"/>
      <c r="EWR145" s="22"/>
      <c r="EWS145" s="22"/>
      <c r="EWT145" s="22"/>
      <c r="EWU145" s="22"/>
      <c r="EWV145" s="22"/>
      <c r="EWW145" s="22"/>
      <c r="EWX145" s="22"/>
      <c r="EWY145" s="22"/>
      <c r="EWZ145" s="22"/>
      <c r="EXA145" s="22"/>
      <c r="EXB145" s="22"/>
      <c r="EXC145" s="22"/>
      <c r="EXD145" s="22"/>
      <c r="EXE145" s="22"/>
      <c r="EXF145" s="22"/>
      <c r="EXG145" s="22"/>
      <c r="EXH145" s="22"/>
      <c r="EXI145" s="22"/>
      <c r="EXJ145" s="22"/>
      <c r="EXK145" s="22"/>
      <c r="EXL145" s="22"/>
      <c r="EXM145" s="22"/>
      <c r="EXN145" s="22"/>
      <c r="EXO145" s="22"/>
      <c r="EXP145" s="22"/>
      <c r="EXQ145" s="22"/>
      <c r="EXR145" s="22"/>
      <c r="EXS145" s="22"/>
      <c r="EXT145" s="22"/>
      <c r="EXU145" s="22"/>
      <c r="EXV145" s="22"/>
      <c r="EXW145" s="22"/>
      <c r="EXX145" s="22"/>
      <c r="EXY145" s="22"/>
      <c r="EXZ145" s="22"/>
      <c r="EYA145" s="22"/>
      <c r="EYB145" s="22"/>
      <c r="EYC145" s="22"/>
      <c r="EYD145" s="22"/>
      <c r="EYE145" s="22"/>
      <c r="EYF145" s="22"/>
      <c r="EYG145" s="22"/>
      <c r="EYH145" s="22"/>
      <c r="EYI145" s="22"/>
      <c r="EYJ145" s="22"/>
      <c r="EYK145" s="22"/>
      <c r="EYL145" s="22"/>
      <c r="EYM145" s="22"/>
      <c r="EYN145" s="22"/>
      <c r="EYO145" s="22"/>
      <c r="EYP145" s="22"/>
      <c r="EYQ145" s="22"/>
      <c r="EYR145" s="22"/>
      <c r="EYS145" s="22"/>
      <c r="EYT145" s="22"/>
      <c r="EYU145" s="22"/>
      <c r="EYV145" s="22"/>
      <c r="EYW145" s="22"/>
      <c r="EYX145" s="22"/>
      <c r="EYY145" s="22"/>
      <c r="EYZ145" s="22"/>
      <c r="EZA145" s="22"/>
      <c r="EZB145" s="22"/>
      <c r="EZC145" s="22"/>
      <c r="EZD145" s="22"/>
      <c r="EZE145" s="22"/>
      <c r="EZF145" s="22"/>
      <c r="EZG145" s="22"/>
      <c r="EZH145" s="22"/>
      <c r="EZI145" s="22"/>
      <c r="EZJ145" s="22"/>
      <c r="EZK145" s="22"/>
      <c r="EZL145" s="22"/>
      <c r="EZM145" s="22"/>
      <c r="EZN145" s="22"/>
      <c r="EZO145" s="22"/>
      <c r="EZP145" s="22"/>
      <c r="EZQ145" s="22"/>
      <c r="EZR145" s="22"/>
      <c r="EZS145" s="22"/>
      <c r="EZT145" s="22"/>
      <c r="EZU145" s="22"/>
      <c r="EZV145" s="22"/>
      <c r="EZW145" s="22"/>
      <c r="EZX145" s="22"/>
      <c r="EZY145" s="22"/>
      <c r="EZZ145" s="22"/>
      <c r="FAA145" s="22"/>
      <c r="FAB145" s="22"/>
      <c r="FAC145" s="22"/>
      <c r="FAD145" s="22"/>
      <c r="FAE145" s="22"/>
      <c r="FAF145" s="22"/>
      <c r="FAG145" s="22"/>
      <c r="FAH145" s="22"/>
      <c r="FAI145" s="22"/>
      <c r="FAJ145" s="22"/>
      <c r="FAK145" s="22"/>
      <c r="FAL145" s="22"/>
      <c r="FAM145" s="22"/>
      <c r="FAN145" s="22"/>
      <c r="FAO145" s="22"/>
      <c r="FAP145" s="22"/>
      <c r="FAQ145" s="22"/>
      <c r="FAR145" s="22"/>
      <c r="FAS145" s="22"/>
      <c r="FAT145" s="22"/>
      <c r="FAU145" s="22"/>
      <c r="FAV145" s="22"/>
      <c r="FAW145" s="22"/>
      <c r="FAX145" s="22"/>
      <c r="FAY145" s="22"/>
      <c r="FAZ145" s="22"/>
      <c r="FBA145" s="22"/>
      <c r="FBB145" s="22"/>
      <c r="FBC145" s="22"/>
      <c r="FBD145" s="22"/>
      <c r="FBE145" s="22"/>
      <c r="FBF145" s="22"/>
      <c r="FBG145" s="22"/>
      <c r="FBH145" s="22"/>
      <c r="FBI145" s="22"/>
      <c r="FBJ145" s="22"/>
      <c r="FBK145" s="22"/>
      <c r="FBL145" s="22"/>
      <c r="FBM145" s="22"/>
      <c r="FBN145" s="22"/>
      <c r="FBO145" s="22"/>
      <c r="FBP145" s="22"/>
      <c r="FBQ145" s="22"/>
      <c r="FBR145" s="22"/>
      <c r="FBS145" s="22"/>
      <c r="FBT145" s="22"/>
      <c r="FBU145" s="22"/>
      <c r="FBV145" s="22"/>
      <c r="FBW145" s="22"/>
      <c r="FBX145" s="22"/>
      <c r="FBY145" s="22"/>
      <c r="FBZ145" s="22"/>
      <c r="FCA145" s="22"/>
      <c r="FCB145" s="22"/>
      <c r="FCC145" s="22"/>
      <c r="FCD145" s="22"/>
      <c r="FCE145" s="22"/>
      <c r="FCF145" s="22"/>
      <c r="FCG145" s="22"/>
      <c r="FCH145" s="22"/>
      <c r="FCI145" s="22"/>
      <c r="FCJ145" s="22"/>
      <c r="FCK145" s="22"/>
      <c r="FCL145" s="22"/>
      <c r="FCM145" s="22"/>
      <c r="FCN145" s="22"/>
      <c r="FCO145" s="22"/>
      <c r="FCP145" s="22"/>
      <c r="FCQ145" s="22"/>
      <c r="FCR145" s="22"/>
      <c r="FCS145" s="22"/>
      <c r="FCT145" s="22"/>
      <c r="FCU145" s="22"/>
      <c r="FCV145" s="22"/>
      <c r="FCW145" s="22"/>
      <c r="FCX145" s="22"/>
      <c r="FCY145" s="22"/>
      <c r="FCZ145" s="22"/>
      <c r="FDA145" s="22"/>
      <c r="FDB145" s="22"/>
      <c r="FDC145" s="22"/>
      <c r="FDD145" s="22"/>
      <c r="FDE145" s="22"/>
      <c r="FDF145" s="22"/>
      <c r="FDG145" s="22"/>
      <c r="FDH145" s="22"/>
      <c r="FDI145" s="22"/>
      <c r="FDJ145" s="22"/>
      <c r="FDK145" s="22"/>
      <c r="FDL145" s="22"/>
      <c r="FDM145" s="22"/>
      <c r="FDN145" s="22"/>
      <c r="FDO145" s="22"/>
      <c r="FDP145" s="22"/>
      <c r="FDQ145" s="22"/>
      <c r="FDR145" s="22"/>
      <c r="FDS145" s="22"/>
      <c r="FDT145" s="22"/>
      <c r="FDU145" s="22"/>
      <c r="FDV145" s="22"/>
      <c r="FDW145" s="22"/>
      <c r="FDX145" s="22"/>
      <c r="FDY145" s="22"/>
      <c r="FDZ145" s="22"/>
      <c r="FEA145" s="22"/>
      <c r="FEB145" s="22"/>
      <c r="FEC145" s="22"/>
      <c r="FED145" s="22"/>
      <c r="FEE145" s="22"/>
      <c r="FEF145" s="22"/>
      <c r="FEG145" s="22"/>
      <c r="FEH145" s="22"/>
      <c r="FEI145" s="22"/>
      <c r="FEJ145" s="22"/>
      <c r="FEK145" s="22"/>
      <c r="FEL145" s="22"/>
      <c r="FEM145" s="22"/>
      <c r="FEN145" s="22"/>
      <c r="FEO145" s="22"/>
      <c r="FEP145" s="22"/>
      <c r="FEQ145" s="22"/>
      <c r="FER145" s="22"/>
      <c r="FES145" s="22"/>
      <c r="FET145" s="22"/>
      <c r="FEU145" s="22"/>
      <c r="FEV145" s="22"/>
      <c r="FEW145" s="22"/>
      <c r="FEX145" s="22"/>
      <c r="FEY145" s="22"/>
      <c r="FEZ145" s="22"/>
      <c r="FFA145" s="22"/>
      <c r="FFB145" s="22"/>
      <c r="FFC145" s="22"/>
      <c r="FFD145" s="22"/>
      <c r="FFE145" s="22"/>
      <c r="FFF145" s="22"/>
      <c r="FFG145" s="22"/>
      <c r="FFH145" s="22"/>
      <c r="FFI145" s="22"/>
      <c r="FFJ145" s="22"/>
      <c r="FFK145" s="22"/>
      <c r="FFL145" s="22"/>
      <c r="FFM145" s="22"/>
      <c r="FFN145" s="22"/>
      <c r="FFO145" s="22"/>
      <c r="FFP145" s="22"/>
      <c r="FFQ145" s="22"/>
      <c r="FFR145" s="22"/>
      <c r="FFS145" s="22"/>
      <c r="FFT145" s="22"/>
      <c r="FFU145" s="22"/>
      <c r="FFV145" s="22"/>
      <c r="FFW145" s="22"/>
      <c r="FFX145" s="22"/>
      <c r="FFY145" s="22"/>
      <c r="FFZ145" s="22"/>
      <c r="FGA145" s="22"/>
      <c r="FGB145" s="22"/>
      <c r="FGC145" s="22"/>
      <c r="FGD145" s="22"/>
      <c r="FGE145" s="22"/>
      <c r="FGF145" s="22"/>
      <c r="FGG145" s="22"/>
      <c r="FGH145" s="22"/>
      <c r="FGI145" s="22"/>
      <c r="FGJ145" s="22"/>
      <c r="FGK145" s="22"/>
      <c r="FGL145" s="22"/>
      <c r="FGM145" s="22"/>
      <c r="FGN145" s="22"/>
      <c r="FGO145" s="22"/>
      <c r="FGP145" s="22"/>
      <c r="FGQ145" s="22"/>
      <c r="FGR145" s="22"/>
      <c r="FGS145" s="22"/>
      <c r="FGT145" s="22"/>
      <c r="FGU145" s="22"/>
      <c r="FGV145" s="22"/>
      <c r="FGW145" s="22"/>
      <c r="FGX145" s="22"/>
      <c r="FGY145" s="22"/>
      <c r="FGZ145" s="22"/>
      <c r="FHA145" s="22"/>
      <c r="FHB145" s="22"/>
      <c r="FHC145" s="22"/>
      <c r="FHD145" s="22"/>
      <c r="FHE145" s="22"/>
      <c r="FHF145" s="22"/>
      <c r="FHG145" s="22"/>
      <c r="FHH145" s="22"/>
      <c r="FHI145" s="22"/>
      <c r="FHJ145" s="22"/>
      <c r="FHK145" s="22"/>
      <c r="FHL145" s="22"/>
      <c r="FHM145" s="22"/>
      <c r="FHN145" s="22"/>
      <c r="FHO145" s="22"/>
      <c r="FHP145" s="22"/>
      <c r="FHQ145" s="22"/>
      <c r="FHR145" s="22"/>
      <c r="FHS145" s="22"/>
      <c r="FHT145" s="22"/>
      <c r="FHU145" s="22"/>
      <c r="FHV145" s="22"/>
      <c r="FHW145" s="22"/>
      <c r="FHX145" s="22"/>
      <c r="FHY145" s="22"/>
      <c r="FHZ145" s="22"/>
      <c r="FIA145" s="22"/>
      <c r="FIB145" s="22"/>
      <c r="FIC145" s="22"/>
      <c r="FID145" s="22"/>
      <c r="FIE145" s="22"/>
      <c r="FIF145" s="22"/>
      <c r="FIG145" s="22"/>
      <c r="FIH145" s="22"/>
      <c r="FII145" s="22"/>
      <c r="FIJ145" s="22"/>
      <c r="FIK145" s="22"/>
      <c r="FIL145" s="22"/>
      <c r="FIM145" s="22"/>
      <c r="FIN145" s="22"/>
      <c r="FIO145" s="22"/>
      <c r="FIP145" s="22"/>
      <c r="FIQ145" s="22"/>
      <c r="FIR145" s="22"/>
      <c r="FIS145" s="22"/>
      <c r="FIT145" s="22"/>
      <c r="FIU145" s="22"/>
      <c r="FIV145" s="22"/>
      <c r="FIW145" s="22"/>
      <c r="FIX145" s="22"/>
      <c r="FIY145" s="22"/>
      <c r="FIZ145" s="22"/>
      <c r="FJA145" s="22"/>
      <c r="FJB145" s="22"/>
      <c r="FJC145" s="22"/>
      <c r="FJD145" s="22"/>
      <c r="FJE145" s="22"/>
      <c r="FJF145" s="22"/>
      <c r="FJG145" s="22"/>
      <c r="FJH145" s="22"/>
      <c r="FJI145" s="22"/>
      <c r="FJJ145" s="22"/>
      <c r="FJK145" s="22"/>
      <c r="FJL145" s="22"/>
      <c r="FJM145" s="22"/>
      <c r="FJN145" s="22"/>
      <c r="FJO145" s="22"/>
      <c r="FJP145" s="22"/>
      <c r="FJQ145" s="22"/>
      <c r="FJR145" s="22"/>
      <c r="FJS145" s="22"/>
      <c r="FJT145" s="22"/>
      <c r="FJU145" s="22"/>
      <c r="FJV145" s="22"/>
      <c r="FJW145" s="22"/>
      <c r="FJX145" s="22"/>
      <c r="FJY145" s="22"/>
      <c r="FJZ145" s="22"/>
      <c r="FKA145" s="22"/>
      <c r="FKB145" s="22"/>
      <c r="FKC145" s="22"/>
      <c r="FKD145" s="22"/>
      <c r="FKE145" s="22"/>
      <c r="FKF145" s="22"/>
      <c r="FKG145" s="22"/>
      <c r="FKH145" s="22"/>
      <c r="FKI145" s="22"/>
      <c r="FKJ145" s="22"/>
      <c r="FKK145" s="22"/>
      <c r="FKL145" s="22"/>
      <c r="FKM145" s="22"/>
      <c r="FKN145" s="22"/>
      <c r="FKO145" s="22"/>
      <c r="FKP145" s="22"/>
      <c r="FKQ145" s="22"/>
      <c r="FKR145" s="22"/>
      <c r="FKS145" s="22"/>
      <c r="FKT145" s="22"/>
      <c r="FKU145" s="22"/>
      <c r="FKV145" s="22"/>
      <c r="FKW145" s="22"/>
      <c r="FKX145" s="22"/>
      <c r="FKY145" s="22"/>
      <c r="FKZ145" s="22"/>
      <c r="FLA145" s="22"/>
      <c r="FLB145" s="22"/>
      <c r="FLC145" s="22"/>
      <c r="FLD145" s="22"/>
      <c r="FLE145" s="22"/>
      <c r="FLF145" s="22"/>
      <c r="FLG145" s="22"/>
      <c r="FLH145" s="22"/>
      <c r="FLI145" s="22"/>
      <c r="FLJ145" s="22"/>
      <c r="FLK145" s="22"/>
      <c r="FLL145" s="22"/>
      <c r="FLM145" s="22"/>
      <c r="FLN145" s="22"/>
      <c r="FLO145" s="22"/>
      <c r="FLP145" s="22"/>
      <c r="FLQ145" s="22"/>
      <c r="FLR145" s="22"/>
      <c r="FLS145" s="22"/>
      <c r="FLT145" s="22"/>
      <c r="FLU145" s="22"/>
      <c r="FLV145" s="22"/>
      <c r="FLW145" s="22"/>
      <c r="FLX145" s="22"/>
      <c r="FLY145" s="22"/>
      <c r="FLZ145" s="22"/>
      <c r="FMA145" s="22"/>
      <c r="FMB145" s="22"/>
      <c r="FMC145" s="22"/>
      <c r="FMD145" s="22"/>
      <c r="FME145" s="22"/>
      <c r="FMF145" s="22"/>
      <c r="FMG145" s="22"/>
      <c r="FMH145" s="22"/>
      <c r="FMI145" s="22"/>
      <c r="FMJ145" s="22"/>
      <c r="FMK145" s="22"/>
      <c r="FML145" s="22"/>
      <c r="FMM145" s="22"/>
      <c r="FMN145" s="22"/>
      <c r="FMO145" s="22"/>
      <c r="FMP145" s="22"/>
      <c r="FMQ145" s="22"/>
      <c r="FMR145" s="22"/>
      <c r="FMS145" s="22"/>
      <c r="FMT145" s="22"/>
      <c r="FMU145" s="22"/>
      <c r="FMV145" s="22"/>
      <c r="FMW145" s="22"/>
      <c r="FMX145" s="22"/>
      <c r="FMY145" s="22"/>
      <c r="FMZ145" s="22"/>
      <c r="FNA145" s="22"/>
      <c r="FNB145" s="22"/>
      <c r="FNC145" s="22"/>
      <c r="FND145" s="22"/>
      <c r="FNE145" s="22"/>
      <c r="FNF145" s="22"/>
      <c r="FNG145" s="22"/>
      <c r="FNH145" s="22"/>
      <c r="FNI145" s="22"/>
      <c r="FNJ145" s="22"/>
      <c r="FNK145" s="22"/>
      <c r="FNL145" s="22"/>
      <c r="FNM145" s="22"/>
      <c r="FNN145" s="22"/>
      <c r="FNO145" s="22"/>
      <c r="FNP145" s="22"/>
      <c r="FNQ145" s="22"/>
      <c r="FNR145" s="22"/>
      <c r="FNS145" s="22"/>
      <c r="FNT145" s="22"/>
      <c r="FNU145" s="22"/>
      <c r="FNV145" s="22"/>
      <c r="FNW145" s="22"/>
      <c r="FNX145" s="22"/>
      <c r="FNY145" s="22"/>
      <c r="FNZ145" s="22"/>
      <c r="FOA145" s="22"/>
      <c r="FOB145" s="22"/>
      <c r="FOC145" s="22"/>
      <c r="FOD145" s="22"/>
      <c r="FOE145" s="22"/>
      <c r="FOF145" s="22"/>
      <c r="FOG145" s="22"/>
      <c r="FOH145" s="22"/>
      <c r="FOI145" s="22"/>
      <c r="FOJ145" s="22"/>
      <c r="FOK145" s="22"/>
      <c r="FOL145" s="22"/>
      <c r="FOM145" s="22"/>
      <c r="FON145" s="22"/>
      <c r="FOO145" s="22"/>
      <c r="FOP145" s="22"/>
      <c r="FOQ145" s="22"/>
      <c r="FOR145" s="22"/>
      <c r="FOS145" s="22"/>
      <c r="FOT145" s="22"/>
      <c r="FOU145" s="22"/>
      <c r="FOV145" s="22"/>
      <c r="FOW145" s="22"/>
      <c r="FOX145" s="22"/>
      <c r="FOY145" s="22"/>
      <c r="FOZ145" s="22"/>
      <c r="FPA145" s="22"/>
      <c r="FPB145" s="22"/>
      <c r="FPC145" s="22"/>
      <c r="FPD145" s="22"/>
      <c r="FPE145" s="22"/>
      <c r="FPF145" s="22"/>
      <c r="FPG145" s="22"/>
      <c r="FPH145" s="22"/>
      <c r="FPI145" s="22"/>
      <c r="FPJ145" s="22"/>
      <c r="FPK145" s="22"/>
      <c r="FPL145" s="22"/>
      <c r="FPM145" s="22"/>
      <c r="FPN145" s="22"/>
      <c r="FPO145" s="22"/>
      <c r="FPP145" s="22"/>
      <c r="FPQ145" s="22"/>
      <c r="FPR145" s="22"/>
      <c r="FPS145" s="22"/>
      <c r="FPT145" s="22"/>
      <c r="FPU145" s="22"/>
      <c r="FPV145" s="22"/>
      <c r="FPW145" s="22"/>
      <c r="FPX145" s="22"/>
      <c r="FPY145" s="22"/>
      <c r="FPZ145" s="22"/>
      <c r="FQA145" s="22"/>
      <c r="FQB145" s="22"/>
      <c r="FQC145" s="22"/>
      <c r="FQD145" s="22"/>
      <c r="FQE145" s="22"/>
      <c r="FQF145" s="22"/>
      <c r="FQG145" s="22"/>
      <c r="FQH145" s="22"/>
      <c r="FQI145" s="22"/>
      <c r="FQJ145" s="22"/>
      <c r="FQK145" s="22"/>
      <c r="FQL145" s="22"/>
      <c r="FQM145" s="22"/>
      <c r="FQN145" s="22"/>
      <c r="FQO145" s="22"/>
      <c r="FQP145" s="22"/>
      <c r="FQQ145" s="22"/>
      <c r="FQR145" s="22"/>
      <c r="FQS145" s="22"/>
      <c r="FQT145" s="22"/>
      <c r="FQU145" s="22"/>
      <c r="FQV145" s="22"/>
      <c r="FQW145" s="22"/>
      <c r="FQX145" s="22"/>
      <c r="FQY145" s="22"/>
      <c r="FQZ145" s="22"/>
      <c r="FRA145" s="22"/>
      <c r="FRB145" s="22"/>
      <c r="FRC145" s="22"/>
      <c r="FRD145" s="22"/>
      <c r="FRE145" s="22"/>
      <c r="FRF145" s="22"/>
      <c r="FRG145" s="22"/>
      <c r="FRH145" s="22"/>
      <c r="FRI145" s="22"/>
      <c r="FRJ145" s="22"/>
      <c r="FRK145" s="22"/>
      <c r="FRL145" s="22"/>
      <c r="FRM145" s="22"/>
      <c r="FRN145" s="22"/>
      <c r="FRO145" s="22"/>
      <c r="FRP145" s="22"/>
      <c r="FRQ145" s="22"/>
      <c r="FRR145" s="22"/>
      <c r="FRS145" s="22"/>
      <c r="FRT145" s="22"/>
      <c r="FRU145" s="22"/>
      <c r="FRV145" s="22"/>
      <c r="FRW145" s="22"/>
      <c r="FRX145" s="22"/>
      <c r="FRY145" s="22"/>
      <c r="FRZ145" s="22"/>
      <c r="FSA145" s="22"/>
      <c r="FSB145" s="22"/>
      <c r="FSC145" s="22"/>
      <c r="FSD145" s="22"/>
      <c r="FSE145" s="22"/>
      <c r="FSF145" s="22"/>
      <c r="FSG145" s="22"/>
      <c r="FSH145" s="22"/>
      <c r="FSI145" s="22"/>
      <c r="FSJ145" s="22"/>
      <c r="FSK145" s="22"/>
      <c r="FSL145" s="22"/>
      <c r="FSM145" s="22"/>
      <c r="FSN145" s="22"/>
      <c r="FSO145" s="22"/>
      <c r="FSP145" s="22"/>
      <c r="FSQ145" s="22"/>
      <c r="FSR145" s="22"/>
      <c r="FSS145" s="22"/>
      <c r="FST145" s="22"/>
      <c r="FSU145" s="22"/>
      <c r="FSV145" s="22"/>
      <c r="FSW145" s="22"/>
      <c r="FSX145" s="22"/>
      <c r="FSY145" s="22"/>
      <c r="FSZ145" s="22"/>
      <c r="FTA145" s="22"/>
      <c r="FTB145" s="22"/>
      <c r="FTC145" s="22"/>
      <c r="FTD145" s="22"/>
      <c r="FTE145" s="22"/>
      <c r="FTF145" s="22"/>
      <c r="FTG145" s="22"/>
      <c r="FTH145" s="22"/>
      <c r="FTI145" s="22"/>
      <c r="FTJ145" s="22"/>
      <c r="FTK145" s="22"/>
      <c r="FTL145" s="22"/>
      <c r="FTM145" s="22"/>
      <c r="FTN145" s="22"/>
      <c r="FTO145" s="22"/>
      <c r="FTP145" s="22"/>
      <c r="FTQ145" s="22"/>
      <c r="FTR145" s="22"/>
      <c r="FTS145" s="22"/>
      <c r="FTT145" s="22"/>
      <c r="FTU145" s="22"/>
      <c r="FTV145" s="22"/>
      <c r="FTW145" s="22"/>
      <c r="FTX145" s="22"/>
      <c r="FTY145" s="22"/>
      <c r="FTZ145" s="22"/>
      <c r="FUA145" s="22"/>
      <c r="FUB145" s="22"/>
      <c r="FUC145" s="22"/>
      <c r="FUD145" s="22"/>
      <c r="FUE145" s="22"/>
      <c r="FUF145" s="22"/>
      <c r="FUG145" s="22"/>
      <c r="FUH145" s="22"/>
      <c r="FUI145" s="22"/>
      <c r="FUJ145" s="22"/>
      <c r="FUK145" s="22"/>
      <c r="FUL145" s="22"/>
      <c r="FUM145" s="22"/>
      <c r="FUN145" s="22"/>
      <c r="FUO145" s="22"/>
      <c r="FUP145" s="22"/>
      <c r="FUQ145" s="22"/>
      <c r="FUR145" s="22"/>
      <c r="FUS145" s="22"/>
      <c r="FUT145" s="22"/>
      <c r="FUU145" s="22"/>
      <c r="FUV145" s="22"/>
      <c r="FUW145" s="22"/>
      <c r="FUX145" s="22"/>
      <c r="FUY145" s="22"/>
      <c r="FUZ145" s="22"/>
      <c r="FVA145" s="22"/>
      <c r="FVB145" s="22"/>
      <c r="FVC145" s="22"/>
      <c r="FVD145" s="22"/>
      <c r="FVE145" s="22"/>
      <c r="FVF145" s="22"/>
      <c r="FVG145" s="22"/>
      <c r="FVH145" s="22"/>
      <c r="FVI145" s="22"/>
      <c r="FVJ145" s="22"/>
      <c r="FVK145" s="22"/>
      <c r="FVL145" s="22"/>
      <c r="FVM145" s="22"/>
      <c r="FVN145" s="22"/>
      <c r="FVO145" s="22"/>
      <c r="FVP145" s="22"/>
      <c r="FVQ145" s="22"/>
      <c r="FVR145" s="22"/>
      <c r="FVS145" s="22"/>
      <c r="FVT145" s="22"/>
      <c r="FVU145" s="22"/>
      <c r="FVV145" s="22"/>
      <c r="FVW145" s="22"/>
      <c r="FVX145" s="22"/>
      <c r="FVY145" s="22"/>
      <c r="FVZ145" s="22"/>
      <c r="FWA145" s="22"/>
      <c r="FWB145" s="22"/>
      <c r="FWC145" s="22"/>
      <c r="FWD145" s="22"/>
      <c r="FWE145" s="22"/>
      <c r="FWF145" s="22"/>
      <c r="FWG145" s="22"/>
      <c r="FWH145" s="22"/>
      <c r="FWI145" s="22"/>
      <c r="FWJ145" s="22"/>
      <c r="FWK145" s="22"/>
      <c r="FWL145" s="22"/>
      <c r="FWM145" s="22"/>
      <c r="FWN145" s="22"/>
      <c r="FWO145" s="22"/>
      <c r="FWP145" s="22"/>
      <c r="FWQ145" s="22"/>
      <c r="FWR145" s="22"/>
      <c r="FWS145" s="22"/>
      <c r="FWT145" s="22"/>
      <c r="FWU145" s="22"/>
      <c r="FWV145" s="22"/>
      <c r="FWW145" s="22"/>
      <c r="FWX145" s="22"/>
      <c r="FWY145" s="22"/>
      <c r="FWZ145" s="22"/>
      <c r="FXA145" s="22"/>
      <c r="FXB145" s="22"/>
      <c r="FXC145" s="22"/>
      <c r="FXD145" s="22"/>
      <c r="FXE145" s="22"/>
      <c r="FXF145" s="22"/>
      <c r="FXG145" s="22"/>
      <c r="FXH145" s="22"/>
      <c r="FXI145" s="22"/>
      <c r="FXJ145" s="22"/>
      <c r="FXK145" s="22"/>
      <c r="FXL145" s="22"/>
      <c r="FXM145" s="22"/>
      <c r="FXN145" s="22"/>
      <c r="FXO145" s="22"/>
      <c r="FXP145" s="22"/>
      <c r="FXQ145" s="22"/>
      <c r="FXR145" s="22"/>
      <c r="FXS145" s="22"/>
      <c r="FXT145" s="22"/>
      <c r="FXU145" s="22"/>
      <c r="FXV145" s="22"/>
      <c r="FXW145" s="22"/>
      <c r="FXX145" s="22"/>
      <c r="FXY145" s="22"/>
      <c r="FXZ145" s="22"/>
      <c r="FYA145" s="22"/>
      <c r="FYB145" s="22"/>
      <c r="FYC145" s="22"/>
      <c r="FYD145" s="22"/>
      <c r="FYE145" s="22"/>
      <c r="FYF145" s="22"/>
      <c r="FYG145" s="22"/>
      <c r="FYH145" s="22"/>
      <c r="FYI145" s="22"/>
      <c r="FYJ145" s="22"/>
      <c r="FYK145" s="22"/>
      <c r="FYL145" s="22"/>
      <c r="FYM145" s="22"/>
      <c r="FYN145" s="22"/>
      <c r="FYO145" s="22"/>
      <c r="FYP145" s="22"/>
      <c r="FYQ145" s="22"/>
      <c r="FYR145" s="22"/>
      <c r="FYS145" s="22"/>
      <c r="FYT145" s="22"/>
      <c r="FYU145" s="22"/>
      <c r="FYV145" s="22"/>
      <c r="FYW145" s="22"/>
      <c r="FYX145" s="22"/>
      <c r="FYY145" s="22"/>
      <c r="FYZ145" s="22"/>
      <c r="FZA145" s="22"/>
      <c r="FZB145" s="22"/>
      <c r="FZC145" s="22"/>
      <c r="FZD145" s="22"/>
      <c r="FZE145" s="22"/>
      <c r="FZF145" s="22"/>
      <c r="FZG145" s="22"/>
      <c r="FZH145" s="22"/>
      <c r="FZI145" s="22"/>
      <c r="FZJ145" s="22"/>
      <c r="FZK145" s="22"/>
      <c r="FZL145" s="22"/>
      <c r="FZM145" s="22"/>
      <c r="FZN145" s="22"/>
      <c r="FZO145" s="22"/>
      <c r="FZP145" s="22"/>
      <c r="FZQ145" s="22"/>
      <c r="FZR145" s="22"/>
      <c r="FZS145" s="22"/>
      <c r="FZT145" s="22"/>
      <c r="FZU145" s="22"/>
      <c r="FZV145" s="22"/>
      <c r="FZW145" s="22"/>
      <c r="FZX145" s="22"/>
      <c r="FZY145" s="22"/>
      <c r="FZZ145" s="22"/>
      <c r="GAA145" s="22"/>
      <c r="GAB145" s="22"/>
      <c r="GAC145" s="22"/>
      <c r="GAD145" s="22"/>
      <c r="GAE145" s="22"/>
      <c r="GAF145" s="22"/>
      <c r="GAG145" s="22"/>
      <c r="GAH145" s="22"/>
      <c r="GAI145" s="22"/>
      <c r="GAJ145" s="22"/>
      <c r="GAK145" s="22"/>
      <c r="GAL145" s="22"/>
      <c r="GAM145" s="22"/>
      <c r="GAN145" s="22"/>
      <c r="GAO145" s="22"/>
      <c r="GAP145" s="22"/>
      <c r="GAQ145" s="22"/>
      <c r="GAR145" s="22"/>
      <c r="GAS145" s="22"/>
      <c r="GAT145" s="22"/>
      <c r="GAU145" s="22"/>
      <c r="GAV145" s="22"/>
      <c r="GAW145" s="22"/>
      <c r="GAX145" s="22"/>
      <c r="GAY145" s="22"/>
      <c r="GAZ145" s="22"/>
      <c r="GBA145" s="22"/>
      <c r="GBB145" s="22"/>
      <c r="GBC145" s="22"/>
      <c r="GBD145" s="22"/>
      <c r="GBE145" s="22"/>
      <c r="GBF145" s="22"/>
      <c r="GBG145" s="22"/>
      <c r="GBH145" s="22"/>
      <c r="GBI145" s="22"/>
      <c r="GBJ145" s="22"/>
      <c r="GBK145" s="22"/>
      <c r="GBL145" s="22"/>
      <c r="GBM145" s="22"/>
      <c r="GBN145" s="22"/>
      <c r="GBO145" s="22"/>
      <c r="GBP145" s="22"/>
      <c r="GBQ145" s="22"/>
      <c r="GBR145" s="22"/>
      <c r="GBS145" s="22"/>
      <c r="GBT145" s="22"/>
      <c r="GBU145" s="22"/>
      <c r="GBV145" s="22"/>
      <c r="GBW145" s="22"/>
      <c r="GBX145" s="22"/>
      <c r="GBY145" s="22"/>
      <c r="GBZ145" s="22"/>
      <c r="GCA145" s="22"/>
      <c r="GCB145" s="22"/>
      <c r="GCC145" s="22"/>
      <c r="GCD145" s="22"/>
      <c r="GCE145" s="22"/>
      <c r="GCF145" s="22"/>
      <c r="GCG145" s="22"/>
      <c r="GCH145" s="22"/>
      <c r="GCI145" s="22"/>
      <c r="GCJ145" s="22"/>
      <c r="GCK145" s="22"/>
      <c r="GCL145" s="22"/>
      <c r="GCM145" s="22"/>
      <c r="GCN145" s="22"/>
      <c r="GCO145" s="22"/>
      <c r="GCP145" s="22"/>
      <c r="GCQ145" s="22"/>
      <c r="GCR145" s="22"/>
      <c r="GCS145" s="22"/>
      <c r="GCT145" s="22"/>
      <c r="GCU145" s="22"/>
      <c r="GCV145" s="22"/>
      <c r="GCW145" s="22"/>
      <c r="GCX145" s="22"/>
      <c r="GCY145" s="22"/>
      <c r="GCZ145" s="22"/>
      <c r="GDA145" s="22"/>
      <c r="GDB145" s="22"/>
      <c r="GDC145" s="22"/>
      <c r="GDD145" s="22"/>
      <c r="GDE145" s="22"/>
      <c r="GDF145" s="22"/>
      <c r="GDG145" s="22"/>
      <c r="GDH145" s="22"/>
      <c r="GDI145" s="22"/>
      <c r="GDJ145" s="22"/>
      <c r="GDK145" s="22"/>
      <c r="GDL145" s="22"/>
      <c r="GDM145" s="22"/>
      <c r="GDN145" s="22"/>
      <c r="GDO145" s="22"/>
      <c r="GDP145" s="22"/>
      <c r="GDQ145" s="22"/>
      <c r="GDR145" s="22"/>
      <c r="GDS145" s="22"/>
      <c r="GDT145" s="22"/>
      <c r="GDU145" s="22"/>
      <c r="GDV145" s="22"/>
      <c r="GDW145" s="22"/>
      <c r="GDX145" s="22"/>
      <c r="GDY145" s="22"/>
      <c r="GDZ145" s="22"/>
      <c r="GEA145" s="22"/>
      <c r="GEB145" s="22"/>
      <c r="GEC145" s="22"/>
      <c r="GED145" s="22"/>
      <c r="GEE145" s="22"/>
      <c r="GEF145" s="22"/>
      <c r="GEG145" s="22"/>
      <c r="GEH145" s="22"/>
      <c r="GEI145" s="22"/>
      <c r="GEJ145" s="22"/>
      <c r="GEK145" s="22"/>
      <c r="GEL145" s="22"/>
      <c r="GEM145" s="22"/>
      <c r="GEN145" s="22"/>
      <c r="GEO145" s="22"/>
      <c r="GEP145" s="22"/>
      <c r="GEQ145" s="22"/>
      <c r="GER145" s="22"/>
      <c r="GES145" s="22"/>
      <c r="GET145" s="22"/>
      <c r="GEU145" s="22"/>
      <c r="GEV145" s="22"/>
      <c r="GEW145" s="22"/>
      <c r="GEX145" s="22"/>
      <c r="GEY145" s="22"/>
      <c r="GEZ145" s="22"/>
      <c r="GFA145" s="22"/>
      <c r="GFB145" s="22"/>
      <c r="GFC145" s="22"/>
      <c r="GFD145" s="22"/>
      <c r="GFE145" s="22"/>
      <c r="GFF145" s="22"/>
      <c r="GFG145" s="22"/>
      <c r="GFH145" s="22"/>
      <c r="GFI145" s="22"/>
      <c r="GFJ145" s="22"/>
      <c r="GFK145" s="22"/>
      <c r="GFL145" s="22"/>
      <c r="GFM145" s="22"/>
      <c r="GFN145" s="22"/>
      <c r="GFO145" s="22"/>
      <c r="GFP145" s="22"/>
      <c r="GFQ145" s="22"/>
      <c r="GFR145" s="22"/>
      <c r="GFS145" s="22"/>
      <c r="GFT145" s="22"/>
      <c r="GFU145" s="22"/>
      <c r="GFV145" s="22"/>
      <c r="GFW145" s="22"/>
      <c r="GFX145" s="22"/>
      <c r="GFY145" s="22"/>
      <c r="GFZ145" s="22"/>
      <c r="GGA145" s="22"/>
      <c r="GGB145" s="22"/>
      <c r="GGC145" s="22"/>
      <c r="GGD145" s="22"/>
      <c r="GGE145" s="22"/>
      <c r="GGF145" s="22"/>
      <c r="GGG145" s="22"/>
      <c r="GGH145" s="22"/>
      <c r="GGI145" s="22"/>
      <c r="GGJ145" s="22"/>
      <c r="GGK145" s="22"/>
      <c r="GGL145" s="22"/>
      <c r="GGM145" s="22"/>
      <c r="GGN145" s="22"/>
      <c r="GGO145" s="22"/>
      <c r="GGP145" s="22"/>
      <c r="GGQ145" s="22"/>
      <c r="GGR145" s="22"/>
      <c r="GGS145" s="22"/>
      <c r="GGT145" s="22"/>
      <c r="GGU145" s="22"/>
      <c r="GGV145" s="22"/>
      <c r="GGW145" s="22"/>
      <c r="GGX145" s="22"/>
      <c r="GGY145" s="22"/>
      <c r="GGZ145" s="22"/>
      <c r="GHA145" s="22"/>
      <c r="GHB145" s="22"/>
      <c r="GHC145" s="22"/>
      <c r="GHD145" s="22"/>
      <c r="GHE145" s="22"/>
      <c r="GHF145" s="22"/>
      <c r="GHG145" s="22"/>
      <c r="GHH145" s="22"/>
      <c r="GHI145" s="22"/>
      <c r="GHJ145" s="22"/>
      <c r="GHK145" s="22"/>
      <c r="GHL145" s="22"/>
      <c r="GHM145" s="22"/>
      <c r="GHN145" s="22"/>
      <c r="GHO145" s="22"/>
      <c r="GHP145" s="22"/>
      <c r="GHQ145" s="22"/>
      <c r="GHR145" s="22"/>
      <c r="GHS145" s="22"/>
      <c r="GHT145" s="22"/>
      <c r="GHU145" s="22"/>
      <c r="GHV145" s="22"/>
      <c r="GHW145" s="22"/>
      <c r="GHX145" s="22"/>
      <c r="GHY145" s="22"/>
      <c r="GHZ145" s="22"/>
      <c r="GIA145" s="22"/>
      <c r="GIB145" s="22"/>
      <c r="GIC145" s="22"/>
      <c r="GID145" s="22"/>
      <c r="GIE145" s="22"/>
      <c r="GIF145" s="22"/>
      <c r="GIG145" s="22"/>
      <c r="GIH145" s="22"/>
      <c r="GII145" s="22"/>
      <c r="GIJ145" s="22"/>
      <c r="GIK145" s="22"/>
      <c r="GIL145" s="22"/>
      <c r="GIM145" s="22"/>
      <c r="GIN145" s="22"/>
      <c r="GIO145" s="22"/>
      <c r="GIP145" s="22"/>
      <c r="GIQ145" s="22"/>
      <c r="GIR145" s="22"/>
      <c r="GIS145" s="22"/>
      <c r="GIT145" s="22"/>
      <c r="GIU145" s="22"/>
      <c r="GIV145" s="22"/>
      <c r="GIW145" s="22"/>
      <c r="GIX145" s="22"/>
      <c r="GIY145" s="22"/>
      <c r="GIZ145" s="22"/>
      <c r="GJA145" s="22"/>
      <c r="GJB145" s="22"/>
      <c r="GJC145" s="22"/>
      <c r="GJD145" s="22"/>
      <c r="GJE145" s="22"/>
      <c r="GJF145" s="22"/>
      <c r="GJG145" s="22"/>
      <c r="GJH145" s="22"/>
      <c r="GJI145" s="22"/>
      <c r="GJJ145" s="22"/>
      <c r="GJK145" s="22"/>
      <c r="GJL145" s="22"/>
      <c r="GJM145" s="22"/>
      <c r="GJN145" s="22"/>
      <c r="GJO145" s="22"/>
      <c r="GJP145" s="22"/>
      <c r="GJQ145" s="22"/>
      <c r="GJR145" s="22"/>
      <c r="GJS145" s="22"/>
      <c r="GJT145" s="22"/>
      <c r="GJU145" s="22"/>
      <c r="GJV145" s="22"/>
      <c r="GJW145" s="22"/>
      <c r="GJX145" s="22"/>
      <c r="GJY145" s="22"/>
      <c r="GJZ145" s="22"/>
      <c r="GKA145" s="22"/>
      <c r="GKB145" s="22"/>
      <c r="GKC145" s="22"/>
      <c r="GKD145" s="22"/>
      <c r="GKE145" s="22"/>
      <c r="GKF145" s="22"/>
      <c r="GKG145" s="22"/>
      <c r="GKH145" s="22"/>
      <c r="GKI145" s="22"/>
      <c r="GKJ145" s="22"/>
      <c r="GKK145" s="22"/>
      <c r="GKL145" s="22"/>
      <c r="GKM145" s="22"/>
      <c r="GKN145" s="22"/>
      <c r="GKO145" s="22"/>
      <c r="GKP145" s="22"/>
      <c r="GKQ145" s="22"/>
      <c r="GKR145" s="22"/>
      <c r="GKS145" s="22"/>
      <c r="GKT145" s="22"/>
      <c r="GKU145" s="22"/>
      <c r="GKV145" s="22"/>
      <c r="GKW145" s="22"/>
      <c r="GKX145" s="22"/>
      <c r="GKY145" s="22"/>
      <c r="GKZ145" s="22"/>
      <c r="GLA145" s="22"/>
      <c r="GLB145" s="22"/>
      <c r="GLC145" s="22"/>
      <c r="GLD145" s="22"/>
      <c r="GLE145" s="22"/>
      <c r="GLF145" s="22"/>
      <c r="GLG145" s="22"/>
      <c r="GLH145" s="22"/>
      <c r="GLI145" s="22"/>
      <c r="GLJ145" s="22"/>
      <c r="GLK145" s="22"/>
      <c r="GLL145" s="22"/>
      <c r="GLM145" s="22"/>
      <c r="GLN145" s="22"/>
      <c r="GLO145" s="22"/>
      <c r="GLP145" s="22"/>
      <c r="GLQ145" s="22"/>
      <c r="GLR145" s="22"/>
      <c r="GLS145" s="22"/>
      <c r="GLT145" s="22"/>
      <c r="GLU145" s="22"/>
      <c r="GLV145" s="22"/>
      <c r="GLW145" s="22"/>
      <c r="GLX145" s="22"/>
      <c r="GLY145" s="22"/>
      <c r="GLZ145" s="22"/>
      <c r="GMA145" s="22"/>
      <c r="GMB145" s="22"/>
      <c r="GMC145" s="22"/>
      <c r="GMD145" s="22"/>
      <c r="GME145" s="22"/>
      <c r="GMF145" s="22"/>
      <c r="GMG145" s="22"/>
      <c r="GMH145" s="22"/>
      <c r="GMI145" s="22"/>
      <c r="GMJ145" s="22"/>
      <c r="GMK145" s="22"/>
      <c r="GML145" s="22"/>
      <c r="GMM145" s="22"/>
      <c r="GMN145" s="22"/>
      <c r="GMO145" s="22"/>
      <c r="GMP145" s="22"/>
      <c r="GMQ145" s="22"/>
      <c r="GMR145" s="22"/>
      <c r="GMS145" s="22"/>
      <c r="GMT145" s="22"/>
      <c r="GMU145" s="22"/>
      <c r="GMV145" s="22"/>
      <c r="GMW145" s="22"/>
      <c r="GMX145" s="22"/>
      <c r="GMY145" s="22"/>
      <c r="GMZ145" s="22"/>
      <c r="GNA145" s="22"/>
      <c r="GNB145" s="22"/>
      <c r="GNC145" s="22"/>
      <c r="GND145" s="22"/>
      <c r="GNE145" s="22"/>
      <c r="GNF145" s="22"/>
      <c r="GNG145" s="22"/>
      <c r="GNH145" s="22"/>
      <c r="GNI145" s="22"/>
      <c r="GNJ145" s="22"/>
      <c r="GNK145" s="22"/>
      <c r="GNL145" s="22"/>
      <c r="GNM145" s="22"/>
      <c r="GNN145" s="22"/>
      <c r="GNO145" s="22"/>
      <c r="GNP145" s="22"/>
      <c r="GNQ145" s="22"/>
      <c r="GNR145" s="22"/>
      <c r="GNS145" s="22"/>
      <c r="GNT145" s="22"/>
      <c r="GNU145" s="22"/>
      <c r="GNV145" s="22"/>
      <c r="GNW145" s="22"/>
      <c r="GNX145" s="22"/>
      <c r="GNY145" s="22"/>
      <c r="GNZ145" s="22"/>
      <c r="GOA145" s="22"/>
      <c r="GOB145" s="22"/>
      <c r="GOC145" s="22"/>
      <c r="GOD145" s="22"/>
      <c r="GOE145" s="22"/>
      <c r="GOF145" s="22"/>
      <c r="GOG145" s="22"/>
      <c r="GOH145" s="22"/>
      <c r="GOI145" s="22"/>
      <c r="GOJ145" s="22"/>
      <c r="GOK145" s="22"/>
      <c r="GOL145" s="22"/>
      <c r="GOM145" s="22"/>
      <c r="GON145" s="22"/>
      <c r="GOO145" s="22"/>
      <c r="GOP145" s="22"/>
      <c r="GOQ145" s="22"/>
      <c r="GOR145" s="22"/>
      <c r="GOS145" s="22"/>
      <c r="GOT145" s="22"/>
      <c r="GOU145" s="22"/>
      <c r="GOV145" s="22"/>
      <c r="GOW145" s="22"/>
      <c r="GOX145" s="22"/>
      <c r="GOY145" s="22"/>
      <c r="GOZ145" s="22"/>
      <c r="GPA145" s="22"/>
      <c r="GPB145" s="22"/>
      <c r="GPC145" s="22"/>
      <c r="GPD145" s="22"/>
      <c r="GPE145" s="22"/>
      <c r="GPF145" s="22"/>
      <c r="GPG145" s="22"/>
      <c r="GPH145" s="22"/>
      <c r="GPI145" s="22"/>
      <c r="GPJ145" s="22"/>
      <c r="GPK145" s="22"/>
      <c r="GPL145" s="22"/>
      <c r="GPM145" s="22"/>
      <c r="GPN145" s="22"/>
      <c r="GPO145" s="22"/>
      <c r="GPP145" s="22"/>
      <c r="GPQ145" s="22"/>
      <c r="GPR145" s="22"/>
      <c r="GPS145" s="22"/>
      <c r="GPT145" s="22"/>
      <c r="GPU145" s="22"/>
      <c r="GPV145" s="22"/>
      <c r="GPW145" s="22"/>
      <c r="GPX145" s="22"/>
      <c r="GPY145" s="22"/>
      <c r="GPZ145" s="22"/>
      <c r="GQA145" s="22"/>
      <c r="GQB145" s="22"/>
      <c r="GQC145" s="22"/>
      <c r="GQD145" s="22"/>
      <c r="GQE145" s="22"/>
      <c r="GQF145" s="22"/>
      <c r="GQG145" s="22"/>
      <c r="GQH145" s="22"/>
      <c r="GQI145" s="22"/>
      <c r="GQJ145" s="22"/>
      <c r="GQK145" s="22"/>
      <c r="GQL145" s="22"/>
      <c r="GQM145" s="22"/>
      <c r="GQN145" s="22"/>
      <c r="GQO145" s="22"/>
      <c r="GQP145" s="22"/>
      <c r="GQQ145" s="22"/>
      <c r="GQR145" s="22"/>
      <c r="GQS145" s="22"/>
      <c r="GQT145" s="22"/>
      <c r="GQU145" s="22"/>
      <c r="GQV145" s="22"/>
      <c r="GQW145" s="22"/>
      <c r="GQX145" s="22"/>
      <c r="GQY145" s="22"/>
      <c r="GQZ145" s="22"/>
      <c r="GRA145" s="22"/>
      <c r="GRB145" s="22"/>
      <c r="GRC145" s="22"/>
      <c r="GRD145" s="22"/>
      <c r="GRE145" s="22"/>
      <c r="GRF145" s="22"/>
      <c r="GRG145" s="22"/>
      <c r="GRH145" s="22"/>
      <c r="GRI145" s="22"/>
      <c r="GRJ145" s="22"/>
      <c r="GRK145" s="22"/>
      <c r="GRL145" s="22"/>
      <c r="GRM145" s="22"/>
      <c r="GRN145" s="22"/>
      <c r="GRO145" s="22"/>
      <c r="GRP145" s="22"/>
      <c r="GRQ145" s="22"/>
      <c r="GRR145" s="22"/>
      <c r="GRS145" s="22"/>
      <c r="GRT145" s="22"/>
      <c r="GRU145" s="22"/>
      <c r="GRV145" s="22"/>
      <c r="GRW145" s="22"/>
      <c r="GRX145" s="22"/>
      <c r="GRY145" s="22"/>
      <c r="GRZ145" s="22"/>
      <c r="GSA145" s="22"/>
      <c r="GSB145" s="22"/>
      <c r="GSC145" s="22"/>
      <c r="GSD145" s="22"/>
      <c r="GSE145" s="22"/>
      <c r="GSF145" s="22"/>
      <c r="GSG145" s="22"/>
      <c r="GSH145" s="22"/>
      <c r="GSI145" s="22"/>
      <c r="GSJ145" s="22"/>
      <c r="GSK145" s="22"/>
      <c r="GSL145" s="22"/>
      <c r="GSM145" s="22"/>
      <c r="GSN145" s="22"/>
      <c r="GSO145" s="22"/>
      <c r="GSP145" s="22"/>
      <c r="GSQ145" s="22"/>
      <c r="GSR145" s="22"/>
      <c r="GSS145" s="22"/>
      <c r="GST145" s="22"/>
      <c r="GSU145" s="22"/>
      <c r="GSV145" s="22"/>
      <c r="GSW145" s="22"/>
      <c r="GSX145" s="22"/>
      <c r="GSY145" s="22"/>
      <c r="GSZ145" s="22"/>
      <c r="GTA145" s="22"/>
      <c r="GTB145" s="22"/>
      <c r="GTC145" s="22"/>
      <c r="GTD145" s="22"/>
      <c r="GTE145" s="22"/>
      <c r="GTF145" s="22"/>
      <c r="GTG145" s="22"/>
      <c r="GTH145" s="22"/>
      <c r="GTI145" s="22"/>
      <c r="GTJ145" s="22"/>
      <c r="GTK145" s="22"/>
      <c r="GTL145" s="22"/>
      <c r="GTM145" s="22"/>
      <c r="GTN145" s="22"/>
      <c r="GTO145" s="22"/>
      <c r="GTP145" s="22"/>
      <c r="GTQ145" s="22"/>
      <c r="GTR145" s="22"/>
      <c r="GTS145" s="22"/>
      <c r="GTT145" s="22"/>
      <c r="GTU145" s="22"/>
      <c r="GTV145" s="22"/>
      <c r="GTW145" s="22"/>
      <c r="GTX145" s="22"/>
      <c r="GTY145" s="22"/>
      <c r="GTZ145" s="22"/>
      <c r="GUA145" s="22"/>
      <c r="GUB145" s="22"/>
      <c r="GUC145" s="22"/>
      <c r="GUD145" s="22"/>
      <c r="GUE145" s="22"/>
      <c r="GUF145" s="22"/>
      <c r="GUG145" s="22"/>
      <c r="GUH145" s="22"/>
      <c r="GUI145" s="22"/>
      <c r="GUJ145" s="22"/>
      <c r="GUK145" s="22"/>
      <c r="GUL145" s="22"/>
      <c r="GUM145" s="22"/>
      <c r="GUN145" s="22"/>
      <c r="GUO145" s="22"/>
      <c r="GUP145" s="22"/>
      <c r="GUQ145" s="22"/>
      <c r="GUR145" s="22"/>
      <c r="GUS145" s="22"/>
      <c r="GUT145" s="22"/>
      <c r="GUU145" s="22"/>
      <c r="GUV145" s="22"/>
      <c r="GUW145" s="22"/>
      <c r="GUX145" s="22"/>
      <c r="GUY145" s="22"/>
      <c r="GUZ145" s="22"/>
      <c r="GVA145" s="22"/>
      <c r="GVB145" s="22"/>
      <c r="GVC145" s="22"/>
      <c r="GVD145" s="22"/>
      <c r="GVE145" s="22"/>
      <c r="GVF145" s="22"/>
      <c r="GVG145" s="22"/>
      <c r="GVH145" s="22"/>
      <c r="GVI145" s="22"/>
      <c r="GVJ145" s="22"/>
      <c r="GVK145" s="22"/>
      <c r="GVL145" s="22"/>
      <c r="GVM145" s="22"/>
      <c r="GVN145" s="22"/>
      <c r="GVO145" s="22"/>
      <c r="GVP145" s="22"/>
      <c r="GVQ145" s="22"/>
      <c r="GVR145" s="22"/>
      <c r="GVS145" s="22"/>
      <c r="GVT145" s="22"/>
      <c r="GVU145" s="22"/>
      <c r="GVV145" s="22"/>
      <c r="GVW145" s="22"/>
      <c r="GVX145" s="22"/>
      <c r="GVY145" s="22"/>
      <c r="GVZ145" s="22"/>
      <c r="GWA145" s="22"/>
      <c r="GWB145" s="22"/>
      <c r="GWC145" s="22"/>
      <c r="GWD145" s="22"/>
      <c r="GWE145" s="22"/>
      <c r="GWF145" s="22"/>
      <c r="GWG145" s="22"/>
      <c r="GWH145" s="22"/>
      <c r="GWI145" s="22"/>
      <c r="GWJ145" s="22"/>
      <c r="GWK145" s="22"/>
      <c r="GWL145" s="22"/>
      <c r="GWM145" s="22"/>
      <c r="GWN145" s="22"/>
      <c r="GWO145" s="22"/>
      <c r="GWP145" s="22"/>
      <c r="GWQ145" s="22"/>
      <c r="GWR145" s="22"/>
      <c r="GWS145" s="22"/>
      <c r="GWT145" s="22"/>
      <c r="GWU145" s="22"/>
      <c r="GWV145" s="22"/>
      <c r="GWW145" s="22"/>
      <c r="GWX145" s="22"/>
      <c r="GWY145" s="22"/>
      <c r="GWZ145" s="22"/>
      <c r="GXA145" s="22"/>
      <c r="GXB145" s="22"/>
      <c r="GXC145" s="22"/>
      <c r="GXD145" s="22"/>
      <c r="GXE145" s="22"/>
      <c r="GXF145" s="22"/>
      <c r="GXG145" s="22"/>
      <c r="GXH145" s="22"/>
      <c r="GXI145" s="22"/>
      <c r="GXJ145" s="22"/>
      <c r="GXK145" s="22"/>
      <c r="GXL145" s="22"/>
      <c r="GXM145" s="22"/>
      <c r="GXN145" s="22"/>
      <c r="GXO145" s="22"/>
      <c r="GXP145" s="22"/>
      <c r="GXQ145" s="22"/>
      <c r="GXR145" s="22"/>
      <c r="GXS145" s="22"/>
      <c r="GXT145" s="22"/>
      <c r="GXU145" s="22"/>
      <c r="GXV145" s="22"/>
      <c r="GXW145" s="22"/>
      <c r="GXX145" s="22"/>
      <c r="GXY145" s="22"/>
      <c r="GXZ145" s="22"/>
      <c r="GYA145" s="22"/>
      <c r="GYB145" s="22"/>
      <c r="GYC145" s="22"/>
      <c r="GYD145" s="22"/>
      <c r="GYE145" s="22"/>
      <c r="GYF145" s="22"/>
      <c r="GYG145" s="22"/>
      <c r="GYH145" s="22"/>
      <c r="GYI145" s="22"/>
      <c r="GYJ145" s="22"/>
      <c r="GYK145" s="22"/>
      <c r="GYL145" s="22"/>
      <c r="GYM145" s="22"/>
      <c r="GYN145" s="22"/>
      <c r="GYO145" s="22"/>
      <c r="GYP145" s="22"/>
      <c r="GYQ145" s="22"/>
      <c r="GYR145" s="22"/>
      <c r="GYS145" s="22"/>
      <c r="GYT145" s="22"/>
      <c r="GYU145" s="22"/>
      <c r="GYV145" s="22"/>
      <c r="GYW145" s="22"/>
      <c r="GYX145" s="22"/>
      <c r="GYY145" s="22"/>
      <c r="GYZ145" s="22"/>
      <c r="GZA145" s="22"/>
      <c r="GZB145" s="22"/>
      <c r="GZC145" s="22"/>
      <c r="GZD145" s="22"/>
      <c r="GZE145" s="22"/>
      <c r="GZF145" s="22"/>
      <c r="GZG145" s="22"/>
      <c r="GZH145" s="22"/>
      <c r="GZI145" s="22"/>
      <c r="GZJ145" s="22"/>
      <c r="GZK145" s="22"/>
      <c r="GZL145" s="22"/>
      <c r="GZM145" s="22"/>
      <c r="GZN145" s="22"/>
      <c r="GZO145" s="22"/>
      <c r="GZP145" s="22"/>
      <c r="GZQ145" s="22"/>
      <c r="GZR145" s="22"/>
      <c r="GZS145" s="22"/>
      <c r="GZT145" s="22"/>
      <c r="GZU145" s="22"/>
      <c r="GZV145" s="22"/>
      <c r="GZW145" s="22"/>
      <c r="GZX145" s="22"/>
      <c r="GZY145" s="22"/>
      <c r="GZZ145" s="22"/>
      <c r="HAA145" s="22"/>
      <c r="HAB145" s="22"/>
      <c r="HAC145" s="22"/>
      <c r="HAD145" s="22"/>
      <c r="HAE145" s="22"/>
      <c r="HAF145" s="22"/>
      <c r="HAG145" s="22"/>
      <c r="HAH145" s="22"/>
      <c r="HAI145" s="22"/>
      <c r="HAJ145" s="22"/>
      <c r="HAK145" s="22"/>
      <c r="HAL145" s="22"/>
      <c r="HAM145" s="22"/>
      <c r="HAN145" s="22"/>
      <c r="HAO145" s="22"/>
      <c r="HAP145" s="22"/>
      <c r="HAQ145" s="22"/>
      <c r="HAR145" s="22"/>
      <c r="HAS145" s="22"/>
      <c r="HAT145" s="22"/>
      <c r="HAU145" s="22"/>
      <c r="HAV145" s="22"/>
      <c r="HAW145" s="22"/>
      <c r="HAX145" s="22"/>
      <c r="HAY145" s="22"/>
      <c r="HAZ145" s="22"/>
      <c r="HBA145" s="22"/>
      <c r="HBB145" s="22"/>
      <c r="HBC145" s="22"/>
      <c r="HBD145" s="22"/>
      <c r="HBE145" s="22"/>
      <c r="HBF145" s="22"/>
      <c r="HBG145" s="22"/>
      <c r="HBH145" s="22"/>
      <c r="HBI145" s="22"/>
      <c r="HBJ145" s="22"/>
      <c r="HBK145" s="22"/>
      <c r="HBL145" s="22"/>
      <c r="HBM145" s="22"/>
      <c r="HBN145" s="22"/>
      <c r="HBO145" s="22"/>
      <c r="HBP145" s="22"/>
      <c r="HBQ145" s="22"/>
      <c r="HBR145" s="22"/>
      <c r="HBS145" s="22"/>
      <c r="HBT145" s="22"/>
      <c r="HBU145" s="22"/>
      <c r="HBV145" s="22"/>
      <c r="HBW145" s="22"/>
      <c r="HBX145" s="22"/>
      <c r="HBY145" s="22"/>
      <c r="HBZ145" s="22"/>
      <c r="HCA145" s="22"/>
      <c r="HCB145" s="22"/>
      <c r="HCC145" s="22"/>
      <c r="HCD145" s="22"/>
      <c r="HCE145" s="22"/>
      <c r="HCF145" s="22"/>
      <c r="HCG145" s="22"/>
      <c r="HCH145" s="22"/>
      <c r="HCI145" s="22"/>
      <c r="HCJ145" s="22"/>
      <c r="HCK145" s="22"/>
      <c r="HCL145" s="22"/>
      <c r="HCM145" s="22"/>
      <c r="HCN145" s="22"/>
      <c r="HCO145" s="22"/>
      <c r="HCP145" s="22"/>
      <c r="HCQ145" s="22"/>
      <c r="HCR145" s="22"/>
      <c r="HCS145" s="22"/>
      <c r="HCT145" s="22"/>
      <c r="HCU145" s="22"/>
      <c r="HCV145" s="22"/>
      <c r="HCW145" s="22"/>
      <c r="HCX145" s="22"/>
      <c r="HCY145" s="22"/>
      <c r="HCZ145" s="22"/>
      <c r="HDA145" s="22"/>
      <c r="HDB145" s="22"/>
      <c r="HDC145" s="22"/>
      <c r="HDD145" s="22"/>
      <c r="HDE145" s="22"/>
      <c r="HDF145" s="22"/>
      <c r="HDG145" s="22"/>
      <c r="HDH145" s="22"/>
      <c r="HDI145" s="22"/>
      <c r="HDJ145" s="22"/>
      <c r="HDK145" s="22"/>
      <c r="HDL145" s="22"/>
      <c r="HDM145" s="22"/>
      <c r="HDN145" s="22"/>
      <c r="HDO145" s="22"/>
      <c r="HDP145" s="22"/>
      <c r="HDQ145" s="22"/>
      <c r="HDR145" s="22"/>
      <c r="HDS145" s="22"/>
      <c r="HDT145" s="22"/>
      <c r="HDU145" s="22"/>
      <c r="HDV145" s="22"/>
      <c r="HDW145" s="22"/>
      <c r="HDX145" s="22"/>
      <c r="HDY145" s="22"/>
      <c r="HDZ145" s="22"/>
      <c r="HEA145" s="22"/>
      <c r="HEB145" s="22"/>
      <c r="HEC145" s="22"/>
      <c r="HED145" s="22"/>
      <c r="HEE145" s="22"/>
      <c r="HEF145" s="22"/>
      <c r="HEG145" s="22"/>
      <c r="HEH145" s="22"/>
      <c r="HEI145" s="22"/>
      <c r="HEJ145" s="22"/>
      <c r="HEK145" s="22"/>
      <c r="HEL145" s="22"/>
      <c r="HEM145" s="22"/>
      <c r="HEN145" s="22"/>
      <c r="HEO145" s="22"/>
      <c r="HEP145" s="22"/>
      <c r="HEQ145" s="22"/>
      <c r="HER145" s="22"/>
      <c r="HES145" s="22"/>
      <c r="HET145" s="22"/>
      <c r="HEU145" s="22"/>
      <c r="HEV145" s="22"/>
      <c r="HEW145" s="22"/>
      <c r="HEX145" s="22"/>
      <c r="HEY145" s="22"/>
      <c r="HEZ145" s="22"/>
      <c r="HFA145" s="22"/>
      <c r="HFB145" s="22"/>
      <c r="HFC145" s="22"/>
      <c r="HFD145" s="22"/>
      <c r="HFE145" s="22"/>
      <c r="HFF145" s="22"/>
      <c r="HFG145" s="22"/>
      <c r="HFH145" s="22"/>
      <c r="HFI145" s="22"/>
      <c r="HFJ145" s="22"/>
      <c r="HFK145" s="22"/>
      <c r="HFL145" s="22"/>
      <c r="HFM145" s="22"/>
      <c r="HFN145" s="22"/>
      <c r="HFO145" s="22"/>
      <c r="HFP145" s="22"/>
      <c r="HFQ145" s="22"/>
      <c r="HFR145" s="22"/>
      <c r="HFS145" s="22"/>
      <c r="HFT145" s="22"/>
      <c r="HFU145" s="22"/>
      <c r="HFV145" s="22"/>
      <c r="HFW145" s="22"/>
      <c r="HFX145" s="22"/>
      <c r="HFY145" s="22"/>
      <c r="HFZ145" s="22"/>
      <c r="HGA145" s="22"/>
      <c r="HGB145" s="22"/>
      <c r="HGC145" s="22"/>
      <c r="HGD145" s="22"/>
      <c r="HGE145" s="22"/>
      <c r="HGF145" s="22"/>
      <c r="HGG145" s="22"/>
      <c r="HGH145" s="22"/>
      <c r="HGI145" s="22"/>
      <c r="HGJ145" s="22"/>
      <c r="HGK145" s="22"/>
      <c r="HGL145" s="22"/>
      <c r="HGM145" s="22"/>
      <c r="HGN145" s="22"/>
      <c r="HGO145" s="22"/>
      <c r="HGP145" s="22"/>
      <c r="HGQ145" s="22"/>
      <c r="HGR145" s="22"/>
      <c r="HGS145" s="22"/>
      <c r="HGT145" s="22"/>
      <c r="HGU145" s="22"/>
      <c r="HGV145" s="22"/>
      <c r="HGW145" s="22"/>
      <c r="HGX145" s="22"/>
      <c r="HGY145" s="22"/>
      <c r="HGZ145" s="22"/>
      <c r="HHA145" s="22"/>
      <c r="HHB145" s="22"/>
      <c r="HHC145" s="22"/>
      <c r="HHD145" s="22"/>
      <c r="HHE145" s="22"/>
      <c r="HHF145" s="22"/>
      <c r="HHG145" s="22"/>
      <c r="HHH145" s="22"/>
      <c r="HHI145" s="22"/>
      <c r="HHJ145" s="22"/>
      <c r="HHK145" s="22"/>
      <c r="HHL145" s="22"/>
      <c r="HHM145" s="22"/>
      <c r="HHN145" s="22"/>
      <c r="HHO145" s="22"/>
      <c r="HHP145" s="22"/>
      <c r="HHQ145" s="22"/>
      <c r="HHR145" s="22"/>
      <c r="HHS145" s="22"/>
      <c r="HHT145" s="22"/>
      <c r="HHU145" s="22"/>
      <c r="HHV145" s="22"/>
      <c r="HHW145" s="22"/>
      <c r="HHX145" s="22"/>
      <c r="HHY145" s="22"/>
      <c r="HHZ145" s="22"/>
      <c r="HIA145" s="22"/>
      <c r="HIB145" s="22"/>
      <c r="HIC145" s="22"/>
      <c r="HID145" s="22"/>
      <c r="HIE145" s="22"/>
      <c r="HIF145" s="22"/>
      <c r="HIG145" s="22"/>
      <c r="HIH145" s="22"/>
      <c r="HII145" s="22"/>
      <c r="HIJ145" s="22"/>
      <c r="HIK145" s="22"/>
      <c r="HIL145" s="22"/>
      <c r="HIM145" s="22"/>
      <c r="HIN145" s="22"/>
      <c r="HIO145" s="22"/>
      <c r="HIP145" s="22"/>
      <c r="HIQ145" s="22"/>
      <c r="HIR145" s="22"/>
      <c r="HIS145" s="22"/>
      <c r="HIT145" s="22"/>
      <c r="HIU145" s="22"/>
      <c r="HIV145" s="22"/>
      <c r="HIW145" s="22"/>
      <c r="HIX145" s="22"/>
      <c r="HIY145" s="22"/>
      <c r="HIZ145" s="22"/>
      <c r="HJA145" s="22"/>
      <c r="HJB145" s="22"/>
      <c r="HJC145" s="22"/>
      <c r="HJD145" s="22"/>
      <c r="HJE145" s="22"/>
      <c r="HJF145" s="22"/>
      <c r="HJG145" s="22"/>
      <c r="HJH145" s="22"/>
      <c r="HJI145" s="22"/>
      <c r="HJJ145" s="22"/>
      <c r="HJK145" s="22"/>
      <c r="HJL145" s="22"/>
      <c r="HJM145" s="22"/>
      <c r="HJN145" s="22"/>
      <c r="HJO145" s="22"/>
      <c r="HJP145" s="22"/>
      <c r="HJQ145" s="22"/>
      <c r="HJR145" s="22"/>
      <c r="HJS145" s="22"/>
      <c r="HJT145" s="22"/>
      <c r="HJU145" s="22"/>
      <c r="HJV145" s="22"/>
      <c r="HJW145" s="22"/>
      <c r="HJX145" s="22"/>
      <c r="HJY145" s="22"/>
      <c r="HJZ145" s="22"/>
      <c r="HKA145" s="22"/>
      <c r="HKB145" s="22"/>
      <c r="HKC145" s="22"/>
      <c r="HKD145" s="22"/>
      <c r="HKE145" s="22"/>
      <c r="HKF145" s="22"/>
      <c r="HKG145" s="22"/>
      <c r="HKH145" s="22"/>
      <c r="HKI145" s="22"/>
      <c r="HKJ145" s="22"/>
      <c r="HKK145" s="22"/>
      <c r="HKL145" s="22"/>
      <c r="HKM145" s="22"/>
      <c r="HKN145" s="22"/>
      <c r="HKO145" s="22"/>
      <c r="HKP145" s="22"/>
      <c r="HKQ145" s="22"/>
      <c r="HKR145" s="22"/>
      <c r="HKS145" s="22"/>
      <c r="HKT145" s="22"/>
      <c r="HKU145" s="22"/>
      <c r="HKV145" s="22"/>
      <c r="HKW145" s="22"/>
      <c r="HKX145" s="22"/>
      <c r="HKY145" s="22"/>
      <c r="HKZ145" s="22"/>
      <c r="HLA145" s="22"/>
      <c r="HLB145" s="22"/>
      <c r="HLC145" s="22"/>
      <c r="HLD145" s="22"/>
      <c r="HLE145" s="22"/>
      <c r="HLF145" s="22"/>
      <c r="HLG145" s="22"/>
      <c r="HLH145" s="22"/>
      <c r="HLI145" s="22"/>
      <c r="HLJ145" s="22"/>
      <c r="HLK145" s="22"/>
      <c r="HLL145" s="22"/>
      <c r="HLM145" s="22"/>
      <c r="HLN145" s="22"/>
      <c r="HLO145" s="22"/>
      <c r="HLP145" s="22"/>
      <c r="HLQ145" s="22"/>
      <c r="HLR145" s="22"/>
      <c r="HLS145" s="22"/>
      <c r="HLT145" s="22"/>
      <c r="HLU145" s="22"/>
      <c r="HLV145" s="22"/>
      <c r="HLW145" s="22"/>
      <c r="HLX145" s="22"/>
      <c r="HLY145" s="22"/>
      <c r="HLZ145" s="22"/>
      <c r="HMA145" s="22"/>
      <c r="HMB145" s="22"/>
      <c r="HMC145" s="22"/>
      <c r="HMD145" s="22"/>
      <c r="HME145" s="22"/>
      <c r="HMF145" s="22"/>
      <c r="HMG145" s="22"/>
      <c r="HMH145" s="22"/>
      <c r="HMI145" s="22"/>
      <c r="HMJ145" s="22"/>
      <c r="HMK145" s="22"/>
      <c r="HML145" s="22"/>
      <c r="HMM145" s="22"/>
      <c r="HMN145" s="22"/>
      <c r="HMO145" s="22"/>
      <c r="HMP145" s="22"/>
      <c r="HMQ145" s="22"/>
      <c r="HMR145" s="22"/>
      <c r="HMS145" s="22"/>
      <c r="HMT145" s="22"/>
      <c r="HMU145" s="22"/>
      <c r="HMV145" s="22"/>
      <c r="HMW145" s="22"/>
      <c r="HMX145" s="22"/>
      <c r="HMY145" s="22"/>
      <c r="HMZ145" s="22"/>
      <c r="HNA145" s="22"/>
      <c r="HNB145" s="22"/>
      <c r="HNC145" s="22"/>
      <c r="HND145" s="22"/>
      <c r="HNE145" s="22"/>
      <c r="HNF145" s="22"/>
      <c r="HNG145" s="22"/>
      <c r="HNH145" s="22"/>
      <c r="HNI145" s="22"/>
      <c r="HNJ145" s="22"/>
      <c r="HNK145" s="22"/>
      <c r="HNL145" s="22"/>
      <c r="HNM145" s="22"/>
      <c r="HNN145" s="22"/>
      <c r="HNO145" s="22"/>
      <c r="HNP145" s="22"/>
      <c r="HNQ145" s="22"/>
      <c r="HNR145" s="22"/>
      <c r="HNS145" s="22"/>
      <c r="HNT145" s="22"/>
      <c r="HNU145" s="22"/>
      <c r="HNV145" s="22"/>
      <c r="HNW145" s="22"/>
      <c r="HNX145" s="22"/>
      <c r="HNY145" s="22"/>
      <c r="HNZ145" s="22"/>
      <c r="HOA145" s="22"/>
      <c r="HOB145" s="22"/>
      <c r="HOC145" s="22"/>
      <c r="HOD145" s="22"/>
      <c r="HOE145" s="22"/>
      <c r="HOF145" s="22"/>
      <c r="HOG145" s="22"/>
      <c r="HOH145" s="22"/>
      <c r="HOI145" s="22"/>
      <c r="HOJ145" s="22"/>
      <c r="HOK145" s="22"/>
      <c r="HOL145" s="22"/>
      <c r="HOM145" s="22"/>
      <c r="HON145" s="22"/>
      <c r="HOO145" s="22"/>
      <c r="HOP145" s="22"/>
      <c r="HOQ145" s="22"/>
      <c r="HOR145" s="22"/>
      <c r="HOS145" s="22"/>
      <c r="HOT145" s="22"/>
      <c r="HOU145" s="22"/>
      <c r="HOV145" s="22"/>
      <c r="HOW145" s="22"/>
      <c r="HOX145" s="22"/>
      <c r="HOY145" s="22"/>
      <c r="HOZ145" s="22"/>
      <c r="HPA145" s="22"/>
      <c r="HPB145" s="22"/>
      <c r="HPC145" s="22"/>
      <c r="HPD145" s="22"/>
      <c r="HPE145" s="22"/>
      <c r="HPF145" s="22"/>
      <c r="HPG145" s="22"/>
      <c r="HPH145" s="22"/>
      <c r="HPI145" s="22"/>
      <c r="HPJ145" s="22"/>
      <c r="HPK145" s="22"/>
      <c r="HPL145" s="22"/>
      <c r="HPM145" s="22"/>
      <c r="HPN145" s="22"/>
      <c r="HPO145" s="22"/>
      <c r="HPP145" s="22"/>
      <c r="HPQ145" s="22"/>
      <c r="HPR145" s="22"/>
      <c r="HPS145" s="22"/>
      <c r="HPT145" s="22"/>
      <c r="HPU145" s="22"/>
      <c r="HPV145" s="22"/>
      <c r="HPW145" s="22"/>
      <c r="HPX145" s="22"/>
      <c r="HPY145" s="22"/>
      <c r="HPZ145" s="22"/>
      <c r="HQA145" s="22"/>
      <c r="HQB145" s="22"/>
      <c r="HQC145" s="22"/>
      <c r="HQD145" s="22"/>
      <c r="HQE145" s="22"/>
      <c r="HQF145" s="22"/>
      <c r="HQG145" s="22"/>
      <c r="HQH145" s="22"/>
      <c r="HQI145" s="22"/>
      <c r="HQJ145" s="22"/>
      <c r="HQK145" s="22"/>
      <c r="HQL145" s="22"/>
      <c r="HQM145" s="22"/>
      <c r="HQN145" s="22"/>
      <c r="HQO145" s="22"/>
      <c r="HQP145" s="22"/>
      <c r="HQQ145" s="22"/>
      <c r="HQR145" s="22"/>
      <c r="HQS145" s="22"/>
      <c r="HQT145" s="22"/>
      <c r="HQU145" s="22"/>
      <c r="HQV145" s="22"/>
      <c r="HQW145" s="22"/>
      <c r="HQX145" s="22"/>
      <c r="HQY145" s="22"/>
      <c r="HQZ145" s="22"/>
      <c r="HRA145" s="22"/>
      <c r="HRB145" s="22"/>
      <c r="HRC145" s="22"/>
      <c r="HRD145" s="22"/>
      <c r="HRE145" s="22"/>
      <c r="HRF145" s="22"/>
      <c r="HRG145" s="22"/>
      <c r="HRH145" s="22"/>
      <c r="HRI145" s="22"/>
      <c r="HRJ145" s="22"/>
      <c r="HRK145" s="22"/>
      <c r="HRL145" s="22"/>
      <c r="HRM145" s="22"/>
      <c r="HRN145" s="22"/>
      <c r="HRO145" s="22"/>
      <c r="HRP145" s="22"/>
      <c r="HRQ145" s="22"/>
      <c r="HRR145" s="22"/>
      <c r="HRS145" s="22"/>
      <c r="HRT145" s="22"/>
      <c r="HRU145" s="22"/>
      <c r="HRV145" s="22"/>
      <c r="HRW145" s="22"/>
      <c r="HRX145" s="22"/>
      <c r="HRY145" s="22"/>
      <c r="HRZ145" s="22"/>
      <c r="HSA145" s="22"/>
      <c r="HSB145" s="22"/>
      <c r="HSC145" s="22"/>
      <c r="HSD145" s="22"/>
      <c r="HSE145" s="22"/>
      <c r="HSF145" s="22"/>
      <c r="HSG145" s="22"/>
      <c r="HSH145" s="22"/>
      <c r="HSI145" s="22"/>
      <c r="HSJ145" s="22"/>
      <c r="HSK145" s="22"/>
      <c r="HSL145" s="22"/>
      <c r="HSM145" s="22"/>
      <c r="HSN145" s="22"/>
      <c r="HSO145" s="22"/>
      <c r="HSP145" s="22"/>
      <c r="HSQ145" s="22"/>
      <c r="HSR145" s="22"/>
      <c r="HSS145" s="22"/>
      <c r="HST145" s="22"/>
      <c r="HSU145" s="22"/>
      <c r="HSV145" s="22"/>
      <c r="HSW145" s="22"/>
      <c r="HSX145" s="22"/>
      <c r="HSY145" s="22"/>
      <c r="HSZ145" s="22"/>
      <c r="HTA145" s="22"/>
      <c r="HTB145" s="22"/>
      <c r="HTC145" s="22"/>
      <c r="HTD145" s="22"/>
      <c r="HTE145" s="22"/>
      <c r="HTF145" s="22"/>
      <c r="HTG145" s="22"/>
      <c r="HTH145" s="22"/>
      <c r="HTI145" s="22"/>
      <c r="HTJ145" s="22"/>
      <c r="HTK145" s="22"/>
      <c r="HTL145" s="22"/>
      <c r="HTM145" s="22"/>
      <c r="HTN145" s="22"/>
      <c r="HTO145" s="22"/>
      <c r="HTP145" s="22"/>
      <c r="HTQ145" s="22"/>
      <c r="HTR145" s="22"/>
      <c r="HTS145" s="22"/>
      <c r="HTT145" s="22"/>
      <c r="HTU145" s="22"/>
      <c r="HTV145" s="22"/>
      <c r="HTW145" s="22"/>
      <c r="HTX145" s="22"/>
      <c r="HTY145" s="22"/>
      <c r="HTZ145" s="22"/>
      <c r="HUA145" s="22"/>
      <c r="HUB145" s="22"/>
      <c r="HUC145" s="22"/>
      <c r="HUD145" s="22"/>
      <c r="HUE145" s="22"/>
      <c r="HUF145" s="22"/>
      <c r="HUG145" s="22"/>
      <c r="HUH145" s="22"/>
      <c r="HUI145" s="22"/>
      <c r="HUJ145" s="22"/>
      <c r="HUK145" s="22"/>
      <c r="HUL145" s="22"/>
      <c r="HUM145" s="22"/>
      <c r="HUN145" s="22"/>
      <c r="HUO145" s="22"/>
      <c r="HUP145" s="22"/>
      <c r="HUQ145" s="22"/>
      <c r="HUR145" s="22"/>
      <c r="HUS145" s="22"/>
      <c r="HUT145" s="22"/>
      <c r="HUU145" s="22"/>
      <c r="HUV145" s="22"/>
      <c r="HUW145" s="22"/>
      <c r="HUX145" s="22"/>
      <c r="HUY145" s="22"/>
      <c r="HUZ145" s="22"/>
      <c r="HVA145" s="22"/>
      <c r="HVB145" s="22"/>
      <c r="HVC145" s="22"/>
      <c r="HVD145" s="22"/>
      <c r="HVE145" s="22"/>
      <c r="HVF145" s="22"/>
      <c r="HVG145" s="22"/>
      <c r="HVH145" s="22"/>
      <c r="HVI145" s="22"/>
      <c r="HVJ145" s="22"/>
      <c r="HVK145" s="22"/>
      <c r="HVL145" s="22"/>
      <c r="HVM145" s="22"/>
      <c r="HVN145" s="22"/>
      <c r="HVO145" s="22"/>
      <c r="HVP145" s="22"/>
      <c r="HVQ145" s="22"/>
      <c r="HVR145" s="22"/>
      <c r="HVS145" s="22"/>
      <c r="HVT145" s="22"/>
      <c r="HVU145" s="22"/>
      <c r="HVV145" s="22"/>
      <c r="HVW145" s="22"/>
      <c r="HVX145" s="22"/>
      <c r="HVY145" s="22"/>
      <c r="HVZ145" s="22"/>
      <c r="HWA145" s="22"/>
      <c r="HWB145" s="22"/>
      <c r="HWC145" s="22"/>
      <c r="HWD145" s="22"/>
      <c r="HWE145" s="22"/>
      <c r="HWF145" s="22"/>
      <c r="HWG145" s="22"/>
      <c r="HWH145" s="22"/>
      <c r="HWI145" s="22"/>
      <c r="HWJ145" s="22"/>
      <c r="HWK145" s="22"/>
      <c r="HWL145" s="22"/>
      <c r="HWM145" s="22"/>
      <c r="HWN145" s="22"/>
      <c r="HWO145" s="22"/>
      <c r="HWP145" s="22"/>
      <c r="HWQ145" s="22"/>
      <c r="HWR145" s="22"/>
      <c r="HWS145" s="22"/>
      <c r="HWT145" s="22"/>
      <c r="HWU145" s="22"/>
      <c r="HWV145" s="22"/>
      <c r="HWW145" s="22"/>
      <c r="HWX145" s="22"/>
      <c r="HWY145" s="22"/>
      <c r="HWZ145" s="22"/>
      <c r="HXA145" s="22"/>
      <c r="HXB145" s="22"/>
      <c r="HXC145" s="22"/>
      <c r="HXD145" s="22"/>
      <c r="HXE145" s="22"/>
      <c r="HXF145" s="22"/>
      <c r="HXG145" s="22"/>
      <c r="HXH145" s="22"/>
      <c r="HXI145" s="22"/>
      <c r="HXJ145" s="22"/>
      <c r="HXK145" s="22"/>
      <c r="HXL145" s="22"/>
      <c r="HXM145" s="22"/>
      <c r="HXN145" s="22"/>
      <c r="HXO145" s="22"/>
      <c r="HXP145" s="22"/>
      <c r="HXQ145" s="22"/>
      <c r="HXR145" s="22"/>
      <c r="HXS145" s="22"/>
      <c r="HXT145" s="22"/>
      <c r="HXU145" s="22"/>
      <c r="HXV145" s="22"/>
      <c r="HXW145" s="22"/>
      <c r="HXX145" s="22"/>
      <c r="HXY145" s="22"/>
      <c r="HXZ145" s="22"/>
      <c r="HYA145" s="22"/>
      <c r="HYB145" s="22"/>
      <c r="HYC145" s="22"/>
      <c r="HYD145" s="22"/>
      <c r="HYE145" s="22"/>
      <c r="HYF145" s="22"/>
      <c r="HYG145" s="22"/>
      <c r="HYH145" s="22"/>
      <c r="HYI145" s="22"/>
      <c r="HYJ145" s="22"/>
      <c r="HYK145" s="22"/>
      <c r="HYL145" s="22"/>
      <c r="HYM145" s="22"/>
      <c r="HYN145" s="22"/>
      <c r="HYO145" s="22"/>
      <c r="HYP145" s="22"/>
      <c r="HYQ145" s="22"/>
      <c r="HYR145" s="22"/>
      <c r="HYS145" s="22"/>
      <c r="HYT145" s="22"/>
      <c r="HYU145" s="22"/>
      <c r="HYV145" s="22"/>
      <c r="HYW145" s="22"/>
      <c r="HYX145" s="22"/>
      <c r="HYY145" s="22"/>
      <c r="HYZ145" s="22"/>
      <c r="HZA145" s="22"/>
      <c r="HZB145" s="22"/>
      <c r="HZC145" s="22"/>
      <c r="HZD145" s="22"/>
      <c r="HZE145" s="22"/>
      <c r="HZF145" s="22"/>
      <c r="HZG145" s="22"/>
      <c r="HZH145" s="22"/>
      <c r="HZI145" s="22"/>
      <c r="HZJ145" s="22"/>
      <c r="HZK145" s="22"/>
      <c r="HZL145" s="22"/>
      <c r="HZM145" s="22"/>
      <c r="HZN145" s="22"/>
      <c r="HZO145" s="22"/>
      <c r="HZP145" s="22"/>
      <c r="HZQ145" s="22"/>
      <c r="HZR145" s="22"/>
      <c r="HZS145" s="22"/>
      <c r="HZT145" s="22"/>
      <c r="HZU145" s="22"/>
      <c r="HZV145" s="22"/>
      <c r="HZW145" s="22"/>
      <c r="HZX145" s="22"/>
      <c r="HZY145" s="22"/>
      <c r="HZZ145" s="22"/>
      <c r="IAA145" s="22"/>
      <c r="IAB145" s="22"/>
      <c r="IAC145" s="22"/>
      <c r="IAD145" s="22"/>
      <c r="IAE145" s="22"/>
      <c r="IAF145" s="22"/>
      <c r="IAG145" s="22"/>
      <c r="IAH145" s="22"/>
      <c r="IAI145" s="22"/>
      <c r="IAJ145" s="22"/>
      <c r="IAK145" s="22"/>
      <c r="IAL145" s="22"/>
      <c r="IAM145" s="22"/>
      <c r="IAN145" s="22"/>
      <c r="IAO145" s="22"/>
      <c r="IAP145" s="22"/>
      <c r="IAQ145" s="22"/>
      <c r="IAR145" s="22"/>
      <c r="IAS145" s="22"/>
      <c r="IAT145" s="22"/>
      <c r="IAU145" s="22"/>
      <c r="IAV145" s="22"/>
      <c r="IAW145" s="22"/>
      <c r="IAX145" s="22"/>
      <c r="IAY145" s="22"/>
      <c r="IAZ145" s="22"/>
      <c r="IBA145" s="22"/>
      <c r="IBB145" s="22"/>
      <c r="IBC145" s="22"/>
      <c r="IBD145" s="22"/>
      <c r="IBE145" s="22"/>
      <c r="IBF145" s="22"/>
      <c r="IBG145" s="22"/>
      <c r="IBH145" s="22"/>
      <c r="IBI145" s="22"/>
      <c r="IBJ145" s="22"/>
      <c r="IBK145" s="22"/>
      <c r="IBL145" s="22"/>
      <c r="IBM145" s="22"/>
      <c r="IBN145" s="22"/>
      <c r="IBO145" s="22"/>
      <c r="IBP145" s="22"/>
      <c r="IBQ145" s="22"/>
      <c r="IBR145" s="22"/>
      <c r="IBS145" s="22"/>
      <c r="IBT145" s="22"/>
      <c r="IBU145" s="22"/>
      <c r="IBV145" s="22"/>
      <c r="IBW145" s="22"/>
      <c r="IBX145" s="22"/>
      <c r="IBY145" s="22"/>
      <c r="IBZ145" s="22"/>
      <c r="ICA145" s="22"/>
      <c r="ICB145" s="22"/>
      <c r="ICC145" s="22"/>
      <c r="ICD145" s="22"/>
      <c r="ICE145" s="22"/>
      <c r="ICF145" s="22"/>
      <c r="ICG145" s="22"/>
      <c r="ICH145" s="22"/>
      <c r="ICI145" s="22"/>
      <c r="ICJ145" s="22"/>
      <c r="ICK145" s="22"/>
      <c r="ICL145" s="22"/>
      <c r="ICM145" s="22"/>
      <c r="ICN145" s="22"/>
      <c r="ICO145" s="22"/>
      <c r="ICP145" s="22"/>
      <c r="ICQ145" s="22"/>
      <c r="ICR145" s="22"/>
      <c r="ICS145" s="22"/>
      <c r="ICT145" s="22"/>
      <c r="ICU145" s="22"/>
      <c r="ICV145" s="22"/>
      <c r="ICW145" s="22"/>
      <c r="ICX145" s="22"/>
      <c r="ICY145" s="22"/>
      <c r="ICZ145" s="22"/>
      <c r="IDA145" s="22"/>
      <c r="IDB145" s="22"/>
      <c r="IDC145" s="22"/>
      <c r="IDD145" s="22"/>
      <c r="IDE145" s="22"/>
      <c r="IDF145" s="22"/>
      <c r="IDG145" s="22"/>
      <c r="IDH145" s="22"/>
      <c r="IDI145" s="22"/>
      <c r="IDJ145" s="22"/>
      <c r="IDK145" s="22"/>
      <c r="IDL145" s="22"/>
      <c r="IDM145" s="22"/>
      <c r="IDN145" s="22"/>
      <c r="IDO145" s="22"/>
      <c r="IDP145" s="22"/>
      <c r="IDQ145" s="22"/>
      <c r="IDR145" s="22"/>
      <c r="IDS145" s="22"/>
      <c r="IDT145" s="22"/>
      <c r="IDU145" s="22"/>
      <c r="IDV145" s="22"/>
      <c r="IDW145" s="22"/>
      <c r="IDX145" s="22"/>
      <c r="IDY145" s="22"/>
      <c r="IDZ145" s="22"/>
      <c r="IEA145" s="22"/>
      <c r="IEB145" s="22"/>
      <c r="IEC145" s="22"/>
      <c r="IED145" s="22"/>
      <c r="IEE145" s="22"/>
      <c r="IEF145" s="22"/>
      <c r="IEG145" s="22"/>
      <c r="IEH145" s="22"/>
      <c r="IEI145" s="22"/>
      <c r="IEJ145" s="22"/>
      <c r="IEK145" s="22"/>
      <c r="IEL145" s="22"/>
      <c r="IEM145" s="22"/>
      <c r="IEN145" s="22"/>
      <c r="IEO145" s="22"/>
      <c r="IEP145" s="22"/>
      <c r="IEQ145" s="22"/>
      <c r="IER145" s="22"/>
      <c r="IES145" s="22"/>
      <c r="IET145" s="22"/>
      <c r="IEU145" s="22"/>
      <c r="IEV145" s="22"/>
      <c r="IEW145" s="22"/>
      <c r="IEX145" s="22"/>
      <c r="IEY145" s="22"/>
      <c r="IEZ145" s="22"/>
      <c r="IFA145" s="22"/>
      <c r="IFB145" s="22"/>
      <c r="IFC145" s="22"/>
      <c r="IFD145" s="22"/>
      <c r="IFE145" s="22"/>
      <c r="IFF145" s="22"/>
      <c r="IFG145" s="22"/>
      <c r="IFH145" s="22"/>
      <c r="IFI145" s="22"/>
      <c r="IFJ145" s="22"/>
      <c r="IFK145" s="22"/>
      <c r="IFL145" s="22"/>
      <c r="IFM145" s="22"/>
      <c r="IFN145" s="22"/>
      <c r="IFO145" s="22"/>
      <c r="IFP145" s="22"/>
      <c r="IFQ145" s="22"/>
      <c r="IFR145" s="22"/>
      <c r="IFS145" s="22"/>
      <c r="IFT145" s="22"/>
      <c r="IFU145" s="22"/>
      <c r="IFV145" s="22"/>
      <c r="IFW145" s="22"/>
      <c r="IFX145" s="22"/>
      <c r="IFY145" s="22"/>
      <c r="IFZ145" s="22"/>
      <c r="IGA145" s="22"/>
      <c r="IGB145" s="22"/>
      <c r="IGC145" s="22"/>
      <c r="IGD145" s="22"/>
      <c r="IGE145" s="22"/>
      <c r="IGF145" s="22"/>
      <c r="IGG145" s="22"/>
      <c r="IGH145" s="22"/>
      <c r="IGI145" s="22"/>
      <c r="IGJ145" s="22"/>
      <c r="IGK145" s="22"/>
      <c r="IGL145" s="22"/>
      <c r="IGM145" s="22"/>
      <c r="IGN145" s="22"/>
      <c r="IGO145" s="22"/>
      <c r="IGP145" s="22"/>
      <c r="IGQ145" s="22"/>
      <c r="IGR145" s="22"/>
      <c r="IGS145" s="22"/>
      <c r="IGT145" s="22"/>
      <c r="IGU145" s="22"/>
      <c r="IGV145" s="22"/>
      <c r="IGW145" s="22"/>
      <c r="IGX145" s="22"/>
      <c r="IGY145" s="22"/>
      <c r="IGZ145" s="22"/>
      <c r="IHA145" s="22"/>
      <c r="IHB145" s="22"/>
      <c r="IHC145" s="22"/>
      <c r="IHD145" s="22"/>
      <c r="IHE145" s="22"/>
      <c r="IHF145" s="22"/>
      <c r="IHG145" s="22"/>
      <c r="IHH145" s="22"/>
      <c r="IHI145" s="22"/>
      <c r="IHJ145" s="22"/>
      <c r="IHK145" s="22"/>
      <c r="IHL145" s="22"/>
      <c r="IHM145" s="22"/>
      <c r="IHN145" s="22"/>
      <c r="IHO145" s="22"/>
      <c r="IHP145" s="22"/>
      <c r="IHQ145" s="22"/>
      <c r="IHR145" s="22"/>
      <c r="IHS145" s="22"/>
      <c r="IHT145" s="22"/>
      <c r="IHU145" s="22"/>
      <c r="IHV145" s="22"/>
      <c r="IHW145" s="22"/>
      <c r="IHX145" s="22"/>
      <c r="IHY145" s="22"/>
      <c r="IHZ145" s="22"/>
      <c r="IIA145" s="22"/>
      <c r="IIB145" s="22"/>
      <c r="IIC145" s="22"/>
      <c r="IID145" s="22"/>
      <c r="IIE145" s="22"/>
      <c r="IIF145" s="22"/>
      <c r="IIG145" s="22"/>
      <c r="IIH145" s="22"/>
      <c r="III145" s="22"/>
      <c r="IIJ145" s="22"/>
      <c r="IIK145" s="22"/>
      <c r="IIL145" s="22"/>
      <c r="IIM145" s="22"/>
      <c r="IIN145" s="22"/>
      <c r="IIO145" s="22"/>
      <c r="IIP145" s="22"/>
      <c r="IIQ145" s="22"/>
      <c r="IIR145" s="22"/>
      <c r="IIS145" s="22"/>
      <c r="IIT145" s="22"/>
      <c r="IIU145" s="22"/>
      <c r="IIV145" s="22"/>
      <c r="IIW145" s="22"/>
      <c r="IIX145" s="22"/>
      <c r="IIY145" s="22"/>
      <c r="IIZ145" s="22"/>
      <c r="IJA145" s="22"/>
      <c r="IJB145" s="22"/>
      <c r="IJC145" s="22"/>
      <c r="IJD145" s="22"/>
      <c r="IJE145" s="22"/>
      <c r="IJF145" s="22"/>
      <c r="IJG145" s="22"/>
      <c r="IJH145" s="22"/>
      <c r="IJI145" s="22"/>
      <c r="IJJ145" s="22"/>
      <c r="IJK145" s="22"/>
      <c r="IJL145" s="22"/>
      <c r="IJM145" s="22"/>
      <c r="IJN145" s="22"/>
      <c r="IJO145" s="22"/>
      <c r="IJP145" s="22"/>
      <c r="IJQ145" s="22"/>
      <c r="IJR145" s="22"/>
      <c r="IJS145" s="22"/>
      <c r="IJT145" s="22"/>
      <c r="IJU145" s="22"/>
      <c r="IJV145" s="22"/>
      <c r="IJW145" s="22"/>
      <c r="IJX145" s="22"/>
      <c r="IJY145" s="22"/>
      <c r="IJZ145" s="22"/>
      <c r="IKA145" s="22"/>
      <c r="IKB145" s="22"/>
      <c r="IKC145" s="22"/>
      <c r="IKD145" s="22"/>
      <c r="IKE145" s="22"/>
      <c r="IKF145" s="22"/>
      <c r="IKG145" s="22"/>
      <c r="IKH145" s="22"/>
      <c r="IKI145" s="22"/>
      <c r="IKJ145" s="22"/>
      <c r="IKK145" s="22"/>
      <c r="IKL145" s="22"/>
      <c r="IKM145" s="22"/>
      <c r="IKN145" s="22"/>
      <c r="IKO145" s="22"/>
      <c r="IKP145" s="22"/>
      <c r="IKQ145" s="22"/>
      <c r="IKR145" s="22"/>
      <c r="IKS145" s="22"/>
      <c r="IKT145" s="22"/>
      <c r="IKU145" s="22"/>
      <c r="IKV145" s="22"/>
      <c r="IKW145" s="22"/>
      <c r="IKX145" s="22"/>
      <c r="IKY145" s="22"/>
      <c r="IKZ145" s="22"/>
      <c r="ILA145" s="22"/>
      <c r="ILB145" s="22"/>
      <c r="ILC145" s="22"/>
      <c r="ILD145" s="22"/>
      <c r="ILE145" s="22"/>
      <c r="ILF145" s="22"/>
      <c r="ILG145" s="22"/>
      <c r="ILH145" s="22"/>
      <c r="ILI145" s="22"/>
      <c r="ILJ145" s="22"/>
      <c r="ILK145" s="22"/>
      <c r="ILL145" s="22"/>
      <c r="ILM145" s="22"/>
      <c r="ILN145" s="22"/>
      <c r="ILO145" s="22"/>
      <c r="ILP145" s="22"/>
      <c r="ILQ145" s="22"/>
      <c r="ILR145" s="22"/>
      <c r="ILS145" s="22"/>
      <c r="ILT145" s="22"/>
      <c r="ILU145" s="22"/>
      <c r="ILV145" s="22"/>
      <c r="ILW145" s="22"/>
      <c r="ILX145" s="22"/>
      <c r="ILY145" s="22"/>
      <c r="ILZ145" s="22"/>
      <c r="IMA145" s="22"/>
      <c r="IMB145" s="22"/>
      <c r="IMC145" s="22"/>
      <c r="IMD145" s="22"/>
      <c r="IME145" s="22"/>
      <c r="IMF145" s="22"/>
      <c r="IMG145" s="22"/>
      <c r="IMH145" s="22"/>
      <c r="IMI145" s="22"/>
      <c r="IMJ145" s="22"/>
      <c r="IMK145" s="22"/>
      <c r="IML145" s="22"/>
      <c r="IMM145" s="22"/>
      <c r="IMN145" s="22"/>
      <c r="IMO145" s="22"/>
      <c r="IMP145" s="22"/>
      <c r="IMQ145" s="22"/>
      <c r="IMR145" s="22"/>
      <c r="IMS145" s="22"/>
      <c r="IMT145" s="22"/>
      <c r="IMU145" s="22"/>
      <c r="IMV145" s="22"/>
      <c r="IMW145" s="22"/>
      <c r="IMX145" s="22"/>
      <c r="IMY145" s="22"/>
      <c r="IMZ145" s="22"/>
      <c r="INA145" s="22"/>
      <c r="INB145" s="22"/>
      <c r="INC145" s="22"/>
      <c r="IND145" s="22"/>
      <c r="INE145" s="22"/>
      <c r="INF145" s="22"/>
      <c r="ING145" s="22"/>
      <c r="INH145" s="22"/>
      <c r="INI145" s="22"/>
      <c r="INJ145" s="22"/>
      <c r="INK145" s="22"/>
      <c r="INL145" s="22"/>
      <c r="INM145" s="22"/>
      <c r="INN145" s="22"/>
      <c r="INO145" s="22"/>
      <c r="INP145" s="22"/>
      <c r="INQ145" s="22"/>
      <c r="INR145" s="22"/>
      <c r="INS145" s="22"/>
      <c r="INT145" s="22"/>
      <c r="INU145" s="22"/>
      <c r="INV145" s="22"/>
      <c r="INW145" s="22"/>
      <c r="INX145" s="22"/>
      <c r="INY145" s="22"/>
      <c r="INZ145" s="22"/>
      <c r="IOA145" s="22"/>
      <c r="IOB145" s="22"/>
      <c r="IOC145" s="22"/>
      <c r="IOD145" s="22"/>
      <c r="IOE145" s="22"/>
      <c r="IOF145" s="22"/>
      <c r="IOG145" s="22"/>
      <c r="IOH145" s="22"/>
      <c r="IOI145" s="22"/>
      <c r="IOJ145" s="22"/>
      <c r="IOK145" s="22"/>
      <c r="IOL145" s="22"/>
      <c r="IOM145" s="22"/>
      <c r="ION145" s="22"/>
      <c r="IOO145" s="22"/>
      <c r="IOP145" s="22"/>
      <c r="IOQ145" s="22"/>
      <c r="IOR145" s="22"/>
      <c r="IOS145" s="22"/>
      <c r="IOT145" s="22"/>
      <c r="IOU145" s="22"/>
      <c r="IOV145" s="22"/>
      <c r="IOW145" s="22"/>
      <c r="IOX145" s="22"/>
      <c r="IOY145" s="22"/>
      <c r="IOZ145" s="22"/>
      <c r="IPA145" s="22"/>
      <c r="IPB145" s="22"/>
      <c r="IPC145" s="22"/>
      <c r="IPD145" s="22"/>
      <c r="IPE145" s="22"/>
      <c r="IPF145" s="22"/>
      <c r="IPG145" s="22"/>
      <c r="IPH145" s="22"/>
      <c r="IPI145" s="22"/>
      <c r="IPJ145" s="22"/>
      <c r="IPK145" s="22"/>
      <c r="IPL145" s="22"/>
      <c r="IPM145" s="22"/>
      <c r="IPN145" s="22"/>
      <c r="IPO145" s="22"/>
      <c r="IPP145" s="22"/>
      <c r="IPQ145" s="22"/>
      <c r="IPR145" s="22"/>
      <c r="IPS145" s="22"/>
      <c r="IPT145" s="22"/>
      <c r="IPU145" s="22"/>
      <c r="IPV145" s="22"/>
      <c r="IPW145" s="22"/>
      <c r="IPX145" s="22"/>
      <c r="IPY145" s="22"/>
      <c r="IPZ145" s="22"/>
      <c r="IQA145" s="22"/>
      <c r="IQB145" s="22"/>
      <c r="IQC145" s="22"/>
      <c r="IQD145" s="22"/>
      <c r="IQE145" s="22"/>
      <c r="IQF145" s="22"/>
      <c r="IQG145" s="22"/>
      <c r="IQH145" s="22"/>
      <c r="IQI145" s="22"/>
      <c r="IQJ145" s="22"/>
      <c r="IQK145" s="22"/>
      <c r="IQL145" s="22"/>
      <c r="IQM145" s="22"/>
      <c r="IQN145" s="22"/>
      <c r="IQO145" s="22"/>
      <c r="IQP145" s="22"/>
      <c r="IQQ145" s="22"/>
      <c r="IQR145" s="22"/>
      <c r="IQS145" s="22"/>
      <c r="IQT145" s="22"/>
      <c r="IQU145" s="22"/>
      <c r="IQV145" s="22"/>
      <c r="IQW145" s="22"/>
      <c r="IQX145" s="22"/>
      <c r="IQY145" s="22"/>
      <c r="IQZ145" s="22"/>
      <c r="IRA145" s="22"/>
      <c r="IRB145" s="22"/>
      <c r="IRC145" s="22"/>
      <c r="IRD145" s="22"/>
      <c r="IRE145" s="22"/>
      <c r="IRF145" s="22"/>
      <c r="IRG145" s="22"/>
      <c r="IRH145" s="22"/>
      <c r="IRI145" s="22"/>
      <c r="IRJ145" s="22"/>
      <c r="IRK145" s="22"/>
      <c r="IRL145" s="22"/>
      <c r="IRM145" s="22"/>
      <c r="IRN145" s="22"/>
      <c r="IRO145" s="22"/>
      <c r="IRP145" s="22"/>
      <c r="IRQ145" s="22"/>
      <c r="IRR145" s="22"/>
      <c r="IRS145" s="22"/>
      <c r="IRT145" s="22"/>
      <c r="IRU145" s="22"/>
      <c r="IRV145" s="22"/>
      <c r="IRW145" s="22"/>
      <c r="IRX145" s="22"/>
      <c r="IRY145" s="22"/>
      <c r="IRZ145" s="22"/>
      <c r="ISA145" s="22"/>
      <c r="ISB145" s="22"/>
      <c r="ISC145" s="22"/>
      <c r="ISD145" s="22"/>
      <c r="ISE145" s="22"/>
      <c r="ISF145" s="22"/>
      <c r="ISG145" s="22"/>
      <c r="ISH145" s="22"/>
      <c r="ISI145" s="22"/>
      <c r="ISJ145" s="22"/>
      <c r="ISK145" s="22"/>
      <c r="ISL145" s="22"/>
      <c r="ISM145" s="22"/>
      <c r="ISN145" s="22"/>
      <c r="ISO145" s="22"/>
      <c r="ISP145" s="22"/>
      <c r="ISQ145" s="22"/>
      <c r="ISR145" s="22"/>
      <c r="ISS145" s="22"/>
      <c r="IST145" s="22"/>
      <c r="ISU145" s="22"/>
      <c r="ISV145" s="22"/>
      <c r="ISW145" s="22"/>
      <c r="ISX145" s="22"/>
      <c r="ISY145" s="22"/>
      <c r="ISZ145" s="22"/>
      <c r="ITA145" s="22"/>
      <c r="ITB145" s="22"/>
      <c r="ITC145" s="22"/>
      <c r="ITD145" s="22"/>
      <c r="ITE145" s="22"/>
      <c r="ITF145" s="22"/>
      <c r="ITG145" s="22"/>
      <c r="ITH145" s="22"/>
      <c r="ITI145" s="22"/>
      <c r="ITJ145" s="22"/>
      <c r="ITK145" s="22"/>
      <c r="ITL145" s="22"/>
      <c r="ITM145" s="22"/>
      <c r="ITN145" s="22"/>
      <c r="ITO145" s="22"/>
      <c r="ITP145" s="22"/>
      <c r="ITQ145" s="22"/>
      <c r="ITR145" s="22"/>
      <c r="ITS145" s="22"/>
      <c r="ITT145" s="22"/>
      <c r="ITU145" s="22"/>
      <c r="ITV145" s="22"/>
      <c r="ITW145" s="22"/>
      <c r="ITX145" s="22"/>
      <c r="ITY145" s="22"/>
      <c r="ITZ145" s="22"/>
      <c r="IUA145" s="22"/>
      <c r="IUB145" s="22"/>
      <c r="IUC145" s="22"/>
      <c r="IUD145" s="22"/>
      <c r="IUE145" s="22"/>
      <c r="IUF145" s="22"/>
      <c r="IUG145" s="22"/>
      <c r="IUH145" s="22"/>
      <c r="IUI145" s="22"/>
      <c r="IUJ145" s="22"/>
      <c r="IUK145" s="22"/>
      <c r="IUL145" s="22"/>
      <c r="IUM145" s="22"/>
      <c r="IUN145" s="22"/>
      <c r="IUO145" s="22"/>
      <c r="IUP145" s="22"/>
      <c r="IUQ145" s="22"/>
      <c r="IUR145" s="22"/>
      <c r="IUS145" s="22"/>
      <c r="IUT145" s="22"/>
      <c r="IUU145" s="22"/>
      <c r="IUV145" s="22"/>
      <c r="IUW145" s="22"/>
      <c r="IUX145" s="22"/>
      <c r="IUY145" s="22"/>
      <c r="IUZ145" s="22"/>
      <c r="IVA145" s="22"/>
      <c r="IVB145" s="22"/>
      <c r="IVC145" s="22"/>
      <c r="IVD145" s="22"/>
      <c r="IVE145" s="22"/>
      <c r="IVF145" s="22"/>
      <c r="IVG145" s="22"/>
      <c r="IVH145" s="22"/>
      <c r="IVI145" s="22"/>
      <c r="IVJ145" s="22"/>
      <c r="IVK145" s="22"/>
      <c r="IVL145" s="22"/>
      <c r="IVM145" s="22"/>
      <c r="IVN145" s="22"/>
      <c r="IVO145" s="22"/>
      <c r="IVP145" s="22"/>
      <c r="IVQ145" s="22"/>
      <c r="IVR145" s="22"/>
      <c r="IVS145" s="22"/>
      <c r="IVT145" s="22"/>
      <c r="IVU145" s="22"/>
      <c r="IVV145" s="22"/>
      <c r="IVW145" s="22"/>
      <c r="IVX145" s="22"/>
      <c r="IVY145" s="22"/>
      <c r="IVZ145" s="22"/>
      <c r="IWA145" s="22"/>
      <c r="IWB145" s="22"/>
      <c r="IWC145" s="22"/>
      <c r="IWD145" s="22"/>
      <c r="IWE145" s="22"/>
      <c r="IWF145" s="22"/>
      <c r="IWG145" s="22"/>
      <c r="IWH145" s="22"/>
      <c r="IWI145" s="22"/>
      <c r="IWJ145" s="22"/>
      <c r="IWK145" s="22"/>
      <c r="IWL145" s="22"/>
      <c r="IWM145" s="22"/>
      <c r="IWN145" s="22"/>
      <c r="IWO145" s="22"/>
      <c r="IWP145" s="22"/>
      <c r="IWQ145" s="22"/>
      <c r="IWR145" s="22"/>
      <c r="IWS145" s="22"/>
      <c r="IWT145" s="22"/>
      <c r="IWU145" s="22"/>
      <c r="IWV145" s="22"/>
      <c r="IWW145" s="22"/>
      <c r="IWX145" s="22"/>
      <c r="IWY145" s="22"/>
      <c r="IWZ145" s="22"/>
      <c r="IXA145" s="22"/>
      <c r="IXB145" s="22"/>
      <c r="IXC145" s="22"/>
      <c r="IXD145" s="22"/>
      <c r="IXE145" s="22"/>
      <c r="IXF145" s="22"/>
      <c r="IXG145" s="22"/>
      <c r="IXH145" s="22"/>
      <c r="IXI145" s="22"/>
      <c r="IXJ145" s="22"/>
      <c r="IXK145" s="22"/>
      <c r="IXL145" s="22"/>
      <c r="IXM145" s="22"/>
      <c r="IXN145" s="22"/>
      <c r="IXO145" s="22"/>
      <c r="IXP145" s="22"/>
      <c r="IXQ145" s="22"/>
      <c r="IXR145" s="22"/>
      <c r="IXS145" s="22"/>
      <c r="IXT145" s="22"/>
      <c r="IXU145" s="22"/>
      <c r="IXV145" s="22"/>
      <c r="IXW145" s="22"/>
      <c r="IXX145" s="22"/>
      <c r="IXY145" s="22"/>
      <c r="IXZ145" s="22"/>
      <c r="IYA145" s="22"/>
      <c r="IYB145" s="22"/>
      <c r="IYC145" s="22"/>
      <c r="IYD145" s="22"/>
      <c r="IYE145" s="22"/>
      <c r="IYF145" s="22"/>
      <c r="IYG145" s="22"/>
      <c r="IYH145" s="22"/>
      <c r="IYI145" s="22"/>
      <c r="IYJ145" s="22"/>
      <c r="IYK145" s="22"/>
      <c r="IYL145" s="22"/>
      <c r="IYM145" s="22"/>
      <c r="IYN145" s="22"/>
      <c r="IYO145" s="22"/>
      <c r="IYP145" s="22"/>
      <c r="IYQ145" s="22"/>
      <c r="IYR145" s="22"/>
      <c r="IYS145" s="22"/>
      <c r="IYT145" s="22"/>
      <c r="IYU145" s="22"/>
      <c r="IYV145" s="22"/>
      <c r="IYW145" s="22"/>
      <c r="IYX145" s="22"/>
      <c r="IYY145" s="22"/>
      <c r="IYZ145" s="22"/>
      <c r="IZA145" s="22"/>
      <c r="IZB145" s="22"/>
      <c r="IZC145" s="22"/>
      <c r="IZD145" s="22"/>
      <c r="IZE145" s="22"/>
      <c r="IZF145" s="22"/>
      <c r="IZG145" s="22"/>
      <c r="IZH145" s="22"/>
      <c r="IZI145" s="22"/>
      <c r="IZJ145" s="22"/>
      <c r="IZK145" s="22"/>
      <c r="IZL145" s="22"/>
      <c r="IZM145" s="22"/>
      <c r="IZN145" s="22"/>
      <c r="IZO145" s="22"/>
      <c r="IZP145" s="22"/>
      <c r="IZQ145" s="22"/>
      <c r="IZR145" s="22"/>
      <c r="IZS145" s="22"/>
      <c r="IZT145" s="22"/>
      <c r="IZU145" s="22"/>
      <c r="IZV145" s="22"/>
      <c r="IZW145" s="22"/>
      <c r="IZX145" s="22"/>
      <c r="IZY145" s="22"/>
      <c r="IZZ145" s="22"/>
      <c r="JAA145" s="22"/>
      <c r="JAB145" s="22"/>
      <c r="JAC145" s="22"/>
      <c r="JAD145" s="22"/>
      <c r="JAE145" s="22"/>
      <c r="JAF145" s="22"/>
      <c r="JAG145" s="22"/>
      <c r="JAH145" s="22"/>
      <c r="JAI145" s="22"/>
      <c r="JAJ145" s="22"/>
      <c r="JAK145" s="22"/>
      <c r="JAL145" s="22"/>
      <c r="JAM145" s="22"/>
      <c r="JAN145" s="22"/>
      <c r="JAO145" s="22"/>
      <c r="JAP145" s="22"/>
      <c r="JAQ145" s="22"/>
      <c r="JAR145" s="22"/>
      <c r="JAS145" s="22"/>
      <c r="JAT145" s="22"/>
      <c r="JAU145" s="22"/>
      <c r="JAV145" s="22"/>
      <c r="JAW145" s="22"/>
      <c r="JAX145" s="22"/>
      <c r="JAY145" s="22"/>
      <c r="JAZ145" s="22"/>
      <c r="JBA145" s="22"/>
      <c r="JBB145" s="22"/>
      <c r="JBC145" s="22"/>
      <c r="JBD145" s="22"/>
      <c r="JBE145" s="22"/>
      <c r="JBF145" s="22"/>
      <c r="JBG145" s="22"/>
      <c r="JBH145" s="22"/>
      <c r="JBI145" s="22"/>
      <c r="JBJ145" s="22"/>
      <c r="JBK145" s="22"/>
      <c r="JBL145" s="22"/>
      <c r="JBM145" s="22"/>
      <c r="JBN145" s="22"/>
      <c r="JBO145" s="22"/>
      <c r="JBP145" s="22"/>
      <c r="JBQ145" s="22"/>
      <c r="JBR145" s="22"/>
      <c r="JBS145" s="22"/>
      <c r="JBT145" s="22"/>
      <c r="JBU145" s="22"/>
      <c r="JBV145" s="22"/>
      <c r="JBW145" s="22"/>
      <c r="JBX145" s="22"/>
      <c r="JBY145" s="22"/>
      <c r="JBZ145" s="22"/>
      <c r="JCA145" s="22"/>
      <c r="JCB145" s="22"/>
      <c r="JCC145" s="22"/>
      <c r="JCD145" s="22"/>
      <c r="JCE145" s="22"/>
      <c r="JCF145" s="22"/>
      <c r="JCG145" s="22"/>
      <c r="JCH145" s="22"/>
      <c r="JCI145" s="22"/>
      <c r="JCJ145" s="22"/>
      <c r="JCK145" s="22"/>
      <c r="JCL145" s="22"/>
      <c r="JCM145" s="22"/>
      <c r="JCN145" s="22"/>
      <c r="JCO145" s="22"/>
      <c r="JCP145" s="22"/>
      <c r="JCQ145" s="22"/>
      <c r="JCR145" s="22"/>
      <c r="JCS145" s="22"/>
      <c r="JCT145" s="22"/>
      <c r="JCU145" s="22"/>
      <c r="JCV145" s="22"/>
      <c r="JCW145" s="22"/>
      <c r="JCX145" s="22"/>
      <c r="JCY145" s="22"/>
      <c r="JCZ145" s="22"/>
      <c r="JDA145" s="22"/>
      <c r="JDB145" s="22"/>
      <c r="JDC145" s="22"/>
      <c r="JDD145" s="22"/>
      <c r="JDE145" s="22"/>
      <c r="JDF145" s="22"/>
      <c r="JDG145" s="22"/>
      <c r="JDH145" s="22"/>
      <c r="JDI145" s="22"/>
      <c r="JDJ145" s="22"/>
      <c r="JDK145" s="22"/>
      <c r="JDL145" s="22"/>
      <c r="JDM145" s="22"/>
      <c r="JDN145" s="22"/>
      <c r="JDO145" s="22"/>
      <c r="JDP145" s="22"/>
      <c r="JDQ145" s="22"/>
      <c r="JDR145" s="22"/>
      <c r="JDS145" s="22"/>
      <c r="JDT145" s="22"/>
      <c r="JDU145" s="22"/>
      <c r="JDV145" s="22"/>
      <c r="JDW145" s="22"/>
      <c r="JDX145" s="22"/>
      <c r="JDY145" s="22"/>
      <c r="JDZ145" s="22"/>
      <c r="JEA145" s="22"/>
      <c r="JEB145" s="22"/>
      <c r="JEC145" s="22"/>
      <c r="JED145" s="22"/>
      <c r="JEE145" s="22"/>
      <c r="JEF145" s="22"/>
      <c r="JEG145" s="22"/>
      <c r="JEH145" s="22"/>
      <c r="JEI145" s="22"/>
      <c r="JEJ145" s="22"/>
      <c r="JEK145" s="22"/>
      <c r="JEL145" s="22"/>
      <c r="JEM145" s="22"/>
      <c r="JEN145" s="22"/>
      <c r="JEO145" s="22"/>
      <c r="JEP145" s="22"/>
      <c r="JEQ145" s="22"/>
      <c r="JER145" s="22"/>
      <c r="JES145" s="22"/>
      <c r="JET145" s="22"/>
      <c r="JEU145" s="22"/>
      <c r="JEV145" s="22"/>
      <c r="JEW145" s="22"/>
      <c r="JEX145" s="22"/>
      <c r="JEY145" s="22"/>
      <c r="JEZ145" s="22"/>
      <c r="JFA145" s="22"/>
      <c r="JFB145" s="22"/>
      <c r="JFC145" s="22"/>
      <c r="JFD145" s="22"/>
      <c r="JFE145" s="22"/>
      <c r="JFF145" s="22"/>
      <c r="JFG145" s="22"/>
      <c r="JFH145" s="22"/>
      <c r="JFI145" s="22"/>
      <c r="JFJ145" s="22"/>
      <c r="JFK145" s="22"/>
      <c r="JFL145" s="22"/>
      <c r="JFM145" s="22"/>
      <c r="JFN145" s="22"/>
      <c r="JFO145" s="22"/>
      <c r="JFP145" s="22"/>
      <c r="JFQ145" s="22"/>
      <c r="JFR145" s="22"/>
      <c r="JFS145" s="22"/>
      <c r="JFT145" s="22"/>
      <c r="JFU145" s="22"/>
      <c r="JFV145" s="22"/>
      <c r="JFW145" s="22"/>
      <c r="JFX145" s="22"/>
      <c r="JFY145" s="22"/>
      <c r="JFZ145" s="22"/>
      <c r="JGA145" s="22"/>
      <c r="JGB145" s="22"/>
      <c r="JGC145" s="22"/>
      <c r="JGD145" s="22"/>
      <c r="JGE145" s="22"/>
      <c r="JGF145" s="22"/>
      <c r="JGG145" s="22"/>
      <c r="JGH145" s="22"/>
      <c r="JGI145" s="22"/>
      <c r="JGJ145" s="22"/>
      <c r="JGK145" s="22"/>
      <c r="JGL145" s="22"/>
      <c r="JGM145" s="22"/>
      <c r="JGN145" s="22"/>
      <c r="JGO145" s="22"/>
      <c r="JGP145" s="22"/>
      <c r="JGQ145" s="22"/>
      <c r="JGR145" s="22"/>
      <c r="JGS145" s="22"/>
      <c r="JGT145" s="22"/>
      <c r="JGU145" s="22"/>
      <c r="JGV145" s="22"/>
      <c r="JGW145" s="22"/>
      <c r="JGX145" s="22"/>
      <c r="JGY145" s="22"/>
      <c r="JGZ145" s="22"/>
      <c r="JHA145" s="22"/>
      <c r="JHB145" s="22"/>
      <c r="JHC145" s="22"/>
      <c r="JHD145" s="22"/>
      <c r="JHE145" s="22"/>
      <c r="JHF145" s="22"/>
      <c r="JHG145" s="22"/>
      <c r="JHH145" s="22"/>
      <c r="JHI145" s="22"/>
      <c r="JHJ145" s="22"/>
      <c r="JHK145" s="22"/>
      <c r="JHL145" s="22"/>
      <c r="JHM145" s="22"/>
      <c r="JHN145" s="22"/>
      <c r="JHO145" s="22"/>
      <c r="JHP145" s="22"/>
      <c r="JHQ145" s="22"/>
      <c r="JHR145" s="22"/>
      <c r="JHS145" s="22"/>
      <c r="JHT145" s="22"/>
      <c r="JHU145" s="22"/>
      <c r="JHV145" s="22"/>
      <c r="JHW145" s="22"/>
      <c r="JHX145" s="22"/>
      <c r="JHY145" s="22"/>
      <c r="JHZ145" s="22"/>
      <c r="JIA145" s="22"/>
      <c r="JIB145" s="22"/>
      <c r="JIC145" s="22"/>
      <c r="JID145" s="22"/>
      <c r="JIE145" s="22"/>
      <c r="JIF145" s="22"/>
      <c r="JIG145" s="22"/>
      <c r="JIH145" s="22"/>
      <c r="JII145" s="22"/>
      <c r="JIJ145" s="22"/>
      <c r="JIK145" s="22"/>
      <c r="JIL145" s="22"/>
      <c r="JIM145" s="22"/>
      <c r="JIN145" s="22"/>
      <c r="JIO145" s="22"/>
      <c r="JIP145" s="22"/>
      <c r="JIQ145" s="22"/>
      <c r="JIR145" s="22"/>
      <c r="JIS145" s="22"/>
      <c r="JIT145" s="22"/>
      <c r="JIU145" s="22"/>
      <c r="JIV145" s="22"/>
      <c r="JIW145" s="22"/>
      <c r="JIX145" s="22"/>
      <c r="JIY145" s="22"/>
      <c r="JIZ145" s="22"/>
      <c r="JJA145" s="22"/>
      <c r="JJB145" s="22"/>
      <c r="JJC145" s="22"/>
      <c r="JJD145" s="22"/>
      <c r="JJE145" s="22"/>
      <c r="JJF145" s="22"/>
      <c r="JJG145" s="22"/>
      <c r="JJH145" s="22"/>
      <c r="JJI145" s="22"/>
      <c r="JJJ145" s="22"/>
      <c r="JJK145" s="22"/>
      <c r="JJL145" s="22"/>
      <c r="JJM145" s="22"/>
      <c r="JJN145" s="22"/>
      <c r="JJO145" s="22"/>
      <c r="JJP145" s="22"/>
      <c r="JJQ145" s="22"/>
      <c r="JJR145" s="22"/>
      <c r="JJS145" s="22"/>
      <c r="JJT145" s="22"/>
      <c r="JJU145" s="22"/>
      <c r="JJV145" s="22"/>
      <c r="JJW145" s="22"/>
      <c r="JJX145" s="22"/>
      <c r="JJY145" s="22"/>
      <c r="JJZ145" s="22"/>
      <c r="JKA145" s="22"/>
      <c r="JKB145" s="22"/>
      <c r="JKC145" s="22"/>
      <c r="JKD145" s="22"/>
      <c r="JKE145" s="22"/>
      <c r="JKF145" s="22"/>
      <c r="JKG145" s="22"/>
      <c r="JKH145" s="22"/>
      <c r="JKI145" s="22"/>
      <c r="JKJ145" s="22"/>
      <c r="JKK145" s="22"/>
      <c r="JKL145" s="22"/>
      <c r="JKM145" s="22"/>
      <c r="JKN145" s="22"/>
      <c r="JKO145" s="22"/>
      <c r="JKP145" s="22"/>
      <c r="JKQ145" s="22"/>
      <c r="JKR145" s="22"/>
      <c r="JKS145" s="22"/>
      <c r="JKT145" s="22"/>
      <c r="JKU145" s="22"/>
      <c r="JKV145" s="22"/>
      <c r="JKW145" s="22"/>
      <c r="JKX145" s="22"/>
      <c r="JKY145" s="22"/>
      <c r="JKZ145" s="22"/>
      <c r="JLA145" s="22"/>
      <c r="JLB145" s="22"/>
      <c r="JLC145" s="22"/>
      <c r="JLD145" s="22"/>
      <c r="JLE145" s="22"/>
      <c r="JLF145" s="22"/>
      <c r="JLG145" s="22"/>
      <c r="JLH145" s="22"/>
      <c r="JLI145" s="22"/>
      <c r="JLJ145" s="22"/>
      <c r="JLK145" s="22"/>
      <c r="JLL145" s="22"/>
      <c r="JLM145" s="22"/>
      <c r="JLN145" s="22"/>
      <c r="JLO145" s="22"/>
      <c r="JLP145" s="22"/>
      <c r="JLQ145" s="22"/>
      <c r="JLR145" s="22"/>
      <c r="JLS145" s="22"/>
      <c r="JLT145" s="22"/>
      <c r="JLU145" s="22"/>
      <c r="JLV145" s="22"/>
      <c r="JLW145" s="22"/>
      <c r="JLX145" s="22"/>
      <c r="JLY145" s="22"/>
      <c r="JLZ145" s="22"/>
      <c r="JMA145" s="22"/>
      <c r="JMB145" s="22"/>
      <c r="JMC145" s="22"/>
      <c r="JMD145" s="22"/>
      <c r="JME145" s="22"/>
      <c r="JMF145" s="22"/>
      <c r="JMG145" s="22"/>
      <c r="JMH145" s="22"/>
      <c r="JMI145" s="22"/>
      <c r="JMJ145" s="22"/>
      <c r="JMK145" s="22"/>
      <c r="JML145" s="22"/>
      <c r="JMM145" s="22"/>
      <c r="JMN145" s="22"/>
      <c r="JMO145" s="22"/>
      <c r="JMP145" s="22"/>
      <c r="JMQ145" s="22"/>
      <c r="JMR145" s="22"/>
      <c r="JMS145" s="22"/>
      <c r="JMT145" s="22"/>
      <c r="JMU145" s="22"/>
      <c r="JMV145" s="22"/>
      <c r="JMW145" s="22"/>
      <c r="JMX145" s="22"/>
      <c r="JMY145" s="22"/>
      <c r="JMZ145" s="22"/>
      <c r="JNA145" s="22"/>
      <c r="JNB145" s="22"/>
      <c r="JNC145" s="22"/>
      <c r="JND145" s="22"/>
      <c r="JNE145" s="22"/>
      <c r="JNF145" s="22"/>
      <c r="JNG145" s="22"/>
      <c r="JNH145" s="22"/>
      <c r="JNI145" s="22"/>
      <c r="JNJ145" s="22"/>
      <c r="JNK145" s="22"/>
      <c r="JNL145" s="22"/>
      <c r="JNM145" s="22"/>
      <c r="JNN145" s="22"/>
      <c r="JNO145" s="22"/>
      <c r="JNP145" s="22"/>
      <c r="JNQ145" s="22"/>
      <c r="JNR145" s="22"/>
      <c r="JNS145" s="22"/>
      <c r="JNT145" s="22"/>
      <c r="JNU145" s="22"/>
      <c r="JNV145" s="22"/>
      <c r="JNW145" s="22"/>
      <c r="JNX145" s="22"/>
      <c r="JNY145" s="22"/>
      <c r="JNZ145" s="22"/>
      <c r="JOA145" s="22"/>
      <c r="JOB145" s="22"/>
      <c r="JOC145" s="22"/>
      <c r="JOD145" s="22"/>
      <c r="JOE145" s="22"/>
      <c r="JOF145" s="22"/>
      <c r="JOG145" s="22"/>
      <c r="JOH145" s="22"/>
      <c r="JOI145" s="22"/>
      <c r="JOJ145" s="22"/>
      <c r="JOK145" s="22"/>
      <c r="JOL145" s="22"/>
      <c r="JOM145" s="22"/>
      <c r="JON145" s="22"/>
      <c r="JOO145" s="22"/>
      <c r="JOP145" s="22"/>
      <c r="JOQ145" s="22"/>
      <c r="JOR145" s="22"/>
      <c r="JOS145" s="22"/>
      <c r="JOT145" s="22"/>
      <c r="JOU145" s="22"/>
      <c r="JOV145" s="22"/>
      <c r="JOW145" s="22"/>
      <c r="JOX145" s="22"/>
      <c r="JOY145" s="22"/>
      <c r="JOZ145" s="22"/>
      <c r="JPA145" s="22"/>
      <c r="JPB145" s="22"/>
      <c r="JPC145" s="22"/>
      <c r="JPD145" s="22"/>
      <c r="JPE145" s="22"/>
      <c r="JPF145" s="22"/>
      <c r="JPG145" s="22"/>
      <c r="JPH145" s="22"/>
      <c r="JPI145" s="22"/>
      <c r="JPJ145" s="22"/>
      <c r="JPK145" s="22"/>
      <c r="JPL145" s="22"/>
      <c r="JPM145" s="22"/>
      <c r="JPN145" s="22"/>
      <c r="JPO145" s="22"/>
      <c r="JPP145" s="22"/>
      <c r="JPQ145" s="22"/>
      <c r="JPR145" s="22"/>
      <c r="JPS145" s="22"/>
      <c r="JPT145" s="22"/>
      <c r="JPU145" s="22"/>
      <c r="JPV145" s="22"/>
      <c r="JPW145" s="22"/>
      <c r="JPX145" s="22"/>
      <c r="JPY145" s="22"/>
      <c r="JPZ145" s="22"/>
      <c r="JQA145" s="22"/>
      <c r="JQB145" s="22"/>
      <c r="JQC145" s="22"/>
      <c r="JQD145" s="22"/>
      <c r="JQE145" s="22"/>
      <c r="JQF145" s="22"/>
      <c r="JQG145" s="22"/>
      <c r="JQH145" s="22"/>
      <c r="JQI145" s="22"/>
      <c r="JQJ145" s="22"/>
      <c r="JQK145" s="22"/>
      <c r="JQL145" s="22"/>
      <c r="JQM145" s="22"/>
      <c r="JQN145" s="22"/>
      <c r="JQO145" s="22"/>
      <c r="JQP145" s="22"/>
      <c r="JQQ145" s="22"/>
      <c r="JQR145" s="22"/>
      <c r="JQS145" s="22"/>
      <c r="JQT145" s="22"/>
      <c r="JQU145" s="22"/>
      <c r="JQV145" s="22"/>
      <c r="JQW145" s="22"/>
      <c r="JQX145" s="22"/>
      <c r="JQY145" s="22"/>
      <c r="JQZ145" s="22"/>
      <c r="JRA145" s="22"/>
      <c r="JRB145" s="22"/>
      <c r="JRC145" s="22"/>
      <c r="JRD145" s="22"/>
      <c r="JRE145" s="22"/>
      <c r="JRF145" s="22"/>
      <c r="JRG145" s="22"/>
      <c r="JRH145" s="22"/>
      <c r="JRI145" s="22"/>
      <c r="JRJ145" s="22"/>
      <c r="JRK145" s="22"/>
      <c r="JRL145" s="22"/>
      <c r="JRM145" s="22"/>
      <c r="JRN145" s="22"/>
      <c r="JRO145" s="22"/>
      <c r="JRP145" s="22"/>
      <c r="JRQ145" s="22"/>
      <c r="JRR145" s="22"/>
      <c r="JRS145" s="22"/>
      <c r="JRT145" s="22"/>
      <c r="JRU145" s="22"/>
      <c r="JRV145" s="22"/>
      <c r="JRW145" s="22"/>
      <c r="JRX145" s="22"/>
      <c r="JRY145" s="22"/>
      <c r="JRZ145" s="22"/>
      <c r="JSA145" s="22"/>
      <c r="JSB145" s="22"/>
      <c r="JSC145" s="22"/>
      <c r="JSD145" s="22"/>
      <c r="JSE145" s="22"/>
      <c r="JSF145" s="22"/>
      <c r="JSG145" s="22"/>
      <c r="JSH145" s="22"/>
      <c r="JSI145" s="22"/>
      <c r="JSJ145" s="22"/>
      <c r="JSK145" s="22"/>
      <c r="JSL145" s="22"/>
      <c r="JSM145" s="22"/>
      <c r="JSN145" s="22"/>
      <c r="JSO145" s="22"/>
      <c r="JSP145" s="22"/>
      <c r="JSQ145" s="22"/>
      <c r="JSR145" s="22"/>
      <c r="JSS145" s="22"/>
      <c r="JST145" s="22"/>
      <c r="JSU145" s="22"/>
      <c r="JSV145" s="22"/>
      <c r="JSW145" s="22"/>
      <c r="JSX145" s="22"/>
      <c r="JSY145" s="22"/>
      <c r="JSZ145" s="22"/>
      <c r="JTA145" s="22"/>
      <c r="JTB145" s="22"/>
      <c r="JTC145" s="22"/>
      <c r="JTD145" s="22"/>
      <c r="JTE145" s="22"/>
      <c r="JTF145" s="22"/>
      <c r="JTG145" s="22"/>
      <c r="JTH145" s="22"/>
      <c r="JTI145" s="22"/>
      <c r="JTJ145" s="22"/>
      <c r="JTK145" s="22"/>
      <c r="JTL145" s="22"/>
      <c r="JTM145" s="22"/>
      <c r="JTN145" s="22"/>
      <c r="JTO145" s="22"/>
      <c r="JTP145" s="22"/>
      <c r="JTQ145" s="22"/>
      <c r="JTR145" s="22"/>
      <c r="JTS145" s="22"/>
      <c r="JTT145" s="22"/>
      <c r="JTU145" s="22"/>
      <c r="JTV145" s="22"/>
      <c r="JTW145" s="22"/>
      <c r="JTX145" s="22"/>
      <c r="JTY145" s="22"/>
      <c r="JTZ145" s="22"/>
      <c r="JUA145" s="22"/>
      <c r="JUB145" s="22"/>
      <c r="JUC145" s="22"/>
      <c r="JUD145" s="22"/>
      <c r="JUE145" s="22"/>
      <c r="JUF145" s="22"/>
      <c r="JUG145" s="22"/>
      <c r="JUH145" s="22"/>
      <c r="JUI145" s="22"/>
      <c r="JUJ145" s="22"/>
      <c r="JUK145" s="22"/>
      <c r="JUL145" s="22"/>
      <c r="JUM145" s="22"/>
      <c r="JUN145" s="22"/>
      <c r="JUO145" s="22"/>
      <c r="JUP145" s="22"/>
      <c r="JUQ145" s="22"/>
      <c r="JUR145" s="22"/>
      <c r="JUS145" s="22"/>
      <c r="JUT145" s="22"/>
      <c r="JUU145" s="22"/>
      <c r="JUV145" s="22"/>
      <c r="JUW145" s="22"/>
      <c r="JUX145" s="22"/>
      <c r="JUY145" s="22"/>
      <c r="JUZ145" s="22"/>
      <c r="JVA145" s="22"/>
      <c r="JVB145" s="22"/>
      <c r="JVC145" s="22"/>
      <c r="JVD145" s="22"/>
      <c r="JVE145" s="22"/>
      <c r="JVF145" s="22"/>
      <c r="JVG145" s="22"/>
      <c r="JVH145" s="22"/>
      <c r="JVI145" s="22"/>
      <c r="JVJ145" s="22"/>
      <c r="JVK145" s="22"/>
      <c r="JVL145" s="22"/>
      <c r="JVM145" s="22"/>
      <c r="JVN145" s="22"/>
      <c r="JVO145" s="22"/>
      <c r="JVP145" s="22"/>
      <c r="JVQ145" s="22"/>
      <c r="JVR145" s="22"/>
      <c r="JVS145" s="22"/>
      <c r="JVT145" s="22"/>
      <c r="JVU145" s="22"/>
      <c r="JVV145" s="22"/>
      <c r="JVW145" s="22"/>
      <c r="JVX145" s="22"/>
      <c r="JVY145" s="22"/>
      <c r="JVZ145" s="22"/>
      <c r="JWA145" s="22"/>
      <c r="JWB145" s="22"/>
      <c r="JWC145" s="22"/>
      <c r="JWD145" s="22"/>
      <c r="JWE145" s="22"/>
      <c r="JWF145" s="22"/>
      <c r="JWG145" s="22"/>
      <c r="JWH145" s="22"/>
      <c r="JWI145" s="22"/>
      <c r="JWJ145" s="22"/>
      <c r="JWK145" s="22"/>
      <c r="JWL145" s="22"/>
      <c r="JWM145" s="22"/>
      <c r="JWN145" s="22"/>
      <c r="JWO145" s="22"/>
      <c r="JWP145" s="22"/>
      <c r="JWQ145" s="22"/>
      <c r="JWR145" s="22"/>
      <c r="JWS145" s="22"/>
      <c r="JWT145" s="22"/>
      <c r="JWU145" s="22"/>
      <c r="JWV145" s="22"/>
      <c r="JWW145" s="22"/>
      <c r="JWX145" s="22"/>
      <c r="JWY145" s="22"/>
      <c r="JWZ145" s="22"/>
      <c r="JXA145" s="22"/>
      <c r="JXB145" s="22"/>
      <c r="JXC145" s="22"/>
      <c r="JXD145" s="22"/>
      <c r="JXE145" s="22"/>
      <c r="JXF145" s="22"/>
      <c r="JXG145" s="22"/>
      <c r="JXH145" s="22"/>
      <c r="JXI145" s="22"/>
      <c r="JXJ145" s="22"/>
      <c r="JXK145" s="22"/>
      <c r="JXL145" s="22"/>
      <c r="JXM145" s="22"/>
      <c r="JXN145" s="22"/>
      <c r="JXO145" s="22"/>
      <c r="JXP145" s="22"/>
      <c r="JXQ145" s="22"/>
      <c r="JXR145" s="22"/>
      <c r="JXS145" s="22"/>
      <c r="JXT145" s="22"/>
      <c r="JXU145" s="22"/>
      <c r="JXV145" s="22"/>
      <c r="JXW145" s="22"/>
      <c r="JXX145" s="22"/>
      <c r="JXY145" s="22"/>
      <c r="JXZ145" s="22"/>
      <c r="JYA145" s="22"/>
      <c r="JYB145" s="22"/>
      <c r="JYC145" s="22"/>
      <c r="JYD145" s="22"/>
      <c r="JYE145" s="22"/>
      <c r="JYF145" s="22"/>
      <c r="JYG145" s="22"/>
      <c r="JYH145" s="22"/>
      <c r="JYI145" s="22"/>
      <c r="JYJ145" s="22"/>
      <c r="JYK145" s="22"/>
      <c r="JYL145" s="22"/>
      <c r="JYM145" s="22"/>
      <c r="JYN145" s="22"/>
      <c r="JYO145" s="22"/>
      <c r="JYP145" s="22"/>
      <c r="JYQ145" s="22"/>
      <c r="JYR145" s="22"/>
      <c r="JYS145" s="22"/>
      <c r="JYT145" s="22"/>
      <c r="JYU145" s="22"/>
      <c r="JYV145" s="22"/>
      <c r="JYW145" s="22"/>
      <c r="JYX145" s="22"/>
      <c r="JYY145" s="22"/>
      <c r="JYZ145" s="22"/>
      <c r="JZA145" s="22"/>
      <c r="JZB145" s="22"/>
      <c r="JZC145" s="22"/>
      <c r="JZD145" s="22"/>
      <c r="JZE145" s="22"/>
      <c r="JZF145" s="22"/>
      <c r="JZG145" s="22"/>
      <c r="JZH145" s="22"/>
      <c r="JZI145" s="22"/>
      <c r="JZJ145" s="22"/>
      <c r="JZK145" s="22"/>
      <c r="JZL145" s="22"/>
      <c r="JZM145" s="22"/>
      <c r="JZN145" s="22"/>
      <c r="JZO145" s="22"/>
      <c r="JZP145" s="22"/>
      <c r="JZQ145" s="22"/>
      <c r="JZR145" s="22"/>
      <c r="JZS145" s="22"/>
      <c r="JZT145" s="22"/>
      <c r="JZU145" s="22"/>
      <c r="JZV145" s="22"/>
      <c r="JZW145" s="22"/>
      <c r="JZX145" s="22"/>
      <c r="JZY145" s="22"/>
      <c r="JZZ145" s="22"/>
      <c r="KAA145" s="22"/>
      <c r="KAB145" s="22"/>
      <c r="KAC145" s="22"/>
      <c r="KAD145" s="22"/>
      <c r="KAE145" s="22"/>
      <c r="KAF145" s="22"/>
      <c r="KAG145" s="22"/>
      <c r="KAH145" s="22"/>
      <c r="KAI145" s="22"/>
      <c r="KAJ145" s="22"/>
      <c r="KAK145" s="22"/>
      <c r="KAL145" s="22"/>
      <c r="KAM145" s="22"/>
      <c r="KAN145" s="22"/>
      <c r="KAO145" s="22"/>
      <c r="KAP145" s="22"/>
      <c r="KAQ145" s="22"/>
      <c r="KAR145" s="22"/>
      <c r="KAS145" s="22"/>
      <c r="KAT145" s="22"/>
      <c r="KAU145" s="22"/>
      <c r="KAV145" s="22"/>
      <c r="KAW145" s="22"/>
      <c r="KAX145" s="22"/>
      <c r="KAY145" s="22"/>
      <c r="KAZ145" s="22"/>
      <c r="KBA145" s="22"/>
      <c r="KBB145" s="22"/>
      <c r="KBC145" s="22"/>
      <c r="KBD145" s="22"/>
      <c r="KBE145" s="22"/>
      <c r="KBF145" s="22"/>
      <c r="KBG145" s="22"/>
      <c r="KBH145" s="22"/>
      <c r="KBI145" s="22"/>
      <c r="KBJ145" s="22"/>
      <c r="KBK145" s="22"/>
      <c r="KBL145" s="22"/>
      <c r="KBM145" s="22"/>
      <c r="KBN145" s="22"/>
      <c r="KBO145" s="22"/>
      <c r="KBP145" s="22"/>
      <c r="KBQ145" s="22"/>
      <c r="KBR145" s="22"/>
      <c r="KBS145" s="22"/>
      <c r="KBT145" s="22"/>
      <c r="KBU145" s="22"/>
      <c r="KBV145" s="22"/>
      <c r="KBW145" s="22"/>
      <c r="KBX145" s="22"/>
      <c r="KBY145" s="22"/>
      <c r="KBZ145" s="22"/>
      <c r="KCA145" s="22"/>
      <c r="KCB145" s="22"/>
      <c r="KCC145" s="22"/>
      <c r="KCD145" s="22"/>
      <c r="KCE145" s="22"/>
      <c r="KCF145" s="22"/>
      <c r="KCG145" s="22"/>
      <c r="KCH145" s="22"/>
      <c r="KCI145" s="22"/>
      <c r="KCJ145" s="22"/>
      <c r="KCK145" s="22"/>
      <c r="KCL145" s="22"/>
      <c r="KCM145" s="22"/>
      <c r="KCN145" s="22"/>
      <c r="KCO145" s="22"/>
      <c r="KCP145" s="22"/>
      <c r="KCQ145" s="22"/>
      <c r="KCR145" s="22"/>
      <c r="KCS145" s="22"/>
      <c r="KCT145" s="22"/>
      <c r="KCU145" s="22"/>
      <c r="KCV145" s="22"/>
      <c r="KCW145" s="22"/>
      <c r="KCX145" s="22"/>
      <c r="KCY145" s="22"/>
      <c r="KCZ145" s="22"/>
      <c r="KDA145" s="22"/>
      <c r="KDB145" s="22"/>
      <c r="KDC145" s="22"/>
      <c r="KDD145" s="22"/>
      <c r="KDE145" s="22"/>
      <c r="KDF145" s="22"/>
      <c r="KDG145" s="22"/>
      <c r="KDH145" s="22"/>
      <c r="KDI145" s="22"/>
      <c r="KDJ145" s="22"/>
      <c r="KDK145" s="22"/>
      <c r="KDL145" s="22"/>
      <c r="KDM145" s="22"/>
      <c r="KDN145" s="22"/>
      <c r="KDO145" s="22"/>
      <c r="KDP145" s="22"/>
      <c r="KDQ145" s="22"/>
      <c r="KDR145" s="22"/>
      <c r="KDS145" s="22"/>
      <c r="KDT145" s="22"/>
      <c r="KDU145" s="22"/>
      <c r="KDV145" s="22"/>
      <c r="KDW145" s="22"/>
      <c r="KDX145" s="22"/>
      <c r="KDY145" s="22"/>
      <c r="KDZ145" s="22"/>
      <c r="KEA145" s="22"/>
      <c r="KEB145" s="22"/>
      <c r="KEC145" s="22"/>
      <c r="KED145" s="22"/>
      <c r="KEE145" s="22"/>
      <c r="KEF145" s="22"/>
      <c r="KEG145" s="22"/>
      <c r="KEH145" s="22"/>
      <c r="KEI145" s="22"/>
      <c r="KEJ145" s="22"/>
      <c r="KEK145" s="22"/>
      <c r="KEL145" s="22"/>
      <c r="KEM145" s="22"/>
      <c r="KEN145" s="22"/>
      <c r="KEO145" s="22"/>
      <c r="KEP145" s="22"/>
      <c r="KEQ145" s="22"/>
      <c r="KER145" s="22"/>
      <c r="KES145" s="22"/>
      <c r="KET145" s="22"/>
      <c r="KEU145" s="22"/>
      <c r="KEV145" s="22"/>
      <c r="KEW145" s="22"/>
      <c r="KEX145" s="22"/>
      <c r="KEY145" s="22"/>
      <c r="KEZ145" s="22"/>
      <c r="KFA145" s="22"/>
      <c r="KFB145" s="22"/>
      <c r="KFC145" s="22"/>
      <c r="KFD145" s="22"/>
      <c r="KFE145" s="22"/>
      <c r="KFF145" s="22"/>
      <c r="KFG145" s="22"/>
      <c r="KFH145" s="22"/>
      <c r="KFI145" s="22"/>
      <c r="KFJ145" s="22"/>
      <c r="KFK145" s="22"/>
      <c r="KFL145" s="22"/>
      <c r="KFM145" s="22"/>
      <c r="KFN145" s="22"/>
      <c r="KFO145" s="22"/>
      <c r="KFP145" s="22"/>
      <c r="KFQ145" s="22"/>
      <c r="KFR145" s="22"/>
      <c r="KFS145" s="22"/>
      <c r="KFT145" s="22"/>
      <c r="KFU145" s="22"/>
      <c r="KFV145" s="22"/>
      <c r="KFW145" s="22"/>
      <c r="KFX145" s="22"/>
      <c r="KFY145" s="22"/>
      <c r="KFZ145" s="22"/>
      <c r="KGA145" s="22"/>
      <c r="KGB145" s="22"/>
      <c r="KGC145" s="22"/>
      <c r="KGD145" s="22"/>
      <c r="KGE145" s="22"/>
      <c r="KGF145" s="22"/>
      <c r="KGG145" s="22"/>
      <c r="KGH145" s="22"/>
      <c r="KGI145" s="22"/>
      <c r="KGJ145" s="22"/>
      <c r="KGK145" s="22"/>
      <c r="KGL145" s="22"/>
      <c r="KGM145" s="22"/>
      <c r="KGN145" s="22"/>
      <c r="KGO145" s="22"/>
      <c r="KGP145" s="22"/>
      <c r="KGQ145" s="22"/>
      <c r="KGR145" s="22"/>
      <c r="KGS145" s="22"/>
      <c r="KGT145" s="22"/>
      <c r="KGU145" s="22"/>
      <c r="KGV145" s="22"/>
      <c r="KGW145" s="22"/>
      <c r="KGX145" s="22"/>
      <c r="KGY145" s="22"/>
      <c r="KGZ145" s="22"/>
      <c r="KHA145" s="22"/>
      <c r="KHB145" s="22"/>
      <c r="KHC145" s="22"/>
      <c r="KHD145" s="22"/>
      <c r="KHE145" s="22"/>
      <c r="KHF145" s="22"/>
      <c r="KHG145" s="22"/>
      <c r="KHH145" s="22"/>
      <c r="KHI145" s="22"/>
      <c r="KHJ145" s="22"/>
      <c r="KHK145" s="22"/>
      <c r="KHL145" s="22"/>
      <c r="KHM145" s="22"/>
      <c r="KHN145" s="22"/>
      <c r="KHO145" s="22"/>
      <c r="KHP145" s="22"/>
      <c r="KHQ145" s="22"/>
      <c r="KHR145" s="22"/>
      <c r="KHS145" s="22"/>
      <c r="KHT145" s="22"/>
      <c r="KHU145" s="22"/>
      <c r="KHV145" s="22"/>
      <c r="KHW145" s="22"/>
      <c r="KHX145" s="22"/>
      <c r="KHY145" s="22"/>
      <c r="KHZ145" s="22"/>
      <c r="KIA145" s="22"/>
      <c r="KIB145" s="22"/>
      <c r="KIC145" s="22"/>
      <c r="KID145" s="22"/>
      <c r="KIE145" s="22"/>
      <c r="KIF145" s="22"/>
      <c r="KIG145" s="22"/>
      <c r="KIH145" s="22"/>
      <c r="KII145" s="22"/>
      <c r="KIJ145" s="22"/>
      <c r="KIK145" s="22"/>
      <c r="KIL145" s="22"/>
      <c r="KIM145" s="22"/>
      <c r="KIN145" s="22"/>
      <c r="KIO145" s="22"/>
      <c r="KIP145" s="22"/>
      <c r="KIQ145" s="22"/>
      <c r="KIR145" s="22"/>
      <c r="KIS145" s="22"/>
      <c r="KIT145" s="22"/>
      <c r="KIU145" s="22"/>
      <c r="KIV145" s="22"/>
      <c r="KIW145" s="22"/>
      <c r="KIX145" s="22"/>
      <c r="KIY145" s="22"/>
      <c r="KIZ145" s="22"/>
      <c r="KJA145" s="22"/>
      <c r="KJB145" s="22"/>
      <c r="KJC145" s="22"/>
      <c r="KJD145" s="22"/>
      <c r="KJE145" s="22"/>
      <c r="KJF145" s="22"/>
      <c r="KJG145" s="22"/>
      <c r="KJH145" s="22"/>
      <c r="KJI145" s="22"/>
      <c r="KJJ145" s="22"/>
      <c r="KJK145" s="22"/>
      <c r="KJL145" s="22"/>
      <c r="KJM145" s="22"/>
      <c r="KJN145" s="22"/>
      <c r="KJO145" s="22"/>
      <c r="KJP145" s="22"/>
      <c r="KJQ145" s="22"/>
      <c r="KJR145" s="22"/>
      <c r="KJS145" s="22"/>
      <c r="KJT145" s="22"/>
      <c r="KJU145" s="22"/>
      <c r="KJV145" s="22"/>
      <c r="KJW145" s="22"/>
      <c r="KJX145" s="22"/>
      <c r="KJY145" s="22"/>
      <c r="KJZ145" s="22"/>
      <c r="KKA145" s="22"/>
      <c r="KKB145" s="22"/>
      <c r="KKC145" s="22"/>
      <c r="KKD145" s="22"/>
      <c r="KKE145" s="22"/>
      <c r="KKF145" s="22"/>
      <c r="KKG145" s="22"/>
      <c r="KKH145" s="22"/>
      <c r="KKI145" s="22"/>
      <c r="KKJ145" s="22"/>
      <c r="KKK145" s="22"/>
      <c r="KKL145" s="22"/>
      <c r="KKM145" s="22"/>
      <c r="KKN145" s="22"/>
      <c r="KKO145" s="22"/>
      <c r="KKP145" s="22"/>
      <c r="KKQ145" s="22"/>
      <c r="KKR145" s="22"/>
      <c r="KKS145" s="22"/>
      <c r="KKT145" s="22"/>
      <c r="KKU145" s="22"/>
      <c r="KKV145" s="22"/>
      <c r="KKW145" s="22"/>
      <c r="KKX145" s="22"/>
      <c r="KKY145" s="22"/>
      <c r="KKZ145" s="22"/>
      <c r="KLA145" s="22"/>
      <c r="KLB145" s="22"/>
      <c r="KLC145" s="22"/>
      <c r="KLD145" s="22"/>
      <c r="KLE145" s="22"/>
      <c r="KLF145" s="22"/>
      <c r="KLG145" s="22"/>
      <c r="KLH145" s="22"/>
      <c r="KLI145" s="22"/>
      <c r="KLJ145" s="22"/>
      <c r="KLK145" s="22"/>
      <c r="KLL145" s="22"/>
      <c r="KLM145" s="22"/>
      <c r="KLN145" s="22"/>
      <c r="KLO145" s="22"/>
      <c r="KLP145" s="22"/>
      <c r="KLQ145" s="22"/>
      <c r="KLR145" s="22"/>
      <c r="KLS145" s="22"/>
      <c r="KLT145" s="22"/>
      <c r="KLU145" s="22"/>
      <c r="KLV145" s="22"/>
      <c r="KLW145" s="22"/>
      <c r="KLX145" s="22"/>
      <c r="KLY145" s="22"/>
      <c r="KLZ145" s="22"/>
      <c r="KMA145" s="22"/>
      <c r="KMB145" s="22"/>
      <c r="KMC145" s="22"/>
      <c r="KMD145" s="22"/>
      <c r="KME145" s="22"/>
      <c r="KMF145" s="22"/>
      <c r="KMG145" s="22"/>
      <c r="KMH145" s="22"/>
      <c r="KMI145" s="22"/>
      <c r="KMJ145" s="22"/>
      <c r="KMK145" s="22"/>
      <c r="KML145" s="22"/>
      <c r="KMM145" s="22"/>
      <c r="KMN145" s="22"/>
      <c r="KMO145" s="22"/>
      <c r="KMP145" s="22"/>
      <c r="KMQ145" s="22"/>
      <c r="KMR145" s="22"/>
      <c r="KMS145" s="22"/>
      <c r="KMT145" s="22"/>
      <c r="KMU145" s="22"/>
      <c r="KMV145" s="22"/>
      <c r="KMW145" s="22"/>
      <c r="KMX145" s="22"/>
      <c r="KMY145" s="22"/>
      <c r="KMZ145" s="22"/>
      <c r="KNA145" s="22"/>
      <c r="KNB145" s="22"/>
      <c r="KNC145" s="22"/>
      <c r="KND145" s="22"/>
      <c r="KNE145" s="22"/>
      <c r="KNF145" s="22"/>
      <c r="KNG145" s="22"/>
      <c r="KNH145" s="22"/>
      <c r="KNI145" s="22"/>
      <c r="KNJ145" s="22"/>
      <c r="KNK145" s="22"/>
      <c r="KNL145" s="22"/>
      <c r="KNM145" s="22"/>
      <c r="KNN145" s="22"/>
      <c r="KNO145" s="22"/>
      <c r="KNP145" s="22"/>
      <c r="KNQ145" s="22"/>
      <c r="KNR145" s="22"/>
      <c r="KNS145" s="22"/>
      <c r="KNT145" s="22"/>
      <c r="KNU145" s="22"/>
      <c r="KNV145" s="22"/>
      <c r="KNW145" s="22"/>
      <c r="KNX145" s="22"/>
      <c r="KNY145" s="22"/>
      <c r="KNZ145" s="22"/>
      <c r="KOA145" s="22"/>
      <c r="KOB145" s="22"/>
      <c r="KOC145" s="22"/>
      <c r="KOD145" s="22"/>
      <c r="KOE145" s="22"/>
      <c r="KOF145" s="22"/>
      <c r="KOG145" s="22"/>
      <c r="KOH145" s="22"/>
      <c r="KOI145" s="22"/>
      <c r="KOJ145" s="22"/>
      <c r="KOK145" s="22"/>
      <c r="KOL145" s="22"/>
      <c r="KOM145" s="22"/>
      <c r="KON145" s="22"/>
      <c r="KOO145" s="22"/>
      <c r="KOP145" s="22"/>
      <c r="KOQ145" s="22"/>
      <c r="KOR145" s="22"/>
      <c r="KOS145" s="22"/>
      <c r="KOT145" s="22"/>
      <c r="KOU145" s="22"/>
      <c r="KOV145" s="22"/>
      <c r="KOW145" s="22"/>
      <c r="KOX145" s="22"/>
      <c r="KOY145" s="22"/>
      <c r="KOZ145" s="22"/>
      <c r="KPA145" s="22"/>
      <c r="KPB145" s="22"/>
      <c r="KPC145" s="22"/>
      <c r="KPD145" s="22"/>
      <c r="KPE145" s="22"/>
      <c r="KPF145" s="22"/>
      <c r="KPG145" s="22"/>
      <c r="KPH145" s="22"/>
      <c r="KPI145" s="22"/>
      <c r="KPJ145" s="22"/>
      <c r="KPK145" s="22"/>
      <c r="KPL145" s="22"/>
      <c r="KPM145" s="22"/>
      <c r="KPN145" s="22"/>
      <c r="KPO145" s="22"/>
      <c r="KPP145" s="22"/>
      <c r="KPQ145" s="22"/>
      <c r="KPR145" s="22"/>
      <c r="KPS145" s="22"/>
      <c r="KPT145" s="22"/>
      <c r="KPU145" s="22"/>
      <c r="KPV145" s="22"/>
      <c r="KPW145" s="22"/>
      <c r="KPX145" s="22"/>
      <c r="KPY145" s="22"/>
      <c r="KPZ145" s="22"/>
      <c r="KQA145" s="22"/>
      <c r="KQB145" s="22"/>
      <c r="KQC145" s="22"/>
      <c r="KQD145" s="22"/>
      <c r="KQE145" s="22"/>
      <c r="KQF145" s="22"/>
      <c r="KQG145" s="22"/>
      <c r="KQH145" s="22"/>
      <c r="KQI145" s="22"/>
      <c r="KQJ145" s="22"/>
      <c r="KQK145" s="22"/>
      <c r="KQL145" s="22"/>
      <c r="KQM145" s="22"/>
      <c r="KQN145" s="22"/>
      <c r="KQO145" s="22"/>
      <c r="KQP145" s="22"/>
      <c r="KQQ145" s="22"/>
      <c r="KQR145" s="22"/>
      <c r="KQS145" s="22"/>
      <c r="KQT145" s="22"/>
      <c r="KQU145" s="22"/>
      <c r="KQV145" s="22"/>
      <c r="KQW145" s="22"/>
      <c r="KQX145" s="22"/>
      <c r="KQY145" s="22"/>
      <c r="KQZ145" s="22"/>
      <c r="KRA145" s="22"/>
      <c r="KRB145" s="22"/>
      <c r="KRC145" s="22"/>
      <c r="KRD145" s="22"/>
      <c r="KRE145" s="22"/>
      <c r="KRF145" s="22"/>
      <c r="KRG145" s="22"/>
      <c r="KRH145" s="22"/>
      <c r="KRI145" s="22"/>
      <c r="KRJ145" s="22"/>
      <c r="KRK145" s="22"/>
      <c r="KRL145" s="22"/>
      <c r="KRM145" s="22"/>
      <c r="KRN145" s="22"/>
      <c r="KRO145" s="22"/>
      <c r="KRP145" s="22"/>
      <c r="KRQ145" s="22"/>
      <c r="KRR145" s="22"/>
      <c r="KRS145" s="22"/>
      <c r="KRT145" s="22"/>
      <c r="KRU145" s="22"/>
      <c r="KRV145" s="22"/>
      <c r="KRW145" s="22"/>
      <c r="KRX145" s="22"/>
      <c r="KRY145" s="22"/>
      <c r="KRZ145" s="22"/>
      <c r="KSA145" s="22"/>
      <c r="KSB145" s="22"/>
      <c r="KSC145" s="22"/>
      <c r="KSD145" s="22"/>
      <c r="KSE145" s="22"/>
      <c r="KSF145" s="22"/>
      <c r="KSG145" s="22"/>
      <c r="KSH145" s="22"/>
      <c r="KSI145" s="22"/>
      <c r="KSJ145" s="22"/>
      <c r="KSK145" s="22"/>
      <c r="KSL145" s="22"/>
      <c r="KSM145" s="22"/>
      <c r="KSN145" s="22"/>
      <c r="KSO145" s="22"/>
      <c r="KSP145" s="22"/>
      <c r="KSQ145" s="22"/>
      <c r="KSR145" s="22"/>
      <c r="KSS145" s="22"/>
      <c r="KST145" s="22"/>
      <c r="KSU145" s="22"/>
      <c r="KSV145" s="22"/>
      <c r="KSW145" s="22"/>
      <c r="KSX145" s="22"/>
      <c r="KSY145" s="22"/>
      <c r="KSZ145" s="22"/>
      <c r="KTA145" s="22"/>
      <c r="KTB145" s="22"/>
      <c r="KTC145" s="22"/>
      <c r="KTD145" s="22"/>
      <c r="KTE145" s="22"/>
      <c r="KTF145" s="22"/>
      <c r="KTG145" s="22"/>
      <c r="KTH145" s="22"/>
      <c r="KTI145" s="22"/>
      <c r="KTJ145" s="22"/>
      <c r="KTK145" s="22"/>
      <c r="KTL145" s="22"/>
      <c r="KTM145" s="22"/>
      <c r="KTN145" s="22"/>
      <c r="KTO145" s="22"/>
      <c r="KTP145" s="22"/>
      <c r="KTQ145" s="22"/>
      <c r="KTR145" s="22"/>
      <c r="KTS145" s="22"/>
      <c r="KTT145" s="22"/>
      <c r="KTU145" s="22"/>
      <c r="KTV145" s="22"/>
      <c r="KTW145" s="22"/>
      <c r="KTX145" s="22"/>
      <c r="KTY145" s="22"/>
      <c r="KTZ145" s="22"/>
      <c r="KUA145" s="22"/>
      <c r="KUB145" s="22"/>
      <c r="KUC145" s="22"/>
      <c r="KUD145" s="22"/>
      <c r="KUE145" s="22"/>
      <c r="KUF145" s="22"/>
      <c r="KUG145" s="22"/>
      <c r="KUH145" s="22"/>
      <c r="KUI145" s="22"/>
      <c r="KUJ145" s="22"/>
      <c r="KUK145" s="22"/>
      <c r="KUL145" s="22"/>
      <c r="KUM145" s="22"/>
      <c r="KUN145" s="22"/>
      <c r="KUO145" s="22"/>
      <c r="KUP145" s="22"/>
      <c r="KUQ145" s="22"/>
      <c r="KUR145" s="22"/>
      <c r="KUS145" s="22"/>
      <c r="KUT145" s="22"/>
      <c r="KUU145" s="22"/>
      <c r="KUV145" s="22"/>
      <c r="KUW145" s="22"/>
      <c r="KUX145" s="22"/>
      <c r="KUY145" s="22"/>
      <c r="KUZ145" s="22"/>
      <c r="KVA145" s="22"/>
      <c r="KVB145" s="22"/>
      <c r="KVC145" s="22"/>
      <c r="KVD145" s="22"/>
      <c r="KVE145" s="22"/>
      <c r="KVF145" s="22"/>
      <c r="KVG145" s="22"/>
      <c r="KVH145" s="22"/>
      <c r="KVI145" s="22"/>
      <c r="KVJ145" s="22"/>
      <c r="KVK145" s="22"/>
      <c r="KVL145" s="22"/>
      <c r="KVM145" s="22"/>
      <c r="KVN145" s="22"/>
      <c r="KVO145" s="22"/>
      <c r="KVP145" s="22"/>
      <c r="KVQ145" s="22"/>
      <c r="KVR145" s="22"/>
      <c r="KVS145" s="22"/>
      <c r="KVT145" s="22"/>
      <c r="KVU145" s="22"/>
      <c r="KVV145" s="22"/>
      <c r="KVW145" s="22"/>
      <c r="KVX145" s="22"/>
      <c r="KVY145" s="22"/>
      <c r="KVZ145" s="22"/>
      <c r="KWA145" s="22"/>
      <c r="KWB145" s="22"/>
      <c r="KWC145" s="22"/>
      <c r="KWD145" s="22"/>
      <c r="KWE145" s="22"/>
      <c r="KWF145" s="22"/>
      <c r="KWG145" s="22"/>
      <c r="KWH145" s="22"/>
      <c r="KWI145" s="22"/>
      <c r="KWJ145" s="22"/>
      <c r="KWK145" s="22"/>
      <c r="KWL145" s="22"/>
      <c r="KWM145" s="22"/>
      <c r="KWN145" s="22"/>
      <c r="KWO145" s="22"/>
      <c r="KWP145" s="22"/>
      <c r="KWQ145" s="22"/>
      <c r="KWR145" s="22"/>
      <c r="KWS145" s="22"/>
      <c r="KWT145" s="22"/>
      <c r="KWU145" s="22"/>
      <c r="KWV145" s="22"/>
      <c r="KWW145" s="22"/>
      <c r="KWX145" s="22"/>
      <c r="KWY145" s="22"/>
      <c r="KWZ145" s="22"/>
      <c r="KXA145" s="22"/>
      <c r="KXB145" s="22"/>
      <c r="KXC145" s="22"/>
      <c r="KXD145" s="22"/>
      <c r="KXE145" s="22"/>
      <c r="KXF145" s="22"/>
      <c r="KXG145" s="22"/>
      <c r="KXH145" s="22"/>
      <c r="KXI145" s="22"/>
      <c r="KXJ145" s="22"/>
      <c r="KXK145" s="22"/>
      <c r="KXL145" s="22"/>
      <c r="KXM145" s="22"/>
      <c r="KXN145" s="22"/>
      <c r="KXO145" s="22"/>
      <c r="KXP145" s="22"/>
      <c r="KXQ145" s="22"/>
      <c r="KXR145" s="22"/>
      <c r="KXS145" s="22"/>
      <c r="KXT145" s="22"/>
      <c r="KXU145" s="22"/>
      <c r="KXV145" s="22"/>
      <c r="KXW145" s="22"/>
      <c r="KXX145" s="22"/>
      <c r="KXY145" s="22"/>
      <c r="KXZ145" s="22"/>
      <c r="KYA145" s="22"/>
      <c r="KYB145" s="22"/>
      <c r="KYC145" s="22"/>
      <c r="KYD145" s="22"/>
      <c r="KYE145" s="22"/>
      <c r="KYF145" s="22"/>
      <c r="KYG145" s="22"/>
      <c r="KYH145" s="22"/>
      <c r="KYI145" s="22"/>
      <c r="KYJ145" s="22"/>
      <c r="KYK145" s="22"/>
      <c r="KYL145" s="22"/>
      <c r="KYM145" s="22"/>
      <c r="KYN145" s="22"/>
      <c r="KYO145" s="22"/>
      <c r="KYP145" s="22"/>
      <c r="KYQ145" s="22"/>
      <c r="KYR145" s="22"/>
      <c r="KYS145" s="22"/>
      <c r="KYT145" s="22"/>
      <c r="KYU145" s="22"/>
      <c r="KYV145" s="22"/>
      <c r="KYW145" s="22"/>
      <c r="KYX145" s="22"/>
      <c r="KYY145" s="22"/>
      <c r="KYZ145" s="22"/>
      <c r="KZA145" s="22"/>
      <c r="KZB145" s="22"/>
      <c r="KZC145" s="22"/>
      <c r="KZD145" s="22"/>
      <c r="KZE145" s="22"/>
      <c r="KZF145" s="22"/>
      <c r="KZG145" s="22"/>
      <c r="KZH145" s="22"/>
      <c r="KZI145" s="22"/>
      <c r="KZJ145" s="22"/>
      <c r="KZK145" s="22"/>
      <c r="KZL145" s="22"/>
      <c r="KZM145" s="22"/>
      <c r="KZN145" s="22"/>
      <c r="KZO145" s="22"/>
      <c r="KZP145" s="22"/>
      <c r="KZQ145" s="22"/>
      <c r="KZR145" s="22"/>
      <c r="KZS145" s="22"/>
      <c r="KZT145" s="22"/>
      <c r="KZU145" s="22"/>
      <c r="KZV145" s="22"/>
      <c r="KZW145" s="22"/>
      <c r="KZX145" s="22"/>
      <c r="KZY145" s="22"/>
      <c r="KZZ145" s="22"/>
      <c r="LAA145" s="22"/>
      <c r="LAB145" s="22"/>
      <c r="LAC145" s="22"/>
      <c r="LAD145" s="22"/>
      <c r="LAE145" s="22"/>
      <c r="LAF145" s="22"/>
      <c r="LAG145" s="22"/>
      <c r="LAH145" s="22"/>
      <c r="LAI145" s="22"/>
      <c r="LAJ145" s="22"/>
      <c r="LAK145" s="22"/>
      <c r="LAL145" s="22"/>
      <c r="LAM145" s="22"/>
      <c r="LAN145" s="22"/>
      <c r="LAO145" s="22"/>
      <c r="LAP145" s="22"/>
      <c r="LAQ145" s="22"/>
      <c r="LAR145" s="22"/>
      <c r="LAS145" s="22"/>
      <c r="LAT145" s="22"/>
      <c r="LAU145" s="22"/>
      <c r="LAV145" s="22"/>
      <c r="LAW145" s="22"/>
      <c r="LAX145" s="22"/>
      <c r="LAY145" s="22"/>
      <c r="LAZ145" s="22"/>
      <c r="LBA145" s="22"/>
      <c r="LBB145" s="22"/>
      <c r="LBC145" s="22"/>
      <c r="LBD145" s="22"/>
      <c r="LBE145" s="22"/>
      <c r="LBF145" s="22"/>
      <c r="LBG145" s="22"/>
      <c r="LBH145" s="22"/>
      <c r="LBI145" s="22"/>
      <c r="LBJ145" s="22"/>
      <c r="LBK145" s="22"/>
      <c r="LBL145" s="22"/>
      <c r="LBM145" s="22"/>
      <c r="LBN145" s="22"/>
      <c r="LBO145" s="22"/>
      <c r="LBP145" s="22"/>
      <c r="LBQ145" s="22"/>
      <c r="LBR145" s="22"/>
      <c r="LBS145" s="22"/>
      <c r="LBT145" s="22"/>
      <c r="LBU145" s="22"/>
      <c r="LBV145" s="22"/>
      <c r="LBW145" s="22"/>
      <c r="LBX145" s="22"/>
      <c r="LBY145" s="22"/>
      <c r="LBZ145" s="22"/>
      <c r="LCA145" s="22"/>
      <c r="LCB145" s="22"/>
      <c r="LCC145" s="22"/>
      <c r="LCD145" s="22"/>
      <c r="LCE145" s="22"/>
      <c r="LCF145" s="22"/>
      <c r="LCG145" s="22"/>
      <c r="LCH145" s="22"/>
      <c r="LCI145" s="22"/>
      <c r="LCJ145" s="22"/>
      <c r="LCK145" s="22"/>
      <c r="LCL145" s="22"/>
      <c r="LCM145" s="22"/>
      <c r="LCN145" s="22"/>
      <c r="LCO145" s="22"/>
      <c r="LCP145" s="22"/>
      <c r="LCQ145" s="22"/>
      <c r="LCR145" s="22"/>
      <c r="LCS145" s="22"/>
      <c r="LCT145" s="22"/>
      <c r="LCU145" s="22"/>
      <c r="LCV145" s="22"/>
      <c r="LCW145" s="22"/>
      <c r="LCX145" s="22"/>
      <c r="LCY145" s="22"/>
      <c r="LCZ145" s="22"/>
      <c r="LDA145" s="22"/>
      <c r="LDB145" s="22"/>
      <c r="LDC145" s="22"/>
      <c r="LDD145" s="22"/>
      <c r="LDE145" s="22"/>
      <c r="LDF145" s="22"/>
      <c r="LDG145" s="22"/>
      <c r="LDH145" s="22"/>
      <c r="LDI145" s="22"/>
      <c r="LDJ145" s="22"/>
      <c r="LDK145" s="22"/>
      <c r="LDL145" s="22"/>
      <c r="LDM145" s="22"/>
      <c r="LDN145" s="22"/>
      <c r="LDO145" s="22"/>
      <c r="LDP145" s="22"/>
      <c r="LDQ145" s="22"/>
      <c r="LDR145" s="22"/>
      <c r="LDS145" s="22"/>
      <c r="LDT145" s="22"/>
      <c r="LDU145" s="22"/>
      <c r="LDV145" s="22"/>
      <c r="LDW145" s="22"/>
      <c r="LDX145" s="22"/>
      <c r="LDY145" s="22"/>
      <c r="LDZ145" s="22"/>
      <c r="LEA145" s="22"/>
      <c r="LEB145" s="22"/>
      <c r="LEC145" s="22"/>
      <c r="LED145" s="22"/>
      <c r="LEE145" s="22"/>
      <c r="LEF145" s="22"/>
      <c r="LEG145" s="22"/>
      <c r="LEH145" s="22"/>
      <c r="LEI145" s="22"/>
      <c r="LEJ145" s="22"/>
      <c r="LEK145" s="22"/>
      <c r="LEL145" s="22"/>
      <c r="LEM145" s="22"/>
      <c r="LEN145" s="22"/>
      <c r="LEO145" s="22"/>
      <c r="LEP145" s="22"/>
      <c r="LEQ145" s="22"/>
      <c r="LER145" s="22"/>
      <c r="LES145" s="22"/>
      <c r="LET145" s="22"/>
      <c r="LEU145" s="22"/>
      <c r="LEV145" s="22"/>
      <c r="LEW145" s="22"/>
      <c r="LEX145" s="22"/>
      <c r="LEY145" s="22"/>
      <c r="LEZ145" s="22"/>
      <c r="LFA145" s="22"/>
      <c r="LFB145" s="22"/>
      <c r="LFC145" s="22"/>
      <c r="LFD145" s="22"/>
      <c r="LFE145" s="22"/>
      <c r="LFF145" s="22"/>
      <c r="LFG145" s="22"/>
      <c r="LFH145" s="22"/>
      <c r="LFI145" s="22"/>
      <c r="LFJ145" s="22"/>
      <c r="LFK145" s="22"/>
      <c r="LFL145" s="22"/>
      <c r="LFM145" s="22"/>
      <c r="LFN145" s="22"/>
      <c r="LFO145" s="22"/>
      <c r="LFP145" s="22"/>
      <c r="LFQ145" s="22"/>
      <c r="LFR145" s="22"/>
      <c r="LFS145" s="22"/>
      <c r="LFT145" s="22"/>
      <c r="LFU145" s="22"/>
      <c r="LFV145" s="22"/>
      <c r="LFW145" s="22"/>
      <c r="LFX145" s="22"/>
      <c r="LFY145" s="22"/>
      <c r="LFZ145" s="22"/>
      <c r="LGA145" s="22"/>
      <c r="LGB145" s="22"/>
      <c r="LGC145" s="22"/>
      <c r="LGD145" s="22"/>
      <c r="LGE145" s="22"/>
      <c r="LGF145" s="22"/>
      <c r="LGG145" s="22"/>
      <c r="LGH145" s="22"/>
      <c r="LGI145" s="22"/>
      <c r="LGJ145" s="22"/>
      <c r="LGK145" s="22"/>
      <c r="LGL145" s="22"/>
      <c r="LGM145" s="22"/>
      <c r="LGN145" s="22"/>
      <c r="LGO145" s="22"/>
      <c r="LGP145" s="22"/>
      <c r="LGQ145" s="22"/>
      <c r="LGR145" s="22"/>
      <c r="LGS145" s="22"/>
      <c r="LGT145" s="22"/>
      <c r="LGU145" s="22"/>
      <c r="LGV145" s="22"/>
      <c r="LGW145" s="22"/>
      <c r="LGX145" s="22"/>
      <c r="LGY145" s="22"/>
      <c r="LGZ145" s="22"/>
      <c r="LHA145" s="22"/>
      <c r="LHB145" s="22"/>
      <c r="LHC145" s="22"/>
      <c r="LHD145" s="22"/>
      <c r="LHE145" s="22"/>
      <c r="LHF145" s="22"/>
      <c r="LHG145" s="22"/>
      <c r="LHH145" s="22"/>
      <c r="LHI145" s="22"/>
      <c r="LHJ145" s="22"/>
      <c r="LHK145" s="22"/>
      <c r="LHL145" s="22"/>
      <c r="LHM145" s="22"/>
      <c r="LHN145" s="22"/>
      <c r="LHO145" s="22"/>
      <c r="LHP145" s="22"/>
      <c r="LHQ145" s="22"/>
      <c r="LHR145" s="22"/>
      <c r="LHS145" s="22"/>
      <c r="LHT145" s="22"/>
      <c r="LHU145" s="22"/>
      <c r="LHV145" s="22"/>
      <c r="LHW145" s="22"/>
      <c r="LHX145" s="22"/>
      <c r="LHY145" s="22"/>
      <c r="LHZ145" s="22"/>
      <c r="LIA145" s="22"/>
      <c r="LIB145" s="22"/>
      <c r="LIC145" s="22"/>
      <c r="LID145" s="22"/>
      <c r="LIE145" s="22"/>
      <c r="LIF145" s="22"/>
      <c r="LIG145" s="22"/>
      <c r="LIH145" s="22"/>
      <c r="LII145" s="22"/>
      <c r="LIJ145" s="22"/>
      <c r="LIK145" s="22"/>
      <c r="LIL145" s="22"/>
      <c r="LIM145" s="22"/>
      <c r="LIN145" s="22"/>
      <c r="LIO145" s="22"/>
      <c r="LIP145" s="22"/>
      <c r="LIQ145" s="22"/>
      <c r="LIR145" s="22"/>
      <c r="LIS145" s="22"/>
      <c r="LIT145" s="22"/>
      <c r="LIU145" s="22"/>
      <c r="LIV145" s="22"/>
      <c r="LIW145" s="22"/>
      <c r="LIX145" s="22"/>
      <c r="LIY145" s="22"/>
      <c r="LIZ145" s="22"/>
      <c r="LJA145" s="22"/>
      <c r="LJB145" s="22"/>
      <c r="LJC145" s="22"/>
      <c r="LJD145" s="22"/>
      <c r="LJE145" s="22"/>
      <c r="LJF145" s="22"/>
      <c r="LJG145" s="22"/>
      <c r="LJH145" s="22"/>
      <c r="LJI145" s="22"/>
      <c r="LJJ145" s="22"/>
      <c r="LJK145" s="22"/>
      <c r="LJL145" s="22"/>
      <c r="LJM145" s="22"/>
      <c r="LJN145" s="22"/>
      <c r="LJO145" s="22"/>
      <c r="LJP145" s="22"/>
      <c r="LJQ145" s="22"/>
      <c r="LJR145" s="22"/>
      <c r="LJS145" s="22"/>
      <c r="LJT145" s="22"/>
      <c r="LJU145" s="22"/>
      <c r="LJV145" s="22"/>
      <c r="LJW145" s="22"/>
      <c r="LJX145" s="22"/>
      <c r="LJY145" s="22"/>
      <c r="LJZ145" s="22"/>
      <c r="LKA145" s="22"/>
      <c r="LKB145" s="22"/>
      <c r="LKC145" s="22"/>
      <c r="LKD145" s="22"/>
      <c r="LKE145" s="22"/>
      <c r="LKF145" s="22"/>
      <c r="LKG145" s="22"/>
      <c r="LKH145" s="22"/>
      <c r="LKI145" s="22"/>
      <c r="LKJ145" s="22"/>
      <c r="LKK145" s="22"/>
      <c r="LKL145" s="22"/>
      <c r="LKM145" s="22"/>
      <c r="LKN145" s="22"/>
      <c r="LKO145" s="22"/>
      <c r="LKP145" s="22"/>
      <c r="LKQ145" s="22"/>
      <c r="LKR145" s="22"/>
      <c r="LKS145" s="22"/>
      <c r="LKT145" s="22"/>
      <c r="LKU145" s="22"/>
      <c r="LKV145" s="22"/>
      <c r="LKW145" s="22"/>
      <c r="LKX145" s="22"/>
      <c r="LKY145" s="22"/>
      <c r="LKZ145" s="22"/>
      <c r="LLA145" s="22"/>
      <c r="LLB145" s="22"/>
      <c r="LLC145" s="22"/>
      <c r="LLD145" s="22"/>
      <c r="LLE145" s="22"/>
      <c r="LLF145" s="22"/>
      <c r="LLG145" s="22"/>
      <c r="LLH145" s="22"/>
      <c r="LLI145" s="22"/>
      <c r="LLJ145" s="22"/>
      <c r="LLK145" s="22"/>
      <c r="LLL145" s="22"/>
      <c r="LLM145" s="22"/>
      <c r="LLN145" s="22"/>
      <c r="LLO145" s="22"/>
      <c r="LLP145" s="22"/>
      <c r="LLQ145" s="22"/>
      <c r="LLR145" s="22"/>
      <c r="LLS145" s="22"/>
      <c r="LLT145" s="22"/>
      <c r="LLU145" s="22"/>
      <c r="LLV145" s="22"/>
      <c r="LLW145" s="22"/>
      <c r="LLX145" s="22"/>
      <c r="LLY145" s="22"/>
      <c r="LLZ145" s="22"/>
      <c r="LMA145" s="22"/>
      <c r="LMB145" s="22"/>
      <c r="LMC145" s="22"/>
      <c r="LMD145" s="22"/>
      <c r="LME145" s="22"/>
      <c r="LMF145" s="22"/>
      <c r="LMG145" s="22"/>
      <c r="LMH145" s="22"/>
      <c r="LMI145" s="22"/>
      <c r="LMJ145" s="22"/>
      <c r="LMK145" s="22"/>
      <c r="LML145" s="22"/>
      <c r="LMM145" s="22"/>
      <c r="LMN145" s="22"/>
      <c r="LMO145" s="22"/>
      <c r="LMP145" s="22"/>
      <c r="LMQ145" s="22"/>
      <c r="LMR145" s="22"/>
      <c r="LMS145" s="22"/>
      <c r="LMT145" s="22"/>
      <c r="LMU145" s="22"/>
      <c r="LMV145" s="22"/>
      <c r="LMW145" s="22"/>
      <c r="LMX145" s="22"/>
      <c r="LMY145" s="22"/>
      <c r="LMZ145" s="22"/>
      <c r="LNA145" s="22"/>
      <c r="LNB145" s="22"/>
      <c r="LNC145" s="22"/>
      <c r="LND145" s="22"/>
      <c r="LNE145" s="22"/>
      <c r="LNF145" s="22"/>
      <c r="LNG145" s="22"/>
      <c r="LNH145" s="22"/>
      <c r="LNI145" s="22"/>
      <c r="LNJ145" s="22"/>
      <c r="LNK145" s="22"/>
      <c r="LNL145" s="22"/>
      <c r="LNM145" s="22"/>
      <c r="LNN145" s="22"/>
      <c r="LNO145" s="22"/>
      <c r="LNP145" s="22"/>
      <c r="LNQ145" s="22"/>
      <c r="LNR145" s="22"/>
      <c r="LNS145" s="22"/>
      <c r="LNT145" s="22"/>
      <c r="LNU145" s="22"/>
      <c r="LNV145" s="22"/>
      <c r="LNW145" s="22"/>
      <c r="LNX145" s="22"/>
      <c r="LNY145" s="22"/>
      <c r="LNZ145" s="22"/>
      <c r="LOA145" s="22"/>
      <c r="LOB145" s="22"/>
      <c r="LOC145" s="22"/>
      <c r="LOD145" s="22"/>
      <c r="LOE145" s="22"/>
      <c r="LOF145" s="22"/>
      <c r="LOG145" s="22"/>
      <c r="LOH145" s="22"/>
      <c r="LOI145" s="22"/>
      <c r="LOJ145" s="22"/>
      <c r="LOK145" s="22"/>
      <c r="LOL145" s="22"/>
      <c r="LOM145" s="22"/>
      <c r="LON145" s="22"/>
      <c r="LOO145" s="22"/>
      <c r="LOP145" s="22"/>
      <c r="LOQ145" s="22"/>
      <c r="LOR145" s="22"/>
      <c r="LOS145" s="22"/>
      <c r="LOT145" s="22"/>
      <c r="LOU145" s="22"/>
      <c r="LOV145" s="22"/>
      <c r="LOW145" s="22"/>
      <c r="LOX145" s="22"/>
      <c r="LOY145" s="22"/>
      <c r="LOZ145" s="22"/>
      <c r="LPA145" s="22"/>
      <c r="LPB145" s="22"/>
      <c r="LPC145" s="22"/>
      <c r="LPD145" s="22"/>
      <c r="LPE145" s="22"/>
      <c r="LPF145" s="22"/>
      <c r="LPG145" s="22"/>
      <c r="LPH145" s="22"/>
      <c r="LPI145" s="22"/>
      <c r="LPJ145" s="22"/>
      <c r="LPK145" s="22"/>
      <c r="LPL145" s="22"/>
      <c r="LPM145" s="22"/>
      <c r="LPN145" s="22"/>
      <c r="LPO145" s="22"/>
      <c r="LPP145" s="22"/>
      <c r="LPQ145" s="22"/>
      <c r="LPR145" s="22"/>
      <c r="LPS145" s="22"/>
      <c r="LPT145" s="22"/>
      <c r="LPU145" s="22"/>
      <c r="LPV145" s="22"/>
      <c r="LPW145" s="22"/>
      <c r="LPX145" s="22"/>
      <c r="LPY145" s="22"/>
      <c r="LPZ145" s="22"/>
      <c r="LQA145" s="22"/>
      <c r="LQB145" s="22"/>
      <c r="LQC145" s="22"/>
      <c r="LQD145" s="22"/>
      <c r="LQE145" s="22"/>
      <c r="LQF145" s="22"/>
      <c r="LQG145" s="22"/>
      <c r="LQH145" s="22"/>
      <c r="LQI145" s="22"/>
      <c r="LQJ145" s="22"/>
      <c r="LQK145" s="22"/>
      <c r="LQL145" s="22"/>
      <c r="LQM145" s="22"/>
      <c r="LQN145" s="22"/>
      <c r="LQO145" s="22"/>
      <c r="LQP145" s="22"/>
      <c r="LQQ145" s="22"/>
      <c r="LQR145" s="22"/>
      <c r="LQS145" s="22"/>
      <c r="LQT145" s="22"/>
      <c r="LQU145" s="22"/>
      <c r="LQV145" s="22"/>
      <c r="LQW145" s="22"/>
      <c r="LQX145" s="22"/>
      <c r="LQY145" s="22"/>
      <c r="LQZ145" s="22"/>
      <c r="LRA145" s="22"/>
      <c r="LRB145" s="22"/>
      <c r="LRC145" s="22"/>
      <c r="LRD145" s="22"/>
      <c r="LRE145" s="22"/>
      <c r="LRF145" s="22"/>
      <c r="LRG145" s="22"/>
      <c r="LRH145" s="22"/>
      <c r="LRI145" s="22"/>
      <c r="LRJ145" s="22"/>
      <c r="LRK145" s="22"/>
      <c r="LRL145" s="22"/>
      <c r="LRM145" s="22"/>
      <c r="LRN145" s="22"/>
      <c r="LRO145" s="22"/>
      <c r="LRP145" s="22"/>
      <c r="LRQ145" s="22"/>
      <c r="LRR145" s="22"/>
      <c r="LRS145" s="22"/>
      <c r="LRT145" s="22"/>
      <c r="LRU145" s="22"/>
      <c r="LRV145" s="22"/>
      <c r="LRW145" s="22"/>
      <c r="LRX145" s="22"/>
      <c r="LRY145" s="22"/>
      <c r="LRZ145" s="22"/>
      <c r="LSA145" s="22"/>
      <c r="LSB145" s="22"/>
      <c r="LSC145" s="22"/>
      <c r="LSD145" s="22"/>
      <c r="LSE145" s="22"/>
      <c r="LSF145" s="22"/>
      <c r="LSG145" s="22"/>
      <c r="LSH145" s="22"/>
      <c r="LSI145" s="22"/>
      <c r="LSJ145" s="22"/>
      <c r="LSK145" s="22"/>
      <c r="LSL145" s="22"/>
      <c r="LSM145" s="22"/>
      <c r="LSN145" s="22"/>
      <c r="LSO145" s="22"/>
      <c r="LSP145" s="22"/>
      <c r="LSQ145" s="22"/>
      <c r="LSR145" s="22"/>
      <c r="LSS145" s="22"/>
      <c r="LST145" s="22"/>
      <c r="LSU145" s="22"/>
      <c r="LSV145" s="22"/>
      <c r="LSW145" s="22"/>
      <c r="LSX145" s="22"/>
      <c r="LSY145" s="22"/>
      <c r="LSZ145" s="22"/>
      <c r="LTA145" s="22"/>
      <c r="LTB145" s="22"/>
      <c r="LTC145" s="22"/>
      <c r="LTD145" s="22"/>
      <c r="LTE145" s="22"/>
      <c r="LTF145" s="22"/>
      <c r="LTG145" s="22"/>
      <c r="LTH145" s="22"/>
      <c r="LTI145" s="22"/>
      <c r="LTJ145" s="22"/>
      <c r="LTK145" s="22"/>
      <c r="LTL145" s="22"/>
      <c r="LTM145" s="22"/>
      <c r="LTN145" s="22"/>
      <c r="LTO145" s="22"/>
      <c r="LTP145" s="22"/>
      <c r="LTQ145" s="22"/>
      <c r="LTR145" s="22"/>
      <c r="LTS145" s="22"/>
      <c r="LTT145" s="22"/>
      <c r="LTU145" s="22"/>
      <c r="LTV145" s="22"/>
      <c r="LTW145" s="22"/>
      <c r="LTX145" s="22"/>
      <c r="LTY145" s="22"/>
      <c r="LTZ145" s="22"/>
      <c r="LUA145" s="22"/>
      <c r="LUB145" s="22"/>
      <c r="LUC145" s="22"/>
      <c r="LUD145" s="22"/>
      <c r="LUE145" s="22"/>
      <c r="LUF145" s="22"/>
      <c r="LUG145" s="22"/>
      <c r="LUH145" s="22"/>
      <c r="LUI145" s="22"/>
      <c r="LUJ145" s="22"/>
      <c r="LUK145" s="22"/>
      <c r="LUL145" s="22"/>
      <c r="LUM145" s="22"/>
      <c r="LUN145" s="22"/>
      <c r="LUO145" s="22"/>
      <c r="LUP145" s="22"/>
      <c r="LUQ145" s="22"/>
      <c r="LUR145" s="22"/>
      <c r="LUS145" s="22"/>
      <c r="LUT145" s="22"/>
      <c r="LUU145" s="22"/>
      <c r="LUV145" s="22"/>
      <c r="LUW145" s="22"/>
      <c r="LUX145" s="22"/>
      <c r="LUY145" s="22"/>
      <c r="LUZ145" s="22"/>
      <c r="LVA145" s="22"/>
      <c r="LVB145" s="22"/>
      <c r="LVC145" s="22"/>
      <c r="LVD145" s="22"/>
      <c r="LVE145" s="22"/>
      <c r="LVF145" s="22"/>
      <c r="LVG145" s="22"/>
      <c r="LVH145" s="22"/>
      <c r="LVI145" s="22"/>
      <c r="LVJ145" s="22"/>
      <c r="LVK145" s="22"/>
      <c r="LVL145" s="22"/>
      <c r="LVM145" s="22"/>
      <c r="LVN145" s="22"/>
      <c r="LVO145" s="22"/>
      <c r="LVP145" s="22"/>
      <c r="LVQ145" s="22"/>
      <c r="LVR145" s="22"/>
      <c r="LVS145" s="22"/>
      <c r="LVT145" s="22"/>
      <c r="LVU145" s="22"/>
      <c r="LVV145" s="22"/>
      <c r="LVW145" s="22"/>
      <c r="LVX145" s="22"/>
      <c r="LVY145" s="22"/>
      <c r="LVZ145" s="22"/>
      <c r="LWA145" s="22"/>
      <c r="LWB145" s="22"/>
      <c r="LWC145" s="22"/>
      <c r="LWD145" s="22"/>
      <c r="LWE145" s="22"/>
      <c r="LWF145" s="22"/>
      <c r="LWG145" s="22"/>
      <c r="LWH145" s="22"/>
      <c r="LWI145" s="22"/>
      <c r="LWJ145" s="22"/>
      <c r="LWK145" s="22"/>
      <c r="LWL145" s="22"/>
      <c r="LWM145" s="22"/>
      <c r="LWN145" s="22"/>
      <c r="LWO145" s="22"/>
      <c r="LWP145" s="22"/>
      <c r="LWQ145" s="22"/>
      <c r="LWR145" s="22"/>
      <c r="LWS145" s="22"/>
      <c r="LWT145" s="22"/>
      <c r="LWU145" s="22"/>
      <c r="LWV145" s="22"/>
      <c r="LWW145" s="22"/>
      <c r="LWX145" s="22"/>
      <c r="LWY145" s="22"/>
      <c r="LWZ145" s="22"/>
      <c r="LXA145" s="22"/>
      <c r="LXB145" s="22"/>
      <c r="LXC145" s="22"/>
      <c r="LXD145" s="22"/>
      <c r="LXE145" s="22"/>
      <c r="LXF145" s="22"/>
      <c r="LXG145" s="22"/>
      <c r="LXH145" s="22"/>
      <c r="LXI145" s="22"/>
      <c r="LXJ145" s="22"/>
      <c r="LXK145" s="22"/>
      <c r="LXL145" s="22"/>
      <c r="LXM145" s="22"/>
      <c r="LXN145" s="22"/>
      <c r="LXO145" s="22"/>
      <c r="LXP145" s="22"/>
      <c r="LXQ145" s="22"/>
      <c r="LXR145" s="22"/>
      <c r="LXS145" s="22"/>
      <c r="LXT145" s="22"/>
      <c r="LXU145" s="22"/>
      <c r="LXV145" s="22"/>
      <c r="LXW145" s="22"/>
      <c r="LXX145" s="22"/>
      <c r="LXY145" s="22"/>
      <c r="LXZ145" s="22"/>
      <c r="LYA145" s="22"/>
      <c r="LYB145" s="22"/>
      <c r="LYC145" s="22"/>
      <c r="LYD145" s="22"/>
      <c r="LYE145" s="22"/>
      <c r="LYF145" s="22"/>
      <c r="LYG145" s="22"/>
      <c r="LYH145" s="22"/>
      <c r="LYI145" s="22"/>
      <c r="LYJ145" s="22"/>
      <c r="LYK145" s="22"/>
      <c r="LYL145" s="22"/>
      <c r="LYM145" s="22"/>
      <c r="LYN145" s="22"/>
      <c r="LYO145" s="22"/>
      <c r="LYP145" s="22"/>
      <c r="LYQ145" s="22"/>
      <c r="LYR145" s="22"/>
      <c r="LYS145" s="22"/>
      <c r="LYT145" s="22"/>
      <c r="LYU145" s="22"/>
      <c r="LYV145" s="22"/>
      <c r="LYW145" s="22"/>
      <c r="LYX145" s="22"/>
      <c r="LYY145" s="22"/>
      <c r="LYZ145" s="22"/>
      <c r="LZA145" s="22"/>
      <c r="LZB145" s="22"/>
      <c r="LZC145" s="22"/>
      <c r="LZD145" s="22"/>
      <c r="LZE145" s="22"/>
      <c r="LZF145" s="22"/>
      <c r="LZG145" s="22"/>
      <c r="LZH145" s="22"/>
      <c r="LZI145" s="22"/>
      <c r="LZJ145" s="22"/>
      <c r="LZK145" s="22"/>
      <c r="LZL145" s="22"/>
      <c r="LZM145" s="22"/>
      <c r="LZN145" s="22"/>
      <c r="LZO145" s="22"/>
      <c r="LZP145" s="22"/>
      <c r="LZQ145" s="22"/>
      <c r="LZR145" s="22"/>
      <c r="LZS145" s="22"/>
      <c r="LZT145" s="22"/>
      <c r="LZU145" s="22"/>
      <c r="LZV145" s="22"/>
      <c r="LZW145" s="22"/>
      <c r="LZX145" s="22"/>
      <c r="LZY145" s="22"/>
      <c r="LZZ145" s="22"/>
      <c r="MAA145" s="22"/>
      <c r="MAB145" s="22"/>
      <c r="MAC145" s="22"/>
      <c r="MAD145" s="22"/>
      <c r="MAE145" s="22"/>
      <c r="MAF145" s="22"/>
      <c r="MAG145" s="22"/>
      <c r="MAH145" s="22"/>
      <c r="MAI145" s="22"/>
      <c r="MAJ145" s="22"/>
      <c r="MAK145" s="22"/>
      <c r="MAL145" s="22"/>
      <c r="MAM145" s="22"/>
      <c r="MAN145" s="22"/>
      <c r="MAO145" s="22"/>
      <c r="MAP145" s="22"/>
      <c r="MAQ145" s="22"/>
      <c r="MAR145" s="22"/>
      <c r="MAS145" s="22"/>
      <c r="MAT145" s="22"/>
      <c r="MAU145" s="22"/>
      <c r="MAV145" s="22"/>
      <c r="MAW145" s="22"/>
      <c r="MAX145" s="22"/>
      <c r="MAY145" s="22"/>
      <c r="MAZ145" s="22"/>
      <c r="MBA145" s="22"/>
      <c r="MBB145" s="22"/>
      <c r="MBC145" s="22"/>
      <c r="MBD145" s="22"/>
      <c r="MBE145" s="22"/>
      <c r="MBF145" s="22"/>
      <c r="MBG145" s="22"/>
      <c r="MBH145" s="22"/>
      <c r="MBI145" s="22"/>
      <c r="MBJ145" s="22"/>
      <c r="MBK145" s="22"/>
      <c r="MBL145" s="22"/>
      <c r="MBM145" s="22"/>
      <c r="MBN145" s="22"/>
      <c r="MBO145" s="22"/>
      <c r="MBP145" s="22"/>
      <c r="MBQ145" s="22"/>
      <c r="MBR145" s="22"/>
      <c r="MBS145" s="22"/>
      <c r="MBT145" s="22"/>
      <c r="MBU145" s="22"/>
      <c r="MBV145" s="22"/>
      <c r="MBW145" s="22"/>
      <c r="MBX145" s="22"/>
      <c r="MBY145" s="22"/>
      <c r="MBZ145" s="22"/>
      <c r="MCA145" s="22"/>
      <c r="MCB145" s="22"/>
      <c r="MCC145" s="22"/>
      <c r="MCD145" s="22"/>
      <c r="MCE145" s="22"/>
      <c r="MCF145" s="22"/>
      <c r="MCG145" s="22"/>
      <c r="MCH145" s="22"/>
      <c r="MCI145" s="22"/>
      <c r="MCJ145" s="22"/>
      <c r="MCK145" s="22"/>
      <c r="MCL145" s="22"/>
      <c r="MCM145" s="22"/>
      <c r="MCN145" s="22"/>
      <c r="MCO145" s="22"/>
      <c r="MCP145" s="22"/>
      <c r="MCQ145" s="22"/>
      <c r="MCR145" s="22"/>
      <c r="MCS145" s="22"/>
      <c r="MCT145" s="22"/>
      <c r="MCU145" s="22"/>
      <c r="MCV145" s="22"/>
      <c r="MCW145" s="22"/>
      <c r="MCX145" s="22"/>
      <c r="MCY145" s="22"/>
      <c r="MCZ145" s="22"/>
      <c r="MDA145" s="22"/>
      <c r="MDB145" s="22"/>
      <c r="MDC145" s="22"/>
      <c r="MDD145" s="22"/>
      <c r="MDE145" s="22"/>
      <c r="MDF145" s="22"/>
      <c r="MDG145" s="22"/>
      <c r="MDH145" s="22"/>
      <c r="MDI145" s="22"/>
      <c r="MDJ145" s="22"/>
      <c r="MDK145" s="22"/>
      <c r="MDL145" s="22"/>
      <c r="MDM145" s="22"/>
      <c r="MDN145" s="22"/>
      <c r="MDO145" s="22"/>
      <c r="MDP145" s="22"/>
      <c r="MDQ145" s="22"/>
      <c r="MDR145" s="22"/>
      <c r="MDS145" s="22"/>
      <c r="MDT145" s="22"/>
      <c r="MDU145" s="22"/>
      <c r="MDV145" s="22"/>
      <c r="MDW145" s="22"/>
      <c r="MDX145" s="22"/>
      <c r="MDY145" s="22"/>
      <c r="MDZ145" s="22"/>
      <c r="MEA145" s="22"/>
      <c r="MEB145" s="22"/>
      <c r="MEC145" s="22"/>
      <c r="MED145" s="22"/>
      <c r="MEE145" s="22"/>
      <c r="MEF145" s="22"/>
      <c r="MEG145" s="22"/>
      <c r="MEH145" s="22"/>
      <c r="MEI145" s="22"/>
      <c r="MEJ145" s="22"/>
      <c r="MEK145" s="22"/>
      <c r="MEL145" s="22"/>
      <c r="MEM145" s="22"/>
      <c r="MEN145" s="22"/>
      <c r="MEO145" s="22"/>
      <c r="MEP145" s="22"/>
      <c r="MEQ145" s="22"/>
      <c r="MER145" s="22"/>
      <c r="MES145" s="22"/>
      <c r="MET145" s="22"/>
      <c r="MEU145" s="22"/>
      <c r="MEV145" s="22"/>
      <c r="MEW145" s="22"/>
      <c r="MEX145" s="22"/>
      <c r="MEY145" s="22"/>
      <c r="MEZ145" s="22"/>
      <c r="MFA145" s="22"/>
      <c r="MFB145" s="22"/>
      <c r="MFC145" s="22"/>
      <c r="MFD145" s="22"/>
      <c r="MFE145" s="22"/>
      <c r="MFF145" s="22"/>
      <c r="MFG145" s="22"/>
      <c r="MFH145" s="22"/>
      <c r="MFI145" s="22"/>
      <c r="MFJ145" s="22"/>
      <c r="MFK145" s="22"/>
      <c r="MFL145" s="22"/>
      <c r="MFM145" s="22"/>
      <c r="MFN145" s="22"/>
      <c r="MFO145" s="22"/>
      <c r="MFP145" s="22"/>
      <c r="MFQ145" s="22"/>
      <c r="MFR145" s="22"/>
      <c r="MFS145" s="22"/>
      <c r="MFT145" s="22"/>
      <c r="MFU145" s="22"/>
      <c r="MFV145" s="22"/>
      <c r="MFW145" s="22"/>
      <c r="MFX145" s="22"/>
      <c r="MFY145" s="22"/>
      <c r="MFZ145" s="22"/>
      <c r="MGA145" s="22"/>
      <c r="MGB145" s="22"/>
      <c r="MGC145" s="22"/>
      <c r="MGD145" s="22"/>
      <c r="MGE145" s="22"/>
      <c r="MGF145" s="22"/>
      <c r="MGG145" s="22"/>
      <c r="MGH145" s="22"/>
      <c r="MGI145" s="22"/>
      <c r="MGJ145" s="22"/>
      <c r="MGK145" s="22"/>
      <c r="MGL145" s="22"/>
      <c r="MGM145" s="22"/>
      <c r="MGN145" s="22"/>
      <c r="MGO145" s="22"/>
      <c r="MGP145" s="22"/>
      <c r="MGQ145" s="22"/>
      <c r="MGR145" s="22"/>
      <c r="MGS145" s="22"/>
      <c r="MGT145" s="22"/>
      <c r="MGU145" s="22"/>
      <c r="MGV145" s="22"/>
      <c r="MGW145" s="22"/>
      <c r="MGX145" s="22"/>
      <c r="MGY145" s="22"/>
      <c r="MGZ145" s="22"/>
      <c r="MHA145" s="22"/>
      <c r="MHB145" s="22"/>
      <c r="MHC145" s="22"/>
      <c r="MHD145" s="22"/>
      <c r="MHE145" s="22"/>
      <c r="MHF145" s="22"/>
      <c r="MHG145" s="22"/>
      <c r="MHH145" s="22"/>
      <c r="MHI145" s="22"/>
      <c r="MHJ145" s="22"/>
      <c r="MHK145" s="22"/>
      <c r="MHL145" s="22"/>
      <c r="MHM145" s="22"/>
      <c r="MHN145" s="22"/>
      <c r="MHO145" s="22"/>
      <c r="MHP145" s="22"/>
      <c r="MHQ145" s="22"/>
      <c r="MHR145" s="22"/>
      <c r="MHS145" s="22"/>
      <c r="MHT145" s="22"/>
      <c r="MHU145" s="22"/>
      <c r="MHV145" s="22"/>
      <c r="MHW145" s="22"/>
      <c r="MHX145" s="22"/>
      <c r="MHY145" s="22"/>
      <c r="MHZ145" s="22"/>
      <c r="MIA145" s="22"/>
      <c r="MIB145" s="22"/>
      <c r="MIC145" s="22"/>
      <c r="MID145" s="22"/>
      <c r="MIE145" s="22"/>
      <c r="MIF145" s="22"/>
      <c r="MIG145" s="22"/>
      <c r="MIH145" s="22"/>
      <c r="MII145" s="22"/>
      <c r="MIJ145" s="22"/>
      <c r="MIK145" s="22"/>
      <c r="MIL145" s="22"/>
      <c r="MIM145" s="22"/>
      <c r="MIN145" s="22"/>
      <c r="MIO145" s="22"/>
      <c r="MIP145" s="22"/>
      <c r="MIQ145" s="22"/>
      <c r="MIR145" s="22"/>
      <c r="MIS145" s="22"/>
      <c r="MIT145" s="22"/>
      <c r="MIU145" s="22"/>
      <c r="MIV145" s="22"/>
      <c r="MIW145" s="22"/>
      <c r="MIX145" s="22"/>
      <c r="MIY145" s="22"/>
      <c r="MIZ145" s="22"/>
      <c r="MJA145" s="22"/>
      <c r="MJB145" s="22"/>
      <c r="MJC145" s="22"/>
      <c r="MJD145" s="22"/>
      <c r="MJE145" s="22"/>
      <c r="MJF145" s="22"/>
      <c r="MJG145" s="22"/>
      <c r="MJH145" s="22"/>
      <c r="MJI145" s="22"/>
      <c r="MJJ145" s="22"/>
      <c r="MJK145" s="22"/>
      <c r="MJL145" s="22"/>
      <c r="MJM145" s="22"/>
      <c r="MJN145" s="22"/>
      <c r="MJO145" s="22"/>
      <c r="MJP145" s="22"/>
      <c r="MJQ145" s="22"/>
      <c r="MJR145" s="22"/>
      <c r="MJS145" s="22"/>
      <c r="MJT145" s="22"/>
      <c r="MJU145" s="22"/>
      <c r="MJV145" s="22"/>
      <c r="MJW145" s="22"/>
      <c r="MJX145" s="22"/>
      <c r="MJY145" s="22"/>
      <c r="MJZ145" s="22"/>
      <c r="MKA145" s="22"/>
      <c r="MKB145" s="22"/>
      <c r="MKC145" s="22"/>
      <c r="MKD145" s="22"/>
      <c r="MKE145" s="22"/>
      <c r="MKF145" s="22"/>
      <c r="MKG145" s="22"/>
      <c r="MKH145" s="22"/>
      <c r="MKI145" s="22"/>
      <c r="MKJ145" s="22"/>
      <c r="MKK145" s="22"/>
      <c r="MKL145" s="22"/>
      <c r="MKM145" s="22"/>
      <c r="MKN145" s="22"/>
      <c r="MKO145" s="22"/>
      <c r="MKP145" s="22"/>
      <c r="MKQ145" s="22"/>
      <c r="MKR145" s="22"/>
      <c r="MKS145" s="22"/>
      <c r="MKT145" s="22"/>
      <c r="MKU145" s="22"/>
      <c r="MKV145" s="22"/>
      <c r="MKW145" s="22"/>
      <c r="MKX145" s="22"/>
      <c r="MKY145" s="22"/>
      <c r="MKZ145" s="22"/>
      <c r="MLA145" s="22"/>
      <c r="MLB145" s="22"/>
      <c r="MLC145" s="22"/>
      <c r="MLD145" s="22"/>
      <c r="MLE145" s="22"/>
      <c r="MLF145" s="22"/>
      <c r="MLG145" s="22"/>
      <c r="MLH145" s="22"/>
      <c r="MLI145" s="22"/>
      <c r="MLJ145" s="22"/>
      <c r="MLK145" s="22"/>
      <c r="MLL145" s="22"/>
      <c r="MLM145" s="22"/>
      <c r="MLN145" s="22"/>
      <c r="MLO145" s="22"/>
      <c r="MLP145" s="22"/>
      <c r="MLQ145" s="22"/>
      <c r="MLR145" s="22"/>
      <c r="MLS145" s="22"/>
      <c r="MLT145" s="22"/>
      <c r="MLU145" s="22"/>
      <c r="MLV145" s="22"/>
      <c r="MLW145" s="22"/>
      <c r="MLX145" s="22"/>
      <c r="MLY145" s="22"/>
      <c r="MLZ145" s="22"/>
      <c r="MMA145" s="22"/>
      <c r="MMB145" s="22"/>
      <c r="MMC145" s="22"/>
      <c r="MMD145" s="22"/>
      <c r="MME145" s="22"/>
      <c r="MMF145" s="22"/>
      <c r="MMG145" s="22"/>
      <c r="MMH145" s="22"/>
      <c r="MMI145" s="22"/>
      <c r="MMJ145" s="22"/>
      <c r="MMK145" s="22"/>
      <c r="MML145" s="22"/>
      <c r="MMM145" s="22"/>
      <c r="MMN145" s="22"/>
      <c r="MMO145" s="22"/>
      <c r="MMP145" s="22"/>
      <c r="MMQ145" s="22"/>
      <c r="MMR145" s="22"/>
      <c r="MMS145" s="22"/>
      <c r="MMT145" s="22"/>
      <c r="MMU145" s="22"/>
      <c r="MMV145" s="22"/>
      <c r="MMW145" s="22"/>
      <c r="MMX145" s="22"/>
      <c r="MMY145" s="22"/>
      <c r="MMZ145" s="22"/>
      <c r="MNA145" s="22"/>
      <c r="MNB145" s="22"/>
      <c r="MNC145" s="22"/>
      <c r="MND145" s="22"/>
      <c r="MNE145" s="22"/>
      <c r="MNF145" s="22"/>
      <c r="MNG145" s="22"/>
      <c r="MNH145" s="22"/>
      <c r="MNI145" s="22"/>
      <c r="MNJ145" s="22"/>
      <c r="MNK145" s="22"/>
      <c r="MNL145" s="22"/>
      <c r="MNM145" s="22"/>
      <c r="MNN145" s="22"/>
      <c r="MNO145" s="22"/>
      <c r="MNP145" s="22"/>
      <c r="MNQ145" s="22"/>
      <c r="MNR145" s="22"/>
      <c r="MNS145" s="22"/>
      <c r="MNT145" s="22"/>
      <c r="MNU145" s="22"/>
      <c r="MNV145" s="22"/>
      <c r="MNW145" s="22"/>
      <c r="MNX145" s="22"/>
      <c r="MNY145" s="22"/>
      <c r="MNZ145" s="22"/>
      <c r="MOA145" s="22"/>
      <c r="MOB145" s="22"/>
      <c r="MOC145" s="22"/>
      <c r="MOD145" s="22"/>
      <c r="MOE145" s="22"/>
      <c r="MOF145" s="22"/>
      <c r="MOG145" s="22"/>
      <c r="MOH145" s="22"/>
      <c r="MOI145" s="22"/>
      <c r="MOJ145" s="22"/>
      <c r="MOK145" s="22"/>
      <c r="MOL145" s="22"/>
      <c r="MOM145" s="22"/>
      <c r="MON145" s="22"/>
      <c r="MOO145" s="22"/>
      <c r="MOP145" s="22"/>
      <c r="MOQ145" s="22"/>
      <c r="MOR145" s="22"/>
      <c r="MOS145" s="22"/>
      <c r="MOT145" s="22"/>
      <c r="MOU145" s="22"/>
      <c r="MOV145" s="22"/>
      <c r="MOW145" s="22"/>
      <c r="MOX145" s="22"/>
      <c r="MOY145" s="22"/>
      <c r="MOZ145" s="22"/>
      <c r="MPA145" s="22"/>
      <c r="MPB145" s="22"/>
      <c r="MPC145" s="22"/>
      <c r="MPD145" s="22"/>
      <c r="MPE145" s="22"/>
      <c r="MPF145" s="22"/>
      <c r="MPG145" s="22"/>
      <c r="MPH145" s="22"/>
      <c r="MPI145" s="22"/>
      <c r="MPJ145" s="22"/>
      <c r="MPK145" s="22"/>
      <c r="MPL145" s="22"/>
      <c r="MPM145" s="22"/>
      <c r="MPN145" s="22"/>
      <c r="MPO145" s="22"/>
      <c r="MPP145" s="22"/>
      <c r="MPQ145" s="22"/>
      <c r="MPR145" s="22"/>
      <c r="MPS145" s="22"/>
      <c r="MPT145" s="22"/>
      <c r="MPU145" s="22"/>
      <c r="MPV145" s="22"/>
      <c r="MPW145" s="22"/>
      <c r="MPX145" s="22"/>
      <c r="MPY145" s="22"/>
      <c r="MPZ145" s="22"/>
      <c r="MQA145" s="22"/>
      <c r="MQB145" s="22"/>
      <c r="MQC145" s="22"/>
      <c r="MQD145" s="22"/>
      <c r="MQE145" s="22"/>
      <c r="MQF145" s="22"/>
      <c r="MQG145" s="22"/>
      <c r="MQH145" s="22"/>
      <c r="MQI145" s="22"/>
      <c r="MQJ145" s="22"/>
      <c r="MQK145" s="22"/>
      <c r="MQL145" s="22"/>
      <c r="MQM145" s="22"/>
      <c r="MQN145" s="22"/>
      <c r="MQO145" s="22"/>
      <c r="MQP145" s="22"/>
      <c r="MQQ145" s="22"/>
      <c r="MQR145" s="22"/>
      <c r="MQS145" s="22"/>
      <c r="MQT145" s="22"/>
      <c r="MQU145" s="22"/>
      <c r="MQV145" s="22"/>
      <c r="MQW145" s="22"/>
      <c r="MQX145" s="22"/>
      <c r="MQY145" s="22"/>
      <c r="MQZ145" s="22"/>
      <c r="MRA145" s="22"/>
      <c r="MRB145" s="22"/>
      <c r="MRC145" s="22"/>
      <c r="MRD145" s="22"/>
      <c r="MRE145" s="22"/>
      <c r="MRF145" s="22"/>
      <c r="MRG145" s="22"/>
      <c r="MRH145" s="22"/>
      <c r="MRI145" s="22"/>
      <c r="MRJ145" s="22"/>
      <c r="MRK145" s="22"/>
      <c r="MRL145" s="22"/>
      <c r="MRM145" s="22"/>
      <c r="MRN145" s="22"/>
      <c r="MRO145" s="22"/>
      <c r="MRP145" s="22"/>
      <c r="MRQ145" s="22"/>
      <c r="MRR145" s="22"/>
      <c r="MRS145" s="22"/>
      <c r="MRT145" s="22"/>
      <c r="MRU145" s="22"/>
      <c r="MRV145" s="22"/>
      <c r="MRW145" s="22"/>
      <c r="MRX145" s="22"/>
      <c r="MRY145" s="22"/>
      <c r="MRZ145" s="22"/>
      <c r="MSA145" s="22"/>
      <c r="MSB145" s="22"/>
      <c r="MSC145" s="22"/>
      <c r="MSD145" s="22"/>
      <c r="MSE145" s="22"/>
      <c r="MSF145" s="22"/>
      <c r="MSG145" s="22"/>
      <c r="MSH145" s="22"/>
      <c r="MSI145" s="22"/>
      <c r="MSJ145" s="22"/>
      <c r="MSK145" s="22"/>
      <c r="MSL145" s="22"/>
      <c r="MSM145" s="22"/>
      <c r="MSN145" s="22"/>
      <c r="MSO145" s="22"/>
      <c r="MSP145" s="22"/>
      <c r="MSQ145" s="22"/>
      <c r="MSR145" s="22"/>
      <c r="MSS145" s="22"/>
      <c r="MST145" s="22"/>
      <c r="MSU145" s="22"/>
      <c r="MSV145" s="22"/>
      <c r="MSW145" s="22"/>
      <c r="MSX145" s="22"/>
      <c r="MSY145" s="22"/>
      <c r="MSZ145" s="22"/>
      <c r="MTA145" s="22"/>
      <c r="MTB145" s="22"/>
      <c r="MTC145" s="22"/>
      <c r="MTD145" s="22"/>
      <c r="MTE145" s="22"/>
      <c r="MTF145" s="22"/>
      <c r="MTG145" s="22"/>
      <c r="MTH145" s="22"/>
      <c r="MTI145" s="22"/>
      <c r="MTJ145" s="22"/>
      <c r="MTK145" s="22"/>
      <c r="MTL145" s="22"/>
      <c r="MTM145" s="22"/>
      <c r="MTN145" s="22"/>
      <c r="MTO145" s="22"/>
      <c r="MTP145" s="22"/>
      <c r="MTQ145" s="22"/>
      <c r="MTR145" s="22"/>
      <c r="MTS145" s="22"/>
      <c r="MTT145" s="22"/>
      <c r="MTU145" s="22"/>
      <c r="MTV145" s="22"/>
      <c r="MTW145" s="22"/>
      <c r="MTX145" s="22"/>
      <c r="MTY145" s="22"/>
      <c r="MTZ145" s="22"/>
      <c r="MUA145" s="22"/>
      <c r="MUB145" s="22"/>
      <c r="MUC145" s="22"/>
      <c r="MUD145" s="22"/>
      <c r="MUE145" s="22"/>
      <c r="MUF145" s="22"/>
      <c r="MUG145" s="22"/>
      <c r="MUH145" s="22"/>
      <c r="MUI145" s="22"/>
      <c r="MUJ145" s="22"/>
      <c r="MUK145" s="22"/>
      <c r="MUL145" s="22"/>
      <c r="MUM145" s="22"/>
      <c r="MUN145" s="22"/>
      <c r="MUO145" s="22"/>
      <c r="MUP145" s="22"/>
      <c r="MUQ145" s="22"/>
      <c r="MUR145" s="22"/>
      <c r="MUS145" s="22"/>
      <c r="MUT145" s="22"/>
      <c r="MUU145" s="22"/>
      <c r="MUV145" s="22"/>
      <c r="MUW145" s="22"/>
      <c r="MUX145" s="22"/>
      <c r="MUY145" s="22"/>
      <c r="MUZ145" s="22"/>
      <c r="MVA145" s="22"/>
      <c r="MVB145" s="22"/>
      <c r="MVC145" s="22"/>
      <c r="MVD145" s="22"/>
      <c r="MVE145" s="22"/>
      <c r="MVF145" s="22"/>
      <c r="MVG145" s="22"/>
      <c r="MVH145" s="22"/>
      <c r="MVI145" s="22"/>
      <c r="MVJ145" s="22"/>
      <c r="MVK145" s="22"/>
      <c r="MVL145" s="22"/>
      <c r="MVM145" s="22"/>
      <c r="MVN145" s="22"/>
      <c r="MVO145" s="22"/>
      <c r="MVP145" s="22"/>
      <c r="MVQ145" s="22"/>
      <c r="MVR145" s="22"/>
      <c r="MVS145" s="22"/>
      <c r="MVT145" s="22"/>
      <c r="MVU145" s="22"/>
      <c r="MVV145" s="22"/>
      <c r="MVW145" s="22"/>
      <c r="MVX145" s="22"/>
      <c r="MVY145" s="22"/>
      <c r="MVZ145" s="22"/>
      <c r="MWA145" s="22"/>
      <c r="MWB145" s="22"/>
      <c r="MWC145" s="22"/>
      <c r="MWD145" s="22"/>
      <c r="MWE145" s="22"/>
      <c r="MWF145" s="22"/>
      <c r="MWG145" s="22"/>
      <c r="MWH145" s="22"/>
      <c r="MWI145" s="22"/>
      <c r="MWJ145" s="22"/>
      <c r="MWK145" s="22"/>
      <c r="MWL145" s="22"/>
      <c r="MWM145" s="22"/>
      <c r="MWN145" s="22"/>
      <c r="MWO145" s="22"/>
      <c r="MWP145" s="22"/>
      <c r="MWQ145" s="22"/>
      <c r="MWR145" s="22"/>
      <c r="MWS145" s="22"/>
      <c r="MWT145" s="22"/>
      <c r="MWU145" s="22"/>
      <c r="MWV145" s="22"/>
      <c r="MWW145" s="22"/>
      <c r="MWX145" s="22"/>
      <c r="MWY145" s="22"/>
      <c r="MWZ145" s="22"/>
      <c r="MXA145" s="22"/>
      <c r="MXB145" s="22"/>
      <c r="MXC145" s="22"/>
      <c r="MXD145" s="22"/>
      <c r="MXE145" s="22"/>
      <c r="MXF145" s="22"/>
      <c r="MXG145" s="22"/>
      <c r="MXH145" s="22"/>
      <c r="MXI145" s="22"/>
      <c r="MXJ145" s="22"/>
      <c r="MXK145" s="22"/>
      <c r="MXL145" s="22"/>
      <c r="MXM145" s="22"/>
      <c r="MXN145" s="22"/>
      <c r="MXO145" s="22"/>
      <c r="MXP145" s="22"/>
      <c r="MXQ145" s="22"/>
      <c r="MXR145" s="22"/>
      <c r="MXS145" s="22"/>
      <c r="MXT145" s="22"/>
      <c r="MXU145" s="22"/>
      <c r="MXV145" s="22"/>
      <c r="MXW145" s="22"/>
      <c r="MXX145" s="22"/>
      <c r="MXY145" s="22"/>
      <c r="MXZ145" s="22"/>
      <c r="MYA145" s="22"/>
      <c r="MYB145" s="22"/>
      <c r="MYC145" s="22"/>
      <c r="MYD145" s="22"/>
      <c r="MYE145" s="22"/>
      <c r="MYF145" s="22"/>
      <c r="MYG145" s="22"/>
      <c r="MYH145" s="22"/>
      <c r="MYI145" s="22"/>
      <c r="MYJ145" s="22"/>
      <c r="MYK145" s="22"/>
      <c r="MYL145" s="22"/>
      <c r="MYM145" s="22"/>
      <c r="MYN145" s="22"/>
      <c r="MYO145" s="22"/>
      <c r="MYP145" s="22"/>
      <c r="MYQ145" s="22"/>
      <c r="MYR145" s="22"/>
      <c r="MYS145" s="22"/>
      <c r="MYT145" s="22"/>
      <c r="MYU145" s="22"/>
      <c r="MYV145" s="22"/>
      <c r="MYW145" s="22"/>
      <c r="MYX145" s="22"/>
      <c r="MYY145" s="22"/>
      <c r="MYZ145" s="22"/>
      <c r="MZA145" s="22"/>
      <c r="MZB145" s="22"/>
      <c r="MZC145" s="22"/>
      <c r="MZD145" s="22"/>
      <c r="MZE145" s="22"/>
      <c r="MZF145" s="22"/>
      <c r="MZG145" s="22"/>
      <c r="MZH145" s="22"/>
      <c r="MZI145" s="22"/>
      <c r="MZJ145" s="22"/>
      <c r="MZK145" s="22"/>
      <c r="MZL145" s="22"/>
      <c r="MZM145" s="22"/>
      <c r="MZN145" s="22"/>
      <c r="MZO145" s="22"/>
      <c r="MZP145" s="22"/>
      <c r="MZQ145" s="22"/>
      <c r="MZR145" s="22"/>
      <c r="MZS145" s="22"/>
      <c r="MZT145" s="22"/>
      <c r="MZU145" s="22"/>
      <c r="MZV145" s="22"/>
      <c r="MZW145" s="22"/>
      <c r="MZX145" s="22"/>
      <c r="MZY145" s="22"/>
      <c r="MZZ145" s="22"/>
      <c r="NAA145" s="22"/>
      <c r="NAB145" s="22"/>
      <c r="NAC145" s="22"/>
      <c r="NAD145" s="22"/>
      <c r="NAE145" s="22"/>
      <c r="NAF145" s="22"/>
      <c r="NAG145" s="22"/>
      <c r="NAH145" s="22"/>
      <c r="NAI145" s="22"/>
      <c r="NAJ145" s="22"/>
      <c r="NAK145" s="22"/>
      <c r="NAL145" s="22"/>
      <c r="NAM145" s="22"/>
      <c r="NAN145" s="22"/>
      <c r="NAO145" s="22"/>
      <c r="NAP145" s="22"/>
      <c r="NAQ145" s="22"/>
      <c r="NAR145" s="22"/>
      <c r="NAS145" s="22"/>
      <c r="NAT145" s="22"/>
      <c r="NAU145" s="22"/>
      <c r="NAV145" s="22"/>
      <c r="NAW145" s="22"/>
      <c r="NAX145" s="22"/>
      <c r="NAY145" s="22"/>
      <c r="NAZ145" s="22"/>
      <c r="NBA145" s="22"/>
      <c r="NBB145" s="22"/>
      <c r="NBC145" s="22"/>
      <c r="NBD145" s="22"/>
      <c r="NBE145" s="22"/>
      <c r="NBF145" s="22"/>
      <c r="NBG145" s="22"/>
      <c r="NBH145" s="22"/>
      <c r="NBI145" s="22"/>
      <c r="NBJ145" s="22"/>
      <c r="NBK145" s="22"/>
      <c r="NBL145" s="22"/>
      <c r="NBM145" s="22"/>
      <c r="NBN145" s="22"/>
      <c r="NBO145" s="22"/>
      <c r="NBP145" s="22"/>
      <c r="NBQ145" s="22"/>
      <c r="NBR145" s="22"/>
      <c r="NBS145" s="22"/>
      <c r="NBT145" s="22"/>
      <c r="NBU145" s="22"/>
      <c r="NBV145" s="22"/>
      <c r="NBW145" s="22"/>
      <c r="NBX145" s="22"/>
      <c r="NBY145" s="22"/>
      <c r="NBZ145" s="22"/>
      <c r="NCA145" s="22"/>
      <c r="NCB145" s="22"/>
      <c r="NCC145" s="22"/>
      <c r="NCD145" s="22"/>
      <c r="NCE145" s="22"/>
      <c r="NCF145" s="22"/>
      <c r="NCG145" s="22"/>
      <c r="NCH145" s="22"/>
      <c r="NCI145" s="22"/>
      <c r="NCJ145" s="22"/>
      <c r="NCK145" s="22"/>
      <c r="NCL145" s="22"/>
      <c r="NCM145" s="22"/>
      <c r="NCN145" s="22"/>
      <c r="NCO145" s="22"/>
      <c r="NCP145" s="22"/>
      <c r="NCQ145" s="22"/>
      <c r="NCR145" s="22"/>
      <c r="NCS145" s="22"/>
      <c r="NCT145" s="22"/>
      <c r="NCU145" s="22"/>
      <c r="NCV145" s="22"/>
      <c r="NCW145" s="22"/>
      <c r="NCX145" s="22"/>
      <c r="NCY145" s="22"/>
      <c r="NCZ145" s="22"/>
      <c r="NDA145" s="22"/>
      <c r="NDB145" s="22"/>
      <c r="NDC145" s="22"/>
      <c r="NDD145" s="22"/>
      <c r="NDE145" s="22"/>
      <c r="NDF145" s="22"/>
      <c r="NDG145" s="22"/>
      <c r="NDH145" s="22"/>
      <c r="NDI145" s="22"/>
      <c r="NDJ145" s="22"/>
      <c r="NDK145" s="22"/>
      <c r="NDL145" s="22"/>
      <c r="NDM145" s="22"/>
      <c r="NDN145" s="22"/>
      <c r="NDO145" s="22"/>
      <c r="NDP145" s="22"/>
      <c r="NDQ145" s="22"/>
      <c r="NDR145" s="22"/>
      <c r="NDS145" s="22"/>
      <c r="NDT145" s="22"/>
      <c r="NDU145" s="22"/>
      <c r="NDV145" s="22"/>
      <c r="NDW145" s="22"/>
      <c r="NDX145" s="22"/>
      <c r="NDY145" s="22"/>
      <c r="NDZ145" s="22"/>
      <c r="NEA145" s="22"/>
      <c r="NEB145" s="22"/>
      <c r="NEC145" s="22"/>
      <c r="NED145" s="22"/>
      <c r="NEE145" s="22"/>
      <c r="NEF145" s="22"/>
      <c r="NEG145" s="22"/>
      <c r="NEH145" s="22"/>
      <c r="NEI145" s="22"/>
      <c r="NEJ145" s="22"/>
      <c r="NEK145" s="22"/>
      <c r="NEL145" s="22"/>
      <c r="NEM145" s="22"/>
      <c r="NEN145" s="22"/>
      <c r="NEO145" s="22"/>
      <c r="NEP145" s="22"/>
      <c r="NEQ145" s="22"/>
      <c r="NER145" s="22"/>
      <c r="NES145" s="22"/>
      <c r="NET145" s="22"/>
      <c r="NEU145" s="22"/>
      <c r="NEV145" s="22"/>
      <c r="NEW145" s="22"/>
      <c r="NEX145" s="22"/>
      <c r="NEY145" s="22"/>
      <c r="NEZ145" s="22"/>
      <c r="NFA145" s="22"/>
      <c r="NFB145" s="22"/>
      <c r="NFC145" s="22"/>
      <c r="NFD145" s="22"/>
      <c r="NFE145" s="22"/>
      <c r="NFF145" s="22"/>
      <c r="NFG145" s="22"/>
      <c r="NFH145" s="22"/>
      <c r="NFI145" s="22"/>
      <c r="NFJ145" s="22"/>
      <c r="NFK145" s="22"/>
      <c r="NFL145" s="22"/>
      <c r="NFM145" s="22"/>
      <c r="NFN145" s="22"/>
      <c r="NFO145" s="22"/>
      <c r="NFP145" s="22"/>
      <c r="NFQ145" s="22"/>
      <c r="NFR145" s="22"/>
      <c r="NFS145" s="22"/>
      <c r="NFT145" s="22"/>
      <c r="NFU145" s="22"/>
      <c r="NFV145" s="22"/>
      <c r="NFW145" s="22"/>
      <c r="NFX145" s="22"/>
      <c r="NFY145" s="22"/>
      <c r="NFZ145" s="22"/>
      <c r="NGA145" s="22"/>
      <c r="NGB145" s="22"/>
      <c r="NGC145" s="22"/>
      <c r="NGD145" s="22"/>
      <c r="NGE145" s="22"/>
      <c r="NGF145" s="22"/>
      <c r="NGG145" s="22"/>
      <c r="NGH145" s="22"/>
      <c r="NGI145" s="22"/>
      <c r="NGJ145" s="22"/>
      <c r="NGK145" s="22"/>
      <c r="NGL145" s="22"/>
      <c r="NGM145" s="22"/>
      <c r="NGN145" s="22"/>
      <c r="NGO145" s="22"/>
      <c r="NGP145" s="22"/>
      <c r="NGQ145" s="22"/>
      <c r="NGR145" s="22"/>
      <c r="NGS145" s="22"/>
      <c r="NGT145" s="22"/>
      <c r="NGU145" s="22"/>
      <c r="NGV145" s="22"/>
      <c r="NGW145" s="22"/>
      <c r="NGX145" s="22"/>
      <c r="NGY145" s="22"/>
      <c r="NGZ145" s="22"/>
      <c r="NHA145" s="22"/>
      <c r="NHB145" s="22"/>
      <c r="NHC145" s="22"/>
      <c r="NHD145" s="22"/>
      <c r="NHE145" s="22"/>
      <c r="NHF145" s="22"/>
      <c r="NHG145" s="22"/>
      <c r="NHH145" s="22"/>
      <c r="NHI145" s="22"/>
      <c r="NHJ145" s="22"/>
      <c r="NHK145" s="22"/>
      <c r="NHL145" s="22"/>
      <c r="NHM145" s="22"/>
      <c r="NHN145" s="22"/>
      <c r="NHO145" s="22"/>
      <c r="NHP145" s="22"/>
      <c r="NHQ145" s="22"/>
      <c r="NHR145" s="22"/>
      <c r="NHS145" s="22"/>
      <c r="NHT145" s="22"/>
      <c r="NHU145" s="22"/>
      <c r="NHV145" s="22"/>
      <c r="NHW145" s="22"/>
      <c r="NHX145" s="22"/>
      <c r="NHY145" s="22"/>
      <c r="NHZ145" s="22"/>
      <c r="NIA145" s="22"/>
      <c r="NIB145" s="22"/>
      <c r="NIC145" s="22"/>
      <c r="NID145" s="22"/>
      <c r="NIE145" s="22"/>
      <c r="NIF145" s="22"/>
      <c r="NIG145" s="22"/>
      <c r="NIH145" s="22"/>
      <c r="NII145" s="22"/>
      <c r="NIJ145" s="22"/>
      <c r="NIK145" s="22"/>
      <c r="NIL145" s="22"/>
      <c r="NIM145" s="22"/>
      <c r="NIN145" s="22"/>
      <c r="NIO145" s="22"/>
      <c r="NIP145" s="22"/>
      <c r="NIQ145" s="22"/>
      <c r="NIR145" s="22"/>
      <c r="NIS145" s="22"/>
      <c r="NIT145" s="22"/>
      <c r="NIU145" s="22"/>
      <c r="NIV145" s="22"/>
      <c r="NIW145" s="22"/>
      <c r="NIX145" s="22"/>
      <c r="NIY145" s="22"/>
      <c r="NIZ145" s="22"/>
      <c r="NJA145" s="22"/>
      <c r="NJB145" s="22"/>
      <c r="NJC145" s="22"/>
      <c r="NJD145" s="22"/>
      <c r="NJE145" s="22"/>
      <c r="NJF145" s="22"/>
      <c r="NJG145" s="22"/>
      <c r="NJH145" s="22"/>
      <c r="NJI145" s="22"/>
      <c r="NJJ145" s="22"/>
      <c r="NJK145" s="22"/>
      <c r="NJL145" s="22"/>
      <c r="NJM145" s="22"/>
      <c r="NJN145" s="22"/>
      <c r="NJO145" s="22"/>
      <c r="NJP145" s="22"/>
      <c r="NJQ145" s="22"/>
      <c r="NJR145" s="22"/>
      <c r="NJS145" s="22"/>
      <c r="NJT145" s="22"/>
      <c r="NJU145" s="22"/>
      <c r="NJV145" s="22"/>
      <c r="NJW145" s="22"/>
      <c r="NJX145" s="22"/>
      <c r="NJY145" s="22"/>
      <c r="NJZ145" s="22"/>
      <c r="NKA145" s="22"/>
      <c r="NKB145" s="22"/>
      <c r="NKC145" s="22"/>
      <c r="NKD145" s="22"/>
      <c r="NKE145" s="22"/>
      <c r="NKF145" s="22"/>
      <c r="NKG145" s="22"/>
      <c r="NKH145" s="22"/>
      <c r="NKI145" s="22"/>
      <c r="NKJ145" s="22"/>
      <c r="NKK145" s="22"/>
      <c r="NKL145" s="22"/>
      <c r="NKM145" s="22"/>
      <c r="NKN145" s="22"/>
      <c r="NKO145" s="22"/>
      <c r="NKP145" s="22"/>
      <c r="NKQ145" s="22"/>
      <c r="NKR145" s="22"/>
      <c r="NKS145" s="22"/>
      <c r="NKT145" s="22"/>
      <c r="NKU145" s="22"/>
      <c r="NKV145" s="22"/>
      <c r="NKW145" s="22"/>
      <c r="NKX145" s="22"/>
      <c r="NKY145" s="22"/>
      <c r="NKZ145" s="22"/>
      <c r="NLA145" s="22"/>
      <c r="NLB145" s="22"/>
      <c r="NLC145" s="22"/>
      <c r="NLD145" s="22"/>
      <c r="NLE145" s="22"/>
      <c r="NLF145" s="22"/>
      <c r="NLG145" s="22"/>
      <c r="NLH145" s="22"/>
      <c r="NLI145" s="22"/>
      <c r="NLJ145" s="22"/>
      <c r="NLK145" s="22"/>
      <c r="NLL145" s="22"/>
      <c r="NLM145" s="22"/>
      <c r="NLN145" s="22"/>
      <c r="NLO145" s="22"/>
      <c r="NLP145" s="22"/>
      <c r="NLQ145" s="22"/>
      <c r="NLR145" s="22"/>
      <c r="NLS145" s="22"/>
      <c r="NLT145" s="22"/>
      <c r="NLU145" s="22"/>
      <c r="NLV145" s="22"/>
      <c r="NLW145" s="22"/>
      <c r="NLX145" s="22"/>
      <c r="NLY145" s="22"/>
      <c r="NLZ145" s="22"/>
      <c r="NMA145" s="22"/>
      <c r="NMB145" s="22"/>
      <c r="NMC145" s="22"/>
      <c r="NMD145" s="22"/>
      <c r="NME145" s="22"/>
      <c r="NMF145" s="22"/>
      <c r="NMG145" s="22"/>
      <c r="NMH145" s="22"/>
      <c r="NMI145" s="22"/>
      <c r="NMJ145" s="22"/>
      <c r="NMK145" s="22"/>
      <c r="NML145" s="22"/>
      <c r="NMM145" s="22"/>
      <c r="NMN145" s="22"/>
      <c r="NMO145" s="22"/>
      <c r="NMP145" s="22"/>
      <c r="NMQ145" s="22"/>
      <c r="NMR145" s="22"/>
      <c r="NMS145" s="22"/>
      <c r="NMT145" s="22"/>
      <c r="NMU145" s="22"/>
      <c r="NMV145" s="22"/>
      <c r="NMW145" s="22"/>
      <c r="NMX145" s="22"/>
      <c r="NMY145" s="22"/>
      <c r="NMZ145" s="22"/>
      <c r="NNA145" s="22"/>
      <c r="NNB145" s="22"/>
      <c r="NNC145" s="22"/>
      <c r="NND145" s="22"/>
      <c r="NNE145" s="22"/>
      <c r="NNF145" s="22"/>
      <c r="NNG145" s="22"/>
      <c r="NNH145" s="22"/>
      <c r="NNI145" s="22"/>
      <c r="NNJ145" s="22"/>
      <c r="NNK145" s="22"/>
      <c r="NNL145" s="22"/>
      <c r="NNM145" s="22"/>
      <c r="NNN145" s="22"/>
      <c r="NNO145" s="22"/>
      <c r="NNP145" s="22"/>
      <c r="NNQ145" s="22"/>
      <c r="NNR145" s="22"/>
      <c r="NNS145" s="22"/>
      <c r="NNT145" s="22"/>
      <c r="NNU145" s="22"/>
      <c r="NNV145" s="22"/>
      <c r="NNW145" s="22"/>
      <c r="NNX145" s="22"/>
      <c r="NNY145" s="22"/>
      <c r="NNZ145" s="22"/>
      <c r="NOA145" s="22"/>
      <c r="NOB145" s="22"/>
      <c r="NOC145" s="22"/>
      <c r="NOD145" s="22"/>
      <c r="NOE145" s="22"/>
      <c r="NOF145" s="22"/>
      <c r="NOG145" s="22"/>
      <c r="NOH145" s="22"/>
      <c r="NOI145" s="22"/>
      <c r="NOJ145" s="22"/>
      <c r="NOK145" s="22"/>
      <c r="NOL145" s="22"/>
      <c r="NOM145" s="22"/>
      <c r="NON145" s="22"/>
      <c r="NOO145" s="22"/>
      <c r="NOP145" s="22"/>
      <c r="NOQ145" s="22"/>
      <c r="NOR145" s="22"/>
      <c r="NOS145" s="22"/>
      <c r="NOT145" s="22"/>
      <c r="NOU145" s="22"/>
      <c r="NOV145" s="22"/>
      <c r="NOW145" s="22"/>
      <c r="NOX145" s="22"/>
      <c r="NOY145" s="22"/>
      <c r="NOZ145" s="22"/>
      <c r="NPA145" s="22"/>
      <c r="NPB145" s="22"/>
      <c r="NPC145" s="22"/>
      <c r="NPD145" s="22"/>
      <c r="NPE145" s="22"/>
      <c r="NPF145" s="22"/>
      <c r="NPG145" s="22"/>
      <c r="NPH145" s="22"/>
      <c r="NPI145" s="22"/>
      <c r="NPJ145" s="22"/>
      <c r="NPK145" s="22"/>
      <c r="NPL145" s="22"/>
      <c r="NPM145" s="22"/>
      <c r="NPN145" s="22"/>
      <c r="NPO145" s="22"/>
      <c r="NPP145" s="22"/>
      <c r="NPQ145" s="22"/>
      <c r="NPR145" s="22"/>
      <c r="NPS145" s="22"/>
      <c r="NPT145" s="22"/>
      <c r="NPU145" s="22"/>
      <c r="NPV145" s="22"/>
      <c r="NPW145" s="22"/>
      <c r="NPX145" s="22"/>
      <c r="NPY145" s="22"/>
      <c r="NPZ145" s="22"/>
      <c r="NQA145" s="22"/>
      <c r="NQB145" s="22"/>
      <c r="NQC145" s="22"/>
      <c r="NQD145" s="22"/>
      <c r="NQE145" s="22"/>
      <c r="NQF145" s="22"/>
      <c r="NQG145" s="22"/>
      <c r="NQH145" s="22"/>
      <c r="NQI145" s="22"/>
      <c r="NQJ145" s="22"/>
      <c r="NQK145" s="22"/>
      <c r="NQL145" s="22"/>
      <c r="NQM145" s="22"/>
      <c r="NQN145" s="22"/>
      <c r="NQO145" s="22"/>
      <c r="NQP145" s="22"/>
      <c r="NQQ145" s="22"/>
      <c r="NQR145" s="22"/>
      <c r="NQS145" s="22"/>
      <c r="NQT145" s="22"/>
      <c r="NQU145" s="22"/>
      <c r="NQV145" s="22"/>
      <c r="NQW145" s="22"/>
      <c r="NQX145" s="22"/>
      <c r="NQY145" s="22"/>
      <c r="NQZ145" s="22"/>
      <c r="NRA145" s="22"/>
      <c r="NRB145" s="22"/>
      <c r="NRC145" s="22"/>
      <c r="NRD145" s="22"/>
      <c r="NRE145" s="22"/>
      <c r="NRF145" s="22"/>
      <c r="NRG145" s="22"/>
      <c r="NRH145" s="22"/>
      <c r="NRI145" s="22"/>
      <c r="NRJ145" s="22"/>
      <c r="NRK145" s="22"/>
      <c r="NRL145" s="22"/>
      <c r="NRM145" s="22"/>
      <c r="NRN145" s="22"/>
      <c r="NRO145" s="22"/>
      <c r="NRP145" s="22"/>
      <c r="NRQ145" s="22"/>
      <c r="NRR145" s="22"/>
      <c r="NRS145" s="22"/>
      <c r="NRT145" s="22"/>
      <c r="NRU145" s="22"/>
      <c r="NRV145" s="22"/>
      <c r="NRW145" s="22"/>
      <c r="NRX145" s="22"/>
      <c r="NRY145" s="22"/>
      <c r="NRZ145" s="22"/>
      <c r="NSA145" s="22"/>
      <c r="NSB145" s="22"/>
      <c r="NSC145" s="22"/>
      <c r="NSD145" s="22"/>
      <c r="NSE145" s="22"/>
      <c r="NSF145" s="22"/>
      <c r="NSG145" s="22"/>
      <c r="NSH145" s="22"/>
      <c r="NSI145" s="22"/>
      <c r="NSJ145" s="22"/>
      <c r="NSK145" s="22"/>
      <c r="NSL145" s="22"/>
      <c r="NSM145" s="22"/>
      <c r="NSN145" s="22"/>
      <c r="NSO145" s="22"/>
      <c r="NSP145" s="22"/>
      <c r="NSQ145" s="22"/>
      <c r="NSR145" s="22"/>
      <c r="NSS145" s="22"/>
      <c r="NST145" s="22"/>
      <c r="NSU145" s="22"/>
      <c r="NSV145" s="22"/>
      <c r="NSW145" s="22"/>
      <c r="NSX145" s="22"/>
      <c r="NSY145" s="22"/>
      <c r="NSZ145" s="22"/>
      <c r="NTA145" s="22"/>
      <c r="NTB145" s="22"/>
      <c r="NTC145" s="22"/>
      <c r="NTD145" s="22"/>
      <c r="NTE145" s="22"/>
      <c r="NTF145" s="22"/>
      <c r="NTG145" s="22"/>
      <c r="NTH145" s="22"/>
      <c r="NTI145" s="22"/>
      <c r="NTJ145" s="22"/>
      <c r="NTK145" s="22"/>
      <c r="NTL145" s="22"/>
      <c r="NTM145" s="22"/>
      <c r="NTN145" s="22"/>
      <c r="NTO145" s="22"/>
      <c r="NTP145" s="22"/>
      <c r="NTQ145" s="22"/>
      <c r="NTR145" s="22"/>
      <c r="NTS145" s="22"/>
      <c r="NTT145" s="22"/>
      <c r="NTU145" s="22"/>
      <c r="NTV145" s="22"/>
      <c r="NTW145" s="22"/>
      <c r="NTX145" s="22"/>
      <c r="NTY145" s="22"/>
      <c r="NTZ145" s="22"/>
      <c r="NUA145" s="22"/>
      <c r="NUB145" s="22"/>
      <c r="NUC145" s="22"/>
      <c r="NUD145" s="22"/>
      <c r="NUE145" s="22"/>
      <c r="NUF145" s="22"/>
      <c r="NUG145" s="22"/>
      <c r="NUH145" s="22"/>
      <c r="NUI145" s="22"/>
      <c r="NUJ145" s="22"/>
      <c r="NUK145" s="22"/>
      <c r="NUL145" s="22"/>
      <c r="NUM145" s="22"/>
      <c r="NUN145" s="22"/>
      <c r="NUO145" s="22"/>
      <c r="NUP145" s="22"/>
      <c r="NUQ145" s="22"/>
      <c r="NUR145" s="22"/>
      <c r="NUS145" s="22"/>
      <c r="NUT145" s="22"/>
      <c r="NUU145" s="22"/>
      <c r="NUV145" s="22"/>
      <c r="NUW145" s="22"/>
      <c r="NUX145" s="22"/>
      <c r="NUY145" s="22"/>
      <c r="NUZ145" s="22"/>
      <c r="NVA145" s="22"/>
      <c r="NVB145" s="22"/>
      <c r="NVC145" s="22"/>
      <c r="NVD145" s="22"/>
      <c r="NVE145" s="22"/>
      <c r="NVF145" s="22"/>
      <c r="NVG145" s="22"/>
      <c r="NVH145" s="22"/>
      <c r="NVI145" s="22"/>
      <c r="NVJ145" s="22"/>
      <c r="NVK145" s="22"/>
      <c r="NVL145" s="22"/>
      <c r="NVM145" s="22"/>
      <c r="NVN145" s="22"/>
      <c r="NVO145" s="22"/>
      <c r="NVP145" s="22"/>
      <c r="NVQ145" s="22"/>
      <c r="NVR145" s="22"/>
      <c r="NVS145" s="22"/>
      <c r="NVT145" s="22"/>
      <c r="NVU145" s="22"/>
      <c r="NVV145" s="22"/>
      <c r="NVW145" s="22"/>
      <c r="NVX145" s="22"/>
      <c r="NVY145" s="22"/>
      <c r="NVZ145" s="22"/>
      <c r="NWA145" s="22"/>
      <c r="NWB145" s="22"/>
      <c r="NWC145" s="22"/>
      <c r="NWD145" s="22"/>
      <c r="NWE145" s="22"/>
      <c r="NWF145" s="22"/>
      <c r="NWG145" s="22"/>
      <c r="NWH145" s="22"/>
      <c r="NWI145" s="22"/>
      <c r="NWJ145" s="22"/>
      <c r="NWK145" s="22"/>
      <c r="NWL145" s="22"/>
      <c r="NWM145" s="22"/>
      <c r="NWN145" s="22"/>
      <c r="NWO145" s="22"/>
      <c r="NWP145" s="22"/>
      <c r="NWQ145" s="22"/>
      <c r="NWR145" s="22"/>
      <c r="NWS145" s="22"/>
      <c r="NWT145" s="22"/>
      <c r="NWU145" s="22"/>
      <c r="NWV145" s="22"/>
      <c r="NWW145" s="22"/>
      <c r="NWX145" s="22"/>
      <c r="NWY145" s="22"/>
      <c r="NWZ145" s="22"/>
      <c r="NXA145" s="22"/>
      <c r="NXB145" s="22"/>
      <c r="NXC145" s="22"/>
      <c r="NXD145" s="22"/>
      <c r="NXE145" s="22"/>
      <c r="NXF145" s="22"/>
      <c r="NXG145" s="22"/>
      <c r="NXH145" s="22"/>
      <c r="NXI145" s="22"/>
      <c r="NXJ145" s="22"/>
      <c r="NXK145" s="22"/>
      <c r="NXL145" s="22"/>
      <c r="NXM145" s="22"/>
      <c r="NXN145" s="22"/>
      <c r="NXO145" s="22"/>
      <c r="NXP145" s="22"/>
      <c r="NXQ145" s="22"/>
      <c r="NXR145" s="22"/>
      <c r="NXS145" s="22"/>
      <c r="NXT145" s="22"/>
      <c r="NXU145" s="22"/>
      <c r="NXV145" s="22"/>
      <c r="NXW145" s="22"/>
      <c r="NXX145" s="22"/>
      <c r="NXY145" s="22"/>
      <c r="NXZ145" s="22"/>
      <c r="NYA145" s="22"/>
      <c r="NYB145" s="22"/>
      <c r="NYC145" s="22"/>
      <c r="NYD145" s="22"/>
      <c r="NYE145" s="22"/>
      <c r="NYF145" s="22"/>
      <c r="NYG145" s="22"/>
      <c r="NYH145" s="22"/>
      <c r="NYI145" s="22"/>
      <c r="NYJ145" s="22"/>
      <c r="NYK145" s="22"/>
      <c r="NYL145" s="22"/>
      <c r="NYM145" s="22"/>
      <c r="NYN145" s="22"/>
      <c r="NYO145" s="22"/>
      <c r="NYP145" s="22"/>
      <c r="NYQ145" s="22"/>
      <c r="NYR145" s="22"/>
      <c r="NYS145" s="22"/>
      <c r="NYT145" s="22"/>
      <c r="NYU145" s="22"/>
      <c r="NYV145" s="22"/>
      <c r="NYW145" s="22"/>
      <c r="NYX145" s="22"/>
      <c r="NYY145" s="22"/>
      <c r="NYZ145" s="22"/>
      <c r="NZA145" s="22"/>
      <c r="NZB145" s="22"/>
      <c r="NZC145" s="22"/>
      <c r="NZD145" s="22"/>
      <c r="NZE145" s="22"/>
      <c r="NZF145" s="22"/>
      <c r="NZG145" s="22"/>
      <c r="NZH145" s="22"/>
      <c r="NZI145" s="22"/>
      <c r="NZJ145" s="22"/>
      <c r="NZK145" s="22"/>
      <c r="NZL145" s="22"/>
      <c r="NZM145" s="22"/>
      <c r="NZN145" s="22"/>
      <c r="NZO145" s="22"/>
      <c r="NZP145" s="22"/>
      <c r="NZQ145" s="22"/>
      <c r="NZR145" s="22"/>
      <c r="NZS145" s="22"/>
      <c r="NZT145" s="22"/>
      <c r="NZU145" s="22"/>
      <c r="NZV145" s="22"/>
      <c r="NZW145" s="22"/>
      <c r="NZX145" s="22"/>
      <c r="NZY145" s="22"/>
      <c r="NZZ145" s="22"/>
      <c r="OAA145" s="22"/>
      <c r="OAB145" s="22"/>
      <c r="OAC145" s="22"/>
      <c r="OAD145" s="22"/>
      <c r="OAE145" s="22"/>
      <c r="OAF145" s="22"/>
      <c r="OAG145" s="22"/>
      <c r="OAH145" s="22"/>
      <c r="OAI145" s="22"/>
      <c r="OAJ145" s="22"/>
      <c r="OAK145" s="22"/>
      <c r="OAL145" s="22"/>
      <c r="OAM145" s="22"/>
      <c r="OAN145" s="22"/>
      <c r="OAO145" s="22"/>
      <c r="OAP145" s="22"/>
      <c r="OAQ145" s="22"/>
      <c r="OAR145" s="22"/>
      <c r="OAS145" s="22"/>
      <c r="OAT145" s="22"/>
      <c r="OAU145" s="22"/>
      <c r="OAV145" s="22"/>
      <c r="OAW145" s="22"/>
      <c r="OAX145" s="22"/>
      <c r="OAY145" s="22"/>
      <c r="OAZ145" s="22"/>
      <c r="OBA145" s="22"/>
      <c r="OBB145" s="22"/>
      <c r="OBC145" s="22"/>
      <c r="OBD145" s="22"/>
      <c r="OBE145" s="22"/>
      <c r="OBF145" s="22"/>
      <c r="OBG145" s="22"/>
      <c r="OBH145" s="22"/>
      <c r="OBI145" s="22"/>
      <c r="OBJ145" s="22"/>
      <c r="OBK145" s="22"/>
      <c r="OBL145" s="22"/>
      <c r="OBM145" s="22"/>
      <c r="OBN145" s="22"/>
      <c r="OBO145" s="22"/>
      <c r="OBP145" s="22"/>
      <c r="OBQ145" s="22"/>
      <c r="OBR145" s="22"/>
      <c r="OBS145" s="22"/>
      <c r="OBT145" s="22"/>
      <c r="OBU145" s="22"/>
      <c r="OBV145" s="22"/>
      <c r="OBW145" s="22"/>
      <c r="OBX145" s="22"/>
      <c r="OBY145" s="22"/>
      <c r="OBZ145" s="22"/>
      <c r="OCA145" s="22"/>
      <c r="OCB145" s="22"/>
      <c r="OCC145" s="22"/>
      <c r="OCD145" s="22"/>
      <c r="OCE145" s="22"/>
      <c r="OCF145" s="22"/>
      <c r="OCG145" s="22"/>
      <c r="OCH145" s="22"/>
      <c r="OCI145" s="22"/>
      <c r="OCJ145" s="22"/>
      <c r="OCK145" s="22"/>
      <c r="OCL145" s="22"/>
      <c r="OCM145" s="22"/>
      <c r="OCN145" s="22"/>
      <c r="OCO145" s="22"/>
      <c r="OCP145" s="22"/>
      <c r="OCQ145" s="22"/>
      <c r="OCR145" s="22"/>
      <c r="OCS145" s="22"/>
      <c r="OCT145" s="22"/>
      <c r="OCU145" s="22"/>
      <c r="OCV145" s="22"/>
      <c r="OCW145" s="22"/>
      <c r="OCX145" s="22"/>
      <c r="OCY145" s="22"/>
      <c r="OCZ145" s="22"/>
      <c r="ODA145" s="22"/>
      <c r="ODB145" s="22"/>
      <c r="ODC145" s="22"/>
      <c r="ODD145" s="22"/>
      <c r="ODE145" s="22"/>
      <c r="ODF145" s="22"/>
      <c r="ODG145" s="22"/>
      <c r="ODH145" s="22"/>
      <c r="ODI145" s="22"/>
      <c r="ODJ145" s="22"/>
      <c r="ODK145" s="22"/>
      <c r="ODL145" s="22"/>
      <c r="ODM145" s="22"/>
      <c r="ODN145" s="22"/>
      <c r="ODO145" s="22"/>
      <c r="ODP145" s="22"/>
      <c r="ODQ145" s="22"/>
      <c r="ODR145" s="22"/>
      <c r="ODS145" s="22"/>
      <c r="ODT145" s="22"/>
      <c r="ODU145" s="22"/>
      <c r="ODV145" s="22"/>
      <c r="ODW145" s="22"/>
      <c r="ODX145" s="22"/>
      <c r="ODY145" s="22"/>
      <c r="ODZ145" s="22"/>
      <c r="OEA145" s="22"/>
      <c r="OEB145" s="22"/>
      <c r="OEC145" s="22"/>
      <c r="OED145" s="22"/>
      <c r="OEE145" s="22"/>
      <c r="OEF145" s="22"/>
      <c r="OEG145" s="22"/>
      <c r="OEH145" s="22"/>
      <c r="OEI145" s="22"/>
      <c r="OEJ145" s="22"/>
      <c r="OEK145" s="22"/>
      <c r="OEL145" s="22"/>
      <c r="OEM145" s="22"/>
      <c r="OEN145" s="22"/>
      <c r="OEO145" s="22"/>
      <c r="OEP145" s="22"/>
      <c r="OEQ145" s="22"/>
      <c r="OER145" s="22"/>
      <c r="OES145" s="22"/>
      <c r="OET145" s="22"/>
      <c r="OEU145" s="22"/>
      <c r="OEV145" s="22"/>
      <c r="OEW145" s="22"/>
      <c r="OEX145" s="22"/>
      <c r="OEY145" s="22"/>
      <c r="OEZ145" s="22"/>
      <c r="OFA145" s="22"/>
      <c r="OFB145" s="22"/>
      <c r="OFC145" s="22"/>
      <c r="OFD145" s="22"/>
      <c r="OFE145" s="22"/>
      <c r="OFF145" s="22"/>
      <c r="OFG145" s="22"/>
      <c r="OFH145" s="22"/>
      <c r="OFI145" s="22"/>
      <c r="OFJ145" s="22"/>
      <c r="OFK145" s="22"/>
      <c r="OFL145" s="22"/>
      <c r="OFM145" s="22"/>
      <c r="OFN145" s="22"/>
      <c r="OFO145" s="22"/>
      <c r="OFP145" s="22"/>
      <c r="OFQ145" s="22"/>
      <c r="OFR145" s="22"/>
      <c r="OFS145" s="22"/>
      <c r="OFT145" s="22"/>
      <c r="OFU145" s="22"/>
      <c r="OFV145" s="22"/>
      <c r="OFW145" s="22"/>
      <c r="OFX145" s="22"/>
      <c r="OFY145" s="22"/>
      <c r="OFZ145" s="22"/>
      <c r="OGA145" s="22"/>
      <c r="OGB145" s="22"/>
      <c r="OGC145" s="22"/>
      <c r="OGD145" s="22"/>
      <c r="OGE145" s="22"/>
      <c r="OGF145" s="22"/>
      <c r="OGG145" s="22"/>
      <c r="OGH145" s="22"/>
      <c r="OGI145" s="22"/>
      <c r="OGJ145" s="22"/>
      <c r="OGK145" s="22"/>
      <c r="OGL145" s="22"/>
      <c r="OGM145" s="22"/>
      <c r="OGN145" s="22"/>
      <c r="OGO145" s="22"/>
      <c r="OGP145" s="22"/>
      <c r="OGQ145" s="22"/>
      <c r="OGR145" s="22"/>
      <c r="OGS145" s="22"/>
      <c r="OGT145" s="22"/>
      <c r="OGU145" s="22"/>
      <c r="OGV145" s="22"/>
      <c r="OGW145" s="22"/>
      <c r="OGX145" s="22"/>
      <c r="OGY145" s="22"/>
      <c r="OGZ145" s="22"/>
      <c r="OHA145" s="22"/>
      <c r="OHB145" s="22"/>
      <c r="OHC145" s="22"/>
      <c r="OHD145" s="22"/>
      <c r="OHE145" s="22"/>
      <c r="OHF145" s="22"/>
      <c r="OHG145" s="22"/>
      <c r="OHH145" s="22"/>
      <c r="OHI145" s="22"/>
      <c r="OHJ145" s="22"/>
      <c r="OHK145" s="22"/>
      <c r="OHL145" s="22"/>
      <c r="OHM145" s="22"/>
      <c r="OHN145" s="22"/>
      <c r="OHO145" s="22"/>
      <c r="OHP145" s="22"/>
      <c r="OHQ145" s="22"/>
      <c r="OHR145" s="22"/>
      <c r="OHS145" s="22"/>
      <c r="OHT145" s="22"/>
      <c r="OHU145" s="22"/>
      <c r="OHV145" s="22"/>
      <c r="OHW145" s="22"/>
      <c r="OHX145" s="22"/>
      <c r="OHY145" s="22"/>
      <c r="OHZ145" s="22"/>
      <c r="OIA145" s="22"/>
      <c r="OIB145" s="22"/>
      <c r="OIC145" s="22"/>
      <c r="OID145" s="22"/>
      <c r="OIE145" s="22"/>
      <c r="OIF145" s="22"/>
      <c r="OIG145" s="22"/>
      <c r="OIH145" s="22"/>
      <c r="OII145" s="22"/>
      <c r="OIJ145" s="22"/>
      <c r="OIK145" s="22"/>
      <c r="OIL145" s="22"/>
      <c r="OIM145" s="22"/>
      <c r="OIN145" s="22"/>
      <c r="OIO145" s="22"/>
      <c r="OIP145" s="22"/>
      <c r="OIQ145" s="22"/>
      <c r="OIR145" s="22"/>
      <c r="OIS145" s="22"/>
      <c r="OIT145" s="22"/>
      <c r="OIU145" s="22"/>
      <c r="OIV145" s="22"/>
      <c r="OIW145" s="22"/>
      <c r="OIX145" s="22"/>
      <c r="OIY145" s="22"/>
      <c r="OIZ145" s="22"/>
      <c r="OJA145" s="22"/>
      <c r="OJB145" s="22"/>
      <c r="OJC145" s="22"/>
      <c r="OJD145" s="22"/>
      <c r="OJE145" s="22"/>
      <c r="OJF145" s="22"/>
      <c r="OJG145" s="22"/>
      <c r="OJH145" s="22"/>
      <c r="OJI145" s="22"/>
      <c r="OJJ145" s="22"/>
      <c r="OJK145" s="22"/>
      <c r="OJL145" s="22"/>
      <c r="OJM145" s="22"/>
      <c r="OJN145" s="22"/>
      <c r="OJO145" s="22"/>
      <c r="OJP145" s="22"/>
      <c r="OJQ145" s="22"/>
      <c r="OJR145" s="22"/>
      <c r="OJS145" s="22"/>
      <c r="OJT145" s="22"/>
      <c r="OJU145" s="22"/>
      <c r="OJV145" s="22"/>
      <c r="OJW145" s="22"/>
      <c r="OJX145" s="22"/>
      <c r="OJY145" s="22"/>
      <c r="OJZ145" s="22"/>
      <c r="OKA145" s="22"/>
      <c r="OKB145" s="22"/>
      <c r="OKC145" s="22"/>
      <c r="OKD145" s="22"/>
      <c r="OKE145" s="22"/>
      <c r="OKF145" s="22"/>
      <c r="OKG145" s="22"/>
      <c r="OKH145" s="22"/>
      <c r="OKI145" s="22"/>
      <c r="OKJ145" s="22"/>
      <c r="OKK145" s="22"/>
      <c r="OKL145" s="22"/>
      <c r="OKM145" s="22"/>
      <c r="OKN145" s="22"/>
      <c r="OKO145" s="22"/>
      <c r="OKP145" s="22"/>
      <c r="OKQ145" s="22"/>
      <c r="OKR145" s="22"/>
      <c r="OKS145" s="22"/>
      <c r="OKT145" s="22"/>
      <c r="OKU145" s="22"/>
      <c r="OKV145" s="22"/>
      <c r="OKW145" s="22"/>
      <c r="OKX145" s="22"/>
      <c r="OKY145" s="22"/>
      <c r="OKZ145" s="22"/>
      <c r="OLA145" s="22"/>
      <c r="OLB145" s="22"/>
      <c r="OLC145" s="22"/>
      <c r="OLD145" s="22"/>
      <c r="OLE145" s="22"/>
      <c r="OLF145" s="22"/>
      <c r="OLG145" s="22"/>
      <c r="OLH145" s="22"/>
      <c r="OLI145" s="22"/>
      <c r="OLJ145" s="22"/>
      <c r="OLK145" s="22"/>
      <c r="OLL145" s="22"/>
      <c r="OLM145" s="22"/>
      <c r="OLN145" s="22"/>
      <c r="OLO145" s="22"/>
      <c r="OLP145" s="22"/>
      <c r="OLQ145" s="22"/>
      <c r="OLR145" s="22"/>
      <c r="OLS145" s="22"/>
      <c r="OLT145" s="22"/>
      <c r="OLU145" s="22"/>
      <c r="OLV145" s="22"/>
      <c r="OLW145" s="22"/>
      <c r="OLX145" s="22"/>
      <c r="OLY145" s="22"/>
      <c r="OLZ145" s="22"/>
      <c r="OMA145" s="22"/>
      <c r="OMB145" s="22"/>
      <c r="OMC145" s="22"/>
      <c r="OMD145" s="22"/>
      <c r="OME145" s="22"/>
      <c r="OMF145" s="22"/>
      <c r="OMG145" s="22"/>
      <c r="OMH145" s="22"/>
      <c r="OMI145" s="22"/>
      <c r="OMJ145" s="22"/>
      <c r="OMK145" s="22"/>
      <c r="OML145" s="22"/>
      <c r="OMM145" s="22"/>
      <c r="OMN145" s="22"/>
      <c r="OMO145" s="22"/>
      <c r="OMP145" s="22"/>
      <c r="OMQ145" s="22"/>
      <c r="OMR145" s="22"/>
      <c r="OMS145" s="22"/>
      <c r="OMT145" s="22"/>
      <c r="OMU145" s="22"/>
      <c r="OMV145" s="22"/>
      <c r="OMW145" s="22"/>
      <c r="OMX145" s="22"/>
      <c r="OMY145" s="22"/>
      <c r="OMZ145" s="22"/>
      <c r="ONA145" s="22"/>
      <c r="ONB145" s="22"/>
      <c r="ONC145" s="22"/>
      <c r="OND145" s="22"/>
      <c r="ONE145" s="22"/>
      <c r="ONF145" s="22"/>
      <c r="ONG145" s="22"/>
      <c r="ONH145" s="22"/>
      <c r="ONI145" s="22"/>
      <c r="ONJ145" s="22"/>
      <c r="ONK145" s="22"/>
      <c r="ONL145" s="22"/>
      <c r="ONM145" s="22"/>
      <c r="ONN145" s="22"/>
      <c r="ONO145" s="22"/>
      <c r="ONP145" s="22"/>
      <c r="ONQ145" s="22"/>
      <c r="ONR145" s="22"/>
      <c r="ONS145" s="22"/>
      <c r="ONT145" s="22"/>
      <c r="ONU145" s="22"/>
      <c r="ONV145" s="22"/>
      <c r="ONW145" s="22"/>
      <c r="ONX145" s="22"/>
      <c r="ONY145" s="22"/>
      <c r="ONZ145" s="22"/>
      <c r="OOA145" s="22"/>
      <c r="OOB145" s="22"/>
      <c r="OOC145" s="22"/>
      <c r="OOD145" s="22"/>
      <c r="OOE145" s="22"/>
      <c r="OOF145" s="22"/>
      <c r="OOG145" s="22"/>
      <c r="OOH145" s="22"/>
      <c r="OOI145" s="22"/>
      <c r="OOJ145" s="22"/>
      <c r="OOK145" s="22"/>
      <c r="OOL145" s="22"/>
      <c r="OOM145" s="22"/>
      <c r="OON145" s="22"/>
      <c r="OOO145" s="22"/>
      <c r="OOP145" s="22"/>
      <c r="OOQ145" s="22"/>
      <c r="OOR145" s="22"/>
      <c r="OOS145" s="22"/>
      <c r="OOT145" s="22"/>
      <c r="OOU145" s="22"/>
      <c r="OOV145" s="22"/>
      <c r="OOW145" s="22"/>
      <c r="OOX145" s="22"/>
      <c r="OOY145" s="22"/>
      <c r="OOZ145" s="22"/>
      <c r="OPA145" s="22"/>
      <c r="OPB145" s="22"/>
      <c r="OPC145" s="22"/>
      <c r="OPD145" s="22"/>
      <c r="OPE145" s="22"/>
      <c r="OPF145" s="22"/>
      <c r="OPG145" s="22"/>
      <c r="OPH145" s="22"/>
      <c r="OPI145" s="22"/>
      <c r="OPJ145" s="22"/>
      <c r="OPK145" s="22"/>
      <c r="OPL145" s="22"/>
      <c r="OPM145" s="22"/>
      <c r="OPN145" s="22"/>
      <c r="OPO145" s="22"/>
      <c r="OPP145" s="22"/>
      <c r="OPQ145" s="22"/>
      <c r="OPR145" s="22"/>
      <c r="OPS145" s="22"/>
      <c r="OPT145" s="22"/>
      <c r="OPU145" s="22"/>
      <c r="OPV145" s="22"/>
      <c r="OPW145" s="22"/>
      <c r="OPX145" s="22"/>
      <c r="OPY145" s="22"/>
      <c r="OPZ145" s="22"/>
      <c r="OQA145" s="22"/>
      <c r="OQB145" s="22"/>
      <c r="OQC145" s="22"/>
      <c r="OQD145" s="22"/>
      <c r="OQE145" s="22"/>
      <c r="OQF145" s="22"/>
      <c r="OQG145" s="22"/>
      <c r="OQH145" s="22"/>
      <c r="OQI145" s="22"/>
      <c r="OQJ145" s="22"/>
      <c r="OQK145" s="22"/>
      <c r="OQL145" s="22"/>
      <c r="OQM145" s="22"/>
      <c r="OQN145" s="22"/>
      <c r="OQO145" s="22"/>
      <c r="OQP145" s="22"/>
      <c r="OQQ145" s="22"/>
      <c r="OQR145" s="22"/>
      <c r="OQS145" s="22"/>
      <c r="OQT145" s="22"/>
      <c r="OQU145" s="22"/>
      <c r="OQV145" s="22"/>
      <c r="OQW145" s="22"/>
      <c r="OQX145" s="22"/>
      <c r="OQY145" s="22"/>
      <c r="OQZ145" s="22"/>
      <c r="ORA145" s="22"/>
      <c r="ORB145" s="22"/>
      <c r="ORC145" s="22"/>
      <c r="ORD145" s="22"/>
      <c r="ORE145" s="22"/>
      <c r="ORF145" s="22"/>
      <c r="ORG145" s="22"/>
      <c r="ORH145" s="22"/>
      <c r="ORI145" s="22"/>
      <c r="ORJ145" s="22"/>
      <c r="ORK145" s="22"/>
      <c r="ORL145" s="22"/>
      <c r="ORM145" s="22"/>
      <c r="ORN145" s="22"/>
      <c r="ORO145" s="22"/>
      <c r="ORP145" s="22"/>
      <c r="ORQ145" s="22"/>
      <c r="ORR145" s="22"/>
      <c r="ORS145" s="22"/>
      <c r="ORT145" s="22"/>
      <c r="ORU145" s="22"/>
      <c r="ORV145" s="22"/>
      <c r="ORW145" s="22"/>
      <c r="ORX145" s="22"/>
      <c r="ORY145" s="22"/>
      <c r="ORZ145" s="22"/>
      <c r="OSA145" s="22"/>
      <c r="OSB145" s="22"/>
      <c r="OSC145" s="22"/>
      <c r="OSD145" s="22"/>
      <c r="OSE145" s="22"/>
      <c r="OSF145" s="22"/>
      <c r="OSG145" s="22"/>
      <c r="OSH145" s="22"/>
      <c r="OSI145" s="22"/>
      <c r="OSJ145" s="22"/>
      <c r="OSK145" s="22"/>
      <c r="OSL145" s="22"/>
      <c r="OSM145" s="22"/>
      <c r="OSN145" s="22"/>
      <c r="OSO145" s="22"/>
      <c r="OSP145" s="22"/>
      <c r="OSQ145" s="22"/>
      <c r="OSR145" s="22"/>
      <c r="OSS145" s="22"/>
      <c r="OST145" s="22"/>
      <c r="OSU145" s="22"/>
      <c r="OSV145" s="22"/>
      <c r="OSW145" s="22"/>
      <c r="OSX145" s="22"/>
      <c r="OSY145" s="22"/>
      <c r="OSZ145" s="22"/>
      <c r="OTA145" s="22"/>
      <c r="OTB145" s="22"/>
      <c r="OTC145" s="22"/>
      <c r="OTD145" s="22"/>
      <c r="OTE145" s="22"/>
      <c r="OTF145" s="22"/>
      <c r="OTG145" s="22"/>
      <c r="OTH145" s="22"/>
      <c r="OTI145" s="22"/>
      <c r="OTJ145" s="22"/>
      <c r="OTK145" s="22"/>
      <c r="OTL145" s="22"/>
      <c r="OTM145" s="22"/>
      <c r="OTN145" s="22"/>
      <c r="OTO145" s="22"/>
      <c r="OTP145" s="22"/>
      <c r="OTQ145" s="22"/>
      <c r="OTR145" s="22"/>
      <c r="OTS145" s="22"/>
      <c r="OTT145" s="22"/>
      <c r="OTU145" s="22"/>
      <c r="OTV145" s="22"/>
      <c r="OTW145" s="22"/>
      <c r="OTX145" s="22"/>
      <c r="OTY145" s="22"/>
      <c r="OTZ145" s="22"/>
      <c r="OUA145" s="22"/>
      <c r="OUB145" s="22"/>
      <c r="OUC145" s="22"/>
      <c r="OUD145" s="22"/>
      <c r="OUE145" s="22"/>
      <c r="OUF145" s="22"/>
      <c r="OUG145" s="22"/>
      <c r="OUH145" s="22"/>
      <c r="OUI145" s="22"/>
      <c r="OUJ145" s="22"/>
      <c r="OUK145" s="22"/>
      <c r="OUL145" s="22"/>
      <c r="OUM145" s="22"/>
      <c r="OUN145" s="22"/>
      <c r="OUO145" s="22"/>
      <c r="OUP145" s="22"/>
      <c r="OUQ145" s="22"/>
      <c r="OUR145" s="22"/>
      <c r="OUS145" s="22"/>
      <c r="OUT145" s="22"/>
      <c r="OUU145" s="22"/>
      <c r="OUV145" s="22"/>
      <c r="OUW145" s="22"/>
      <c r="OUX145" s="22"/>
      <c r="OUY145" s="22"/>
      <c r="OUZ145" s="22"/>
      <c r="OVA145" s="22"/>
      <c r="OVB145" s="22"/>
      <c r="OVC145" s="22"/>
      <c r="OVD145" s="22"/>
      <c r="OVE145" s="22"/>
      <c r="OVF145" s="22"/>
      <c r="OVG145" s="22"/>
      <c r="OVH145" s="22"/>
      <c r="OVI145" s="22"/>
      <c r="OVJ145" s="22"/>
      <c r="OVK145" s="22"/>
      <c r="OVL145" s="22"/>
      <c r="OVM145" s="22"/>
      <c r="OVN145" s="22"/>
      <c r="OVO145" s="22"/>
      <c r="OVP145" s="22"/>
      <c r="OVQ145" s="22"/>
      <c r="OVR145" s="22"/>
      <c r="OVS145" s="22"/>
      <c r="OVT145" s="22"/>
      <c r="OVU145" s="22"/>
      <c r="OVV145" s="22"/>
      <c r="OVW145" s="22"/>
      <c r="OVX145" s="22"/>
      <c r="OVY145" s="22"/>
      <c r="OVZ145" s="22"/>
      <c r="OWA145" s="22"/>
      <c r="OWB145" s="22"/>
      <c r="OWC145" s="22"/>
      <c r="OWD145" s="22"/>
      <c r="OWE145" s="22"/>
      <c r="OWF145" s="22"/>
      <c r="OWG145" s="22"/>
      <c r="OWH145" s="22"/>
      <c r="OWI145" s="22"/>
      <c r="OWJ145" s="22"/>
      <c r="OWK145" s="22"/>
      <c r="OWL145" s="22"/>
      <c r="OWM145" s="22"/>
      <c r="OWN145" s="22"/>
      <c r="OWO145" s="22"/>
      <c r="OWP145" s="22"/>
      <c r="OWQ145" s="22"/>
      <c r="OWR145" s="22"/>
      <c r="OWS145" s="22"/>
      <c r="OWT145" s="22"/>
      <c r="OWU145" s="22"/>
      <c r="OWV145" s="22"/>
      <c r="OWW145" s="22"/>
      <c r="OWX145" s="22"/>
      <c r="OWY145" s="22"/>
      <c r="OWZ145" s="22"/>
      <c r="OXA145" s="22"/>
      <c r="OXB145" s="22"/>
      <c r="OXC145" s="22"/>
      <c r="OXD145" s="22"/>
      <c r="OXE145" s="22"/>
      <c r="OXF145" s="22"/>
      <c r="OXG145" s="22"/>
      <c r="OXH145" s="22"/>
      <c r="OXI145" s="22"/>
      <c r="OXJ145" s="22"/>
      <c r="OXK145" s="22"/>
      <c r="OXL145" s="22"/>
      <c r="OXM145" s="22"/>
      <c r="OXN145" s="22"/>
      <c r="OXO145" s="22"/>
      <c r="OXP145" s="22"/>
      <c r="OXQ145" s="22"/>
      <c r="OXR145" s="22"/>
      <c r="OXS145" s="22"/>
      <c r="OXT145" s="22"/>
      <c r="OXU145" s="22"/>
      <c r="OXV145" s="22"/>
      <c r="OXW145" s="22"/>
      <c r="OXX145" s="22"/>
      <c r="OXY145" s="22"/>
      <c r="OXZ145" s="22"/>
      <c r="OYA145" s="22"/>
      <c r="OYB145" s="22"/>
      <c r="OYC145" s="22"/>
      <c r="OYD145" s="22"/>
      <c r="OYE145" s="22"/>
      <c r="OYF145" s="22"/>
      <c r="OYG145" s="22"/>
      <c r="OYH145" s="22"/>
      <c r="OYI145" s="22"/>
      <c r="OYJ145" s="22"/>
      <c r="OYK145" s="22"/>
      <c r="OYL145" s="22"/>
      <c r="OYM145" s="22"/>
      <c r="OYN145" s="22"/>
      <c r="OYO145" s="22"/>
      <c r="OYP145" s="22"/>
      <c r="OYQ145" s="22"/>
      <c r="OYR145" s="22"/>
      <c r="OYS145" s="22"/>
      <c r="OYT145" s="22"/>
      <c r="OYU145" s="22"/>
      <c r="OYV145" s="22"/>
      <c r="OYW145" s="22"/>
      <c r="OYX145" s="22"/>
      <c r="OYY145" s="22"/>
      <c r="OYZ145" s="22"/>
      <c r="OZA145" s="22"/>
      <c r="OZB145" s="22"/>
      <c r="OZC145" s="22"/>
      <c r="OZD145" s="22"/>
      <c r="OZE145" s="22"/>
      <c r="OZF145" s="22"/>
      <c r="OZG145" s="22"/>
      <c r="OZH145" s="22"/>
      <c r="OZI145" s="22"/>
      <c r="OZJ145" s="22"/>
      <c r="OZK145" s="22"/>
      <c r="OZL145" s="22"/>
      <c r="OZM145" s="22"/>
      <c r="OZN145" s="22"/>
      <c r="OZO145" s="22"/>
      <c r="OZP145" s="22"/>
      <c r="OZQ145" s="22"/>
      <c r="OZR145" s="22"/>
      <c r="OZS145" s="22"/>
      <c r="OZT145" s="22"/>
      <c r="OZU145" s="22"/>
      <c r="OZV145" s="22"/>
      <c r="OZW145" s="22"/>
      <c r="OZX145" s="22"/>
      <c r="OZY145" s="22"/>
      <c r="OZZ145" s="22"/>
      <c r="PAA145" s="22"/>
      <c r="PAB145" s="22"/>
      <c r="PAC145" s="22"/>
      <c r="PAD145" s="22"/>
      <c r="PAE145" s="22"/>
      <c r="PAF145" s="22"/>
      <c r="PAG145" s="22"/>
      <c r="PAH145" s="22"/>
      <c r="PAI145" s="22"/>
      <c r="PAJ145" s="22"/>
      <c r="PAK145" s="22"/>
      <c r="PAL145" s="22"/>
      <c r="PAM145" s="22"/>
      <c r="PAN145" s="22"/>
      <c r="PAO145" s="22"/>
      <c r="PAP145" s="22"/>
      <c r="PAQ145" s="22"/>
      <c r="PAR145" s="22"/>
      <c r="PAS145" s="22"/>
      <c r="PAT145" s="22"/>
      <c r="PAU145" s="22"/>
      <c r="PAV145" s="22"/>
      <c r="PAW145" s="22"/>
      <c r="PAX145" s="22"/>
      <c r="PAY145" s="22"/>
      <c r="PAZ145" s="22"/>
      <c r="PBA145" s="22"/>
      <c r="PBB145" s="22"/>
      <c r="PBC145" s="22"/>
      <c r="PBD145" s="22"/>
      <c r="PBE145" s="22"/>
      <c r="PBF145" s="22"/>
      <c r="PBG145" s="22"/>
      <c r="PBH145" s="22"/>
      <c r="PBI145" s="22"/>
      <c r="PBJ145" s="22"/>
      <c r="PBK145" s="22"/>
      <c r="PBL145" s="22"/>
      <c r="PBM145" s="22"/>
      <c r="PBN145" s="22"/>
      <c r="PBO145" s="22"/>
      <c r="PBP145" s="22"/>
      <c r="PBQ145" s="22"/>
      <c r="PBR145" s="22"/>
      <c r="PBS145" s="22"/>
      <c r="PBT145" s="22"/>
      <c r="PBU145" s="22"/>
      <c r="PBV145" s="22"/>
      <c r="PBW145" s="22"/>
      <c r="PBX145" s="22"/>
      <c r="PBY145" s="22"/>
      <c r="PBZ145" s="22"/>
      <c r="PCA145" s="22"/>
      <c r="PCB145" s="22"/>
      <c r="PCC145" s="22"/>
      <c r="PCD145" s="22"/>
      <c r="PCE145" s="22"/>
      <c r="PCF145" s="22"/>
      <c r="PCG145" s="22"/>
      <c r="PCH145" s="22"/>
      <c r="PCI145" s="22"/>
      <c r="PCJ145" s="22"/>
      <c r="PCK145" s="22"/>
      <c r="PCL145" s="22"/>
      <c r="PCM145" s="22"/>
      <c r="PCN145" s="22"/>
      <c r="PCO145" s="22"/>
      <c r="PCP145" s="22"/>
      <c r="PCQ145" s="22"/>
      <c r="PCR145" s="22"/>
      <c r="PCS145" s="22"/>
      <c r="PCT145" s="22"/>
      <c r="PCU145" s="22"/>
      <c r="PCV145" s="22"/>
      <c r="PCW145" s="22"/>
      <c r="PCX145" s="22"/>
      <c r="PCY145" s="22"/>
      <c r="PCZ145" s="22"/>
      <c r="PDA145" s="22"/>
      <c r="PDB145" s="22"/>
      <c r="PDC145" s="22"/>
      <c r="PDD145" s="22"/>
      <c r="PDE145" s="22"/>
      <c r="PDF145" s="22"/>
      <c r="PDG145" s="22"/>
      <c r="PDH145" s="22"/>
      <c r="PDI145" s="22"/>
      <c r="PDJ145" s="22"/>
      <c r="PDK145" s="22"/>
      <c r="PDL145" s="22"/>
      <c r="PDM145" s="22"/>
      <c r="PDN145" s="22"/>
      <c r="PDO145" s="22"/>
      <c r="PDP145" s="22"/>
      <c r="PDQ145" s="22"/>
      <c r="PDR145" s="22"/>
      <c r="PDS145" s="22"/>
      <c r="PDT145" s="22"/>
      <c r="PDU145" s="22"/>
      <c r="PDV145" s="22"/>
      <c r="PDW145" s="22"/>
      <c r="PDX145" s="22"/>
      <c r="PDY145" s="22"/>
      <c r="PDZ145" s="22"/>
      <c r="PEA145" s="22"/>
      <c r="PEB145" s="22"/>
      <c r="PEC145" s="22"/>
      <c r="PED145" s="22"/>
      <c r="PEE145" s="22"/>
      <c r="PEF145" s="22"/>
      <c r="PEG145" s="22"/>
      <c r="PEH145" s="22"/>
      <c r="PEI145" s="22"/>
      <c r="PEJ145" s="22"/>
      <c r="PEK145" s="22"/>
      <c r="PEL145" s="22"/>
      <c r="PEM145" s="22"/>
      <c r="PEN145" s="22"/>
      <c r="PEO145" s="22"/>
      <c r="PEP145" s="22"/>
      <c r="PEQ145" s="22"/>
      <c r="PER145" s="22"/>
      <c r="PES145" s="22"/>
      <c r="PET145" s="22"/>
      <c r="PEU145" s="22"/>
      <c r="PEV145" s="22"/>
      <c r="PEW145" s="22"/>
      <c r="PEX145" s="22"/>
      <c r="PEY145" s="22"/>
      <c r="PEZ145" s="22"/>
      <c r="PFA145" s="22"/>
      <c r="PFB145" s="22"/>
      <c r="PFC145" s="22"/>
      <c r="PFD145" s="22"/>
      <c r="PFE145" s="22"/>
      <c r="PFF145" s="22"/>
      <c r="PFG145" s="22"/>
      <c r="PFH145" s="22"/>
      <c r="PFI145" s="22"/>
      <c r="PFJ145" s="22"/>
      <c r="PFK145" s="22"/>
      <c r="PFL145" s="22"/>
      <c r="PFM145" s="22"/>
      <c r="PFN145" s="22"/>
      <c r="PFO145" s="22"/>
      <c r="PFP145" s="22"/>
      <c r="PFQ145" s="22"/>
      <c r="PFR145" s="22"/>
      <c r="PFS145" s="22"/>
      <c r="PFT145" s="22"/>
      <c r="PFU145" s="22"/>
      <c r="PFV145" s="22"/>
      <c r="PFW145" s="22"/>
      <c r="PFX145" s="22"/>
      <c r="PFY145" s="22"/>
      <c r="PFZ145" s="22"/>
      <c r="PGA145" s="22"/>
      <c r="PGB145" s="22"/>
      <c r="PGC145" s="22"/>
      <c r="PGD145" s="22"/>
      <c r="PGE145" s="22"/>
      <c r="PGF145" s="22"/>
      <c r="PGG145" s="22"/>
      <c r="PGH145" s="22"/>
      <c r="PGI145" s="22"/>
      <c r="PGJ145" s="22"/>
      <c r="PGK145" s="22"/>
      <c r="PGL145" s="22"/>
      <c r="PGM145" s="22"/>
      <c r="PGN145" s="22"/>
      <c r="PGO145" s="22"/>
      <c r="PGP145" s="22"/>
      <c r="PGQ145" s="22"/>
      <c r="PGR145" s="22"/>
      <c r="PGS145" s="22"/>
      <c r="PGT145" s="22"/>
      <c r="PGU145" s="22"/>
      <c r="PGV145" s="22"/>
      <c r="PGW145" s="22"/>
      <c r="PGX145" s="22"/>
      <c r="PGY145" s="22"/>
      <c r="PGZ145" s="22"/>
      <c r="PHA145" s="22"/>
      <c r="PHB145" s="22"/>
      <c r="PHC145" s="22"/>
      <c r="PHD145" s="22"/>
      <c r="PHE145" s="22"/>
      <c r="PHF145" s="22"/>
      <c r="PHG145" s="22"/>
      <c r="PHH145" s="22"/>
      <c r="PHI145" s="22"/>
      <c r="PHJ145" s="22"/>
      <c r="PHK145" s="22"/>
      <c r="PHL145" s="22"/>
      <c r="PHM145" s="22"/>
      <c r="PHN145" s="22"/>
      <c r="PHO145" s="22"/>
      <c r="PHP145" s="22"/>
      <c r="PHQ145" s="22"/>
      <c r="PHR145" s="22"/>
      <c r="PHS145" s="22"/>
      <c r="PHT145" s="22"/>
      <c r="PHU145" s="22"/>
      <c r="PHV145" s="22"/>
      <c r="PHW145" s="22"/>
      <c r="PHX145" s="22"/>
      <c r="PHY145" s="22"/>
      <c r="PHZ145" s="22"/>
      <c r="PIA145" s="22"/>
      <c r="PIB145" s="22"/>
      <c r="PIC145" s="22"/>
      <c r="PID145" s="22"/>
      <c r="PIE145" s="22"/>
      <c r="PIF145" s="22"/>
      <c r="PIG145" s="22"/>
      <c r="PIH145" s="22"/>
      <c r="PII145" s="22"/>
      <c r="PIJ145" s="22"/>
      <c r="PIK145" s="22"/>
      <c r="PIL145" s="22"/>
      <c r="PIM145" s="22"/>
      <c r="PIN145" s="22"/>
      <c r="PIO145" s="22"/>
      <c r="PIP145" s="22"/>
      <c r="PIQ145" s="22"/>
      <c r="PIR145" s="22"/>
      <c r="PIS145" s="22"/>
      <c r="PIT145" s="22"/>
      <c r="PIU145" s="22"/>
      <c r="PIV145" s="22"/>
      <c r="PIW145" s="22"/>
      <c r="PIX145" s="22"/>
      <c r="PIY145" s="22"/>
      <c r="PIZ145" s="22"/>
      <c r="PJA145" s="22"/>
      <c r="PJB145" s="22"/>
      <c r="PJC145" s="22"/>
      <c r="PJD145" s="22"/>
      <c r="PJE145" s="22"/>
      <c r="PJF145" s="22"/>
      <c r="PJG145" s="22"/>
      <c r="PJH145" s="22"/>
      <c r="PJI145" s="22"/>
      <c r="PJJ145" s="22"/>
      <c r="PJK145" s="22"/>
      <c r="PJL145" s="22"/>
      <c r="PJM145" s="22"/>
      <c r="PJN145" s="22"/>
      <c r="PJO145" s="22"/>
      <c r="PJP145" s="22"/>
      <c r="PJQ145" s="22"/>
      <c r="PJR145" s="22"/>
      <c r="PJS145" s="22"/>
      <c r="PJT145" s="22"/>
      <c r="PJU145" s="22"/>
      <c r="PJV145" s="22"/>
      <c r="PJW145" s="22"/>
      <c r="PJX145" s="22"/>
      <c r="PJY145" s="22"/>
      <c r="PJZ145" s="22"/>
      <c r="PKA145" s="22"/>
      <c r="PKB145" s="22"/>
      <c r="PKC145" s="22"/>
      <c r="PKD145" s="22"/>
      <c r="PKE145" s="22"/>
      <c r="PKF145" s="22"/>
      <c r="PKG145" s="22"/>
      <c r="PKH145" s="22"/>
      <c r="PKI145" s="22"/>
      <c r="PKJ145" s="22"/>
      <c r="PKK145" s="22"/>
      <c r="PKL145" s="22"/>
      <c r="PKM145" s="22"/>
      <c r="PKN145" s="22"/>
      <c r="PKO145" s="22"/>
      <c r="PKP145" s="22"/>
      <c r="PKQ145" s="22"/>
      <c r="PKR145" s="22"/>
      <c r="PKS145" s="22"/>
      <c r="PKT145" s="22"/>
      <c r="PKU145" s="22"/>
      <c r="PKV145" s="22"/>
      <c r="PKW145" s="22"/>
      <c r="PKX145" s="22"/>
      <c r="PKY145" s="22"/>
      <c r="PKZ145" s="22"/>
      <c r="PLA145" s="22"/>
      <c r="PLB145" s="22"/>
      <c r="PLC145" s="22"/>
      <c r="PLD145" s="22"/>
      <c r="PLE145" s="22"/>
      <c r="PLF145" s="22"/>
      <c r="PLG145" s="22"/>
      <c r="PLH145" s="22"/>
      <c r="PLI145" s="22"/>
      <c r="PLJ145" s="22"/>
      <c r="PLK145" s="22"/>
      <c r="PLL145" s="22"/>
      <c r="PLM145" s="22"/>
      <c r="PLN145" s="22"/>
      <c r="PLO145" s="22"/>
      <c r="PLP145" s="22"/>
      <c r="PLQ145" s="22"/>
      <c r="PLR145" s="22"/>
      <c r="PLS145" s="22"/>
      <c r="PLT145" s="22"/>
      <c r="PLU145" s="22"/>
      <c r="PLV145" s="22"/>
      <c r="PLW145" s="22"/>
      <c r="PLX145" s="22"/>
      <c r="PLY145" s="22"/>
      <c r="PLZ145" s="22"/>
      <c r="PMA145" s="22"/>
      <c r="PMB145" s="22"/>
      <c r="PMC145" s="22"/>
      <c r="PMD145" s="22"/>
      <c r="PME145" s="22"/>
      <c r="PMF145" s="22"/>
      <c r="PMG145" s="22"/>
      <c r="PMH145" s="22"/>
      <c r="PMI145" s="22"/>
      <c r="PMJ145" s="22"/>
      <c r="PMK145" s="22"/>
      <c r="PML145" s="22"/>
      <c r="PMM145" s="22"/>
      <c r="PMN145" s="22"/>
      <c r="PMO145" s="22"/>
      <c r="PMP145" s="22"/>
      <c r="PMQ145" s="22"/>
      <c r="PMR145" s="22"/>
      <c r="PMS145" s="22"/>
      <c r="PMT145" s="22"/>
      <c r="PMU145" s="22"/>
      <c r="PMV145" s="22"/>
      <c r="PMW145" s="22"/>
      <c r="PMX145" s="22"/>
      <c r="PMY145" s="22"/>
      <c r="PMZ145" s="22"/>
      <c r="PNA145" s="22"/>
      <c r="PNB145" s="22"/>
      <c r="PNC145" s="22"/>
      <c r="PND145" s="22"/>
      <c r="PNE145" s="22"/>
      <c r="PNF145" s="22"/>
      <c r="PNG145" s="22"/>
      <c r="PNH145" s="22"/>
      <c r="PNI145" s="22"/>
      <c r="PNJ145" s="22"/>
      <c r="PNK145" s="22"/>
      <c r="PNL145" s="22"/>
      <c r="PNM145" s="22"/>
      <c r="PNN145" s="22"/>
      <c r="PNO145" s="22"/>
      <c r="PNP145" s="22"/>
      <c r="PNQ145" s="22"/>
      <c r="PNR145" s="22"/>
      <c r="PNS145" s="22"/>
      <c r="PNT145" s="22"/>
      <c r="PNU145" s="22"/>
      <c r="PNV145" s="22"/>
      <c r="PNW145" s="22"/>
      <c r="PNX145" s="22"/>
      <c r="PNY145" s="22"/>
      <c r="PNZ145" s="22"/>
      <c r="POA145" s="22"/>
      <c r="POB145" s="22"/>
      <c r="POC145" s="22"/>
      <c r="POD145" s="22"/>
      <c r="POE145" s="22"/>
      <c r="POF145" s="22"/>
      <c r="POG145" s="22"/>
      <c r="POH145" s="22"/>
      <c r="POI145" s="22"/>
      <c r="POJ145" s="22"/>
      <c r="POK145" s="22"/>
      <c r="POL145" s="22"/>
      <c r="POM145" s="22"/>
      <c r="PON145" s="22"/>
      <c r="POO145" s="22"/>
      <c r="POP145" s="22"/>
      <c r="POQ145" s="22"/>
      <c r="POR145" s="22"/>
      <c r="POS145" s="22"/>
      <c r="POT145" s="22"/>
      <c r="POU145" s="22"/>
      <c r="POV145" s="22"/>
      <c r="POW145" s="22"/>
      <c r="POX145" s="22"/>
      <c r="POY145" s="22"/>
      <c r="POZ145" s="22"/>
      <c r="PPA145" s="22"/>
      <c r="PPB145" s="22"/>
      <c r="PPC145" s="22"/>
      <c r="PPD145" s="22"/>
      <c r="PPE145" s="22"/>
      <c r="PPF145" s="22"/>
      <c r="PPG145" s="22"/>
      <c r="PPH145" s="22"/>
      <c r="PPI145" s="22"/>
      <c r="PPJ145" s="22"/>
      <c r="PPK145" s="22"/>
      <c r="PPL145" s="22"/>
      <c r="PPM145" s="22"/>
      <c r="PPN145" s="22"/>
      <c r="PPO145" s="22"/>
      <c r="PPP145" s="22"/>
      <c r="PPQ145" s="22"/>
      <c r="PPR145" s="22"/>
      <c r="PPS145" s="22"/>
      <c r="PPT145" s="22"/>
      <c r="PPU145" s="22"/>
      <c r="PPV145" s="22"/>
      <c r="PPW145" s="22"/>
      <c r="PPX145" s="22"/>
      <c r="PPY145" s="22"/>
      <c r="PPZ145" s="22"/>
      <c r="PQA145" s="22"/>
      <c r="PQB145" s="22"/>
      <c r="PQC145" s="22"/>
      <c r="PQD145" s="22"/>
      <c r="PQE145" s="22"/>
      <c r="PQF145" s="22"/>
      <c r="PQG145" s="22"/>
      <c r="PQH145" s="22"/>
      <c r="PQI145" s="22"/>
      <c r="PQJ145" s="22"/>
      <c r="PQK145" s="22"/>
      <c r="PQL145" s="22"/>
      <c r="PQM145" s="22"/>
      <c r="PQN145" s="22"/>
      <c r="PQO145" s="22"/>
      <c r="PQP145" s="22"/>
      <c r="PQQ145" s="22"/>
      <c r="PQR145" s="22"/>
      <c r="PQS145" s="22"/>
      <c r="PQT145" s="22"/>
      <c r="PQU145" s="22"/>
      <c r="PQV145" s="22"/>
      <c r="PQW145" s="22"/>
      <c r="PQX145" s="22"/>
      <c r="PQY145" s="22"/>
      <c r="PQZ145" s="22"/>
      <c r="PRA145" s="22"/>
      <c r="PRB145" s="22"/>
      <c r="PRC145" s="22"/>
      <c r="PRD145" s="22"/>
      <c r="PRE145" s="22"/>
      <c r="PRF145" s="22"/>
      <c r="PRG145" s="22"/>
      <c r="PRH145" s="22"/>
      <c r="PRI145" s="22"/>
      <c r="PRJ145" s="22"/>
      <c r="PRK145" s="22"/>
      <c r="PRL145" s="22"/>
      <c r="PRM145" s="22"/>
      <c r="PRN145" s="22"/>
      <c r="PRO145" s="22"/>
      <c r="PRP145" s="22"/>
      <c r="PRQ145" s="22"/>
      <c r="PRR145" s="22"/>
      <c r="PRS145" s="22"/>
      <c r="PRT145" s="22"/>
      <c r="PRU145" s="22"/>
      <c r="PRV145" s="22"/>
      <c r="PRW145" s="22"/>
      <c r="PRX145" s="22"/>
      <c r="PRY145" s="22"/>
      <c r="PRZ145" s="22"/>
      <c r="PSA145" s="22"/>
      <c r="PSB145" s="22"/>
      <c r="PSC145" s="22"/>
      <c r="PSD145" s="22"/>
      <c r="PSE145" s="22"/>
      <c r="PSF145" s="22"/>
      <c r="PSG145" s="22"/>
      <c r="PSH145" s="22"/>
      <c r="PSI145" s="22"/>
      <c r="PSJ145" s="22"/>
      <c r="PSK145" s="22"/>
      <c r="PSL145" s="22"/>
      <c r="PSM145" s="22"/>
      <c r="PSN145" s="22"/>
      <c r="PSO145" s="22"/>
      <c r="PSP145" s="22"/>
      <c r="PSQ145" s="22"/>
      <c r="PSR145" s="22"/>
      <c r="PSS145" s="22"/>
      <c r="PST145" s="22"/>
      <c r="PSU145" s="22"/>
      <c r="PSV145" s="22"/>
      <c r="PSW145" s="22"/>
      <c r="PSX145" s="22"/>
      <c r="PSY145" s="22"/>
      <c r="PSZ145" s="22"/>
      <c r="PTA145" s="22"/>
      <c r="PTB145" s="22"/>
      <c r="PTC145" s="22"/>
      <c r="PTD145" s="22"/>
      <c r="PTE145" s="22"/>
      <c r="PTF145" s="22"/>
      <c r="PTG145" s="22"/>
      <c r="PTH145" s="22"/>
      <c r="PTI145" s="22"/>
      <c r="PTJ145" s="22"/>
      <c r="PTK145" s="22"/>
      <c r="PTL145" s="22"/>
      <c r="PTM145" s="22"/>
      <c r="PTN145" s="22"/>
      <c r="PTO145" s="22"/>
      <c r="PTP145" s="22"/>
      <c r="PTQ145" s="22"/>
      <c r="PTR145" s="22"/>
      <c r="PTS145" s="22"/>
      <c r="PTT145" s="22"/>
      <c r="PTU145" s="22"/>
      <c r="PTV145" s="22"/>
      <c r="PTW145" s="22"/>
      <c r="PTX145" s="22"/>
      <c r="PTY145" s="22"/>
      <c r="PTZ145" s="22"/>
      <c r="PUA145" s="22"/>
      <c r="PUB145" s="22"/>
      <c r="PUC145" s="22"/>
      <c r="PUD145" s="22"/>
      <c r="PUE145" s="22"/>
      <c r="PUF145" s="22"/>
      <c r="PUG145" s="22"/>
      <c r="PUH145" s="22"/>
      <c r="PUI145" s="22"/>
      <c r="PUJ145" s="22"/>
      <c r="PUK145" s="22"/>
      <c r="PUL145" s="22"/>
      <c r="PUM145" s="22"/>
      <c r="PUN145" s="22"/>
      <c r="PUO145" s="22"/>
      <c r="PUP145" s="22"/>
      <c r="PUQ145" s="22"/>
      <c r="PUR145" s="22"/>
      <c r="PUS145" s="22"/>
      <c r="PUT145" s="22"/>
      <c r="PUU145" s="22"/>
      <c r="PUV145" s="22"/>
      <c r="PUW145" s="22"/>
      <c r="PUX145" s="22"/>
      <c r="PUY145" s="22"/>
      <c r="PUZ145" s="22"/>
      <c r="PVA145" s="22"/>
      <c r="PVB145" s="22"/>
      <c r="PVC145" s="22"/>
      <c r="PVD145" s="22"/>
      <c r="PVE145" s="22"/>
      <c r="PVF145" s="22"/>
      <c r="PVG145" s="22"/>
      <c r="PVH145" s="22"/>
      <c r="PVI145" s="22"/>
      <c r="PVJ145" s="22"/>
      <c r="PVK145" s="22"/>
      <c r="PVL145" s="22"/>
      <c r="PVM145" s="22"/>
      <c r="PVN145" s="22"/>
      <c r="PVO145" s="22"/>
      <c r="PVP145" s="22"/>
      <c r="PVQ145" s="22"/>
      <c r="PVR145" s="22"/>
      <c r="PVS145" s="22"/>
      <c r="PVT145" s="22"/>
      <c r="PVU145" s="22"/>
      <c r="PVV145" s="22"/>
      <c r="PVW145" s="22"/>
      <c r="PVX145" s="22"/>
      <c r="PVY145" s="22"/>
      <c r="PVZ145" s="22"/>
      <c r="PWA145" s="22"/>
      <c r="PWB145" s="22"/>
      <c r="PWC145" s="22"/>
      <c r="PWD145" s="22"/>
      <c r="PWE145" s="22"/>
      <c r="PWF145" s="22"/>
      <c r="PWG145" s="22"/>
      <c r="PWH145" s="22"/>
      <c r="PWI145" s="22"/>
      <c r="PWJ145" s="22"/>
      <c r="PWK145" s="22"/>
      <c r="PWL145" s="22"/>
      <c r="PWM145" s="22"/>
      <c r="PWN145" s="22"/>
      <c r="PWO145" s="22"/>
      <c r="PWP145" s="22"/>
      <c r="PWQ145" s="22"/>
      <c r="PWR145" s="22"/>
      <c r="PWS145" s="22"/>
      <c r="PWT145" s="22"/>
      <c r="PWU145" s="22"/>
      <c r="PWV145" s="22"/>
      <c r="PWW145" s="22"/>
      <c r="PWX145" s="22"/>
      <c r="PWY145" s="22"/>
      <c r="PWZ145" s="22"/>
      <c r="PXA145" s="22"/>
      <c r="PXB145" s="22"/>
      <c r="PXC145" s="22"/>
      <c r="PXD145" s="22"/>
      <c r="PXE145" s="22"/>
      <c r="PXF145" s="22"/>
      <c r="PXG145" s="22"/>
      <c r="PXH145" s="22"/>
      <c r="PXI145" s="22"/>
      <c r="PXJ145" s="22"/>
      <c r="PXK145" s="22"/>
      <c r="PXL145" s="22"/>
      <c r="PXM145" s="22"/>
      <c r="PXN145" s="22"/>
      <c r="PXO145" s="22"/>
      <c r="PXP145" s="22"/>
      <c r="PXQ145" s="22"/>
      <c r="PXR145" s="22"/>
      <c r="PXS145" s="22"/>
      <c r="PXT145" s="22"/>
      <c r="PXU145" s="22"/>
      <c r="PXV145" s="22"/>
      <c r="PXW145" s="22"/>
      <c r="PXX145" s="22"/>
      <c r="PXY145" s="22"/>
      <c r="PXZ145" s="22"/>
      <c r="PYA145" s="22"/>
      <c r="PYB145" s="22"/>
      <c r="PYC145" s="22"/>
      <c r="PYD145" s="22"/>
      <c r="PYE145" s="22"/>
      <c r="PYF145" s="22"/>
      <c r="PYG145" s="22"/>
      <c r="PYH145" s="22"/>
      <c r="PYI145" s="22"/>
      <c r="PYJ145" s="22"/>
      <c r="PYK145" s="22"/>
      <c r="PYL145" s="22"/>
      <c r="PYM145" s="22"/>
      <c r="PYN145" s="22"/>
      <c r="PYO145" s="22"/>
      <c r="PYP145" s="22"/>
      <c r="PYQ145" s="22"/>
      <c r="PYR145" s="22"/>
      <c r="PYS145" s="22"/>
      <c r="PYT145" s="22"/>
      <c r="PYU145" s="22"/>
      <c r="PYV145" s="22"/>
      <c r="PYW145" s="22"/>
      <c r="PYX145" s="22"/>
      <c r="PYY145" s="22"/>
      <c r="PYZ145" s="22"/>
      <c r="PZA145" s="22"/>
      <c r="PZB145" s="22"/>
      <c r="PZC145" s="22"/>
      <c r="PZD145" s="22"/>
      <c r="PZE145" s="22"/>
      <c r="PZF145" s="22"/>
      <c r="PZG145" s="22"/>
      <c r="PZH145" s="22"/>
      <c r="PZI145" s="22"/>
      <c r="PZJ145" s="22"/>
      <c r="PZK145" s="22"/>
      <c r="PZL145" s="22"/>
      <c r="PZM145" s="22"/>
      <c r="PZN145" s="22"/>
      <c r="PZO145" s="22"/>
      <c r="PZP145" s="22"/>
      <c r="PZQ145" s="22"/>
      <c r="PZR145" s="22"/>
      <c r="PZS145" s="22"/>
      <c r="PZT145" s="22"/>
      <c r="PZU145" s="22"/>
      <c r="PZV145" s="22"/>
      <c r="PZW145" s="22"/>
      <c r="PZX145" s="22"/>
      <c r="PZY145" s="22"/>
      <c r="PZZ145" s="22"/>
      <c r="QAA145" s="22"/>
      <c r="QAB145" s="22"/>
      <c r="QAC145" s="22"/>
      <c r="QAD145" s="22"/>
      <c r="QAE145" s="22"/>
      <c r="QAF145" s="22"/>
      <c r="QAG145" s="22"/>
      <c r="QAH145" s="22"/>
      <c r="QAI145" s="22"/>
      <c r="QAJ145" s="22"/>
      <c r="QAK145" s="22"/>
      <c r="QAL145" s="22"/>
      <c r="QAM145" s="22"/>
      <c r="QAN145" s="22"/>
      <c r="QAO145" s="22"/>
      <c r="QAP145" s="22"/>
      <c r="QAQ145" s="22"/>
      <c r="QAR145" s="22"/>
      <c r="QAS145" s="22"/>
      <c r="QAT145" s="22"/>
      <c r="QAU145" s="22"/>
      <c r="QAV145" s="22"/>
      <c r="QAW145" s="22"/>
      <c r="QAX145" s="22"/>
      <c r="QAY145" s="22"/>
      <c r="QAZ145" s="22"/>
      <c r="QBA145" s="22"/>
      <c r="QBB145" s="22"/>
      <c r="QBC145" s="22"/>
      <c r="QBD145" s="22"/>
      <c r="QBE145" s="22"/>
      <c r="QBF145" s="22"/>
      <c r="QBG145" s="22"/>
      <c r="QBH145" s="22"/>
      <c r="QBI145" s="22"/>
      <c r="QBJ145" s="22"/>
      <c r="QBK145" s="22"/>
      <c r="QBL145" s="22"/>
      <c r="QBM145" s="22"/>
      <c r="QBN145" s="22"/>
      <c r="QBO145" s="22"/>
      <c r="QBP145" s="22"/>
      <c r="QBQ145" s="22"/>
      <c r="QBR145" s="22"/>
      <c r="QBS145" s="22"/>
      <c r="QBT145" s="22"/>
      <c r="QBU145" s="22"/>
      <c r="QBV145" s="22"/>
      <c r="QBW145" s="22"/>
      <c r="QBX145" s="22"/>
      <c r="QBY145" s="22"/>
      <c r="QBZ145" s="22"/>
      <c r="QCA145" s="22"/>
      <c r="QCB145" s="22"/>
      <c r="QCC145" s="22"/>
      <c r="QCD145" s="22"/>
      <c r="QCE145" s="22"/>
      <c r="QCF145" s="22"/>
      <c r="QCG145" s="22"/>
      <c r="QCH145" s="22"/>
      <c r="QCI145" s="22"/>
      <c r="QCJ145" s="22"/>
      <c r="QCK145" s="22"/>
      <c r="QCL145" s="22"/>
      <c r="QCM145" s="22"/>
      <c r="QCN145" s="22"/>
      <c r="QCO145" s="22"/>
      <c r="QCP145" s="22"/>
      <c r="QCQ145" s="22"/>
      <c r="QCR145" s="22"/>
      <c r="QCS145" s="22"/>
      <c r="QCT145" s="22"/>
      <c r="QCU145" s="22"/>
      <c r="QCV145" s="22"/>
      <c r="QCW145" s="22"/>
      <c r="QCX145" s="22"/>
      <c r="QCY145" s="22"/>
      <c r="QCZ145" s="22"/>
      <c r="QDA145" s="22"/>
      <c r="QDB145" s="22"/>
      <c r="QDC145" s="22"/>
      <c r="QDD145" s="22"/>
      <c r="QDE145" s="22"/>
      <c r="QDF145" s="22"/>
      <c r="QDG145" s="22"/>
      <c r="QDH145" s="22"/>
      <c r="QDI145" s="22"/>
      <c r="QDJ145" s="22"/>
      <c r="QDK145" s="22"/>
      <c r="QDL145" s="22"/>
      <c r="QDM145" s="22"/>
      <c r="QDN145" s="22"/>
      <c r="QDO145" s="22"/>
      <c r="QDP145" s="22"/>
      <c r="QDQ145" s="22"/>
      <c r="QDR145" s="22"/>
      <c r="QDS145" s="22"/>
      <c r="QDT145" s="22"/>
      <c r="QDU145" s="22"/>
      <c r="QDV145" s="22"/>
      <c r="QDW145" s="22"/>
      <c r="QDX145" s="22"/>
      <c r="QDY145" s="22"/>
      <c r="QDZ145" s="22"/>
      <c r="QEA145" s="22"/>
      <c r="QEB145" s="22"/>
      <c r="QEC145" s="22"/>
      <c r="QED145" s="22"/>
      <c r="QEE145" s="22"/>
      <c r="QEF145" s="22"/>
      <c r="QEG145" s="22"/>
      <c r="QEH145" s="22"/>
      <c r="QEI145" s="22"/>
      <c r="QEJ145" s="22"/>
      <c r="QEK145" s="22"/>
      <c r="QEL145" s="22"/>
      <c r="QEM145" s="22"/>
      <c r="QEN145" s="22"/>
      <c r="QEO145" s="22"/>
      <c r="QEP145" s="22"/>
      <c r="QEQ145" s="22"/>
      <c r="QER145" s="22"/>
      <c r="QES145" s="22"/>
      <c r="QET145" s="22"/>
      <c r="QEU145" s="22"/>
      <c r="QEV145" s="22"/>
      <c r="QEW145" s="22"/>
      <c r="QEX145" s="22"/>
      <c r="QEY145" s="22"/>
      <c r="QEZ145" s="22"/>
      <c r="QFA145" s="22"/>
      <c r="QFB145" s="22"/>
      <c r="QFC145" s="22"/>
      <c r="QFD145" s="22"/>
      <c r="QFE145" s="22"/>
      <c r="QFF145" s="22"/>
      <c r="QFG145" s="22"/>
      <c r="QFH145" s="22"/>
      <c r="QFI145" s="22"/>
      <c r="QFJ145" s="22"/>
      <c r="QFK145" s="22"/>
      <c r="QFL145" s="22"/>
      <c r="QFM145" s="22"/>
      <c r="QFN145" s="22"/>
      <c r="QFO145" s="22"/>
      <c r="QFP145" s="22"/>
      <c r="QFQ145" s="22"/>
      <c r="QFR145" s="22"/>
      <c r="QFS145" s="22"/>
      <c r="QFT145" s="22"/>
      <c r="QFU145" s="22"/>
      <c r="QFV145" s="22"/>
      <c r="QFW145" s="22"/>
      <c r="QFX145" s="22"/>
      <c r="QFY145" s="22"/>
      <c r="QFZ145" s="22"/>
      <c r="QGA145" s="22"/>
      <c r="QGB145" s="22"/>
      <c r="QGC145" s="22"/>
      <c r="QGD145" s="22"/>
      <c r="QGE145" s="22"/>
      <c r="QGF145" s="22"/>
      <c r="QGG145" s="22"/>
      <c r="QGH145" s="22"/>
      <c r="QGI145" s="22"/>
      <c r="QGJ145" s="22"/>
      <c r="QGK145" s="22"/>
      <c r="QGL145" s="22"/>
      <c r="QGM145" s="22"/>
      <c r="QGN145" s="22"/>
      <c r="QGO145" s="22"/>
      <c r="QGP145" s="22"/>
      <c r="QGQ145" s="22"/>
      <c r="QGR145" s="22"/>
      <c r="QGS145" s="22"/>
      <c r="QGT145" s="22"/>
      <c r="QGU145" s="22"/>
      <c r="QGV145" s="22"/>
      <c r="QGW145" s="22"/>
      <c r="QGX145" s="22"/>
      <c r="QGY145" s="22"/>
      <c r="QGZ145" s="22"/>
      <c r="QHA145" s="22"/>
      <c r="QHB145" s="22"/>
      <c r="QHC145" s="22"/>
      <c r="QHD145" s="22"/>
      <c r="QHE145" s="22"/>
      <c r="QHF145" s="22"/>
      <c r="QHG145" s="22"/>
      <c r="QHH145" s="22"/>
      <c r="QHI145" s="22"/>
      <c r="QHJ145" s="22"/>
      <c r="QHK145" s="22"/>
      <c r="QHL145" s="22"/>
      <c r="QHM145" s="22"/>
      <c r="QHN145" s="22"/>
      <c r="QHO145" s="22"/>
      <c r="QHP145" s="22"/>
      <c r="QHQ145" s="22"/>
      <c r="QHR145" s="22"/>
      <c r="QHS145" s="22"/>
      <c r="QHT145" s="22"/>
      <c r="QHU145" s="22"/>
      <c r="QHV145" s="22"/>
      <c r="QHW145" s="22"/>
      <c r="QHX145" s="22"/>
      <c r="QHY145" s="22"/>
      <c r="QHZ145" s="22"/>
      <c r="QIA145" s="22"/>
      <c r="QIB145" s="22"/>
      <c r="QIC145" s="22"/>
      <c r="QID145" s="22"/>
      <c r="QIE145" s="22"/>
      <c r="QIF145" s="22"/>
      <c r="QIG145" s="22"/>
      <c r="QIH145" s="22"/>
      <c r="QII145" s="22"/>
      <c r="QIJ145" s="22"/>
      <c r="QIK145" s="22"/>
      <c r="QIL145" s="22"/>
      <c r="QIM145" s="22"/>
      <c r="QIN145" s="22"/>
      <c r="QIO145" s="22"/>
      <c r="QIP145" s="22"/>
      <c r="QIQ145" s="22"/>
      <c r="QIR145" s="22"/>
      <c r="QIS145" s="22"/>
      <c r="QIT145" s="22"/>
      <c r="QIU145" s="22"/>
      <c r="QIV145" s="22"/>
      <c r="QIW145" s="22"/>
      <c r="QIX145" s="22"/>
      <c r="QIY145" s="22"/>
      <c r="QIZ145" s="22"/>
      <c r="QJA145" s="22"/>
      <c r="QJB145" s="22"/>
      <c r="QJC145" s="22"/>
      <c r="QJD145" s="22"/>
      <c r="QJE145" s="22"/>
      <c r="QJF145" s="22"/>
      <c r="QJG145" s="22"/>
      <c r="QJH145" s="22"/>
      <c r="QJI145" s="22"/>
      <c r="QJJ145" s="22"/>
      <c r="QJK145" s="22"/>
      <c r="QJL145" s="22"/>
      <c r="QJM145" s="22"/>
      <c r="QJN145" s="22"/>
      <c r="QJO145" s="22"/>
      <c r="QJP145" s="22"/>
      <c r="QJQ145" s="22"/>
      <c r="QJR145" s="22"/>
      <c r="QJS145" s="22"/>
      <c r="QJT145" s="22"/>
      <c r="QJU145" s="22"/>
      <c r="QJV145" s="22"/>
      <c r="QJW145" s="22"/>
      <c r="QJX145" s="22"/>
      <c r="QJY145" s="22"/>
      <c r="QJZ145" s="22"/>
      <c r="QKA145" s="22"/>
      <c r="QKB145" s="22"/>
      <c r="QKC145" s="22"/>
      <c r="QKD145" s="22"/>
      <c r="QKE145" s="22"/>
      <c r="QKF145" s="22"/>
      <c r="QKG145" s="22"/>
      <c r="QKH145" s="22"/>
      <c r="QKI145" s="22"/>
      <c r="QKJ145" s="22"/>
      <c r="QKK145" s="22"/>
      <c r="QKL145" s="22"/>
      <c r="QKM145" s="22"/>
      <c r="QKN145" s="22"/>
      <c r="QKO145" s="22"/>
      <c r="QKP145" s="22"/>
      <c r="QKQ145" s="22"/>
      <c r="QKR145" s="22"/>
      <c r="QKS145" s="22"/>
      <c r="QKT145" s="22"/>
      <c r="QKU145" s="22"/>
      <c r="QKV145" s="22"/>
      <c r="QKW145" s="22"/>
      <c r="QKX145" s="22"/>
      <c r="QKY145" s="22"/>
      <c r="QKZ145" s="22"/>
      <c r="QLA145" s="22"/>
      <c r="QLB145" s="22"/>
      <c r="QLC145" s="22"/>
      <c r="QLD145" s="22"/>
      <c r="QLE145" s="22"/>
      <c r="QLF145" s="22"/>
      <c r="QLG145" s="22"/>
      <c r="QLH145" s="22"/>
      <c r="QLI145" s="22"/>
      <c r="QLJ145" s="22"/>
      <c r="QLK145" s="22"/>
      <c r="QLL145" s="22"/>
      <c r="QLM145" s="22"/>
      <c r="QLN145" s="22"/>
      <c r="QLO145" s="22"/>
      <c r="QLP145" s="22"/>
      <c r="QLQ145" s="22"/>
      <c r="QLR145" s="22"/>
      <c r="QLS145" s="22"/>
      <c r="QLT145" s="22"/>
      <c r="QLU145" s="22"/>
      <c r="QLV145" s="22"/>
      <c r="QLW145" s="22"/>
      <c r="QLX145" s="22"/>
      <c r="QLY145" s="22"/>
      <c r="QLZ145" s="22"/>
      <c r="QMA145" s="22"/>
      <c r="QMB145" s="22"/>
      <c r="QMC145" s="22"/>
      <c r="QMD145" s="22"/>
      <c r="QME145" s="22"/>
      <c r="QMF145" s="22"/>
      <c r="QMG145" s="22"/>
      <c r="QMH145" s="22"/>
      <c r="QMI145" s="22"/>
      <c r="QMJ145" s="22"/>
      <c r="QMK145" s="22"/>
      <c r="QML145" s="22"/>
      <c r="QMM145" s="22"/>
      <c r="QMN145" s="22"/>
      <c r="QMO145" s="22"/>
      <c r="QMP145" s="22"/>
      <c r="QMQ145" s="22"/>
      <c r="QMR145" s="22"/>
      <c r="QMS145" s="22"/>
      <c r="QMT145" s="22"/>
      <c r="QMU145" s="22"/>
      <c r="QMV145" s="22"/>
      <c r="QMW145" s="22"/>
      <c r="QMX145" s="22"/>
      <c r="QMY145" s="22"/>
      <c r="QMZ145" s="22"/>
      <c r="QNA145" s="22"/>
      <c r="QNB145" s="22"/>
      <c r="QNC145" s="22"/>
      <c r="QND145" s="22"/>
      <c r="QNE145" s="22"/>
      <c r="QNF145" s="22"/>
      <c r="QNG145" s="22"/>
      <c r="QNH145" s="22"/>
      <c r="QNI145" s="22"/>
      <c r="QNJ145" s="22"/>
      <c r="QNK145" s="22"/>
      <c r="QNL145" s="22"/>
      <c r="QNM145" s="22"/>
      <c r="QNN145" s="22"/>
      <c r="QNO145" s="22"/>
      <c r="QNP145" s="22"/>
      <c r="QNQ145" s="22"/>
      <c r="QNR145" s="22"/>
      <c r="QNS145" s="22"/>
      <c r="QNT145" s="22"/>
      <c r="QNU145" s="22"/>
      <c r="QNV145" s="22"/>
      <c r="QNW145" s="22"/>
      <c r="QNX145" s="22"/>
      <c r="QNY145" s="22"/>
      <c r="QNZ145" s="22"/>
      <c r="QOA145" s="22"/>
      <c r="QOB145" s="22"/>
      <c r="QOC145" s="22"/>
      <c r="QOD145" s="22"/>
      <c r="QOE145" s="22"/>
      <c r="QOF145" s="22"/>
      <c r="QOG145" s="22"/>
      <c r="QOH145" s="22"/>
      <c r="QOI145" s="22"/>
      <c r="QOJ145" s="22"/>
      <c r="QOK145" s="22"/>
      <c r="QOL145" s="22"/>
      <c r="QOM145" s="22"/>
      <c r="QON145" s="22"/>
      <c r="QOO145" s="22"/>
      <c r="QOP145" s="22"/>
      <c r="QOQ145" s="22"/>
      <c r="QOR145" s="22"/>
      <c r="QOS145" s="22"/>
      <c r="QOT145" s="22"/>
      <c r="QOU145" s="22"/>
      <c r="QOV145" s="22"/>
      <c r="QOW145" s="22"/>
      <c r="QOX145" s="22"/>
      <c r="QOY145" s="22"/>
      <c r="QOZ145" s="22"/>
      <c r="QPA145" s="22"/>
      <c r="QPB145" s="22"/>
      <c r="QPC145" s="22"/>
      <c r="QPD145" s="22"/>
      <c r="QPE145" s="22"/>
      <c r="QPF145" s="22"/>
      <c r="QPG145" s="22"/>
      <c r="QPH145" s="22"/>
      <c r="QPI145" s="22"/>
      <c r="QPJ145" s="22"/>
      <c r="QPK145" s="22"/>
      <c r="QPL145" s="22"/>
      <c r="QPM145" s="22"/>
      <c r="QPN145" s="22"/>
      <c r="QPO145" s="22"/>
      <c r="QPP145" s="22"/>
      <c r="QPQ145" s="22"/>
      <c r="QPR145" s="22"/>
      <c r="QPS145" s="22"/>
      <c r="QPT145" s="22"/>
      <c r="QPU145" s="22"/>
      <c r="QPV145" s="22"/>
      <c r="QPW145" s="22"/>
      <c r="QPX145" s="22"/>
      <c r="QPY145" s="22"/>
      <c r="QPZ145" s="22"/>
      <c r="QQA145" s="22"/>
      <c r="QQB145" s="22"/>
      <c r="QQC145" s="22"/>
      <c r="QQD145" s="22"/>
      <c r="QQE145" s="22"/>
      <c r="QQF145" s="22"/>
      <c r="QQG145" s="22"/>
      <c r="QQH145" s="22"/>
      <c r="QQI145" s="22"/>
      <c r="QQJ145" s="22"/>
      <c r="QQK145" s="22"/>
      <c r="QQL145" s="22"/>
      <c r="QQM145" s="22"/>
      <c r="QQN145" s="22"/>
      <c r="QQO145" s="22"/>
      <c r="QQP145" s="22"/>
      <c r="QQQ145" s="22"/>
      <c r="QQR145" s="22"/>
      <c r="QQS145" s="22"/>
      <c r="QQT145" s="22"/>
      <c r="QQU145" s="22"/>
      <c r="QQV145" s="22"/>
      <c r="QQW145" s="22"/>
      <c r="QQX145" s="22"/>
      <c r="QQY145" s="22"/>
      <c r="QQZ145" s="22"/>
      <c r="QRA145" s="22"/>
      <c r="QRB145" s="22"/>
      <c r="QRC145" s="22"/>
      <c r="QRD145" s="22"/>
      <c r="QRE145" s="22"/>
      <c r="QRF145" s="22"/>
      <c r="QRG145" s="22"/>
      <c r="QRH145" s="22"/>
      <c r="QRI145" s="22"/>
      <c r="QRJ145" s="22"/>
      <c r="QRK145" s="22"/>
      <c r="QRL145" s="22"/>
      <c r="QRM145" s="22"/>
      <c r="QRN145" s="22"/>
      <c r="QRO145" s="22"/>
      <c r="QRP145" s="22"/>
      <c r="QRQ145" s="22"/>
      <c r="QRR145" s="22"/>
      <c r="QRS145" s="22"/>
      <c r="QRT145" s="22"/>
      <c r="QRU145" s="22"/>
      <c r="QRV145" s="22"/>
      <c r="QRW145" s="22"/>
      <c r="QRX145" s="22"/>
      <c r="QRY145" s="22"/>
      <c r="QRZ145" s="22"/>
      <c r="QSA145" s="22"/>
      <c r="QSB145" s="22"/>
      <c r="QSC145" s="22"/>
      <c r="QSD145" s="22"/>
      <c r="QSE145" s="22"/>
      <c r="QSF145" s="22"/>
      <c r="QSG145" s="22"/>
      <c r="QSH145" s="22"/>
      <c r="QSI145" s="22"/>
      <c r="QSJ145" s="22"/>
      <c r="QSK145" s="22"/>
      <c r="QSL145" s="22"/>
      <c r="QSM145" s="22"/>
      <c r="QSN145" s="22"/>
      <c r="QSO145" s="22"/>
      <c r="QSP145" s="22"/>
      <c r="QSQ145" s="22"/>
      <c r="QSR145" s="22"/>
      <c r="QSS145" s="22"/>
      <c r="QST145" s="22"/>
      <c r="QSU145" s="22"/>
      <c r="QSV145" s="22"/>
      <c r="QSW145" s="22"/>
      <c r="QSX145" s="22"/>
      <c r="QSY145" s="22"/>
      <c r="QSZ145" s="22"/>
      <c r="QTA145" s="22"/>
      <c r="QTB145" s="22"/>
      <c r="QTC145" s="22"/>
      <c r="QTD145" s="22"/>
      <c r="QTE145" s="22"/>
      <c r="QTF145" s="22"/>
      <c r="QTG145" s="22"/>
      <c r="QTH145" s="22"/>
      <c r="QTI145" s="22"/>
      <c r="QTJ145" s="22"/>
      <c r="QTK145" s="22"/>
      <c r="QTL145" s="22"/>
      <c r="QTM145" s="22"/>
      <c r="QTN145" s="22"/>
      <c r="QTO145" s="22"/>
      <c r="QTP145" s="22"/>
      <c r="QTQ145" s="22"/>
      <c r="QTR145" s="22"/>
      <c r="QTS145" s="22"/>
      <c r="QTT145" s="22"/>
      <c r="QTU145" s="22"/>
      <c r="QTV145" s="22"/>
      <c r="QTW145" s="22"/>
      <c r="QTX145" s="22"/>
      <c r="QTY145" s="22"/>
      <c r="QTZ145" s="22"/>
      <c r="QUA145" s="22"/>
      <c r="QUB145" s="22"/>
      <c r="QUC145" s="22"/>
      <c r="QUD145" s="22"/>
      <c r="QUE145" s="22"/>
      <c r="QUF145" s="22"/>
      <c r="QUG145" s="22"/>
      <c r="QUH145" s="22"/>
      <c r="QUI145" s="22"/>
      <c r="QUJ145" s="22"/>
      <c r="QUK145" s="22"/>
      <c r="QUL145" s="22"/>
      <c r="QUM145" s="22"/>
      <c r="QUN145" s="22"/>
      <c r="QUO145" s="22"/>
      <c r="QUP145" s="22"/>
      <c r="QUQ145" s="22"/>
      <c r="QUR145" s="22"/>
      <c r="QUS145" s="22"/>
      <c r="QUT145" s="22"/>
      <c r="QUU145" s="22"/>
      <c r="QUV145" s="22"/>
      <c r="QUW145" s="22"/>
      <c r="QUX145" s="22"/>
      <c r="QUY145" s="22"/>
      <c r="QUZ145" s="22"/>
      <c r="QVA145" s="22"/>
      <c r="QVB145" s="22"/>
      <c r="QVC145" s="22"/>
      <c r="QVD145" s="22"/>
      <c r="QVE145" s="22"/>
      <c r="QVF145" s="22"/>
      <c r="QVG145" s="22"/>
      <c r="QVH145" s="22"/>
      <c r="QVI145" s="22"/>
      <c r="QVJ145" s="22"/>
      <c r="QVK145" s="22"/>
      <c r="QVL145" s="22"/>
      <c r="QVM145" s="22"/>
      <c r="QVN145" s="22"/>
      <c r="QVO145" s="22"/>
      <c r="QVP145" s="22"/>
      <c r="QVQ145" s="22"/>
      <c r="QVR145" s="22"/>
      <c r="QVS145" s="22"/>
      <c r="QVT145" s="22"/>
      <c r="QVU145" s="22"/>
      <c r="QVV145" s="22"/>
      <c r="QVW145" s="22"/>
      <c r="QVX145" s="22"/>
      <c r="QVY145" s="22"/>
      <c r="QVZ145" s="22"/>
      <c r="QWA145" s="22"/>
      <c r="QWB145" s="22"/>
      <c r="QWC145" s="22"/>
      <c r="QWD145" s="22"/>
      <c r="QWE145" s="22"/>
      <c r="QWF145" s="22"/>
      <c r="QWG145" s="22"/>
      <c r="QWH145" s="22"/>
      <c r="QWI145" s="22"/>
      <c r="QWJ145" s="22"/>
      <c r="QWK145" s="22"/>
      <c r="QWL145" s="22"/>
      <c r="QWM145" s="22"/>
      <c r="QWN145" s="22"/>
      <c r="QWO145" s="22"/>
      <c r="QWP145" s="22"/>
      <c r="QWQ145" s="22"/>
      <c r="QWR145" s="22"/>
      <c r="QWS145" s="22"/>
      <c r="QWT145" s="22"/>
      <c r="QWU145" s="22"/>
      <c r="QWV145" s="22"/>
      <c r="QWW145" s="22"/>
      <c r="QWX145" s="22"/>
      <c r="QWY145" s="22"/>
      <c r="QWZ145" s="22"/>
      <c r="QXA145" s="22"/>
      <c r="QXB145" s="22"/>
      <c r="QXC145" s="22"/>
      <c r="QXD145" s="22"/>
      <c r="QXE145" s="22"/>
      <c r="QXF145" s="22"/>
      <c r="QXG145" s="22"/>
      <c r="QXH145" s="22"/>
      <c r="QXI145" s="22"/>
      <c r="QXJ145" s="22"/>
      <c r="QXK145" s="22"/>
      <c r="QXL145" s="22"/>
      <c r="QXM145" s="22"/>
      <c r="QXN145" s="22"/>
      <c r="QXO145" s="22"/>
      <c r="QXP145" s="22"/>
      <c r="QXQ145" s="22"/>
      <c r="QXR145" s="22"/>
      <c r="QXS145" s="22"/>
      <c r="QXT145" s="22"/>
      <c r="QXU145" s="22"/>
      <c r="QXV145" s="22"/>
      <c r="QXW145" s="22"/>
      <c r="QXX145" s="22"/>
      <c r="QXY145" s="22"/>
      <c r="QXZ145" s="22"/>
      <c r="QYA145" s="22"/>
      <c r="QYB145" s="22"/>
      <c r="QYC145" s="22"/>
      <c r="QYD145" s="22"/>
      <c r="QYE145" s="22"/>
      <c r="QYF145" s="22"/>
      <c r="QYG145" s="22"/>
      <c r="QYH145" s="22"/>
      <c r="QYI145" s="22"/>
      <c r="QYJ145" s="22"/>
      <c r="QYK145" s="22"/>
      <c r="QYL145" s="22"/>
      <c r="QYM145" s="22"/>
      <c r="QYN145" s="22"/>
      <c r="QYO145" s="22"/>
      <c r="QYP145" s="22"/>
      <c r="QYQ145" s="22"/>
      <c r="QYR145" s="22"/>
      <c r="QYS145" s="22"/>
      <c r="QYT145" s="22"/>
      <c r="QYU145" s="22"/>
      <c r="QYV145" s="22"/>
      <c r="QYW145" s="22"/>
      <c r="QYX145" s="22"/>
      <c r="QYY145" s="22"/>
      <c r="QYZ145" s="22"/>
      <c r="QZA145" s="22"/>
      <c r="QZB145" s="22"/>
      <c r="QZC145" s="22"/>
      <c r="QZD145" s="22"/>
      <c r="QZE145" s="22"/>
      <c r="QZF145" s="22"/>
      <c r="QZG145" s="22"/>
      <c r="QZH145" s="22"/>
      <c r="QZI145" s="22"/>
      <c r="QZJ145" s="22"/>
      <c r="QZK145" s="22"/>
      <c r="QZL145" s="22"/>
      <c r="QZM145" s="22"/>
      <c r="QZN145" s="22"/>
      <c r="QZO145" s="22"/>
      <c r="QZP145" s="22"/>
      <c r="QZQ145" s="22"/>
      <c r="QZR145" s="22"/>
      <c r="QZS145" s="22"/>
      <c r="QZT145" s="22"/>
      <c r="QZU145" s="22"/>
      <c r="QZV145" s="22"/>
      <c r="QZW145" s="22"/>
      <c r="QZX145" s="22"/>
      <c r="QZY145" s="22"/>
      <c r="QZZ145" s="22"/>
      <c r="RAA145" s="22"/>
      <c r="RAB145" s="22"/>
      <c r="RAC145" s="22"/>
      <c r="RAD145" s="22"/>
      <c r="RAE145" s="22"/>
      <c r="RAF145" s="22"/>
      <c r="RAG145" s="22"/>
      <c r="RAH145" s="22"/>
      <c r="RAI145" s="22"/>
      <c r="RAJ145" s="22"/>
      <c r="RAK145" s="22"/>
      <c r="RAL145" s="22"/>
      <c r="RAM145" s="22"/>
      <c r="RAN145" s="22"/>
      <c r="RAO145" s="22"/>
      <c r="RAP145" s="22"/>
      <c r="RAQ145" s="22"/>
      <c r="RAR145" s="22"/>
      <c r="RAS145" s="22"/>
      <c r="RAT145" s="22"/>
      <c r="RAU145" s="22"/>
      <c r="RAV145" s="22"/>
      <c r="RAW145" s="22"/>
      <c r="RAX145" s="22"/>
      <c r="RAY145" s="22"/>
      <c r="RAZ145" s="22"/>
      <c r="RBA145" s="22"/>
      <c r="RBB145" s="22"/>
      <c r="RBC145" s="22"/>
      <c r="RBD145" s="22"/>
      <c r="RBE145" s="22"/>
      <c r="RBF145" s="22"/>
      <c r="RBG145" s="22"/>
      <c r="RBH145" s="22"/>
      <c r="RBI145" s="22"/>
      <c r="RBJ145" s="22"/>
      <c r="RBK145" s="22"/>
      <c r="RBL145" s="22"/>
      <c r="RBM145" s="22"/>
      <c r="RBN145" s="22"/>
      <c r="RBO145" s="22"/>
      <c r="RBP145" s="22"/>
      <c r="RBQ145" s="22"/>
      <c r="RBR145" s="22"/>
      <c r="RBS145" s="22"/>
      <c r="RBT145" s="22"/>
      <c r="RBU145" s="22"/>
      <c r="RBV145" s="22"/>
      <c r="RBW145" s="22"/>
      <c r="RBX145" s="22"/>
      <c r="RBY145" s="22"/>
      <c r="RBZ145" s="22"/>
      <c r="RCA145" s="22"/>
      <c r="RCB145" s="22"/>
      <c r="RCC145" s="22"/>
      <c r="RCD145" s="22"/>
      <c r="RCE145" s="22"/>
      <c r="RCF145" s="22"/>
      <c r="RCG145" s="22"/>
      <c r="RCH145" s="22"/>
      <c r="RCI145" s="22"/>
      <c r="RCJ145" s="22"/>
      <c r="RCK145" s="22"/>
      <c r="RCL145" s="22"/>
      <c r="RCM145" s="22"/>
      <c r="RCN145" s="22"/>
      <c r="RCO145" s="22"/>
      <c r="RCP145" s="22"/>
      <c r="RCQ145" s="22"/>
      <c r="RCR145" s="22"/>
      <c r="RCS145" s="22"/>
      <c r="RCT145" s="22"/>
      <c r="RCU145" s="22"/>
      <c r="RCV145" s="22"/>
      <c r="RCW145" s="22"/>
      <c r="RCX145" s="22"/>
      <c r="RCY145" s="22"/>
      <c r="RCZ145" s="22"/>
      <c r="RDA145" s="22"/>
      <c r="RDB145" s="22"/>
      <c r="RDC145" s="22"/>
      <c r="RDD145" s="22"/>
      <c r="RDE145" s="22"/>
      <c r="RDF145" s="22"/>
      <c r="RDG145" s="22"/>
      <c r="RDH145" s="22"/>
      <c r="RDI145" s="22"/>
      <c r="RDJ145" s="22"/>
      <c r="RDK145" s="22"/>
      <c r="RDL145" s="22"/>
      <c r="RDM145" s="22"/>
      <c r="RDN145" s="22"/>
      <c r="RDO145" s="22"/>
      <c r="RDP145" s="22"/>
      <c r="RDQ145" s="22"/>
      <c r="RDR145" s="22"/>
      <c r="RDS145" s="22"/>
      <c r="RDT145" s="22"/>
      <c r="RDU145" s="22"/>
      <c r="RDV145" s="22"/>
      <c r="RDW145" s="22"/>
      <c r="RDX145" s="22"/>
      <c r="RDY145" s="22"/>
      <c r="RDZ145" s="22"/>
      <c r="REA145" s="22"/>
      <c r="REB145" s="22"/>
      <c r="REC145" s="22"/>
      <c r="RED145" s="22"/>
      <c r="REE145" s="22"/>
      <c r="REF145" s="22"/>
      <c r="REG145" s="22"/>
      <c r="REH145" s="22"/>
      <c r="REI145" s="22"/>
      <c r="REJ145" s="22"/>
      <c r="REK145" s="22"/>
      <c r="REL145" s="22"/>
      <c r="REM145" s="22"/>
      <c r="REN145" s="22"/>
      <c r="REO145" s="22"/>
      <c r="REP145" s="22"/>
      <c r="REQ145" s="22"/>
      <c r="RER145" s="22"/>
      <c r="RES145" s="22"/>
      <c r="RET145" s="22"/>
      <c r="REU145" s="22"/>
      <c r="REV145" s="22"/>
      <c r="REW145" s="22"/>
      <c r="REX145" s="22"/>
      <c r="REY145" s="22"/>
      <c r="REZ145" s="22"/>
      <c r="RFA145" s="22"/>
      <c r="RFB145" s="22"/>
      <c r="RFC145" s="22"/>
      <c r="RFD145" s="22"/>
      <c r="RFE145" s="22"/>
      <c r="RFF145" s="22"/>
      <c r="RFG145" s="22"/>
      <c r="RFH145" s="22"/>
      <c r="RFI145" s="22"/>
      <c r="RFJ145" s="22"/>
      <c r="RFK145" s="22"/>
      <c r="RFL145" s="22"/>
      <c r="RFM145" s="22"/>
      <c r="RFN145" s="22"/>
      <c r="RFO145" s="22"/>
      <c r="RFP145" s="22"/>
      <c r="RFQ145" s="22"/>
      <c r="RFR145" s="22"/>
      <c r="RFS145" s="22"/>
      <c r="RFT145" s="22"/>
      <c r="RFU145" s="22"/>
      <c r="RFV145" s="22"/>
      <c r="RFW145" s="22"/>
      <c r="RFX145" s="22"/>
      <c r="RFY145" s="22"/>
      <c r="RFZ145" s="22"/>
      <c r="RGA145" s="22"/>
      <c r="RGB145" s="22"/>
      <c r="RGC145" s="22"/>
      <c r="RGD145" s="22"/>
      <c r="RGE145" s="22"/>
      <c r="RGF145" s="22"/>
      <c r="RGG145" s="22"/>
      <c r="RGH145" s="22"/>
      <c r="RGI145" s="22"/>
      <c r="RGJ145" s="22"/>
      <c r="RGK145" s="22"/>
      <c r="RGL145" s="22"/>
      <c r="RGM145" s="22"/>
      <c r="RGN145" s="22"/>
      <c r="RGO145" s="22"/>
      <c r="RGP145" s="22"/>
      <c r="RGQ145" s="22"/>
      <c r="RGR145" s="22"/>
      <c r="RGS145" s="22"/>
      <c r="RGT145" s="22"/>
      <c r="RGU145" s="22"/>
      <c r="RGV145" s="22"/>
      <c r="RGW145" s="22"/>
      <c r="RGX145" s="22"/>
      <c r="RGY145" s="22"/>
      <c r="RGZ145" s="22"/>
      <c r="RHA145" s="22"/>
      <c r="RHB145" s="22"/>
      <c r="RHC145" s="22"/>
      <c r="RHD145" s="22"/>
      <c r="RHE145" s="22"/>
      <c r="RHF145" s="22"/>
      <c r="RHG145" s="22"/>
      <c r="RHH145" s="22"/>
      <c r="RHI145" s="22"/>
      <c r="RHJ145" s="22"/>
      <c r="RHK145" s="22"/>
      <c r="RHL145" s="22"/>
      <c r="RHM145" s="22"/>
      <c r="RHN145" s="22"/>
      <c r="RHO145" s="22"/>
      <c r="RHP145" s="22"/>
      <c r="RHQ145" s="22"/>
      <c r="RHR145" s="22"/>
      <c r="RHS145" s="22"/>
      <c r="RHT145" s="22"/>
      <c r="RHU145" s="22"/>
      <c r="RHV145" s="22"/>
      <c r="RHW145" s="22"/>
      <c r="RHX145" s="22"/>
      <c r="RHY145" s="22"/>
      <c r="RHZ145" s="22"/>
      <c r="RIA145" s="22"/>
      <c r="RIB145" s="22"/>
      <c r="RIC145" s="22"/>
      <c r="RID145" s="22"/>
      <c r="RIE145" s="22"/>
      <c r="RIF145" s="22"/>
      <c r="RIG145" s="22"/>
      <c r="RIH145" s="22"/>
      <c r="RII145" s="22"/>
      <c r="RIJ145" s="22"/>
      <c r="RIK145" s="22"/>
      <c r="RIL145" s="22"/>
      <c r="RIM145" s="22"/>
      <c r="RIN145" s="22"/>
      <c r="RIO145" s="22"/>
      <c r="RIP145" s="22"/>
      <c r="RIQ145" s="22"/>
      <c r="RIR145" s="22"/>
      <c r="RIS145" s="22"/>
      <c r="RIT145" s="22"/>
      <c r="RIU145" s="22"/>
      <c r="RIV145" s="22"/>
      <c r="RIW145" s="22"/>
      <c r="RIX145" s="22"/>
      <c r="RIY145" s="22"/>
      <c r="RIZ145" s="22"/>
      <c r="RJA145" s="22"/>
      <c r="RJB145" s="22"/>
      <c r="RJC145" s="22"/>
      <c r="RJD145" s="22"/>
      <c r="RJE145" s="22"/>
      <c r="RJF145" s="22"/>
      <c r="RJG145" s="22"/>
      <c r="RJH145" s="22"/>
      <c r="RJI145" s="22"/>
      <c r="RJJ145" s="22"/>
      <c r="RJK145" s="22"/>
      <c r="RJL145" s="22"/>
      <c r="RJM145" s="22"/>
      <c r="RJN145" s="22"/>
      <c r="RJO145" s="22"/>
      <c r="RJP145" s="22"/>
      <c r="RJQ145" s="22"/>
      <c r="RJR145" s="22"/>
      <c r="RJS145" s="22"/>
      <c r="RJT145" s="22"/>
      <c r="RJU145" s="22"/>
      <c r="RJV145" s="22"/>
      <c r="RJW145" s="22"/>
      <c r="RJX145" s="22"/>
      <c r="RJY145" s="22"/>
      <c r="RJZ145" s="22"/>
      <c r="RKA145" s="22"/>
      <c r="RKB145" s="22"/>
      <c r="RKC145" s="22"/>
      <c r="RKD145" s="22"/>
      <c r="RKE145" s="22"/>
      <c r="RKF145" s="22"/>
      <c r="RKG145" s="22"/>
      <c r="RKH145" s="22"/>
      <c r="RKI145" s="22"/>
      <c r="RKJ145" s="22"/>
      <c r="RKK145" s="22"/>
      <c r="RKL145" s="22"/>
      <c r="RKM145" s="22"/>
      <c r="RKN145" s="22"/>
      <c r="RKO145" s="22"/>
      <c r="RKP145" s="22"/>
      <c r="RKQ145" s="22"/>
      <c r="RKR145" s="22"/>
      <c r="RKS145" s="22"/>
      <c r="RKT145" s="22"/>
      <c r="RKU145" s="22"/>
      <c r="RKV145" s="22"/>
      <c r="RKW145" s="22"/>
      <c r="RKX145" s="22"/>
      <c r="RKY145" s="22"/>
      <c r="RKZ145" s="22"/>
      <c r="RLA145" s="22"/>
      <c r="RLB145" s="22"/>
      <c r="RLC145" s="22"/>
      <c r="RLD145" s="22"/>
      <c r="RLE145" s="22"/>
      <c r="RLF145" s="22"/>
      <c r="RLG145" s="22"/>
      <c r="RLH145" s="22"/>
      <c r="RLI145" s="22"/>
      <c r="RLJ145" s="22"/>
      <c r="RLK145" s="22"/>
      <c r="RLL145" s="22"/>
      <c r="RLM145" s="22"/>
      <c r="RLN145" s="22"/>
      <c r="RLO145" s="22"/>
      <c r="RLP145" s="22"/>
      <c r="RLQ145" s="22"/>
      <c r="RLR145" s="22"/>
      <c r="RLS145" s="22"/>
      <c r="RLT145" s="22"/>
      <c r="RLU145" s="22"/>
      <c r="RLV145" s="22"/>
      <c r="RLW145" s="22"/>
      <c r="RLX145" s="22"/>
      <c r="RLY145" s="22"/>
      <c r="RLZ145" s="22"/>
      <c r="RMA145" s="22"/>
      <c r="RMB145" s="22"/>
      <c r="RMC145" s="22"/>
      <c r="RMD145" s="22"/>
      <c r="RME145" s="22"/>
      <c r="RMF145" s="22"/>
      <c r="RMG145" s="22"/>
      <c r="RMH145" s="22"/>
      <c r="RMI145" s="22"/>
      <c r="RMJ145" s="22"/>
      <c r="RMK145" s="22"/>
      <c r="RML145" s="22"/>
      <c r="RMM145" s="22"/>
      <c r="RMN145" s="22"/>
      <c r="RMO145" s="22"/>
      <c r="RMP145" s="22"/>
      <c r="RMQ145" s="22"/>
      <c r="RMR145" s="22"/>
      <c r="RMS145" s="22"/>
      <c r="RMT145" s="22"/>
      <c r="RMU145" s="22"/>
      <c r="RMV145" s="22"/>
      <c r="RMW145" s="22"/>
      <c r="RMX145" s="22"/>
      <c r="RMY145" s="22"/>
      <c r="RMZ145" s="22"/>
      <c r="RNA145" s="22"/>
      <c r="RNB145" s="22"/>
      <c r="RNC145" s="22"/>
      <c r="RND145" s="22"/>
      <c r="RNE145" s="22"/>
      <c r="RNF145" s="22"/>
      <c r="RNG145" s="22"/>
      <c r="RNH145" s="22"/>
      <c r="RNI145" s="22"/>
      <c r="RNJ145" s="22"/>
      <c r="RNK145" s="22"/>
      <c r="RNL145" s="22"/>
      <c r="RNM145" s="22"/>
      <c r="RNN145" s="22"/>
      <c r="RNO145" s="22"/>
      <c r="RNP145" s="22"/>
      <c r="RNQ145" s="22"/>
      <c r="RNR145" s="22"/>
      <c r="RNS145" s="22"/>
      <c r="RNT145" s="22"/>
      <c r="RNU145" s="22"/>
      <c r="RNV145" s="22"/>
      <c r="RNW145" s="22"/>
      <c r="RNX145" s="22"/>
      <c r="RNY145" s="22"/>
      <c r="RNZ145" s="22"/>
      <c r="ROA145" s="22"/>
      <c r="ROB145" s="22"/>
      <c r="ROC145" s="22"/>
      <c r="ROD145" s="22"/>
      <c r="ROE145" s="22"/>
      <c r="ROF145" s="22"/>
      <c r="ROG145" s="22"/>
      <c r="ROH145" s="22"/>
      <c r="ROI145" s="22"/>
      <c r="ROJ145" s="22"/>
      <c r="ROK145" s="22"/>
      <c r="ROL145" s="22"/>
      <c r="ROM145" s="22"/>
      <c r="RON145" s="22"/>
      <c r="ROO145" s="22"/>
      <c r="ROP145" s="22"/>
      <c r="ROQ145" s="22"/>
      <c r="ROR145" s="22"/>
      <c r="ROS145" s="22"/>
      <c r="ROT145" s="22"/>
      <c r="ROU145" s="22"/>
      <c r="ROV145" s="22"/>
      <c r="ROW145" s="22"/>
      <c r="ROX145" s="22"/>
      <c r="ROY145" s="22"/>
      <c r="ROZ145" s="22"/>
      <c r="RPA145" s="22"/>
      <c r="RPB145" s="22"/>
      <c r="RPC145" s="22"/>
      <c r="RPD145" s="22"/>
      <c r="RPE145" s="22"/>
      <c r="RPF145" s="22"/>
      <c r="RPG145" s="22"/>
      <c r="RPH145" s="22"/>
      <c r="RPI145" s="22"/>
      <c r="RPJ145" s="22"/>
      <c r="RPK145" s="22"/>
      <c r="RPL145" s="22"/>
      <c r="RPM145" s="22"/>
      <c r="RPN145" s="22"/>
      <c r="RPO145" s="22"/>
      <c r="RPP145" s="22"/>
      <c r="RPQ145" s="22"/>
      <c r="RPR145" s="22"/>
      <c r="RPS145" s="22"/>
      <c r="RPT145" s="22"/>
      <c r="RPU145" s="22"/>
      <c r="RPV145" s="22"/>
      <c r="RPW145" s="22"/>
      <c r="RPX145" s="22"/>
      <c r="RPY145" s="22"/>
      <c r="RPZ145" s="22"/>
      <c r="RQA145" s="22"/>
      <c r="RQB145" s="22"/>
      <c r="RQC145" s="22"/>
      <c r="RQD145" s="22"/>
      <c r="RQE145" s="22"/>
      <c r="RQF145" s="22"/>
      <c r="RQG145" s="22"/>
      <c r="RQH145" s="22"/>
      <c r="RQI145" s="22"/>
      <c r="RQJ145" s="22"/>
      <c r="RQK145" s="22"/>
      <c r="RQL145" s="22"/>
      <c r="RQM145" s="22"/>
      <c r="RQN145" s="22"/>
      <c r="RQO145" s="22"/>
      <c r="RQP145" s="22"/>
      <c r="RQQ145" s="22"/>
      <c r="RQR145" s="22"/>
      <c r="RQS145" s="22"/>
      <c r="RQT145" s="22"/>
      <c r="RQU145" s="22"/>
      <c r="RQV145" s="22"/>
      <c r="RQW145" s="22"/>
      <c r="RQX145" s="22"/>
      <c r="RQY145" s="22"/>
      <c r="RQZ145" s="22"/>
      <c r="RRA145" s="22"/>
      <c r="RRB145" s="22"/>
      <c r="RRC145" s="22"/>
      <c r="RRD145" s="22"/>
      <c r="RRE145" s="22"/>
      <c r="RRF145" s="22"/>
      <c r="RRG145" s="22"/>
      <c r="RRH145" s="22"/>
      <c r="RRI145" s="22"/>
      <c r="RRJ145" s="22"/>
      <c r="RRK145" s="22"/>
      <c r="RRL145" s="22"/>
      <c r="RRM145" s="22"/>
      <c r="RRN145" s="22"/>
      <c r="RRO145" s="22"/>
      <c r="RRP145" s="22"/>
      <c r="RRQ145" s="22"/>
      <c r="RRR145" s="22"/>
      <c r="RRS145" s="22"/>
      <c r="RRT145" s="22"/>
      <c r="RRU145" s="22"/>
      <c r="RRV145" s="22"/>
      <c r="RRW145" s="22"/>
      <c r="RRX145" s="22"/>
      <c r="RRY145" s="22"/>
      <c r="RRZ145" s="22"/>
      <c r="RSA145" s="22"/>
      <c r="RSB145" s="22"/>
      <c r="RSC145" s="22"/>
      <c r="RSD145" s="22"/>
      <c r="RSE145" s="22"/>
      <c r="RSF145" s="22"/>
      <c r="RSG145" s="22"/>
      <c r="RSH145" s="22"/>
      <c r="RSI145" s="22"/>
      <c r="RSJ145" s="22"/>
      <c r="RSK145" s="22"/>
      <c r="RSL145" s="22"/>
      <c r="RSM145" s="22"/>
      <c r="RSN145" s="22"/>
      <c r="RSO145" s="22"/>
      <c r="RSP145" s="22"/>
      <c r="RSQ145" s="22"/>
      <c r="RSR145" s="22"/>
      <c r="RSS145" s="22"/>
      <c r="RST145" s="22"/>
      <c r="RSU145" s="22"/>
      <c r="RSV145" s="22"/>
      <c r="RSW145" s="22"/>
      <c r="RSX145" s="22"/>
      <c r="RSY145" s="22"/>
      <c r="RSZ145" s="22"/>
      <c r="RTA145" s="22"/>
      <c r="RTB145" s="22"/>
      <c r="RTC145" s="22"/>
      <c r="RTD145" s="22"/>
      <c r="RTE145" s="22"/>
      <c r="RTF145" s="22"/>
      <c r="RTG145" s="22"/>
      <c r="RTH145" s="22"/>
      <c r="RTI145" s="22"/>
      <c r="RTJ145" s="22"/>
      <c r="RTK145" s="22"/>
      <c r="RTL145" s="22"/>
      <c r="RTM145" s="22"/>
      <c r="RTN145" s="22"/>
      <c r="RTO145" s="22"/>
      <c r="RTP145" s="22"/>
      <c r="RTQ145" s="22"/>
      <c r="RTR145" s="22"/>
      <c r="RTS145" s="22"/>
      <c r="RTT145" s="22"/>
      <c r="RTU145" s="22"/>
      <c r="RTV145" s="22"/>
      <c r="RTW145" s="22"/>
      <c r="RTX145" s="22"/>
      <c r="RTY145" s="22"/>
      <c r="RTZ145" s="22"/>
      <c r="RUA145" s="22"/>
      <c r="RUB145" s="22"/>
      <c r="RUC145" s="22"/>
      <c r="RUD145" s="22"/>
      <c r="RUE145" s="22"/>
      <c r="RUF145" s="22"/>
      <c r="RUG145" s="22"/>
      <c r="RUH145" s="22"/>
      <c r="RUI145" s="22"/>
      <c r="RUJ145" s="22"/>
      <c r="RUK145" s="22"/>
      <c r="RUL145" s="22"/>
      <c r="RUM145" s="22"/>
      <c r="RUN145" s="22"/>
      <c r="RUO145" s="22"/>
      <c r="RUP145" s="22"/>
      <c r="RUQ145" s="22"/>
      <c r="RUR145" s="22"/>
      <c r="RUS145" s="22"/>
      <c r="RUT145" s="22"/>
      <c r="RUU145" s="22"/>
      <c r="RUV145" s="22"/>
      <c r="RUW145" s="22"/>
      <c r="RUX145" s="22"/>
      <c r="RUY145" s="22"/>
      <c r="RUZ145" s="22"/>
      <c r="RVA145" s="22"/>
      <c r="RVB145" s="22"/>
      <c r="RVC145" s="22"/>
      <c r="RVD145" s="22"/>
      <c r="RVE145" s="22"/>
      <c r="RVF145" s="22"/>
      <c r="RVG145" s="22"/>
      <c r="RVH145" s="22"/>
      <c r="RVI145" s="22"/>
      <c r="RVJ145" s="22"/>
      <c r="RVK145" s="22"/>
      <c r="RVL145" s="22"/>
      <c r="RVM145" s="22"/>
      <c r="RVN145" s="22"/>
      <c r="RVO145" s="22"/>
      <c r="RVP145" s="22"/>
      <c r="RVQ145" s="22"/>
      <c r="RVR145" s="22"/>
      <c r="RVS145" s="22"/>
      <c r="RVT145" s="22"/>
      <c r="RVU145" s="22"/>
      <c r="RVV145" s="22"/>
      <c r="RVW145" s="22"/>
      <c r="RVX145" s="22"/>
      <c r="RVY145" s="22"/>
      <c r="RVZ145" s="22"/>
      <c r="RWA145" s="22"/>
      <c r="RWB145" s="22"/>
      <c r="RWC145" s="22"/>
      <c r="RWD145" s="22"/>
      <c r="RWE145" s="22"/>
      <c r="RWF145" s="22"/>
      <c r="RWG145" s="22"/>
      <c r="RWH145" s="22"/>
      <c r="RWI145" s="22"/>
      <c r="RWJ145" s="22"/>
      <c r="RWK145" s="22"/>
      <c r="RWL145" s="22"/>
      <c r="RWM145" s="22"/>
      <c r="RWN145" s="22"/>
      <c r="RWO145" s="22"/>
      <c r="RWP145" s="22"/>
      <c r="RWQ145" s="22"/>
      <c r="RWR145" s="22"/>
      <c r="RWS145" s="22"/>
      <c r="RWT145" s="22"/>
      <c r="RWU145" s="22"/>
      <c r="RWV145" s="22"/>
      <c r="RWW145" s="22"/>
      <c r="RWX145" s="22"/>
      <c r="RWY145" s="22"/>
      <c r="RWZ145" s="22"/>
      <c r="RXA145" s="22"/>
      <c r="RXB145" s="22"/>
      <c r="RXC145" s="22"/>
      <c r="RXD145" s="22"/>
      <c r="RXE145" s="22"/>
      <c r="RXF145" s="22"/>
      <c r="RXG145" s="22"/>
      <c r="RXH145" s="22"/>
      <c r="RXI145" s="22"/>
      <c r="RXJ145" s="22"/>
      <c r="RXK145" s="22"/>
      <c r="RXL145" s="22"/>
      <c r="RXM145" s="22"/>
      <c r="RXN145" s="22"/>
      <c r="RXO145" s="22"/>
      <c r="RXP145" s="22"/>
      <c r="RXQ145" s="22"/>
      <c r="RXR145" s="22"/>
      <c r="RXS145" s="22"/>
      <c r="RXT145" s="22"/>
      <c r="RXU145" s="22"/>
      <c r="RXV145" s="22"/>
      <c r="RXW145" s="22"/>
      <c r="RXX145" s="22"/>
      <c r="RXY145" s="22"/>
      <c r="RXZ145" s="22"/>
      <c r="RYA145" s="22"/>
      <c r="RYB145" s="22"/>
      <c r="RYC145" s="22"/>
      <c r="RYD145" s="22"/>
      <c r="RYE145" s="22"/>
      <c r="RYF145" s="22"/>
      <c r="RYG145" s="22"/>
      <c r="RYH145" s="22"/>
      <c r="RYI145" s="22"/>
      <c r="RYJ145" s="22"/>
      <c r="RYK145" s="22"/>
      <c r="RYL145" s="22"/>
      <c r="RYM145" s="22"/>
      <c r="RYN145" s="22"/>
      <c r="RYO145" s="22"/>
      <c r="RYP145" s="22"/>
      <c r="RYQ145" s="22"/>
      <c r="RYR145" s="22"/>
      <c r="RYS145" s="22"/>
      <c r="RYT145" s="22"/>
      <c r="RYU145" s="22"/>
      <c r="RYV145" s="22"/>
      <c r="RYW145" s="22"/>
      <c r="RYX145" s="22"/>
      <c r="RYY145" s="22"/>
      <c r="RYZ145" s="22"/>
      <c r="RZA145" s="22"/>
      <c r="RZB145" s="22"/>
      <c r="RZC145" s="22"/>
      <c r="RZD145" s="22"/>
      <c r="RZE145" s="22"/>
      <c r="RZF145" s="22"/>
      <c r="RZG145" s="22"/>
      <c r="RZH145" s="22"/>
      <c r="RZI145" s="22"/>
      <c r="RZJ145" s="22"/>
      <c r="RZK145" s="22"/>
      <c r="RZL145" s="22"/>
      <c r="RZM145" s="22"/>
      <c r="RZN145" s="22"/>
      <c r="RZO145" s="22"/>
      <c r="RZP145" s="22"/>
      <c r="RZQ145" s="22"/>
      <c r="RZR145" s="22"/>
      <c r="RZS145" s="22"/>
      <c r="RZT145" s="22"/>
      <c r="RZU145" s="22"/>
      <c r="RZV145" s="22"/>
      <c r="RZW145" s="22"/>
      <c r="RZX145" s="22"/>
      <c r="RZY145" s="22"/>
      <c r="RZZ145" s="22"/>
      <c r="SAA145" s="22"/>
      <c r="SAB145" s="22"/>
      <c r="SAC145" s="22"/>
      <c r="SAD145" s="22"/>
      <c r="SAE145" s="22"/>
      <c r="SAF145" s="22"/>
      <c r="SAG145" s="22"/>
      <c r="SAH145" s="22"/>
      <c r="SAI145" s="22"/>
      <c r="SAJ145" s="22"/>
      <c r="SAK145" s="22"/>
      <c r="SAL145" s="22"/>
      <c r="SAM145" s="22"/>
      <c r="SAN145" s="22"/>
      <c r="SAO145" s="22"/>
      <c r="SAP145" s="22"/>
      <c r="SAQ145" s="22"/>
      <c r="SAR145" s="22"/>
      <c r="SAS145" s="22"/>
      <c r="SAT145" s="22"/>
      <c r="SAU145" s="22"/>
      <c r="SAV145" s="22"/>
      <c r="SAW145" s="22"/>
      <c r="SAX145" s="22"/>
      <c r="SAY145" s="22"/>
      <c r="SAZ145" s="22"/>
      <c r="SBA145" s="22"/>
      <c r="SBB145" s="22"/>
      <c r="SBC145" s="22"/>
      <c r="SBD145" s="22"/>
      <c r="SBE145" s="22"/>
      <c r="SBF145" s="22"/>
      <c r="SBG145" s="22"/>
      <c r="SBH145" s="22"/>
      <c r="SBI145" s="22"/>
      <c r="SBJ145" s="22"/>
      <c r="SBK145" s="22"/>
      <c r="SBL145" s="22"/>
      <c r="SBM145" s="22"/>
      <c r="SBN145" s="22"/>
      <c r="SBO145" s="22"/>
      <c r="SBP145" s="22"/>
      <c r="SBQ145" s="22"/>
      <c r="SBR145" s="22"/>
      <c r="SBS145" s="22"/>
      <c r="SBT145" s="22"/>
      <c r="SBU145" s="22"/>
      <c r="SBV145" s="22"/>
      <c r="SBW145" s="22"/>
      <c r="SBX145" s="22"/>
      <c r="SBY145" s="22"/>
      <c r="SBZ145" s="22"/>
      <c r="SCA145" s="22"/>
      <c r="SCB145" s="22"/>
      <c r="SCC145" s="22"/>
      <c r="SCD145" s="22"/>
      <c r="SCE145" s="22"/>
      <c r="SCF145" s="22"/>
      <c r="SCG145" s="22"/>
      <c r="SCH145" s="22"/>
      <c r="SCI145" s="22"/>
      <c r="SCJ145" s="22"/>
      <c r="SCK145" s="22"/>
      <c r="SCL145" s="22"/>
      <c r="SCM145" s="22"/>
      <c r="SCN145" s="22"/>
      <c r="SCO145" s="22"/>
      <c r="SCP145" s="22"/>
      <c r="SCQ145" s="22"/>
      <c r="SCR145" s="22"/>
      <c r="SCS145" s="22"/>
      <c r="SCT145" s="22"/>
      <c r="SCU145" s="22"/>
      <c r="SCV145" s="22"/>
      <c r="SCW145" s="22"/>
      <c r="SCX145" s="22"/>
      <c r="SCY145" s="22"/>
      <c r="SCZ145" s="22"/>
      <c r="SDA145" s="22"/>
      <c r="SDB145" s="22"/>
      <c r="SDC145" s="22"/>
      <c r="SDD145" s="22"/>
      <c r="SDE145" s="22"/>
      <c r="SDF145" s="22"/>
      <c r="SDG145" s="22"/>
      <c r="SDH145" s="22"/>
      <c r="SDI145" s="22"/>
      <c r="SDJ145" s="22"/>
      <c r="SDK145" s="22"/>
      <c r="SDL145" s="22"/>
      <c r="SDM145" s="22"/>
      <c r="SDN145" s="22"/>
      <c r="SDO145" s="22"/>
      <c r="SDP145" s="22"/>
      <c r="SDQ145" s="22"/>
      <c r="SDR145" s="22"/>
      <c r="SDS145" s="22"/>
      <c r="SDT145" s="22"/>
      <c r="SDU145" s="22"/>
      <c r="SDV145" s="22"/>
      <c r="SDW145" s="22"/>
      <c r="SDX145" s="22"/>
      <c r="SDY145" s="22"/>
      <c r="SDZ145" s="22"/>
      <c r="SEA145" s="22"/>
      <c r="SEB145" s="22"/>
      <c r="SEC145" s="22"/>
      <c r="SED145" s="22"/>
      <c r="SEE145" s="22"/>
      <c r="SEF145" s="22"/>
      <c r="SEG145" s="22"/>
      <c r="SEH145" s="22"/>
      <c r="SEI145" s="22"/>
      <c r="SEJ145" s="22"/>
      <c r="SEK145" s="22"/>
      <c r="SEL145" s="22"/>
      <c r="SEM145" s="22"/>
      <c r="SEN145" s="22"/>
      <c r="SEO145" s="22"/>
      <c r="SEP145" s="22"/>
      <c r="SEQ145" s="22"/>
      <c r="SER145" s="22"/>
      <c r="SES145" s="22"/>
      <c r="SET145" s="22"/>
      <c r="SEU145" s="22"/>
      <c r="SEV145" s="22"/>
      <c r="SEW145" s="22"/>
      <c r="SEX145" s="22"/>
      <c r="SEY145" s="22"/>
      <c r="SEZ145" s="22"/>
      <c r="SFA145" s="22"/>
      <c r="SFB145" s="22"/>
      <c r="SFC145" s="22"/>
      <c r="SFD145" s="22"/>
      <c r="SFE145" s="22"/>
      <c r="SFF145" s="22"/>
      <c r="SFG145" s="22"/>
      <c r="SFH145" s="22"/>
      <c r="SFI145" s="22"/>
      <c r="SFJ145" s="22"/>
      <c r="SFK145" s="22"/>
      <c r="SFL145" s="22"/>
      <c r="SFM145" s="22"/>
      <c r="SFN145" s="22"/>
      <c r="SFO145" s="22"/>
      <c r="SFP145" s="22"/>
      <c r="SFQ145" s="22"/>
      <c r="SFR145" s="22"/>
      <c r="SFS145" s="22"/>
      <c r="SFT145" s="22"/>
      <c r="SFU145" s="22"/>
      <c r="SFV145" s="22"/>
      <c r="SFW145" s="22"/>
      <c r="SFX145" s="22"/>
      <c r="SFY145" s="22"/>
      <c r="SFZ145" s="22"/>
      <c r="SGA145" s="22"/>
      <c r="SGB145" s="22"/>
      <c r="SGC145" s="22"/>
      <c r="SGD145" s="22"/>
      <c r="SGE145" s="22"/>
      <c r="SGF145" s="22"/>
      <c r="SGG145" s="22"/>
      <c r="SGH145" s="22"/>
      <c r="SGI145" s="22"/>
      <c r="SGJ145" s="22"/>
      <c r="SGK145" s="22"/>
      <c r="SGL145" s="22"/>
      <c r="SGM145" s="22"/>
      <c r="SGN145" s="22"/>
      <c r="SGO145" s="22"/>
      <c r="SGP145" s="22"/>
      <c r="SGQ145" s="22"/>
      <c r="SGR145" s="22"/>
      <c r="SGS145" s="22"/>
      <c r="SGT145" s="22"/>
      <c r="SGU145" s="22"/>
      <c r="SGV145" s="22"/>
      <c r="SGW145" s="22"/>
      <c r="SGX145" s="22"/>
      <c r="SGY145" s="22"/>
      <c r="SGZ145" s="22"/>
      <c r="SHA145" s="22"/>
      <c r="SHB145" s="22"/>
      <c r="SHC145" s="22"/>
      <c r="SHD145" s="22"/>
      <c r="SHE145" s="22"/>
      <c r="SHF145" s="22"/>
      <c r="SHG145" s="22"/>
      <c r="SHH145" s="22"/>
      <c r="SHI145" s="22"/>
      <c r="SHJ145" s="22"/>
      <c r="SHK145" s="22"/>
      <c r="SHL145" s="22"/>
      <c r="SHM145" s="22"/>
      <c r="SHN145" s="22"/>
      <c r="SHO145" s="22"/>
      <c r="SHP145" s="22"/>
      <c r="SHQ145" s="22"/>
      <c r="SHR145" s="22"/>
      <c r="SHS145" s="22"/>
      <c r="SHT145" s="22"/>
      <c r="SHU145" s="22"/>
      <c r="SHV145" s="22"/>
      <c r="SHW145" s="22"/>
      <c r="SHX145" s="22"/>
      <c r="SHY145" s="22"/>
      <c r="SHZ145" s="22"/>
      <c r="SIA145" s="22"/>
      <c r="SIB145" s="22"/>
      <c r="SIC145" s="22"/>
      <c r="SID145" s="22"/>
      <c r="SIE145" s="22"/>
      <c r="SIF145" s="22"/>
      <c r="SIG145" s="22"/>
      <c r="SIH145" s="22"/>
      <c r="SII145" s="22"/>
      <c r="SIJ145" s="22"/>
      <c r="SIK145" s="22"/>
      <c r="SIL145" s="22"/>
      <c r="SIM145" s="22"/>
      <c r="SIN145" s="22"/>
      <c r="SIO145" s="22"/>
      <c r="SIP145" s="22"/>
      <c r="SIQ145" s="22"/>
      <c r="SIR145" s="22"/>
      <c r="SIS145" s="22"/>
      <c r="SIT145" s="22"/>
      <c r="SIU145" s="22"/>
      <c r="SIV145" s="22"/>
      <c r="SIW145" s="22"/>
      <c r="SIX145" s="22"/>
      <c r="SIY145" s="22"/>
      <c r="SIZ145" s="22"/>
      <c r="SJA145" s="22"/>
      <c r="SJB145" s="22"/>
      <c r="SJC145" s="22"/>
      <c r="SJD145" s="22"/>
      <c r="SJE145" s="22"/>
      <c r="SJF145" s="22"/>
      <c r="SJG145" s="22"/>
      <c r="SJH145" s="22"/>
      <c r="SJI145" s="22"/>
      <c r="SJJ145" s="22"/>
      <c r="SJK145" s="22"/>
      <c r="SJL145" s="22"/>
      <c r="SJM145" s="22"/>
      <c r="SJN145" s="22"/>
      <c r="SJO145" s="22"/>
      <c r="SJP145" s="22"/>
      <c r="SJQ145" s="22"/>
      <c r="SJR145" s="22"/>
      <c r="SJS145" s="22"/>
      <c r="SJT145" s="22"/>
      <c r="SJU145" s="22"/>
      <c r="SJV145" s="22"/>
      <c r="SJW145" s="22"/>
      <c r="SJX145" s="22"/>
      <c r="SJY145" s="22"/>
      <c r="SJZ145" s="22"/>
      <c r="SKA145" s="22"/>
      <c r="SKB145" s="22"/>
      <c r="SKC145" s="22"/>
      <c r="SKD145" s="22"/>
      <c r="SKE145" s="22"/>
      <c r="SKF145" s="22"/>
      <c r="SKG145" s="22"/>
      <c r="SKH145" s="22"/>
      <c r="SKI145" s="22"/>
      <c r="SKJ145" s="22"/>
      <c r="SKK145" s="22"/>
      <c r="SKL145" s="22"/>
      <c r="SKM145" s="22"/>
      <c r="SKN145" s="22"/>
      <c r="SKO145" s="22"/>
      <c r="SKP145" s="22"/>
      <c r="SKQ145" s="22"/>
      <c r="SKR145" s="22"/>
      <c r="SKS145" s="22"/>
      <c r="SKT145" s="22"/>
      <c r="SKU145" s="22"/>
      <c r="SKV145" s="22"/>
      <c r="SKW145" s="22"/>
      <c r="SKX145" s="22"/>
      <c r="SKY145" s="22"/>
      <c r="SKZ145" s="22"/>
      <c r="SLA145" s="22"/>
      <c r="SLB145" s="22"/>
      <c r="SLC145" s="22"/>
      <c r="SLD145" s="22"/>
      <c r="SLE145" s="22"/>
      <c r="SLF145" s="22"/>
      <c r="SLG145" s="22"/>
      <c r="SLH145" s="22"/>
      <c r="SLI145" s="22"/>
      <c r="SLJ145" s="22"/>
      <c r="SLK145" s="22"/>
      <c r="SLL145" s="22"/>
      <c r="SLM145" s="22"/>
      <c r="SLN145" s="22"/>
      <c r="SLO145" s="22"/>
      <c r="SLP145" s="22"/>
      <c r="SLQ145" s="22"/>
      <c r="SLR145" s="22"/>
      <c r="SLS145" s="22"/>
      <c r="SLT145" s="22"/>
      <c r="SLU145" s="22"/>
      <c r="SLV145" s="22"/>
      <c r="SLW145" s="22"/>
      <c r="SLX145" s="22"/>
      <c r="SLY145" s="22"/>
      <c r="SLZ145" s="22"/>
      <c r="SMA145" s="22"/>
      <c r="SMB145" s="22"/>
      <c r="SMC145" s="22"/>
      <c r="SMD145" s="22"/>
      <c r="SME145" s="22"/>
      <c r="SMF145" s="22"/>
      <c r="SMG145" s="22"/>
      <c r="SMH145" s="22"/>
      <c r="SMI145" s="22"/>
      <c r="SMJ145" s="22"/>
      <c r="SMK145" s="22"/>
      <c r="SML145" s="22"/>
      <c r="SMM145" s="22"/>
      <c r="SMN145" s="22"/>
      <c r="SMO145" s="22"/>
      <c r="SMP145" s="22"/>
      <c r="SMQ145" s="22"/>
      <c r="SMR145" s="22"/>
      <c r="SMS145" s="22"/>
      <c r="SMT145" s="22"/>
      <c r="SMU145" s="22"/>
      <c r="SMV145" s="22"/>
      <c r="SMW145" s="22"/>
      <c r="SMX145" s="22"/>
      <c r="SMY145" s="22"/>
      <c r="SMZ145" s="22"/>
      <c r="SNA145" s="22"/>
      <c r="SNB145" s="22"/>
      <c r="SNC145" s="22"/>
      <c r="SND145" s="22"/>
      <c r="SNE145" s="22"/>
      <c r="SNF145" s="22"/>
      <c r="SNG145" s="22"/>
      <c r="SNH145" s="22"/>
      <c r="SNI145" s="22"/>
      <c r="SNJ145" s="22"/>
      <c r="SNK145" s="22"/>
      <c r="SNL145" s="22"/>
      <c r="SNM145" s="22"/>
      <c r="SNN145" s="22"/>
      <c r="SNO145" s="22"/>
      <c r="SNP145" s="22"/>
      <c r="SNQ145" s="22"/>
      <c r="SNR145" s="22"/>
      <c r="SNS145" s="22"/>
      <c r="SNT145" s="22"/>
      <c r="SNU145" s="22"/>
      <c r="SNV145" s="22"/>
      <c r="SNW145" s="22"/>
      <c r="SNX145" s="22"/>
      <c r="SNY145" s="22"/>
      <c r="SNZ145" s="22"/>
      <c r="SOA145" s="22"/>
      <c r="SOB145" s="22"/>
      <c r="SOC145" s="22"/>
      <c r="SOD145" s="22"/>
      <c r="SOE145" s="22"/>
      <c r="SOF145" s="22"/>
      <c r="SOG145" s="22"/>
      <c r="SOH145" s="22"/>
      <c r="SOI145" s="22"/>
      <c r="SOJ145" s="22"/>
      <c r="SOK145" s="22"/>
      <c r="SOL145" s="22"/>
      <c r="SOM145" s="22"/>
      <c r="SON145" s="22"/>
      <c r="SOO145" s="22"/>
      <c r="SOP145" s="22"/>
      <c r="SOQ145" s="22"/>
      <c r="SOR145" s="22"/>
      <c r="SOS145" s="22"/>
      <c r="SOT145" s="22"/>
      <c r="SOU145" s="22"/>
      <c r="SOV145" s="22"/>
      <c r="SOW145" s="22"/>
      <c r="SOX145" s="22"/>
      <c r="SOY145" s="22"/>
      <c r="SOZ145" s="22"/>
      <c r="SPA145" s="22"/>
      <c r="SPB145" s="22"/>
      <c r="SPC145" s="22"/>
      <c r="SPD145" s="22"/>
      <c r="SPE145" s="22"/>
      <c r="SPF145" s="22"/>
      <c r="SPG145" s="22"/>
      <c r="SPH145" s="22"/>
      <c r="SPI145" s="22"/>
      <c r="SPJ145" s="22"/>
      <c r="SPK145" s="22"/>
      <c r="SPL145" s="22"/>
      <c r="SPM145" s="22"/>
      <c r="SPN145" s="22"/>
      <c r="SPO145" s="22"/>
      <c r="SPP145" s="22"/>
      <c r="SPQ145" s="22"/>
      <c r="SPR145" s="22"/>
      <c r="SPS145" s="22"/>
      <c r="SPT145" s="22"/>
      <c r="SPU145" s="22"/>
      <c r="SPV145" s="22"/>
      <c r="SPW145" s="22"/>
      <c r="SPX145" s="22"/>
      <c r="SPY145" s="22"/>
      <c r="SPZ145" s="22"/>
      <c r="SQA145" s="22"/>
      <c r="SQB145" s="22"/>
      <c r="SQC145" s="22"/>
      <c r="SQD145" s="22"/>
      <c r="SQE145" s="22"/>
      <c r="SQF145" s="22"/>
      <c r="SQG145" s="22"/>
      <c r="SQH145" s="22"/>
      <c r="SQI145" s="22"/>
      <c r="SQJ145" s="22"/>
      <c r="SQK145" s="22"/>
      <c r="SQL145" s="22"/>
      <c r="SQM145" s="22"/>
      <c r="SQN145" s="22"/>
      <c r="SQO145" s="22"/>
      <c r="SQP145" s="22"/>
      <c r="SQQ145" s="22"/>
      <c r="SQR145" s="22"/>
      <c r="SQS145" s="22"/>
      <c r="SQT145" s="22"/>
      <c r="SQU145" s="22"/>
      <c r="SQV145" s="22"/>
      <c r="SQW145" s="22"/>
      <c r="SQX145" s="22"/>
      <c r="SQY145" s="22"/>
      <c r="SQZ145" s="22"/>
      <c r="SRA145" s="22"/>
      <c r="SRB145" s="22"/>
      <c r="SRC145" s="22"/>
      <c r="SRD145" s="22"/>
      <c r="SRE145" s="22"/>
      <c r="SRF145" s="22"/>
      <c r="SRG145" s="22"/>
      <c r="SRH145" s="22"/>
      <c r="SRI145" s="22"/>
      <c r="SRJ145" s="22"/>
      <c r="SRK145" s="22"/>
      <c r="SRL145" s="22"/>
      <c r="SRM145" s="22"/>
      <c r="SRN145" s="22"/>
      <c r="SRO145" s="22"/>
      <c r="SRP145" s="22"/>
      <c r="SRQ145" s="22"/>
      <c r="SRR145" s="22"/>
      <c r="SRS145" s="22"/>
      <c r="SRT145" s="22"/>
      <c r="SRU145" s="22"/>
      <c r="SRV145" s="22"/>
      <c r="SRW145" s="22"/>
      <c r="SRX145" s="22"/>
      <c r="SRY145" s="22"/>
      <c r="SRZ145" s="22"/>
      <c r="SSA145" s="22"/>
      <c r="SSB145" s="22"/>
      <c r="SSC145" s="22"/>
      <c r="SSD145" s="22"/>
      <c r="SSE145" s="22"/>
      <c r="SSF145" s="22"/>
      <c r="SSG145" s="22"/>
      <c r="SSH145" s="22"/>
      <c r="SSI145" s="22"/>
      <c r="SSJ145" s="22"/>
      <c r="SSK145" s="22"/>
      <c r="SSL145" s="22"/>
      <c r="SSM145" s="22"/>
      <c r="SSN145" s="22"/>
      <c r="SSO145" s="22"/>
      <c r="SSP145" s="22"/>
      <c r="SSQ145" s="22"/>
      <c r="SSR145" s="22"/>
      <c r="SSS145" s="22"/>
      <c r="SST145" s="22"/>
      <c r="SSU145" s="22"/>
      <c r="SSV145" s="22"/>
      <c r="SSW145" s="22"/>
      <c r="SSX145" s="22"/>
      <c r="SSY145" s="22"/>
      <c r="SSZ145" s="22"/>
      <c r="STA145" s="22"/>
      <c r="STB145" s="22"/>
      <c r="STC145" s="22"/>
      <c r="STD145" s="22"/>
      <c r="STE145" s="22"/>
      <c r="STF145" s="22"/>
      <c r="STG145" s="22"/>
      <c r="STH145" s="22"/>
      <c r="STI145" s="22"/>
      <c r="STJ145" s="22"/>
      <c r="STK145" s="22"/>
      <c r="STL145" s="22"/>
      <c r="STM145" s="22"/>
      <c r="STN145" s="22"/>
      <c r="STO145" s="22"/>
      <c r="STP145" s="22"/>
      <c r="STQ145" s="22"/>
      <c r="STR145" s="22"/>
      <c r="STS145" s="22"/>
      <c r="STT145" s="22"/>
      <c r="STU145" s="22"/>
      <c r="STV145" s="22"/>
      <c r="STW145" s="22"/>
      <c r="STX145" s="22"/>
      <c r="STY145" s="22"/>
      <c r="STZ145" s="22"/>
      <c r="SUA145" s="22"/>
      <c r="SUB145" s="22"/>
      <c r="SUC145" s="22"/>
      <c r="SUD145" s="22"/>
      <c r="SUE145" s="22"/>
      <c r="SUF145" s="22"/>
      <c r="SUG145" s="22"/>
      <c r="SUH145" s="22"/>
      <c r="SUI145" s="22"/>
      <c r="SUJ145" s="22"/>
      <c r="SUK145" s="22"/>
      <c r="SUL145" s="22"/>
      <c r="SUM145" s="22"/>
      <c r="SUN145" s="22"/>
      <c r="SUO145" s="22"/>
      <c r="SUP145" s="22"/>
      <c r="SUQ145" s="22"/>
      <c r="SUR145" s="22"/>
      <c r="SUS145" s="22"/>
      <c r="SUT145" s="22"/>
      <c r="SUU145" s="22"/>
      <c r="SUV145" s="22"/>
      <c r="SUW145" s="22"/>
      <c r="SUX145" s="22"/>
      <c r="SUY145" s="22"/>
      <c r="SUZ145" s="22"/>
      <c r="SVA145" s="22"/>
      <c r="SVB145" s="22"/>
      <c r="SVC145" s="22"/>
      <c r="SVD145" s="22"/>
      <c r="SVE145" s="22"/>
      <c r="SVF145" s="22"/>
      <c r="SVG145" s="22"/>
      <c r="SVH145" s="22"/>
      <c r="SVI145" s="22"/>
      <c r="SVJ145" s="22"/>
      <c r="SVK145" s="22"/>
      <c r="SVL145" s="22"/>
      <c r="SVM145" s="22"/>
      <c r="SVN145" s="22"/>
      <c r="SVO145" s="22"/>
      <c r="SVP145" s="22"/>
      <c r="SVQ145" s="22"/>
      <c r="SVR145" s="22"/>
      <c r="SVS145" s="22"/>
      <c r="SVT145" s="22"/>
      <c r="SVU145" s="22"/>
      <c r="SVV145" s="22"/>
      <c r="SVW145" s="22"/>
      <c r="SVX145" s="22"/>
      <c r="SVY145" s="22"/>
      <c r="SVZ145" s="22"/>
      <c r="SWA145" s="22"/>
      <c r="SWB145" s="22"/>
      <c r="SWC145" s="22"/>
      <c r="SWD145" s="22"/>
      <c r="SWE145" s="22"/>
      <c r="SWF145" s="22"/>
      <c r="SWG145" s="22"/>
      <c r="SWH145" s="22"/>
      <c r="SWI145" s="22"/>
      <c r="SWJ145" s="22"/>
      <c r="SWK145" s="22"/>
      <c r="SWL145" s="22"/>
      <c r="SWM145" s="22"/>
      <c r="SWN145" s="22"/>
      <c r="SWO145" s="22"/>
      <c r="SWP145" s="22"/>
      <c r="SWQ145" s="22"/>
      <c r="SWR145" s="22"/>
      <c r="SWS145" s="22"/>
      <c r="SWT145" s="22"/>
      <c r="SWU145" s="22"/>
      <c r="SWV145" s="22"/>
      <c r="SWW145" s="22"/>
      <c r="SWX145" s="22"/>
      <c r="SWY145" s="22"/>
      <c r="SWZ145" s="22"/>
      <c r="SXA145" s="22"/>
      <c r="SXB145" s="22"/>
      <c r="SXC145" s="22"/>
      <c r="SXD145" s="22"/>
      <c r="SXE145" s="22"/>
      <c r="SXF145" s="22"/>
      <c r="SXG145" s="22"/>
      <c r="SXH145" s="22"/>
      <c r="SXI145" s="22"/>
      <c r="SXJ145" s="22"/>
      <c r="SXK145" s="22"/>
      <c r="SXL145" s="22"/>
      <c r="SXM145" s="22"/>
      <c r="SXN145" s="22"/>
      <c r="SXO145" s="22"/>
      <c r="SXP145" s="22"/>
      <c r="SXQ145" s="22"/>
      <c r="SXR145" s="22"/>
      <c r="SXS145" s="22"/>
      <c r="SXT145" s="22"/>
      <c r="SXU145" s="22"/>
      <c r="SXV145" s="22"/>
      <c r="SXW145" s="22"/>
      <c r="SXX145" s="22"/>
      <c r="SXY145" s="22"/>
      <c r="SXZ145" s="22"/>
      <c r="SYA145" s="22"/>
      <c r="SYB145" s="22"/>
      <c r="SYC145" s="22"/>
      <c r="SYD145" s="22"/>
      <c r="SYE145" s="22"/>
      <c r="SYF145" s="22"/>
      <c r="SYG145" s="22"/>
      <c r="SYH145" s="22"/>
      <c r="SYI145" s="22"/>
      <c r="SYJ145" s="22"/>
      <c r="SYK145" s="22"/>
      <c r="SYL145" s="22"/>
      <c r="SYM145" s="22"/>
      <c r="SYN145" s="22"/>
      <c r="SYO145" s="22"/>
      <c r="SYP145" s="22"/>
      <c r="SYQ145" s="22"/>
      <c r="SYR145" s="22"/>
      <c r="SYS145" s="22"/>
      <c r="SYT145" s="22"/>
      <c r="SYU145" s="22"/>
      <c r="SYV145" s="22"/>
      <c r="SYW145" s="22"/>
      <c r="SYX145" s="22"/>
      <c r="SYY145" s="22"/>
      <c r="SYZ145" s="22"/>
      <c r="SZA145" s="22"/>
      <c r="SZB145" s="22"/>
      <c r="SZC145" s="22"/>
      <c r="SZD145" s="22"/>
      <c r="SZE145" s="22"/>
      <c r="SZF145" s="22"/>
      <c r="SZG145" s="22"/>
      <c r="SZH145" s="22"/>
      <c r="SZI145" s="22"/>
      <c r="SZJ145" s="22"/>
      <c r="SZK145" s="22"/>
      <c r="SZL145" s="22"/>
      <c r="SZM145" s="22"/>
      <c r="SZN145" s="22"/>
      <c r="SZO145" s="22"/>
      <c r="SZP145" s="22"/>
      <c r="SZQ145" s="22"/>
      <c r="SZR145" s="22"/>
      <c r="SZS145" s="22"/>
      <c r="SZT145" s="22"/>
      <c r="SZU145" s="22"/>
      <c r="SZV145" s="22"/>
      <c r="SZW145" s="22"/>
      <c r="SZX145" s="22"/>
      <c r="SZY145" s="22"/>
      <c r="SZZ145" s="22"/>
      <c r="TAA145" s="22"/>
      <c r="TAB145" s="22"/>
      <c r="TAC145" s="22"/>
      <c r="TAD145" s="22"/>
      <c r="TAE145" s="22"/>
      <c r="TAF145" s="22"/>
      <c r="TAG145" s="22"/>
      <c r="TAH145" s="22"/>
      <c r="TAI145" s="22"/>
      <c r="TAJ145" s="22"/>
      <c r="TAK145" s="22"/>
      <c r="TAL145" s="22"/>
      <c r="TAM145" s="22"/>
      <c r="TAN145" s="22"/>
      <c r="TAO145" s="22"/>
      <c r="TAP145" s="22"/>
      <c r="TAQ145" s="22"/>
      <c r="TAR145" s="22"/>
      <c r="TAS145" s="22"/>
      <c r="TAT145" s="22"/>
      <c r="TAU145" s="22"/>
      <c r="TAV145" s="22"/>
      <c r="TAW145" s="22"/>
      <c r="TAX145" s="22"/>
      <c r="TAY145" s="22"/>
      <c r="TAZ145" s="22"/>
      <c r="TBA145" s="22"/>
      <c r="TBB145" s="22"/>
      <c r="TBC145" s="22"/>
      <c r="TBD145" s="22"/>
      <c r="TBE145" s="22"/>
      <c r="TBF145" s="22"/>
      <c r="TBG145" s="22"/>
      <c r="TBH145" s="22"/>
      <c r="TBI145" s="22"/>
      <c r="TBJ145" s="22"/>
      <c r="TBK145" s="22"/>
      <c r="TBL145" s="22"/>
      <c r="TBM145" s="22"/>
      <c r="TBN145" s="22"/>
      <c r="TBO145" s="22"/>
      <c r="TBP145" s="22"/>
      <c r="TBQ145" s="22"/>
      <c r="TBR145" s="22"/>
      <c r="TBS145" s="22"/>
      <c r="TBT145" s="22"/>
      <c r="TBU145" s="22"/>
      <c r="TBV145" s="22"/>
      <c r="TBW145" s="22"/>
      <c r="TBX145" s="22"/>
      <c r="TBY145" s="22"/>
      <c r="TBZ145" s="22"/>
      <c r="TCA145" s="22"/>
      <c r="TCB145" s="22"/>
      <c r="TCC145" s="22"/>
      <c r="TCD145" s="22"/>
      <c r="TCE145" s="22"/>
      <c r="TCF145" s="22"/>
      <c r="TCG145" s="22"/>
      <c r="TCH145" s="22"/>
      <c r="TCI145" s="22"/>
      <c r="TCJ145" s="22"/>
      <c r="TCK145" s="22"/>
      <c r="TCL145" s="22"/>
      <c r="TCM145" s="22"/>
      <c r="TCN145" s="22"/>
      <c r="TCO145" s="22"/>
      <c r="TCP145" s="22"/>
      <c r="TCQ145" s="22"/>
      <c r="TCR145" s="22"/>
      <c r="TCS145" s="22"/>
      <c r="TCT145" s="22"/>
      <c r="TCU145" s="22"/>
      <c r="TCV145" s="22"/>
      <c r="TCW145" s="22"/>
      <c r="TCX145" s="22"/>
      <c r="TCY145" s="22"/>
      <c r="TCZ145" s="22"/>
      <c r="TDA145" s="22"/>
      <c r="TDB145" s="22"/>
      <c r="TDC145" s="22"/>
      <c r="TDD145" s="22"/>
      <c r="TDE145" s="22"/>
      <c r="TDF145" s="22"/>
      <c r="TDG145" s="22"/>
      <c r="TDH145" s="22"/>
      <c r="TDI145" s="22"/>
      <c r="TDJ145" s="22"/>
      <c r="TDK145" s="22"/>
      <c r="TDL145" s="22"/>
      <c r="TDM145" s="22"/>
      <c r="TDN145" s="22"/>
      <c r="TDO145" s="22"/>
      <c r="TDP145" s="22"/>
      <c r="TDQ145" s="22"/>
      <c r="TDR145" s="22"/>
      <c r="TDS145" s="22"/>
      <c r="TDT145" s="22"/>
      <c r="TDU145" s="22"/>
      <c r="TDV145" s="22"/>
      <c r="TDW145" s="22"/>
      <c r="TDX145" s="22"/>
      <c r="TDY145" s="22"/>
      <c r="TDZ145" s="22"/>
      <c r="TEA145" s="22"/>
      <c r="TEB145" s="22"/>
      <c r="TEC145" s="22"/>
      <c r="TED145" s="22"/>
      <c r="TEE145" s="22"/>
      <c r="TEF145" s="22"/>
      <c r="TEG145" s="22"/>
      <c r="TEH145" s="22"/>
      <c r="TEI145" s="22"/>
      <c r="TEJ145" s="22"/>
      <c r="TEK145" s="22"/>
      <c r="TEL145" s="22"/>
      <c r="TEM145" s="22"/>
      <c r="TEN145" s="22"/>
      <c r="TEO145" s="22"/>
      <c r="TEP145" s="22"/>
      <c r="TEQ145" s="22"/>
      <c r="TER145" s="22"/>
      <c r="TES145" s="22"/>
      <c r="TET145" s="22"/>
      <c r="TEU145" s="22"/>
      <c r="TEV145" s="22"/>
      <c r="TEW145" s="22"/>
      <c r="TEX145" s="22"/>
      <c r="TEY145" s="22"/>
      <c r="TEZ145" s="22"/>
      <c r="TFA145" s="22"/>
      <c r="TFB145" s="22"/>
      <c r="TFC145" s="22"/>
      <c r="TFD145" s="22"/>
      <c r="TFE145" s="22"/>
      <c r="TFF145" s="22"/>
      <c r="TFG145" s="22"/>
      <c r="TFH145" s="22"/>
      <c r="TFI145" s="22"/>
      <c r="TFJ145" s="22"/>
      <c r="TFK145" s="22"/>
      <c r="TFL145" s="22"/>
      <c r="TFM145" s="22"/>
      <c r="TFN145" s="22"/>
      <c r="TFO145" s="22"/>
      <c r="TFP145" s="22"/>
      <c r="TFQ145" s="22"/>
      <c r="TFR145" s="22"/>
      <c r="TFS145" s="22"/>
      <c r="TFT145" s="22"/>
      <c r="TFU145" s="22"/>
      <c r="TFV145" s="22"/>
      <c r="TFW145" s="22"/>
      <c r="TFX145" s="22"/>
      <c r="TFY145" s="22"/>
      <c r="TFZ145" s="22"/>
      <c r="TGA145" s="22"/>
      <c r="TGB145" s="22"/>
      <c r="TGC145" s="22"/>
      <c r="TGD145" s="22"/>
      <c r="TGE145" s="22"/>
      <c r="TGF145" s="22"/>
      <c r="TGG145" s="22"/>
      <c r="TGH145" s="22"/>
      <c r="TGI145" s="22"/>
      <c r="TGJ145" s="22"/>
      <c r="TGK145" s="22"/>
      <c r="TGL145" s="22"/>
      <c r="TGM145" s="22"/>
      <c r="TGN145" s="22"/>
      <c r="TGO145" s="22"/>
      <c r="TGP145" s="22"/>
      <c r="TGQ145" s="22"/>
      <c r="TGR145" s="22"/>
      <c r="TGS145" s="22"/>
      <c r="TGT145" s="22"/>
      <c r="TGU145" s="22"/>
      <c r="TGV145" s="22"/>
      <c r="TGW145" s="22"/>
      <c r="TGX145" s="22"/>
      <c r="TGY145" s="22"/>
      <c r="TGZ145" s="22"/>
      <c r="THA145" s="22"/>
      <c r="THB145" s="22"/>
      <c r="THC145" s="22"/>
      <c r="THD145" s="22"/>
      <c r="THE145" s="22"/>
      <c r="THF145" s="22"/>
      <c r="THG145" s="22"/>
      <c r="THH145" s="22"/>
      <c r="THI145" s="22"/>
      <c r="THJ145" s="22"/>
      <c r="THK145" s="22"/>
      <c r="THL145" s="22"/>
      <c r="THM145" s="22"/>
      <c r="THN145" s="22"/>
      <c r="THO145" s="22"/>
      <c r="THP145" s="22"/>
      <c r="THQ145" s="22"/>
      <c r="THR145" s="22"/>
      <c r="THS145" s="22"/>
      <c r="THT145" s="22"/>
      <c r="THU145" s="22"/>
      <c r="THV145" s="22"/>
      <c r="THW145" s="22"/>
      <c r="THX145" s="22"/>
      <c r="THY145" s="22"/>
      <c r="THZ145" s="22"/>
      <c r="TIA145" s="22"/>
      <c r="TIB145" s="22"/>
      <c r="TIC145" s="22"/>
      <c r="TID145" s="22"/>
      <c r="TIE145" s="22"/>
      <c r="TIF145" s="22"/>
      <c r="TIG145" s="22"/>
      <c r="TIH145" s="22"/>
      <c r="TII145" s="22"/>
      <c r="TIJ145" s="22"/>
      <c r="TIK145" s="22"/>
      <c r="TIL145" s="22"/>
      <c r="TIM145" s="22"/>
      <c r="TIN145" s="22"/>
      <c r="TIO145" s="22"/>
      <c r="TIP145" s="22"/>
      <c r="TIQ145" s="22"/>
      <c r="TIR145" s="22"/>
      <c r="TIS145" s="22"/>
      <c r="TIT145" s="22"/>
      <c r="TIU145" s="22"/>
      <c r="TIV145" s="22"/>
      <c r="TIW145" s="22"/>
      <c r="TIX145" s="22"/>
      <c r="TIY145" s="22"/>
      <c r="TIZ145" s="22"/>
      <c r="TJA145" s="22"/>
      <c r="TJB145" s="22"/>
      <c r="TJC145" s="22"/>
      <c r="TJD145" s="22"/>
      <c r="TJE145" s="22"/>
      <c r="TJF145" s="22"/>
      <c r="TJG145" s="22"/>
      <c r="TJH145" s="22"/>
      <c r="TJI145" s="22"/>
      <c r="TJJ145" s="22"/>
      <c r="TJK145" s="22"/>
      <c r="TJL145" s="22"/>
      <c r="TJM145" s="22"/>
      <c r="TJN145" s="22"/>
      <c r="TJO145" s="22"/>
      <c r="TJP145" s="22"/>
      <c r="TJQ145" s="22"/>
      <c r="TJR145" s="22"/>
      <c r="TJS145" s="22"/>
      <c r="TJT145" s="22"/>
      <c r="TJU145" s="22"/>
      <c r="TJV145" s="22"/>
      <c r="TJW145" s="22"/>
      <c r="TJX145" s="22"/>
      <c r="TJY145" s="22"/>
      <c r="TJZ145" s="22"/>
      <c r="TKA145" s="22"/>
      <c r="TKB145" s="22"/>
      <c r="TKC145" s="22"/>
      <c r="TKD145" s="22"/>
      <c r="TKE145" s="22"/>
      <c r="TKF145" s="22"/>
      <c r="TKG145" s="22"/>
      <c r="TKH145" s="22"/>
      <c r="TKI145" s="22"/>
      <c r="TKJ145" s="22"/>
      <c r="TKK145" s="22"/>
      <c r="TKL145" s="22"/>
      <c r="TKM145" s="22"/>
      <c r="TKN145" s="22"/>
      <c r="TKO145" s="22"/>
      <c r="TKP145" s="22"/>
      <c r="TKQ145" s="22"/>
      <c r="TKR145" s="22"/>
      <c r="TKS145" s="22"/>
      <c r="TKT145" s="22"/>
      <c r="TKU145" s="22"/>
      <c r="TKV145" s="22"/>
      <c r="TKW145" s="22"/>
      <c r="TKX145" s="22"/>
      <c r="TKY145" s="22"/>
      <c r="TKZ145" s="22"/>
      <c r="TLA145" s="22"/>
      <c r="TLB145" s="22"/>
      <c r="TLC145" s="22"/>
      <c r="TLD145" s="22"/>
      <c r="TLE145" s="22"/>
      <c r="TLF145" s="22"/>
      <c r="TLG145" s="22"/>
      <c r="TLH145" s="22"/>
      <c r="TLI145" s="22"/>
      <c r="TLJ145" s="22"/>
      <c r="TLK145" s="22"/>
      <c r="TLL145" s="22"/>
      <c r="TLM145" s="22"/>
      <c r="TLN145" s="22"/>
      <c r="TLO145" s="22"/>
      <c r="TLP145" s="22"/>
      <c r="TLQ145" s="22"/>
      <c r="TLR145" s="22"/>
      <c r="TLS145" s="22"/>
      <c r="TLT145" s="22"/>
      <c r="TLU145" s="22"/>
      <c r="TLV145" s="22"/>
      <c r="TLW145" s="22"/>
      <c r="TLX145" s="22"/>
      <c r="TLY145" s="22"/>
      <c r="TLZ145" s="22"/>
      <c r="TMA145" s="22"/>
      <c r="TMB145" s="22"/>
      <c r="TMC145" s="22"/>
      <c r="TMD145" s="22"/>
      <c r="TME145" s="22"/>
      <c r="TMF145" s="22"/>
      <c r="TMG145" s="22"/>
      <c r="TMH145" s="22"/>
      <c r="TMI145" s="22"/>
      <c r="TMJ145" s="22"/>
      <c r="TMK145" s="22"/>
      <c r="TML145" s="22"/>
      <c r="TMM145" s="22"/>
      <c r="TMN145" s="22"/>
      <c r="TMO145" s="22"/>
      <c r="TMP145" s="22"/>
      <c r="TMQ145" s="22"/>
      <c r="TMR145" s="22"/>
      <c r="TMS145" s="22"/>
      <c r="TMT145" s="22"/>
      <c r="TMU145" s="22"/>
      <c r="TMV145" s="22"/>
      <c r="TMW145" s="22"/>
      <c r="TMX145" s="22"/>
      <c r="TMY145" s="22"/>
      <c r="TMZ145" s="22"/>
      <c r="TNA145" s="22"/>
      <c r="TNB145" s="22"/>
      <c r="TNC145" s="22"/>
      <c r="TND145" s="22"/>
      <c r="TNE145" s="22"/>
      <c r="TNF145" s="22"/>
      <c r="TNG145" s="22"/>
      <c r="TNH145" s="22"/>
      <c r="TNI145" s="22"/>
      <c r="TNJ145" s="22"/>
      <c r="TNK145" s="22"/>
      <c r="TNL145" s="22"/>
      <c r="TNM145" s="22"/>
      <c r="TNN145" s="22"/>
      <c r="TNO145" s="22"/>
      <c r="TNP145" s="22"/>
      <c r="TNQ145" s="22"/>
      <c r="TNR145" s="22"/>
      <c r="TNS145" s="22"/>
      <c r="TNT145" s="22"/>
      <c r="TNU145" s="22"/>
      <c r="TNV145" s="22"/>
      <c r="TNW145" s="22"/>
      <c r="TNX145" s="22"/>
      <c r="TNY145" s="22"/>
      <c r="TNZ145" s="22"/>
      <c r="TOA145" s="22"/>
      <c r="TOB145" s="22"/>
      <c r="TOC145" s="22"/>
      <c r="TOD145" s="22"/>
      <c r="TOE145" s="22"/>
      <c r="TOF145" s="22"/>
      <c r="TOG145" s="22"/>
      <c r="TOH145" s="22"/>
      <c r="TOI145" s="22"/>
      <c r="TOJ145" s="22"/>
      <c r="TOK145" s="22"/>
      <c r="TOL145" s="22"/>
      <c r="TOM145" s="22"/>
      <c r="TON145" s="22"/>
      <c r="TOO145" s="22"/>
      <c r="TOP145" s="22"/>
      <c r="TOQ145" s="22"/>
      <c r="TOR145" s="22"/>
      <c r="TOS145" s="22"/>
      <c r="TOT145" s="22"/>
      <c r="TOU145" s="22"/>
      <c r="TOV145" s="22"/>
      <c r="TOW145" s="22"/>
      <c r="TOX145" s="22"/>
      <c r="TOY145" s="22"/>
      <c r="TOZ145" s="22"/>
      <c r="TPA145" s="22"/>
      <c r="TPB145" s="22"/>
      <c r="TPC145" s="22"/>
      <c r="TPD145" s="22"/>
      <c r="TPE145" s="22"/>
      <c r="TPF145" s="22"/>
      <c r="TPG145" s="22"/>
      <c r="TPH145" s="22"/>
      <c r="TPI145" s="22"/>
      <c r="TPJ145" s="22"/>
      <c r="TPK145" s="22"/>
      <c r="TPL145" s="22"/>
      <c r="TPM145" s="22"/>
      <c r="TPN145" s="22"/>
      <c r="TPO145" s="22"/>
      <c r="TPP145" s="22"/>
      <c r="TPQ145" s="22"/>
      <c r="TPR145" s="22"/>
      <c r="TPS145" s="22"/>
      <c r="TPT145" s="22"/>
      <c r="TPU145" s="22"/>
      <c r="TPV145" s="22"/>
      <c r="TPW145" s="22"/>
      <c r="TPX145" s="22"/>
      <c r="TPY145" s="22"/>
      <c r="TPZ145" s="22"/>
      <c r="TQA145" s="22"/>
      <c r="TQB145" s="22"/>
      <c r="TQC145" s="22"/>
      <c r="TQD145" s="22"/>
      <c r="TQE145" s="22"/>
      <c r="TQF145" s="22"/>
      <c r="TQG145" s="22"/>
      <c r="TQH145" s="22"/>
      <c r="TQI145" s="22"/>
      <c r="TQJ145" s="22"/>
      <c r="TQK145" s="22"/>
      <c r="TQL145" s="22"/>
      <c r="TQM145" s="22"/>
      <c r="TQN145" s="22"/>
      <c r="TQO145" s="22"/>
      <c r="TQP145" s="22"/>
      <c r="TQQ145" s="22"/>
      <c r="TQR145" s="22"/>
      <c r="TQS145" s="22"/>
      <c r="TQT145" s="22"/>
      <c r="TQU145" s="22"/>
      <c r="TQV145" s="22"/>
      <c r="TQW145" s="22"/>
      <c r="TQX145" s="22"/>
      <c r="TQY145" s="22"/>
      <c r="TQZ145" s="22"/>
      <c r="TRA145" s="22"/>
      <c r="TRB145" s="22"/>
      <c r="TRC145" s="22"/>
      <c r="TRD145" s="22"/>
      <c r="TRE145" s="22"/>
      <c r="TRF145" s="22"/>
      <c r="TRG145" s="22"/>
      <c r="TRH145" s="22"/>
      <c r="TRI145" s="22"/>
      <c r="TRJ145" s="22"/>
      <c r="TRK145" s="22"/>
      <c r="TRL145" s="22"/>
      <c r="TRM145" s="22"/>
      <c r="TRN145" s="22"/>
      <c r="TRO145" s="22"/>
      <c r="TRP145" s="22"/>
      <c r="TRQ145" s="22"/>
      <c r="TRR145" s="22"/>
      <c r="TRS145" s="22"/>
      <c r="TRT145" s="22"/>
      <c r="TRU145" s="22"/>
      <c r="TRV145" s="22"/>
      <c r="TRW145" s="22"/>
      <c r="TRX145" s="22"/>
      <c r="TRY145" s="22"/>
      <c r="TRZ145" s="22"/>
      <c r="TSA145" s="22"/>
      <c r="TSB145" s="22"/>
      <c r="TSC145" s="22"/>
      <c r="TSD145" s="22"/>
      <c r="TSE145" s="22"/>
      <c r="TSF145" s="22"/>
      <c r="TSG145" s="22"/>
      <c r="TSH145" s="22"/>
      <c r="TSI145" s="22"/>
      <c r="TSJ145" s="22"/>
      <c r="TSK145" s="22"/>
      <c r="TSL145" s="22"/>
      <c r="TSM145" s="22"/>
      <c r="TSN145" s="22"/>
      <c r="TSO145" s="22"/>
      <c r="TSP145" s="22"/>
      <c r="TSQ145" s="22"/>
      <c r="TSR145" s="22"/>
      <c r="TSS145" s="22"/>
      <c r="TST145" s="22"/>
      <c r="TSU145" s="22"/>
      <c r="TSV145" s="22"/>
      <c r="TSW145" s="22"/>
      <c r="TSX145" s="22"/>
      <c r="TSY145" s="22"/>
      <c r="TSZ145" s="22"/>
      <c r="TTA145" s="22"/>
      <c r="TTB145" s="22"/>
      <c r="TTC145" s="22"/>
      <c r="TTD145" s="22"/>
      <c r="TTE145" s="22"/>
      <c r="TTF145" s="22"/>
      <c r="TTG145" s="22"/>
      <c r="TTH145" s="22"/>
      <c r="TTI145" s="22"/>
      <c r="TTJ145" s="22"/>
      <c r="TTK145" s="22"/>
      <c r="TTL145" s="22"/>
      <c r="TTM145" s="22"/>
      <c r="TTN145" s="22"/>
      <c r="TTO145" s="22"/>
      <c r="TTP145" s="22"/>
      <c r="TTQ145" s="22"/>
      <c r="TTR145" s="22"/>
      <c r="TTS145" s="22"/>
      <c r="TTT145" s="22"/>
      <c r="TTU145" s="22"/>
      <c r="TTV145" s="22"/>
      <c r="TTW145" s="22"/>
      <c r="TTX145" s="22"/>
      <c r="TTY145" s="22"/>
      <c r="TTZ145" s="22"/>
      <c r="TUA145" s="22"/>
      <c r="TUB145" s="22"/>
      <c r="TUC145" s="22"/>
      <c r="TUD145" s="22"/>
      <c r="TUE145" s="22"/>
      <c r="TUF145" s="22"/>
      <c r="TUG145" s="22"/>
      <c r="TUH145" s="22"/>
      <c r="TUI145" s="22"/>
      <c r="TUJ145" s="22"/>
      <c r="TUK145" s="22"/>
      <c r="TUL145" s="22"/>
      <c r="TUM145" s="22"/>
      <c r="TUN145" s="22"/>
      <c r="TUO145" s="22"/>
      <c r="TUP145" s="22"/>
      <c r="TUQ145" s="22"/>
      <c r="TUR145" s="22"/>
      <c r="TUS145" s="22"/>
      <c r="TUT145" s="22"/>
      <c r="TUU145" s="22"/>
      <c r="TUV145" s="22"/>
      <c r="TUW145" s="22"/>
      <c r="TUX145" s="22"/>
      <c r="TUY145" s="22"/>
      <c r="TUZ145" s="22"/>
      <c r="TVA145" s="22"/>
      <c r="TVB145" s="22"/>
      <c r="TVC145" s="22"/>
      <c r="TVD145" s="22"/>
      <c r="TVE145" s="22"/>
      <c r="TVF145" s="22"/>
      <c r="TVG145" s="22"/>
      <c r="TVH145" s="22"/>
      <c r="TVI145" s="22"/>
      <c r="TVJ145" s="22"/>
      <c r="TVK145" s="22"/>
      <c r="TVL145" s="22"/>
      <c r="TVM145" s="22"/>
      <c r="TVN145" s="22"/>
      <c r="TVO145" s="22"/>
      <c r="TVP145" s="22"/>
      <c r="TVQ145" s="22"/>
      <c r="TVR145" s="22"/>
      <c r="TVS145" s="22"/>
      <c r="TVT145" s="22"/>
      <c r="TVU145" s="22"/>
      <c r="TVV145" s="22"/>
      <c r="TVW145" s="22"/>
      <c r="TVX145" s="22"/>
      <c r="TVY145" s="22"/>
      <c r="TVZ145" s="22"/>
      <c r="TWA145" s="22"/>
      <c r="TWB145" s="22"/>
      <c r="TWC145" s="22"/>
      <c r="TWD145" s="22"/>
      <c r="TWE145" s="22"/>
      <c r="TWF145" s="22"/>
      <c r="TWG145" s="22"/>
      <c r="TWH145" s="22"/>
      <c r="TWI145" s="22"/>
      <c r="TWJ145" s="22"/>
      <c r="TWK145" s="22"/>
      <c r="TWL145" s="22"/>
      <c r="TWM145" s="22"/>
      <c r="TWN145" s="22"/>
      <c r="TWO145" s="22"/>
      <c r="TWP145" s="22"/>
      <c r="TWQ145" s="22"/>
      <c r="TWR145" s="22"/>
      <c r="TWS145" s="22"/>
      <c r="TWT145" s="22"/>
      <c r="TWU145" s="22"/>
      <c r="TWV145" s="22"/>
      <c r="TWW145" s="22"/>
      <c r="TWX145" s="22"/>
      <c r="TWY145" s="22"/>
      <c r="TWZ145" s="22"/>
      <c r="TXA145" s="22"/>
      <c r="TXB145" s="22"/>
      <c r="TXC145" s="22"/>
      <c r="TXD145" s="22"/>
      <c r="TXE145" s="22"/>
      <c r="TXF145" s="22"/>
      <c r="TXG145" s="22"/>
      <c r="TXH145" s="22"/>
      <c r="TXI145" s="22"/>
      <c r="TXJ145" s="22"/>
      <c r="TXK145" s="22"/>
      <c r="TXL145" s="22"/>
      <c r="TXM145" s="22"/>
      <c r="TXN145" s="22"/>
      <c r="TXO145" s="22"/>
      <c r="TXP145" s="22"/>
      <c r="TXQ145" s="22"/>
      <c r="TXR145" s="22"/>
      <c r="TXS145" s="22"/>
      <c r="TXT145" s="22"/>
      <c r="TXU145" s="22"/>
      <c r="TXV145" s="22"/>
      <c r="TXW145" s="22"/>
      <c r="TXX145" s="22"/>
      <c r="TXY145" s="22"/>
      <c r="TXZ145" s="22"/>
      <c r="TYA145" s="22"/>
      <c r="TYB145" s="22"/>
      <c r="TYC145" s="22"/>
      <c r="TYD145" s="22"/>
      <c r="TYE145" s="22"/>
      <c r="TYF145" s="22"/>
      <c r="TYG145" s="22"/>
      <c r="TYH145" s="22"/>
      <c r="TYI145" s="22"/>
      <c r="TYJ145" s="22"/>
      <c r="TYK145" s="22"/>
      <c r="TYL145" s="22"/>
      <c r="TYM145" s="22"/>
      <c r="TYN145" s="22"/>
      <c r="TYO145" s="22"/>
      <c r="TYP145" s="22"/>
      <c r="TYQ145" s="22"/>
      <c r="TYR145" s="22"/>
      <c r="TYS145" s="22"/>
      <c r="TYT145" s="22"/>
      <c r="TYU145" s="22"/>
      <c r="TYV145" s="22"/>
      <c r="TYW145" s="22"/>
      <c r="TYX145" s="22"/>
      <c r="TYY145" s="22"/>
      <c r="TYZ145" s="22"/>
      <c r="TZA145" s="22"/>
      <c r="TZB145" s="22"/>
      <c r="TZC145" s="22"/>
      <c r="TZD145" s="22"/>
      <c r="TZE145" s="22"/>
      <c r="TZF145" s="22"/>
      <c r="TZG145" s="22"/>
      <c r="TZH145" s="22"/>
      <c r="TZI145" s="22"/>
      <c r="TZJ145" s="22"/>
      <c r="TZK145" s="22"/>
      <c r="TZL145" s="22"/>
      <c r="TZM145" s="22"/>
      <c r="TZN145" s="22"/>
      <c r="TZO145" s="22"/>
      <c r="TZP145" s="22"/>
      <c r="TZQ145" s="22"/>
      <c r="TZR145" s="22"/>
      <c r="TZS145" s="22"/>
      <c r="TZT145" s="22"/>
      <c r="TZU145" s="22"/>
      <c r="TZV145" s="22"/>
      <c r="TZW145" s="22"/>
      <c r="TZX145" s="22"/>
      <c r="TZY145" s="22"/>
      <c r="TZZ145" s="22"/>
      <c r="UAA145" s="22"/>
      <c r="UAB145" s="22"/>
      <c r="UAC145" s="22"/>
      <c r="UAD145" s="22"/>
      <c r="UAE145" s="22"/>
      <c r="UAF145" s="22"/>
      <c r="UAG145" s="22"/>
      <c r="UAH145" s="22"/>
      <c r="UAI145" s="22"/>
      <c r="UAJ145" s="22"/>
      <c r="UAK145" s="22"/>
      <c r="UAL145" s="22"/>
      <c r="UAM145" s="22"/>
      <c r="UAN145" s="22"/>
      <c r="UAO145" s="22"/>
      <c r="UAP145" s="22"/>
      <c r="UAQ145" s="22"/>
      <c r="UAR145" s="22"/>
      <c r="UAS145" s="22"/>
      <c r="UAT145" s="22"/>
      <c r="UAU145" s="22"/>
      <c r="UAV145" s="22"/>
      <c r="UAW145" s="22"/>
      <c r="UAX145" s="22"/>
      <c r="UAY145" s="22"/>
      <c r="UAZ145" s="22"/>
      <c r="UBA145" s="22"/>
      <c r="UBB145" s="22"/>
      <c r="UBC145" s="22"/>
      <c r="UBD145" s="22"/>
      <c r="UBE145" s="22"/>
      <c r="UBF145" s="22"/>
      <c r="UBG145" s="22"/>
      <c r="UBH145" s="22"/>
      <c r="UBI145" s="22"/>
      <c r="UBJ145" s="22"/>
      <c r="UBK145" s="22"/>
      <c r="UBL145" s="22"/>
      <c r="UBM145" s="22"/>
      <c r="UBN145" s="22"/>
      <c r="UBO145" s="22"/>
      <c r="UBP145" s="22"/>
      <c r="UBQ145" s="22"/>
      <c r="UBR145" s="22"/>
      <c r="UBS145" s="22"/>
      <c r="UBT145" s="22"/>
      <c r="UBU145" s="22"/>
      <c r="UBV145" s="22"/>
      <c r="UBW145" s="22"/>
      <c r="UBX145" s="22"/>
      <c r="UBY145" s="22"/>
      <c r="UBZ145" s="22"/>
      <c r="UCA145" s="22"/>
      <c r="UCB145" s="22"/>
      <c r="UCC145" s="22"/>
      <c r="UCD145" s="22"/>
      <c r="UCE145" s="22"/>
      <c r="UCF145" s="22"/>
      <c r="UCG145" s="22"/>
      <c r="UCH145" s="22"/>
      <c r="UCI145" s="22"/>
      <c r="UCJ145" s="22"/>
      <c r="UCK145" s="22"/>
      <c r="UCL145" s="22"/>
      <c r="UCM145" s="22"/>
      <c r="UCN145" s="22"/>
      <c r="UCO145" s="22"/>
      <c r="UCP145" s="22"/>
      <c r="UCQ145" s="22"/>
      <c r="UCR145" s="22"/>
      <c r="UCS145" s="22"/>
      <c r="UCT145" s="22"/>
      <c r="UCU145" s="22"/>
      <c r="UCV145" s="22"/>
      <c r="UCW145" s="22"/>
      <c r="UCX145" s="22"/>
      <c r="UCY145" s="22"/>
      <c r="UCZ145" s="22"/>
      <c r="UDA145" s="22"/>
      <c r="UDB145" s="22"/>
      <c r="UDC145" s="22"/>
      <c r="UDD145" s="22"/>
      <c r="UDE145" s="22"/>
      <c r="UDF145" s="22"/>
      <c r="UDG145" s="22"/>
      <c r="UDH145" s="22"/>
      <c r="UDI145" s="22"/>
      <c r="UDJ145" s="22"/>
      <c r="UDK145" s="22"/>
      <c r="UDL145" s="22"/>
      <c r="UDM145" s="22"/>
      <c r="UDN145" s="22"/>
      <c r="UDO145" s="22"/>
      <c r="UDP145" s="22"/>
      <c r="UDQ145" s="22"/>
      <c r="UDR145" s="22"/>
      <c r="UDS145" s="22"/>
      <c r="UDT145" s="22"/>
      <c r="UDU145" s="22"/>
      <c r="UDV145" s="22"/>
      <c r="UDW145" s="22"/>
      <c r="UDX145" s="22"/>
      <c r="UDY145" s="22"/>
      <c r="UDZ145" s="22"/>
      <c r="UEA145" s="22"/>
      <c r="UEB145" s="22"/>
      <c r="UEC145" s="22"/>
      <c r="UED145" s="22"/>
      <c r="UEE145" s="22"/>
      <c r="UEF145" s="22"/>
      <c r="UEG145" s="22"/>
      <c r="UEH145" s="22"/>
      <c r="UEI145" s="22"/>
      <c r="UEJ145" s="22"/>
      <c r="UEK145" s="22"/>
      <c r="UEL145" s="22"/>
      <c r="UEM145" s="22"/>
      <c r="UEN145" s="22"/>
      <c r="UEO145" s="22"/>
      <c r="UEP145" s="22"/>
      <c r="UEQ145" s="22"/>
      <c r="UER145" s="22"/>
      <c r="UES145" s="22"/>
      <c r="UET145" s="22"/>
      <c r="UEU145" s="22"/>
      <c r="UEV145" s="22"/>
      <c r="UEW145" s="22"/>
      <c r="UEX145" s="22"/>
      <c r="UEY145" s="22"/>
      <c r="UEZ145" s="22"/>
      <c r="UFA145" s="22"/>
      <c r="UFB145" s="22"/>
      <c r="UFC145" s="22"/>
      <c r="UFD145" s="22"/>
      <c r="UFE145" s="22"/>
      <c r="UFF145" s="22"/>
      <c r="UFG145" s="22"/>
      <c r="UFH145" s="22"/>
      <c r="UFI145" s="22"/>
      <c r="UFJ145" s="22"/>
      <c r="UFK145" s="22"/>
      <c r="UFL145" s="22"/>
      <c r="UFM145" s="22"/>
      <c r="UFN145" s="22"/>
      <c r="UFO145" s="22"/>
      <c r="UFP145" s="22"/>
      <c r="UFQ145" s="22"/>
      <c r="UFR145" s="22"/>
      <c r="UFS145" s="22"/>
      <c r="UFT145" s="22"/>
      <c r="UFU145" s="22"/>
      <c r="UFV145" s="22"/>
      <c r="UFW145" s="22"/>
      <c r="UFX145" s="22"/>
      <c r="UFY145" s="22"/>
      <c r="UFZ145" s="22"/>
      <c r="UGA145" s="22"/>
      <c r="UGB145" s="22"/>
      <c r="UGC145" s="22"/>
      <c r="UGD145" s="22"/>
      <c r="UGE145" s="22"/>
      <c r="UGF145" s="22"/>
      <c r="UGG145" s="22"/>
      <c r="UGH145" s="22"/>
      <c r="UGI145" s="22"/>
      <c r="UGJ145" s="22"/>
      <c r="UGK145" s="22"/>
      <c r="UGL145" s="22"/>
      <c r="UGM145" s="22"/>
      <c r="UGN145" s="22"/>
      <c r="UGO145" s="22"/>
      <c r="UGP145" s="22"/>
      <c r="UGQ145" s="22"/>
      <c r="UGR145" s="22"/>
      <c r="UGS145" s="22"/>
      <c r="UGT145" s="22"/>
      <c r="UGU145" s="22"/>
      <c r="UGV145" s="22"/>
      <c r="UGW145" s="22"/>
      <c r="UGX145" s="22"/>
      <c r="UGY145" s="22"/>
      <c r="UGZ145" s="22"/>
      <c r="UHA145" s="22"/>
      <c r="UHB145" s="22"/>
      <c r="UHC145" s="22"/>
      <c r="UHD145" s="22"/>
      <c r="UHE145" s="22"/>
      <c r="UHF145" s="22"/>
      <c r="UHG145" s="22"/>
      <c r="UHH145" s="22"/>
      <c r="UHI145" s="22"/>
      <c r="UHJ145" s="22"/>
      <c r="UHK145" s="22"/>
      <c r="UHL145" s="22"/>
      <c r="UHM145" s="22"/>
      <c r="UHN145" s="22"/>
      <c r="UHO145" s="22"/>
      <c r="UHP145" s="22"/>
      <c r="UHQ145" s="22"/>
      <c r="UHR145" s="22"/>
      <c r="UHS145" s="22"/>
      <c r="UHT145" s="22"/>
      <c r="UHU145" s="22"/>
      <c r="UHV145" s="22"/>
      <c r="UHW145" s="22"/>
      <c r="UHX145" s="22"/>
      <c r="UHY145" s="22"/>
      <c r="UHZ145" s="22"/>
      <c r="UIA145" s="22"/>
      <c r="UIB145" s="22"/>
      <c r="UIC145" s="22"/>
      <c r="UID145" s="22"/>
      <c r="UIE145" s="22"/>
      <c r="UIF145" s="22"/>
      <c r="UIG145" s="22"/>
      <c r="UIH145" s="22"/>
      <c r="UII145" s="22"/>
      <c r="UIJ145" s="22"/>
      <c r="UIK145" s="22"/>
      <c r="UIL145" s="22"/>
      <c r="UIM145" s="22"/>
      <c r="UIN145" s="22"/>
      <c r="UIO145" s="22"/>
      <c r="UIP145" s="22"/>
      <c r="UIQ145" s="22"/>
      <c r="UIR145" s="22"/>
      <c r="UIS145" s="22"/>
      <c r="UIT145" s="22"/>
      <c r="UIU145" s="22"/>
      <c r="UIV145" s="22"/>
      <c r="UIW145" s="22"/>
      <c r="UIX145" s="22"/>
      <c r="UIY145" s="22"/>
      <c r="UIZ145" s="22"/>
      <c r="UJA145" s="22"/>
      <c r="UJB145" s="22"/>
      <c r="UJC145" s="22"/>
      <c r="UJD145" s="22"/>
      <c r="UJE145" s="22"/>
      <c r="UJF145" s="22"/>
      <c r="UJG145" s="22"/>
      <c r="UJH145" s="22"/>
      <c r="UJI145" s="22"/>
      <c r="UJJ145" s="22"/>
      <c r="UJK145" s="22"/>
      <c r="UJL145" s="22"/>
      <c r="UJM145" s="22"/>
      <c r="UJN145" s="22"/>
      <c r="UJO145" s="22"/>
      <c r="UJP145" s="22"/>
      <c r="UJQ145" s="22"/>
      <c r="UJR145" s="22"/>
      <c r="UJS145" s="22"/>
      <c r="UJT145" s="22"/>
      <c r="UJU145" s="22"/>
      <c r="UJV145" s="22"/>
      <c r="UJW145" s="22"/>
      <c r="UJX145" s="22"/>
      <c r="UJY145" s="22"/>
      <c r="UJZ145" s="22"/>
      <c r="UKA145" s="22"/>
      <c r="UKB145" s="22"/>
      <c r="UKC145" s="22"/>
      <c r="UKD145" s="22"/>
      <c r="UKE145" s="22"/>
      <c r="UKF145" s="22"/>
      <c r="UKG145" s="22"/>
      <c r="UKH145" s="22"/>
      <c r="UKI145" s="22"/>
      <c r="UKJ145" s="22"/>
      <c r="UKK145" s="22"/>
      <c r="UKL145" s="22"/>
      <c r="UKM145" s="22"/>
      <c r="UKN145" s="22"/>
      <c r="UKO145" s="22"/>
      <c r="UKP145" s="22"/>
      <c r="UKQ145" s="22"/>
      <c r="UKR145" s="22"/>
      <c r="UKS145" s="22"/>
      <c r="UKT145" s="22"/>
      <c r="UKU145" s="22"/>
      <c r="UKV145" s="22"/>
      <c r="UKW145" s="22"/>
      <c r="UKX145" s="22"/>
      <c r="UKY145" s="22"/>
      <c r="UKZ145" s="22"/>
      <c r="ULA145" s="22"/>
      <c r="ULB145" s="22"/>
      <c r="ULC145" s="22"/>
      <c r="ULD145" s="22"/>
      <c r="ULE145" s="22"/>
      <c r="ULF145" s="22"/>
      <c r="ULG145" s="22"/>
      <c r="ULH145" s="22"/>
      <c r="ULI145" s="22"/>
      <c r="ULJ145" s="22"/>
      <c r="ULK145" s="22"/>
      <c r="ULL145" s="22"/>
      <c r="ULM145" s="22"/>
      <c r="ULN145" s="22"/>
      <c r="ULO145" s="22"/>
      <c r="ULP145" s="22"/>
      <c r="ULQ145" s="22"/>
      <c r="ULR145" s="22"/>
      <c r="ULS145" s="22"/>
      <c r="ULT145" s="22"/>
      <c r="ULU145" s="22"/>
      <c r="ULV145" s="22"/>
      <c r="ULW145" s="22"/>
      <c r="ULX145" s="22"/>
      <c r="ULY145" s="22"/>
      <c r="ULZ145" s="22"/>
      <c r="UMA145" s="22"/>
      <c r="UMB145" s="22"/>
      <c r="UMC145" s="22"/>
      <c r="UMD145" s="22"/>
      <c r="UME145" s="22"/>
      <c r="UMF145" s="22"/>
      <c r="UMG145" s="22"/>
      <c r="UMH145" s="22"/>
      <c r="UMI145" s="22"/>
      <c r="UMJ145" s="22"/>
      <c r="UMK145" s="22"/>
      <c r="UML145" s="22"/>
      <c r="UMM145" s="22"/>
      <c r="UMN145" s="22"/>
      <c r="UMO145" s="22"/>
      <c r="UMP145" s="22"/>
      <c r="UMQ145" s="22"/>
      <c r="UMR145" s="22"/>
      <c r="UMS145" s="22"/>
      <c r="UMT145" s="22"/>
      <c r="UMU145" s="22"/>
      <c r="UMV145" s="22"/>
      <c r="UMW145" s="22"/>
      <c r="UMX145" s="22"/>
      <c r="UMY145" s="22"/>
      <c r="UMZ145" s="22"/>
      <c r="UNA145" s="22"/>
      <c r="UNB145" s="22"/>
      <c r="UNC145" s="22"/>
      <c r="UND145" s="22"/>
      <c r="UNE145" s="22"/>
      <c r="UNF145" s="22"/>
      <c r="UNG145" s="22"/>
      <c r="UNH145" s="22"/>
      <c r="UNI145" s="22"/>
      <c r="UNJ145" s="22"/>
      <c r="UNK145" s="22"/>
      <c r="UNL145" s="22"/>
      <c r="UNM145" s="22"/>
      <c r="UNN145" s="22"/>
      <c r="UNO145" s="22"/>
      <c r="UNP145" s="22"/>
      <c r="UNQ145" s="22"/>
      <c r="UNR145" s="22"/>
      <c r="UNS145" s="22"/>
      <c r="UNT145" s="22"/>
      <c r="UNU145" s="22"/>
      <c r="UNV145" s="22"/>
      <c r="UNW145" s="22"/>
      <c r="UNX145" s="22"/>
      <c r="UNY145" s="22"/>
      <c r="UNZ145" s="22"/>
      <c r="UOA145" s="22"/>
      <c r="UOB145" s="22"/>
      <c r="UOC145" s="22"/>
      <c r="UOD145" s="22"/>
      <c r="UOE145" s="22"/>
      <c r="UOF145" s="22"/>
      <c r="UOG145" s="22"/>
      <c r="UOH145" s="22"/>
      <c r="UOI145" s="22"/>
      <c r="UOJ145" s="22"/>
      <c r="UOK145" s="22"/>
      <c r="UOL145" s="22"/>
      <c r="UOM145" s="22"/>
      <c r="UON145" s="22"/>
      <c r="UOO145" s="22"/>
      <c r="UOP145" s="22"/>
      <c r="UOQ145" s="22"/>
      <c r="UOR145" s="22"/>
      <c r="UOS145" s="22"/>
      <c r="UOT145" s="22"/>
      <c r="UOU145" s="22"/>
      <c r="UOV145" s="22"/>
      <c r="UOW145" s="22"/>
      <c r="UOX145" s="22"/>
      <c r="UOY145" s="22"/>
      <c r="UOZ145" s="22"/>
      <c r="UPA145" s="22"/>
      <c r="UPB145" s="22"/>
      <c r="UPC145" s="22"/>
      <c r="UPD145" s="22"/>
      <c r="UPE145" s="22"/>
      <c r="UPF145" s="22"/>
      <c r="UPG145" s="22"/>
      <c r="UPH145" s="22"/>
      <c r="UPI145" s="22"/>
      <c r="UPJ145" s="22"/>
      <c r="UPK145" s="22"/>
      <c r="UPL145" s="22"/>
      <c r="UPM145" s="22"/>
      <c r="UPN145" s="22"/>
      <c r="UPO145" s="22"/>
      <c r="UPP145" s="22"/>
      <c r="UPQ145" s="22"/>
      <c r="UPR145" s="22"/>
      <c r="UPS145" s="22"/>
      <c r="UPT145" s="22"/>
      <c r="UPU145" s="22"/>
      <c r="UPV145" s="22"/>
      <c r="UPW145" s="22"/>
      <c r="UPX145" s="22"/>
      <c r="UPY145" s="22"/>
      <c r="UPZ145" s="22"/>
      <c r="UQA145" s="22"/>
      <c r="UQB145" s="22"/>
      <c r="UQC145" s="22"/>
      <c r="UQD145" s="22"/>
      <c r="UQE145" s="22"/>
      <c r="UQF145" s="22"/>
      <c r="UQG145" s="22"/>
      <c r="UQH145" s="22"/>
      <c r="UQI145" s="22"/>
      <c r="UQJ145" s="22"/>
      <c r="UQK145" s="22"/>
      <c r="UQL145" s="22"/>
      <c r="UQM145" s="22"/>
      <c r="UQN145" s="22"/>
      <c r="UQO145" s="22"/>
      <c r="UQP145" s="22"/>
      <c r="UQQ145" s="22"/>
      <c r="UQR145" s="22"/>
      <c r="UQS145" s="22"/>
      <c r="UQT145" s="22"/>
      <c r="UQU145" s="22"/>
      <c r="UQV145" s="22"/>
      <c r="UQW145" s="22"/>
      <c r="UQX145" s="22"/>
      <c r="UQY145" s="22"/>
      <c r="UQZ145" s="22"/>
      <c r="URA145" s="22"/>
      <c r="URB145" s="22"/>
      <c r="URC145" s="22"/>
      <c r="URD145" s="22"/>
      <c r="URE145" s="22"/>
      <c r="URF145" s="22"/>
      <c r="URG145" s="22"/>
      <c r="URH145" s="22"/>
      <c r="URI145" s="22"/>
      <c r="URJ145" s="22"/>
      <c r="URK145" s="22"/>
      <c r="URL145" s="22"/>
      <c r="URM145" s="22"/>
      <c r="URN145" s="22"/>
      <c r="URO145" s="22"/>
      <c r="URP145" s="22"/>
      <c r="URQ145" s="22"/>
      <c r="URR145" s="22"/>
      <c r="URS145" s="22"/>
      <c r="URT145" s="22"/>
      <c r="URU145" s="22"/>
      <c r="URV145" s="22"/>
      <c r="URW145" s="22"/>
      <c r="URX145" s="22"/>
      <c r="URY145" s="22"/>
      <c r="URZ145" s="22"/>
      <c r="USA145" s="22"/>
      <c r="USB145" s="22"/>
      <c r="USC145" s="22"/>
      <c r="USD145" s="22"/>
      <c r="USE145" s="22"/>
      <c r="USF145" s="22"/>
      <c r="USG145" s="22"/>
      <c r="USH145" s="22"/>
      <c r="USI145" s="22"/>
      <c r="USJ145" s="22"/>
      <c r="USK145" s="22"/>
      <c r="USL145" s="22"/>
      <c r="USM145" s="22"/>
      <c r="USN145" s="22"/>
      <c r="USO145" s="22"/>
      <c r="USP145" s="22"/>
      <c r="USQ145" s="22"/>
      <c r="USR145" s="22"/>
      <c r="USS145" s="22"/>
      <c r="UST145" s="22"/>
      <c r="USU145" s="22"/>
      <c r="USV145" s="22"/>
      <c r="USW145" s="22"/>
      <c r="USX145" s="22"/>
      <c r="USY145" s="22"/>
      <c r="USZ145" s="22"/>
      <c r="UTA145" s="22"/>
      <c r="UTB145" s="22"/>
      <c r="UTC145" s="22"/>
      <c r="UTD145" s="22"/>
      <c r="UTE145" s="22"/>
      <c r="UTF145" s="22"/>
      <c r="UTG145" s="22"/>
      <c r="UTH145" s="22"/>
      <c r="UTI145" s="22"/>
      <c r="UTJ145" s="22"/>
      <c r="UTK145" s="22"/>
      <c r="UTL145" s="22"/>
      <c r="UTM145" s="22"/>
      <c r="UTN145" s="22"/>
      <c r="UTO145" s="22"/>
      <c r="UTP145" s="22"/>
      <c r="UTQ145" s="22"/>
      <c r="UTR145" s="22"/>
      <c r="UTS145" s="22"/>
      <c r="UTT145" s="22"/>
      <c r="UTU145" s="22"/>
      <c r="UTV145" s="22"/>
      <c r="UTW145" s="22"/>
      <c r="UTX145" s="22"/>
      <c r="UTY145" s="22"/>
      <c r="UTZ145" s="22"/>
      <c r="UUA145" s="22"/>
      <c r="UUB145" s="22"/>
      <c r="UUC145" s="22"/>
      <c r="UUD145" s="22"/>
      <c r="UUE145" s="22"/>
      <c r="UUF145" s="22"/>
      <c r="UUG145" s="22"/>
      <c r="UUH145" s="22"/>
      <c r="UUI145" s="22"/>
      <c r="UUJ145" s="22"/>
      <c r="UUK145" s="22"/>
      <c r="UUL145" s="22"/>
      <c r="UUM145" s="22"/>
      <c r="UUN145" s="22"/>
      <c r="UUO145" s="22"/>
      <c r="UUP145" s="22"/>
      <c r="UUQ145" s="22"/>
      <c r="UUR145" s="22"/>
      <c r="UUS145" s="22"/>
      <c r="UUT145" s="22"/>
      <c r="UUU145" s="22"/>
      <c r="UUV145" s="22"/>
      <c r="UUW145" s="22"/>
      <c r="UUX145" s="22"/>
      <c r="UUY145" s="22"/>
      <c r="UUZ145" s="22"/>
      <c r="UVA145" s="22"/>
      <c r="UVB145" s="22"/>
      <c r="UVC145" s="22"/>
      <c r="UVD145" s="22"/>
      <c r="UVE145" s="22"/>
      <c r="UVF145" s="22"/>
      <c r="UVG145" s="22"/>
      <c r="UVH145" s="22"/>
      <c r="UVI145" s="22"/>
      <c r="UVJ145" s="22"/>
      <c r="UVK145" s="22"/>
      <c r="UVL145" s="22"/>
      <c r="UVM145" s="22"/>
      <c r="UVN145" s="22"/>
      <c r="UVO145" s="22"/>
      <c r="UVP145" s="22"/>
      <c r="UVQ145" s="22"/>
      <c r="UVR145" s="22"/>
      <c r="UVS145" s="22"/>
      <c r="UVT145" s="22"/>
      <c r="UVU145" s="22"/>
      <c r="UVV145" s="22"/>
      <c r="UVW145" s="22"/>
      <c r="UVX145" s="22"/>
      <c r="UVY145" s="22"/>
      <c r="UVZ145" s="22"/>
      <c r="UWA145" s="22"/>
      <c r="UWB145" s="22"/>
      <c r="UWC145" s="22"/>
      <c r="UWD145" s="22"/>
      <c r="UWE145" s="22"/>
      <c r="UWF145" s="22"/>
      <c r="UWG145" s="22"/>
      <c r="UWH145" s="22"/>
      <c r="UWI145" s="22"/>
      <c r="UWJ145" s="22"/>
      <c r="UWK145" s="22"/>
      <c r="UWL145" s="22"/>
      <c r="UWM145" s="22"/>
      <c r="UWN145" s="22"/>
      <c r="UWO145" s="22"/>
      <c r="UWP145" s="22"/>
      <c r="UWQ145" s="22"/>
      <c r="UWR145" s="22"/>
      <c r="UWS145" s="22"/>
      <c r="UWT145" s="22"/>
      <c r="UWU145" s="22"/>
      <c r="UWV145" s="22"/>
      <c r="UWW145" s="22"/>
      <c r="UWX145" s="22"/>
      <c r="UWY145" s="22"/>
      <c r="UWZ145" s="22"/>
      <c r="UXA145" s="22"/>
      <c r="UXB145" s="22"/>
      <c r="UXC145" s="22"/>
      <c r="UXD145" s="22"/>
      <c r="UXE145" s="22"/>
      <c r="UXF145" s="22"/>
      <c r="UXG145" s="22"/>
      <c r="UXH145" s="22"/>
      <c r="UXI145" s="22"/>
      <c r="UXJ145" s="22"/>
      <c r="UXK145" s="22"/>
      <c r="UXL145" s="22"/>
      <c r="UXM145" s="22"/>
      <c r="UXN145" s="22"/>
      <c r="UXO145" s="22"/>
      <c r="UXP145" s="22"/>
      <c r="UXQ145" s="22"/>
      <c r="UXR145" s="22"/>
      <c r="UXS145" s="22"/>
      <c r="UXT145" s="22"/>
      <c r="UXU145" s="22"/>
      <c r="UXV145" s="22"/>
      <c r="UXW145" s="22"/>
      <c r="UXX145" s="22"/>
      <c r="UXY145" s="22"/>
      <c r="UXZ145" s="22"/>
      <c r="UYA145" s="22"/>
      <c r="UYB145" s="22"/>
      <c r="UYC145" s="22"/>
      <c r="UYD145" s="22"/>
      <c r="UYE145" s="22"/>
      <c r="UYF145" s="22"/>
      <c r="UYG145" s="22"/>
      <c r="UYH145" s="22"/>
      <c r="UYI145" s="22"/>
      <c r="UYJ145" s="22"/>
      <c r="UYK145" s="22"/>
      <c r="UYL145" s="22"/>
      <c r="UYM145" s="22"/>
      <c r="UYN145" s="22"/>
      <c r="UYO145" s="22"/>
      <c r="UYP145" s="22"/>
      <c r="UYQ145" s="22"/>
      <c r="UYR145" s="22"/>
      <c r="UYS145" s="22"/>
      <c r="UYT145" s="22"/>
      <c r="UYU145" s="22"/>
      <c r="UYV145" s="22"/>
      <c r="UYW145" s="22"/>
      <c r="UYX145" s="22"/>
      <c r="UYY145" s="22"/>
      <c r="UYZ145" s="22"/>
      <c r="UZA145" s="22"/>
      <c r="UZB145" s="22"/>
      <c r="UZC145" s="22"/>
      <c r="UZD145" s="22"/>
      <c r="UZE145" s="22"/>
      <c r="UZF145" s="22"/>
      <c r="UZG145" s="22"/>
      <c r="UZH145" s="22"/>
      <c r="UZI145" s="22"/>
      <c r="UZJ145" s="22"/>
      <c r="UZK145" s="22"/>
      <c r="UZL145" s="22"/>
      <c r="UZM145" s="22"/>
      <c r="UZN145" s="22"/>
      <c r="UZO145" s="22"/>
      <c r="UZP145" s="22"/>
      <c r="UZQ145" s="22"/>
      <c r="UZR145" s="22"/>
      <c r="UZS145" s="22"/>
      <c r="UZT145" s="22"/>
      <c r="UZU145" s="22"/>
      <c r="UZV145" s="22"/>
      <c r="UZW145" s="22"/>
      <c r="UZX145" s="22"/>
      <c r="UZY145" s="22"/>
      <c r="UZZ145" s="22"/>
      <c r="VAA145" s="22"/>
      <c r="VAB145" s="22"/>
      <c r="VAC145" s="22"/>
      <c r="VAD145" s="22"/>
      <c r="VAE145" s="22"/>
      <c r="VAF145" s="22"/>
      <c r="VAG145" s="22"/>
      <c r="VAH145" s="22"/>
      <c r="VAI145" s="22"/>
      <c r="VAJ145" s="22"/>
      <c r="VAK145" s="22"/>
      <c r="VAL145" s="22"/>
      <c r="VAM145" s="22"/>
      <c r="VAN145" s="22"/>
      <c r="VAO145" s="22"/>
      <c r="VAP145" s="22"/>
      <c r="VAQ145" s="22"/>
      <c r="VAR145" s="22"/>
      <c r="VAS145" s="22"/>
      <c r="VAT145" s="22"/>
      <c r="VAU145" s="22"/>
      <c r="VAV145" s="22"/>
      <c r="VAW145" s="22"/>
      <c r="VAX145" s="22"/>
      <c r="VAY145" s="22"/>
      <c r="VAZ145" s="22"/>
      <c r="VBA145" s="22"/>
      <c r="VBB145" s="22"/>
      <c r="VBC145" s="22"/>
      <c r="VBD145" s="22"/>
      <c r="VBE145" s="22"/>
      <c r="VBF145" s="22"/>
      <c r="VBG145" s="22"/>
      <c r="VBH145" s="22"/>
      <c r="VBI145" s="22"/>
      <c r="VBJ145" s="22"/>
      <c r="VBK145" s="22"/>
      <c r="VBL145" s="22"/>
      <c r="VBM145" s="22"/>
      <c r="VBN145" s="22"/>
      <c r="VBO145" s="22"/>
      <c r="VBP145" s="22"/>
      <c r="VBQ145" s="22"/>
      <c r="VBR145" s="22"/>
      <c r="VBS145" s="22"/>
      <c r="VBT145" s="22"/>
      <c r="VBU145" s="22"/>
      <c r="VBV145" s="22"/>
      <c r="VBW145" s="22"/>
      <c r="VBX145" s="22"/>
      <c r="VBY145" s="22"/>
      <c r="VBZ145" s="22"/>
      <c r="VCA145" s="22"/>
      <c r="VCB145" s="22"/>
      <c r="VCC145" s="22"/>
      <c r="VCD145" s="22"/>
      <c r="VCE145" s="22"/>
      <c r="VCF145" s="22"/>
      <c r="VCG145" s="22"/>
      <c r="VCH145" s="22"/>
      <c r="VCI145" s="22"/>
      <c r="VCJ145" s="22"/>
      <c r="VCK145" s="22"/>
      <c r="VCL145" s="22"/>
      <c r="VCM145" s="22"/>
      <c r="VCN145" s="22"/>
      <c r="VCO145" s="22"/>
      <c r="VCP145" s="22"/>
      <c r="VCQ145" s="22"/>
      <c r="VCR145" s="22"/>
      <c r="VCS145" s="22"/>
      <c r="VCT145" s="22"/>
      <c r="VCU145" s="22"/>
      <c r="VCV145" s="22"/>
      <c r="VCW145" s="22"/>
      <c r="VCX145" s="22"/>
      <c r="VCY145" s="22"/>
      <c r="VCZ145" s="22"/>
      <c r="VDA145" s="22"/>
      <c r="VDB145" s="22"/>
      <c r="VDC145" s="22"/>
      <c r="VDD145" s="22"/>
      <c r="VDE145" s="22"/>
      <c r="VDF145" s="22"/>
      <c r="VDG145" s="22"/>
      <c r="VDH145" s="22"/>
      <c r="VDI145" s="22"/>
      <c r="VDJ145" s="22"/>
      <c r="VDK145" s="22"/>
      <c r="VDL145" s="22"/>
      <c r="VDM145" s="22"/>
      <c r="VDN145" s="22"/>
      <c r="VDO145" s="22"/>
      <c r="VDP145" s="22"/>
      <c r="VDQ145" s="22"/>
      <c r="VDR145" s="22"/>
      <c r="VDS145" s="22"/>
      <c r="VDT145" s="22"/>
      <c r="VDU145" s="22"/>
      <c r="VDV145" s="22"/>
      <c r="VDW145" s="22"/>
      <c r="VDX145" s="22"/>
      <c r="VDY145" s="22"/>
      <c r="VDZ145" s="22"/>
      <c r="VEA145" s="22"/>
      <c r="VEB145" s="22"/>
      <c r="VEC145" s="22"/>
      <c r="VED145" s="22"/>
      <c r="VEE145" s="22"/>
      <c r="VEF145" s="22"/>
      <c r="VEG145" s="22"/>
      <c r="VEH145" s="22"/>
      <c r="VEI145" s="22"/>
      <c r="VEJ145" s="22"/>
      <c r="VEK145" s="22"/>
      <c r="VEL145" s="22"/>
      <c r="VEM145" s="22"/>
      <c r="VEN145" s="22"/>
      <c r="VEO145" s="22"/>
      <c r="VEP145" s="22"/>
      <c r="VEQ145" s="22"/>
      <c r="VER145" s="22"/>
      <c r="VES145" s="22"/>
      <c r="VET145" s="22"/>
      <c r="VEU145" s="22"/>
      <c r="VEV145" s="22"/>
      <c r="VEW145" s="22"/>
      <c r="VEX145" s="22"/>
      <c r="VEY145" s="22"/>
      <c r="VEZ145" s="22"/>
      <c r="VFA145" s="22"/>
      <c r="VFB145" s="22"/>
      <c r="VFC145" s="22"/>
      <c r="VFD145" s="22"/>
      <c r="VFE145" s="22"/>
      <c r="VFF145" s="22"/>
      <c r="VFG145" s="22"/>
      <c r="VFH145" s="22"/>
      <c r="VFI145" s="22"/>
      <c r="VFJ145" s="22"/>
      <c r="VFK145" s="22"/>
      <c r="VFL145" s="22"/>
      <c r="VFM145" s="22"/>
      <c r="VFN145" s="22"/>
      <c r="VFO145" s="22"/>
      <c r="VFP145" s="22"/>
      <c r="VFQ145" s="22"/>
      <c r="VFR145" s="22"/>
      <c r="VFS145" s="22"/>
      <c r="VFT145" s="22"/>
      <c r="VFU145" s="22"/>
      <c r="VFV145" s="22"/>
      <c r="VFW145" s="22"/>
      <c r="VFX145" s="22"/>
      <c r="VFY145" s="22"/>
      <c r="VFZ145" s="22"/>
      <c r="VGA145" s="22"/>
      <c r="VGB145" s="22"/>
      <c r="VGC145" s="22"/>
      <c r="VGD145" s="22"/>
      <c r="VGE145" s="22"/>
      <c r="VGF145" s="22"/>
      <c r="VGG145" s="22"/>
      <c r="VGH145" s="22"/>
      <c r="VGI145" s="22"/>
      <c r="VGJ145" s="22"/>
      <c r="VGK145" s="22"/>
      <c r="VGL145" s="22"/>
      <c r="VGM145" s="22"/>
      <c r="VGN145" s="22"/>
      <c r="VGO145" s="22"/>
      <c r="VGP145" s="22"/>
      <c r="VGQ145" s="22"/>
      <c r="VGR145" s="22"/>
      <c r="VGS145" s="22"/>
      <c r="VGT145" s="22"/>
      <c r="VGU145" s="22"/>
      <c r="VGV145" s="22"/>
      <c r="VGW145" s="22"/>
      <c r="VGX145" s="22"/>
      <c r="VGY145" s="22"/>
      <c r="VGZ145" s="22"/>
      <c r="VHA145" s="22"/>
      <c r="VHB145" s="22"/>
      <c r="VHC145" s="22"/>
      <c r="VHD145" s="22"/>
      <c r="VHE145" s="22"/>
      <c r="VHF145" s="22"/>
      <c r="VHG145" s="22"/>
      <c r="VHH145" s="22"/>
      <c r="VHI145" s="22"/>
      <c r="VHJ145" s="22"/>
      <c r="VHK145" s="22"/>
      <c r="VHL145" s="22"/>
      <c r="VHM145" s="22"/>
      <c r="VHN145" s="22"/>
      <c r="VHO145" s="22"/>
      <c r="VHP145" s="22"/>
      <c r="VHQ145" s="22"/>
      <c r="VHR145" s="22"/>
      <c r="VHS145" s="22"/>
      <c r="VHT145" s="22"/>
      <c r="VHU145" s="22"/>
      <c r="VHV145" s="22"/>
      <c r="VHW145" s="22"/>
      <c r="VHX145" s="22"/>
      <c r="VHY145" s="22"/>
      <c r="VHZ145" s="22"/>
      <c r="VIA145" s="22"/>
      <c r="VIB145" s="22"/>
      <c r="VIC145" s="22"/>
      <c r="VID145" s="22"/>
      <c r="VIE145" s="22"/>
      <c r="VIF145" s="22"/>
      <c r="VIG145" s="22"/>
      <c r="VIH145" s="22"/>
      <c r="VII145" s="22"/>
      <c r="VIJ145" s="22"/>
      <c r="VIK145" s="22"/>
      <c r="VIL145" s="22"/>
      <c r="VIM145" s="22"/>
      <c r="VIN145" s="22"/>
      <c r="VIO145" s="22"/>
      <c r="VIP145" s="22"/>
      <c r="VIQ145" s="22"/>
      <c r="VIR145" s="22"/>
      <c r="VIS145" s="22"/>
      <c r="VIT145" s="22"/>
      <c r="VIU145" s="22"/>
      <c r="VIV145" s="22"/>
      <c r="VIW145" s="22"/>
      <c r="VIX145" s="22"/>
      <c r="VIY145" s="22"/>
      <c r="VIZ145" s="22"/>
      <c r="VJA145" s="22"/>
      <c r="VJB145" s="22"/>
      <c r="VJC145" s="22"/>
      <c r="VJD145" s="22"/>
      <c r="VJE145" s="22"/>
      <c r="VJF145" s="22"/>
      <c r="VJG145" s="22"/>
      <c r="VJH145" s="22"/>
      <c r="VJI145" s="22"/>
      <c r="VJJ145" s="22"/>
      <c r="VJK145" s="22"/>
      <c r="VJL145" s="22"/>
      <c r="VJM145" s="22"/>
      <c r="VJN145" s="22"/>
      <c r="VJO145" s="22"/>
      <c r="VJP145" s="22"/>
      <c r="VJQ145" s="22"/>
      <c r="VJR145" s="22"/>
      <c r="VJS145" s="22"/>
      <c r="VJT145" s="22"/>
      <c r="VJU145" s="22"/>
      <c r="VJV145" s="22"/>
      <c r="VJW145" s="22"/>
      <c r="VJX145" s="22"/>
      <c r="VJY145" s="22"/>
      <c r="VJZ145" s="22"/>
      <c r="VKA145" s="22"/>
      <c r="VKB145" s="22"/>
      <c r="VKC145" s="22"/>
      <c r="VKD145" s="22"/>
      <c r="VKE145" s="22"/>
      <c r="VKF145" s="22"/>
      <c r="VKG145" s="22"/>
      <c r="VKH145" s="22"/>
      <c r="VKI145" s="22"/>
      <c r="VKJ145" s="22"/>
      <c r="VKK145" s="22"/>
      <c r="VKL145" s="22"/>
      <c r="VKM145" s="22"/>
      <c r="VKN145" s="22"/>
      <c r="VKO145" s="22"/>
      <c r="VKP145" s="22"/>
      <c r="VKQ145" s="22"/>
      <c r="VKR145" s="22"/>
      <c r="VKS145" s="22"/>
      <c r="VKT145" s="22"/>
      <c r="VKU145" s="22"/>
      <c r="VKV145" s="22"/>
      <c r="VKW145" s="22"/>
      <c r="VKX145" s="22"/>
      <c r="VKY145" s="22"/>
      <c r="VKZ145" s="22"/>
      <c r="VLA145" s="22"/>
      <c r="VLB145" s="22"/>
      <c r="VLC145" s="22"/>
      <c r="VLD145" s="22"/>
      <c r="VLE145" s="22"/>
      <c r="VLF145" s="22"/>
      <c r="VLG145" s="22"/>
      <c r="VLH145" s="22"/>
      <c r="VLI145" s="22"/>
      <c r="VLJ145" s="22"/>
      <c r="VLK145" s="22"/>
      <c r="VLL145" s="22"/>
      <c r="VLM145" s="22"/>
      <c r="VLN145" s="22"/>
      <c r="VLO145" s="22"/>
      <c r="VLP145" s="22"/>
      <c r="VLQ145" s="22"/>
      <c r="VLR145" s="22"/>
      <c r="VLS145" s="22"/>
      <c r="VLT145" s="22"/>
      <c r="VLU145" s="22"/>
      <c r="VLV145" s="22"/>
      <c r="VLW145" s="22"/>
      <c r="VLX145" s="22"/>
      <c r="VLY145" s="22"/>
      <c r="VLZ145" s="22"/>
      <c r="VMA145" s="22"/>
      <c r="VMB145" s="22"/>
      <c r="VMC145" s="22"/>
      <c r="VMD145" s="22"/>
      <c r="VME145" s="22"/>
      <c r="VMF145" s="22"/>
      <c r="VMG145" s="22"/>
      <c r="VMH145" s="22"/>
      <c r="VMI145" s="22"/>
      <c r="VMJ145" s="22"/>
      <c r="VMK145" s="22"/>
      <c r="VML145" s="22"/>
      <c r="VMM145" s="22"/>
      <c r="VMN145" s="22"/>
      <c r="VMO145" s="22"/>
      <c r="VMP145" s="22"/>
      <c r="VMQ145" s="22"/>
      <c r="VMR145" s="22"/>
      <c r="VMS145" s="22"/>
      <c r="VMT145" s="22"/>
      <c r="VMU145" s="22"/>
      <c r="VMV145" s="22"/>
      <c r="VMW145" s="22"/>
      <c r="VMX145" s="22"/>
      <c r="VMY145" s="22"/>
      <c r="VMZ145" s="22"/>
      <c r="VNA145" s="22"/>
      <c r="VNB145" s="22"/>
      <c r="VNC145" s="22"/>
      <c r="VND145" s="22"/>
      <c r="VNE145" s="22"/>
      <c r="VNF145" s="22"/>
      <c r="VNG145" s="22"/>
      <c r="VNH145" s="22"/>
      <c r="VNI145" s="22"/>
      <c r="VNJ145" s="22"/>
      <c r="VNK145" s="22"/>
      <c r="VNL145" s="22"/>
      <c r="VNM145" s="22"/>
      <c r="VNN145" s="22"/>
      <c r="VNO145" s="22"/>
      <c r="VNP145" s="22"/>
      <c r="VNQ145" s="22"/>
      <c r="VNR145" s="22"/>
      <c r="VNS145" s="22"/>
      <c r="VNT145" s="22"/>
      <c r="VNU145" s="22"/>
      <c r="VNV145" s="22"/>
      <c r="VNW145" s="22"/>
      <c r="VNX145" s="22"/>
      <c r="VNY145" s="22"/>
      <c r="VNZ145" s="22"/>
      <c r="VOA145" s="22"/>
      <c r="VOB145" s="22"/>
      <c r="VOC145" s="22"/>
      <c r="VOD145" s="22"/>
      <c r="VOE145" s="22"/>
      <c r="VOF145" s="22"/>
      <c r="VOG145" s="22"/>
      <c r="VOH145" s="22"/>
      <c r="VOI145" s="22"/>
      <c r="VOJ145" s="22"/>
      <c r="VOK145" s="22"/>
      <c r="VOL145" s="22"/>
      <c r="VOM145" s="22"/>
      <c r="VON145" s="22"/>
      <c r="VOO145" s="22"/>
      <c r="VOP145" s="22"/>
      <c r="VOQ145" s="22"/>
      <c r="VOR145" s="22"/>
      <c r="VOS145" s="22"/>
      <c r="VOT145" s="22"/>
      <c r="VOU145" s="22"/>
      <c r="VOV145" s="22"/>
      <c r="VOW145" s="22"/>
      <c r="VOX145" s="22"/>
      <c r="VOY145" s="22"/>
      <c r="VOZ145" s="22"/>
      <c r="VPA145" s="22"/>
      <c r="VPB145" s="22"/>
      <c r="VPC145" s="22"/>
      <c r="VPD145" s="22"/>
      <c r="VPE145" s="22"/>
      <c r="VPF145" s="22"/>
      <c r="VPG145" s="22"/>
      <c r="VPH145" s="22"/>
      <c r="VPI145" s="22"/>
      <c r="VPJ145" s="22"/>
      <c r="VPK145" s="22"/>
      <c r="VPL145" s="22"/>
      <c r="VPM145" s="22"/>
      <c r="VPN145" s="22"/>
      <c r="VPO145" s="22"/>
      <c r="VPP145" s="22"/>
      <c r="VPQ145" s="22"/>
      <c r="VPR145" s="22"/>
      <c r="VPS145" s="22"/>
      <c r="VPT145" s="22"/>
      <c r="VPU145" s="22"/>
      <c r="VPV145" s="22"/>
      <c r="VPW145" s="22"/>
      <c r="VPX145" s="22"/>
      <c r="VPY145" s="22"/>
      <c r="VPZ145" s="22"/>
      <c r="VQA145" s="22"/>
      <c r="VQB145" s="22"/>
      <c r="VQC145" s="22"/>
      <c r="VQD145" s="22"/>
      <c r="VQE145" s="22"/>
      <c r="VQF145" s="22"/>
      <c r="VQG145" s="22"/>
      <c r="VQH145" s="22"/>
      <c r="VQI145" s="22"/>
      <c r="VQJ145" s="22"/>
      <c r="VQK145" s="22"/>
      <c r="VQL145" s="22"/>
      <c r="VQM145" s="22"/>
      <c r="VQN145" s="22"/>
      <c r="VQO145" s="22"/>
      <c r="VQP145" s="22"/>
      <c r="VQQ145" s="22"/>
      <c r="VQR145" s="22"/>
      <c r="VQS145" s="22"/>
      <c r="VQT145" s="22"/>
      <c r="VQU145" s="22"/>
      <c r="VQV145" s="22"/>
      <c r="VQW145" s="22"/>
      <c r="VQX145" s="22"/>
      <c r="VQY145" s="22"/>
      <c r="VQZ145" s="22"/>
      <c r="VRA145" s="22"/>
      <c r="VRB145" s="22"/>
      <c r="VRC145" s="22"/>
      <c r="VRD145" s="22"/>
      <c r="VRE145" s="22"/>
      <c r="VRF145" s="22"/>
      <c r="VRG145" s="22"/>
      <c r="VRH145" s="22"/>
      <c r="VRI145" s="22"/>
      <c r="VRJ145" s="22"/>
      <c r="VRK145" s="22"/>
      <c r="VRL145" s="22"/>
      <c r="VRM145" s="22"/>
      <c r="VRN145" s="22"/>
      <c r="VRO145" s="22"/>
      <c r="VRP145" s="22"/>
      <c r="VRQ145" s="22"/>
      <c r="VRR145" s="22"/>
      <c r="VRS145" s="22"/>
      <c r="VRT145" s="22"/>
      <c r="VRU145" s="22"/>
      <c r="VRV145" s="22"/>
      <c r="VRW145" s="22"/>
      <c r="VRX145" s="22"/>
      <c r="VRY145" s="22"/>
      <c r="VRZ145" s="22"/>
      <c r="VSA145" s="22"/>
      <c r="VSB145" s="22"/>
      <c r="VSC145" s="22"/>
      <c r="VSD145" s="22"/>
      <c r="VSE145" s="22"/>
      <c r="VSF145" s="22"/>
      <c r="VSG145" s="22"/>
      <c r="VSH145" s="22"/>
      <c r="VSI145" s="22"/>
      <c r="VSJ145" s="22"/>
      <c r="VSK145" s="22"/>
      <c r="VSL145" s="22"/>
      <c r="VSM145" s="22"/>
      <c r="VSN145" s="22"/>
      <c r="VSO145" s="22"/>
      <c r="VSP145" s="22"/>
      <c r="VSQ145" s="22"/>
      <c r="VSR145" s="22"/>
      <c r="VSS145" s="22"/>
      <c r="VST145" s="22"/>
      <c r="VSU145" s="22"/>
      <c r="VSV145" s="22"/>
      <c r="VSW145" s="22"/>
      <c r="VSX145" s="22"/>
      <c r="VSY145" s="22"/>
      <c r="VSZ145" s="22"/>
      <c r="VTA145" s="22"/>
      <c r="VTB145" s="22"/>
      <c r="VTC145" s="22"/>
      <c r="VTD145" s="22"/>
      <c r="VTE145" s="22"/>
      <c r="VTF145" s="22"/>
      <c r="VTG145" s="22"/>
      <c r="VTH145" s="22"/>
      <c r="VTI145" s="22"/>
      <c r="VTJ145" s="22"/>
      <c r="VTK145" s="22"/>
      <c r="VTL145" s="22"/>
      <c r="VTM145" s="22"/>
      <c r="VTN145" s="22"/>
      <c r="VTO145" s="22"/>
      <c r="VTP145" s="22"/>
      <c r="VTQ145" s="22"/>
      <c r="VTR145" s="22"/>
      <c r="VTS145" s="22"/>
      <c r="VTT145" s="22"/>
      <c r="VTU145" s="22"/>
      <c r="VTV145" s="22"/>
      <c r="VTW145" s="22"/>
      <c r="VTX145" s="22"/>
      <c r="VTY145" s="22"/>
      <c r="VTZ145" s="22"/>
      <c r="VUA145" s="22"/>
      <c r="VUB145" s="22"/>
      <c r="VUC145" s="22"/>
      <c r="VUD145" s="22"/>
      <c r="VUE145" s="22"/>
      <c r="VUF145" s="22"/>
      <c r="VUG145" s="22"/>
      <c r="VUH145" s="22"/>
      <c r="VUI145" s="22"/>
      <c r="VUJ145" s="22"/>
      <c r="VUK145" s="22"/>
      <c r="VUL145" s="22"/>
      <c r="VUM145" s="22"/>
      <c r="VUN145" s="22"/>
      <c r="VUO145" s="22"/>
      <c r="VUP145" s="22"/>
      <c r="VUQ145" s="22"/>
      <c r="VUR145" s="22"/>
      <c r="VUS145" s="22"/>
      <c r="VUT145" s="22"/>
      <c r="VUU145" s="22"/>
      <c r="VUV145" s="22"/>
      <c r="VUW145" s="22"/>
      <c r="VUX145" s="22"/>
      <c r="VUY145" s="22"/>
      <c r="VUZ145" s="22"/>
      <c r="VVA145" s="22"/>
      <c r="VVB145" s="22"/>
      <c r="VVC145" s="22"/>
      <c r="VVD145" s="22"/>
      <c r="VVE145" s="22"/>
      <c r="VVF145" s="22"/>
      <c r="VVG145" s="22"/>
      <c r="VVH145" s="22"/>
      <c r="VVI145" s="22"/>
      <c r="VVJ145" s="22"/>
      <c r="VVK145" s="22"/>
      <c r="VVL145" s="22"/>
      <c r="VVM145" s="22"/>
      <c r="VVN145" s="22"/>
      <c r="VVO145" s="22"/>
      <c r="VVP145" s="22"/>
      <c r="VVQ145" s="22"/>
      <c r="VVR145" s="22"/>
      <c r="VVS145" s="22"/>
      <c r="VVT145" s="22"/>
      <c r="VVU145" s="22"/>
      <c r="VVV145" s="22"/>
      <c r="VVW145" s="22"/>
      <c r="VVX145" s="22"/>
      <c r="VVY145" s="22"/>
      <c r="VVZ145" s="22"/>
      <c r="VWA145" s="22"/>
      <c r="VWB145" s="22"/>
      <c r="VWC145" s="22"/>
      <c r="VWD145" s="22"/>
      <c r="VWE145" s="22"/>
      <c r="VWF145" s="22"/>
      <c r="VWG145" s="22"/>
      <c r="VWH145" s="22"/>
      <c r="VWI145" s="22"/>
      <c r="VWJ145" s="22"/>
      <c r="VWK145" s="22"/>
      <c r="VWL145" s="22"/>
      <c r="VWM145" s="22"/>
      <c r="VWN145" s="22"/>
      <c r="VWO145" s="22"/>
      <c r="VWP145" s="22"/>
      <c r="VWQ145" s="22"/>
      <c r="VWR145" s="22"/>
      <c r="VWS145" s="22"/>
      <c r="VWT145" s="22"/>
      <c r="VWU145" s="22"/>
      <c r="VWV145" s="22"/>
      <c r="VWW145" s="22"/>
      <c r="VWX145" s="22"/>
      <c r="VWY145" s="22"/>
      <c r="VWZ145" s="22"/>
      <c r="VXA145" s="22"/>
      <c r="VXB145" s="22"/>
      <c r="VXC145" s="22"/>
      <c r="VXD145" s="22"/>
      <c r="VXE145" s="22"/>
      <c r="VXF145" s="22"/>
      <c r="VXG145" s="22"/>
      <c r="VXH145" s="22"/>
      <c r="VXI145" s="22"/>
      <c r="VXJ145" s="22"/>
      <c r="VXK145" s="22"/>
      <c r="VXL145" s="22"/>
      <c r="VXM145" s="22"/>
      <c r="VXN145" s="22"/>
      <c r="VXO145" s="22"/>
      <c r="VXP145" s="22"/>
      <c r="VXQ145" s="22"/>
      <c r="VXR145" s="22"/>
      <c r="VXS145" s="22"/>
      <c r="VXT145" s="22"/>
      <c r="VXU145" s="22"/>
      <c r="VXV145" s="22"/>
      <c r="VXW145" s="22"/>
      <c r="VXX145" s="22"/>
      <c r="VXY145" s="22"/>
      <c r="VXZ145" s="22"/>
      <c r="VYA145" s="22"/>
      <c r="VYB145" s="22"/>
      <c r="VYC145" s="22"/>
      <c r="VYD145" s="22"/>
      <c r="VYE145" s="22"/>
      <c r="VYF145" s="22"/>
      <c r="VYG145" s="22"/>
      <c r="VYH145" s="22"/>
      <c r="VYI145" s="22"/>
      <c r="VYJ145" s="22"/>
      <c r="VYK145" s="22"/>
      <c r="VYL145" s="22"/>
      <c r="VYM145" s="22"/>
      <c r="VYN145" s="22"/>
      <c r="VYO145" s="22"/>
      <c r="VYP145" s="22"/>
      <c r="VYQ145" s="22"/>
      <c r="VYR145" s="22"/>
      <c r="VYS145" s="22"/>
      <c r="VYT145" s="22"/>
      <c r="VYU145" s="22"/>
      <c r="VYV145" s="22"/>
      <c r="VYW145" s="22"/>
      <c r="VYX145" s="22"/>
      <c r="VYY145" s="22"/>
      <c r="VYZ145" s="22"/>
      <c r="VZA145" s="22"/>
      <c r="VZB145" s="22"/>
      <c r="VZC145" s="22"/>
      <c r="VZD145" s="22"/>
      <c r="VZE145" s="22"/>
      <c r="VZF145" s="22"/>
      <c r="VZG145" s="22"/>
      <c r="VZH145" s="22"/>
      <c r="VZI145" s="22"/>
      <c r="VZJ145" s="22"/>
      <c r="VZK145" s="22"/>
      <c r="VZL145" s="22"/>
      <c r="VZM145" s="22"/>
      <c r="VZN145" s="22"/>
      <c r="VZO145" s="22"/>
      <c r="VZP145" s="22"/>
      <c r="VZQ145" s="22"/>
      <c r="VZR145" s="22"/>
      <c r="VZS145" s="22"/>
      <c r="VZT145" s="22"/>
      <c r="VZU145" s="22"/>
      <c r="VZV145" s="22"/>
      <c r="VZW145" s="22"/>
      <c r="VZX145" s="22"/>
      <c r="VZY145" s="22"/>
      <c r="VZZ145" s="22"/>
      <c r="WAA145" s="22"/>
      <c r="WAB145" s="22"/>
      <c r="WAC145" s="22"/>
      <c r="WAD145" s="22"/>
      <c r="WAE145" s="22"/>
      <c r="WAF145" s="22"/>
      <c r="WAG145" s="22"/>
      <c r="WAH145" s="22"/>
      <c r="WAI145" s="22"/>
      <c r="WAJ145" s="22"/>
      <c r="WAK145" s="22"/>
      <c r="WAL145" s="22"/>
      <c r="WAM145" s="22"/>
      <c r="WAN145" s="22"/>
      <c r="WAO145" s="22"/>
      <c r="WAP145" s="22"/>
      <c r="WAQ145" s="22"/>
      <c r="WAR145" s="22"/>
      <c r="WAS145" s="22"/>
      <c r="WAT145" s="22"/>
      <c r="WAU145" s="22"/>
      <c r="WAV145" s="22"/>
      <c r="WAW145" s="22"/>
      <c r="WAX145" s="22"/>
      <c r="WAY145" s="22"/>
      <c r="WAZ145" s="22"/>
      <c r="WBA145" s="22"/>
      <c r="WBB145" s="22"/>
      <c r="WBC145" s="22"/>
      <c r="WBD145" s="22"/>
      <c r="WBE145" s="22"/>
      <c r="WBF145" s="22"/>
      <c r="WBG145" s="22"/>
      <c r="WBH145" s="22"/>
      <c r="WBI145" s="22"/>
      <c r="WBJ145" s="22"/>
      <c r="WBK145" s="22"/>
      <c r="WBL145" s="22"/>
      <c r="WBM145" s="22"/>
      <c r="WBN145" s="22"/>
      <c r="WBO145" s="22"/>
      <c r="WBP145" s="22"/>
      <c r="WBQ145" s="22"/>
      <c r="WBR145" s="22"/>
      <c r="WBS145" s="22"/>
      <c r="WBT145" s="22"/>
      <c r="WBU145" s="22"/>
      <c r="WBV145" s="22"/>
      <c r="WBW145" s="22"/>
      <c r="WBX145" s="22"/>
      <c r="WBY145" s="22"/>
      <c r="WBZ145" s="22"/>
      <c r="WCA145" s="22"/>
      <c r="WCB145" s="22"/>
      <c r="WCC145" s="22"/>
      <c r="WCD145" s="22"/>
      <c r="WCE145" s="22"/>
      <c r="WCF145" s="22"/>
      <c r="WCG145" s="22"/>
      <c r="WCH145" s="22"/>
      <c r="WCI145" s="22"/>
      <c r="WCJ145" s="22"/>
      <c r="WCK145" s="22"/>
      <c r="WCL145" s="22"/>
      <c r="WCM145" s="22"/>
      <c r="WCN145" s="22"/>
      <c r="WCO145" s="22"/>
      <c r="WCP145" s="22"/>
      <c r="WCQ145" s="22"/>
      <c r="WCR145" s="22"/>
      <c r="WCS145" s="22"/>
      <c r="WCT145" s="22"/>
      <c r="WCU145" s="22"/>
      <c r="WCV145" s="22"/>
      <c r="WCW145" s="22"/>
      <c r="WCX145" s="22"/>
      <c r="WCY145" s="22"/>
      <c r="WCZ145" s="22"/>
      <c r="WDA145" s="22"/>
      <c r="WDB145" s="22"/>
      <c r="WDC145" s="22"/>
      <c r="WDD145" s="22"/>
      <c r="WDE145" s="22"/>
      <c r="WDF145" s="22"/>
      <c r="WDG145" s="22"/>
      <c r="WDH145" s="22"/>
      <c r="WDI145" s="22"/>
      <c r="WDJ145" s="22"/>
      <c r="WDK145" s="22"/>
      <c r="WDL145" s="22"/>
      <c r="WDM145" s="22"/>
      <c r="WDN145" s="22"/>
      <c r="WDO145" s="22"/>
      <c r="WDP145" s="22"/>
      <c r="WDQ145" s="22"/>
      <c r="WDR145" s="22"/>
      <c r="WDS145" s="22"/>
      <c r="WDT145" s="22"/>
      <c r="WDU145" s="22"/>
      <c r="WDV145" s="22"/>
      <c r="WDW145" s="22"/>
      <c r="WDX145" s="22"/>
      <c r="WDY145" s="22"/>
      <c r="WDZ145" s="22"/>
      <c r="WEA145" s="22"/>
      <c r="WEB145" s="22"/>
      <c r="WEC145" s="22"/>
      <c r="WED145" s="22"/>
      <c r="WEE145" s="22"/>
      <c r="WEF145" s="22"/>
      <c r="WEG145" s="22"/>
      <c r="WEH145" s="22"/>
      <c r="WEI145" s="22"/>
      <c r="WEJ145" s="22"/>
      <c r="WEK145" s="22"/>
      <c r="WEL145" s="22"/>
      <c r="WEM145" s="22"/>
      <c r="WEN145" s="22"/>
      <c r="WEO145" s="22"/>
      <c r="WEP145" s="22"/>
      <c r="WEQ145" s="22"/>
      <c r="WER145" s="22"/>
      <c r="WES145" s="22"/>
      <c r="WET145" s="22"/>
      <c r="WEU145" s="22"/>
      <c r="WEV145" s="22"/>
      <c r="WEW145" s="22"/>
      <c r="WEX145" s="22"/>
      <c r="WEY145" s="22"/>
      <c r="WEZ145" s="22"/>
      <c r="WFA145" s="22"/>
      <c r="WFB145" s="22"/>
      <c r="WFC145" s="22"/>
      <c r="WFD145" s="22"/>
      <c r="WFE145" s="22"/>
      <c r="WFF145" s="22"/>
      <c r="WFG145" s="22"/>
      <c r="WFH145" s="22"/>
      <c r="WFI145" s="22"/>
      <c r="WFJ145" s="22"/>
      <c r="WFK145" s="22"/>
      <c r="WFL145" s="22"/>
      <c r="WFM145" s="22"/>
      <c r="WFN145" s="22"/>
      <c r="WFO145" s="22"/>
      <c r="WFP145" s="22"/>
      <c r="WFQ145" s="22"/>
      <c r="WFR145" s="22"/>
      <c r="WFS145" s="22"/>
      <c r="WFT145" s="22"/>
      <c r="WFU145" s="22"/>
      <c r="WFV145" s="22"/>
      <c r="WFW145" s="22"/>
      <c r="WFX145" s="22"/>
      <c r="WFY145" s="22"/>
      <c r="WFZ145" s="22"/>
      <c r="WGA145" s="22"/>
      <c r="WGB145" s="22"/>
      <c r="WGC145" s="22"/>
      <c r="WGD145" s="22"/>
      <c r="WGE145" s="22"/>
      <c r="WGF145" s="22"/>
      <c r="WGG145" s="22"/>
      <c r="WGH145" s="22"/>
      <c r="WGI145" s="22"/>
      <c r="WGJ145" s="22"/>
      <c r="WGK145" s="22"/>
      <c r="WGL145" s="22"/>
      <c r="WGM145" s="22"/>
      <c r="WGN145" s="22"/>
      <c r="WGO145" s="22"/>
      <c r="WGP145" s="22"/>
      <c r="WGQ145" s="22"/>
      <c r="WGR145" s="22"/>
      <c r="WGS145" s="22"/>
      <c r="WGT145" s="22"/>
      <c r="WGU145" s="22"/>
      <c r="WGV145" s="22"/>
      <c r="WGW145" s="22"/>
      <c r="WGX145" s="22"/>
      <c r="WGY145" s="22"/>
      <c r="WGZ145" s="22"/>
      <c r="WHA145" s="22"/>
      <c r="WHB145" s="22"/>
      <c r="WHC145" s="22"/>
      <c r="WHD145" s="22"/>
      <c r="WHE145" s="22"/>
      <c r="WHF145" s="22"/>
      <c r="WHG145" s="22"/>
      <c r="WHH145" s="22"/>
      <c r="WHI145" s="22"/>
      <c r="WHJ145" s="22"/>
      <c r="WHK145" s="22"/>
      <c r="WHL145" s="22"/>
      <c r="WHM145" s="22"/>
      <c r="WHN145" s="22"/>
      <c r="WHO145" s="22"/>
      <c r="WHP145" s="22"/>
      <c r="WHQ145" s="22"/>
      <c r="WHR145" s="22"/>
      <c r="WHS145" s="22"/>
      <c r="WHT145" s="22"/>
      <c r="WHU145" s="22"/>
      <c r="WHV145" s="22"/>
      <c r="WHW145" s="22"/>
      <c r="WHX145" s="22"/>
      <c r="WHY145" s="22"/>
      <c r="WHZ145" s="22"/>
      <c r="WIA145" s="22"/>
      <c r="WIB145" s="22"/>
      <c r="WIC145" s="22"/>
      <c r="WID145" s="22"/>
      <c r="WIE145" s="22"/>
      <c r="WIF145" s="22"/>
      <c r="WIG145" s="22"/>
      <c r="WIH145" s="22"/>
      <c r="WII145" s="22"/>
      <c r="WIJ145" s="22"/>
      <c r="WIK145" s="22"/>
      <c r="WIL145" s="22"/>
      <c r="WIM145" s="22"/>
      <c r="WIN145" s="22"/>
      <c r="WIO145" s="22"/>
      <c r="WIP145" s="22"/>
      <c r="WIQ145" s="22"/>
      <c r="WIR145" s="22"/>
      <c r="WIS145" s="22"/>
      <c r="WIT145" s="22"/>
      <c r="WIU145" s="22"/>
      <c r="WIV145" s="22"/>
      <c r="WIW145" s="22"/>
      <c r="WIX145" s="22"/>
      <c r="WIY145" s="22"/>
      <c r="WIZ145" s="22"/>
      <c r="WJA145" s="22"/>
      <c r="WJB145" s="22"/>
      <c r="WJC145" s="22"/>
      <c r="WJD145" s="22"/>
      <c r="WJE145" s="22"/>
      <c r="WJF145" s="22"/>
      <c r="WJG145" s="22"/>
      <c r="WJH145" s="22"/>
      <c r="WJI145" s="22"/>
      <c r="WJJ145" s="22"/>
      <c r="WJK145" s="22"/>
      <c r="WJL145" s="22"/>
      <c r="WJM145" s="22"/>
      <c r="WJN145" s="22"/>
      <c r="WJO145" s="22"/>
      <c r="WJP145" s="22"/>
      <c r="WJQ145" s="22"/>
      <c r="WJR145" s="22"/>
      <c r="WJS145" s="22"/>
      <c r="WJT145" s="22"/>
      <c r="WJU145" s="22"/>
      <c r="WJV145" s="22"/>
      <c r="WJW145" s="22"/>
      <c r="WJX145" s="22"/>
      <c r="WJY145" s="22"/>
      <c r="WJZ145" s="22"/>
      <c r="WKA145" s="22"/>
      <c r="WKB145" s="22"/>
      <c r="WKC145" s="22"/>
      <c r="WKD145" s="22"/>
      <c r="WKE145" s="22"/>
      <c r="WKF145" s="22"/>
      <c r="WKG145" s="22"/>
      <c r="WKH145" s="22"/>
      <c r="WKI145" s="22"/>
      <c r="WKJ145" s="22"/>
      <c r="WKK145" s="22"/>
      <c r="WKL145" s="22"/>
      <c r="WKM145" s="22"/>
      <c r="WKN145" s="22"/>
      <c r="WKO145" s="22"/>
      <c r="WKP145" s="22"/>
      <c r="WKQ145" s="22"/>
      <c r="WKR145" s="22"/>
      <c r="WKS145" s="22"/>
      <c r="WKT145" s="22"/>
      <c r="WKU145" s="22"/>
      <c r="WKV145" s="22"/>
      <c r="WKW145" s="22"/>
      <c r="WKX145" s="22"/>
      <c r="WKY145" s="22"/>
      <c r="WKZ145" s="22"/>
      <c r="WLA145" s="22"/>
      <c r="WLB145" s="22"/>
      <c r="WLC145" s="22"/>
      <c r="WLD145" s="22"/>
      <c r="WLE145" s="22"/>
      <c r="WLF145" s="22"/>
      <c r="WLG145" s="22"/>
      <c r="WLH145" s="22"/>
      <c r="WLI145" s="22"/>
      <c r="WLJ145" s="22"/>
      <c r="WLK145" s="22"/>
      <c r="WLL145" s="22"/>
      <c r="WLM145" s="22"/>
      <c r="WLN145" s="22"/>
      <c r="WLO145" s="22"/>
      <c r="WLP145" s="22"/>
      <c r="WLQ145" s="22"/>
      <c r="WLR145" s="22"/>
      <c r="WLS145" s="22"/>
      <c r="WLT145" s="22"/>
      <c r="WLU145" s="22"/>
      <c r="WLV145" s="22"/>
      <c r="WLW145" s="22"/>
      <c r="WLX145" s="22"/>
      <c r="WLY145" s="22"/>
      <c r="WLZ145" s="22"/>
      <c r="WMA145" s="22"/>
      <c r="WMB145" s="22"/>
      <c r="WMC145" s="22"/>
      <c r="WMD145" s="22"/>
      <c r="WME145" s="22"/>
      <c r="WMF145" s="22"/>
      <c r="WMG145" s="22"/>
      <c r="WMH145" s="22"/>
      <c r="WMI145" s="22"/>
      <c r="WMJ145" s="22"/>
      <c r="WMK145" s="22"/>
      <c r="WML145" s="22"/>
      <c r="WMM145" s="22"/>
      <c r="WMN145" s="22"/>
      <c r="WMO145" s="22"/>
      <c r="WMP145" s="22"/>
      <c r="WMQ145" s="22"/>
      <c r="WMR145" s="22"/>
      <c r="WMS145" s="22"/>
      <c r="WMT145" s="22"/>
      <c r="WMU145" s="22"/>
      <c r="WMV145" s="22"/>
      <c r="WMW145" s="22"/>
      <c r="WMX145" s="22"/>
      <c r="WMY145" s="22"/>
      <c r="WMZ145" s="22"/>
      <c r="WNA145" s="22"/>
      <c r="WNB145" s="22"/>
      <c r="WNC145" s="22"/>
      <c r="WND145" s="22"/>
      <c r="WNE145" s="22"/>
      <c r="WNF145" s="22"/>
      <c r="WNG145" s="22"/>
      <c r="WNH145" s="22"/>
      <c r="WNI145" s="22"/>
      <c r="WNJ145" s="22"/>
      <c r="WNK145" s="22"/>
      <c r="WNL145" s="22"/>
      <c r="WNM145" s="22"/>
      <c r="WNN145" s="22"/>
      <c r="WNO145" s="22"/>
      <c r="WNP145" s="22"/>
      <c r="WNQ145" s="22"/>
      <c r="WNR145" s="22"/>
      <c r="WNS145" s="22"/>
      <c r="WNT145" s="22"/>
      <c r="WNU145" s="22"/>
      <c r="WNV145" s="22"/>
      <c r="WNW145" s="22"/>
      <c r="WNX145" s="22"/>
      <c r="WNY145" s="22"/>
      <c r="WNZ145" s="22"/>
      <c r="WOA145" s="22"/>
      <c r="WOB145" s="22"/>
      <c r="WOC145" s="22"/>
      <c r="WOD145" s="22"/>
      <c r="WOE145" s="22"/>
      <c r="WOF145" s="22"/>
      <c r="WOG145" s="22"/>
      <c r="WOH145" s="22"/>
      <c r="WOI145" s="22"/>
      <c r="WOJ145" s="22"/>
      <c r="WOK145" s="22"/>
      <c r="WOL145" s="22"/>
      <c r="WOM145" s="22"/>
      <c r="WON145" s="22"/>
      <c r="WOO145" s="22"/>
      <c r="WOP145" s="22"/>
      <c r="WOQ145" s="22"/>
      <c r="WOR145" s="22"/>
      <c r="WOS145" s="22"/>
      <c r="WOT145" s="22"/>
      <c r="WOU145" s="22"/>
      <c r="WOV145" s="22"/>
      <c r="WOW145" s="22"/>
      <c r="WOX145" s="22"/>
      <c r="WOY145" s="22"/>
      <c r="WOZ145" s="22"/>
      <c r="WPA145" s="22"/>
      <c r="WPB145" s="22"/>
      <c r="WPC145" s="22"/>
      <c r="WPD145" s="22"/>
      <c r="WPE145" s="22"/>
      <c r="WPF145" s="22"/>
      <c r="WPG145" s="22"/>
      <c r="WPH145" s="22"/>
      <c r="WPI145" s="22"/>
      <c r="WPJ145" s="22"/>
      <c r="WPK145" s="22"/>
      <c r="WPL145" s="22"/>
      <c r="WPM145" s="22"/>
      <c r="WPN145" s="22"/>
      <c r="WPO145" s="22"/>
      <c r="WPP145" s="22"/>
      <c r="WPQ145" s="22"/>
      <c r="WPR145" s="22"/>
      <c r="WPS145" s="22"/>
      <c r="WPT145" s="22"/>
      <c r="WPU145" s="22"/>
      <c r="WPV145" s="22"/>
      <c r="WPW145" s="22"/>
      <c r="WPX145" s="22"/>
      <c r="WPY145" s="22"/>
      <c r="WPZ145" s="22"/>
      <c r="WQA145" s="22"/>
      <c r="WQB145" s="22"/>
      <c r="WQC145" s="22"/>
      <c r="WQD145" s="22"/>
      <c r="WQE145" s="22"/>
      <c r="WQF145" s="22"/>
      <c r="WQG145" s="22"/>
      <c r="WQH145" s="22"/>
      <c r="WQI145" s="22"/>
      <c r="WQJ145" s="22"/>
      <c r="WQK145" s="22"/>
      <c r="WQL145" s="22"/>
      <c r="WQM145" s="22"/>
      <c r="WQN145" s="22"/>
      <c r="WQO145" s="22"/>
      <c r="WQP145" s="22"/>
      <c r="WQQ145" s="22"/>
      <c r="WQR145" s="22"/>
      <c r="WQS145" s="22"/>
      <c r="WQT145" s="22"/>
      <c r="WQU145" s="22"/>
      <c r="WQV145" s="22"/>
      <c r="WQW145" s="22"/>
      <c r="WQX145" s="22"/>
      <c r="WQY145" s="22"/>
      <c r="WQZ145" s="22"/>
      <c r="WRA145" s="22"/>
      <c r="WRB145" s="22"/>
      <c r="WRC145" s="22"/>
      <c r="WRD145" s="22"/>
      <c r="WRE145" s="22"/>
      <c r="WRF145" s="22"/>
      <c r="WRG145" s="22"/>
      <c r="WRH145" s="22"/>
      <c r="WRI145" s="22"/>
      <c r="WRJ145" s="22"/>
      <c r="WRK145" s="22"/>
      <c r="WRL145" s="22"/>
      <c r="WRM145" s="22"/>
      <c r="WRN145" s="22"/>
      <c r="WRO145" s="22"/>
      <c r="WRP145" s="22"/>
      <c r="WRQ145" s="22"/>
      <c r="WRR145" s="22"/>
      <c r="WRS145" s="22"/>
      <c r="WRT145" s="22"/>
      <c r="WRU145" s="22"/>
      <c r="WRV145" s="22"/>
      <c r="WRW145" s="22"/>
      <c r="WRX145" s="22"/>
      <c r="WRY145" s="22"/>
      <c r="WRZ145" s="22"/>
      <c r="WSA145" s="22"/>
      <c r="WSB145" s="22"/>
      <c r="WSC145" s="22"/>
      <c r="WSD145" s="22"/>
      <c r="WSE145" s="22"/>
      <c r="WSF145" s="22"/>
      <c r="WSG145" s="22"/>
      <c r="WSH145" s="22"/>
      <c r="WSI145" s="22"/>
      <c r="WSJ145" s="22"/>
      <c r="WSK145" s="22"/>
      <c r="WSL145" s="22"/>
      <c r="WSM145" s="22"/>
      <c r="WSN145" s="22"/>
      <c r="WSO145" s="22"/>
      <c r="WSP145" s="22"/>
      <c r="WSQ145" s="22"/>
      <c r="WSR145" s="22"/>
      <c r="WSS145" s="22"/>
      <c r="WST145" s="22"/>
      <c r="WSU145" s="22"/>
      <c r="WSV145" s="22"/>
      <c r="WSW145" s="22"/>
      <c r="WSX145" s="22"/>
      <c r="WSY145" s="22"/>
      <c r="WSZ145" s="22"/>
      <c r="WTA145" s="22"/>
      <c r="WTB145" s="22"/>
      <c r="WTC145" s="22"/>
      <c r="WTD145" s="22"/>
      <c r="WTE145" s="22"/>
      <c r="WTF145" s="22"/>
      <c r="WTG145" s="22"/>
      <c r="WTH145" s="22"/>
      <c r="WTI145" s="22"/>
      <c r="WTJ145" s="22"/>
      <c r="WTK145" s="22"/>
      <c r="WTL145" s="22"/>
      <c r="WTM145" s="22"/>
      <c r="WTN145" s="22"/>
      <c r="WTO145" s="22"/>
      <c r="WTP145" s="22"/>
      <c r="WTQ145" s="22"/>
      <c r="WTR145" s="22"/>
      <c r="WTS145" s="22"/>
      <c r="WTT145" s="22"/>
      <c r="WTU145" s="22"/>
      <c r="WTV145" s="22"/>
      <c r="WTW145" s="22"/>
      <c r="WTX145" s="22"/>
      <c r="WTY145" s="22"/>
      <c r="WTZ145" s="22"/>
      <c r="WUA145" s="22"/>
      <c r="WUB145" s="22"/>
      <c r="WUC145" s="22"/>
      <c r="WUD145" s="22"/>
      <c r="WUE145" s="22"/>
      <c r="WUF145" s="22"/>
      <c r="WUG145" s="22"/>
      <c r="WUH145" s="22"/>
      <c r="WUI145" s="22"/>
      <c r="WUJ145" s="22"/>
      <c r="WUK145" s="22"/>
      <c r="WUL145" s="22"/>
      <c r="WUM145" s="22"/>
      <c r="WUN145" s="22"/>
      <c r="WUO145" s="22"/>
      <c r="WUP145" s="22"/>
      <c r="WUQ145" s="22"/>
      <c r="WUR145" s="22"/>
      <c r="WUS145" s="22"/>
      <c r="WUT145" s="22"/>
      <c r="WUU145" s="22"/>
      <c r="WUV145" s="22"/>
      <c r="WUW145" s="22"/>
      <c r="WUX145" s="22"/>
      <c r="WUY145" s="22"/>
      <c r="WUZ145" s="22"/>
      <c r="WVA145" s="22"/>
      <c r="WVB145" s="22"/>
      <c r="WVC145" s="22"/>
      <c r="WVD145" s="22"/>
      <c r="WVE145" s="22"/>
      <c r="WVF145" s="22"/>
      <c r="WVG145" s="22"/>
      <c r="WVH145" s="22"/>
      <c r="WVI145" s="22"/>
      <c r="WVJ145" s="22"/>
      <c r="WVK145" s="22"/>
      <c r="WVL145" s="22"/>
      <c r="WVM145" s="22"/>
      <c r="WVN145" s="22"/>
      <c r="WVO145" s="22"/>
      <c r="WVP145" s="22"/>
      <c r="WVQ145" s="22"/>
      <c r="WVR145" s="22"/>
      <c r="WVS145" s="22"/>
      <c r="WVT145" s="22"/>
      <c r="WVU145" s="22"/>
      <c r="WVV145" s="22"/>
      <c r="WVW145" s="22"/>
      <c r="WVX145" s="22"/>
      <c r="WVY145" s="22"/>
      <c r="WVZ145" s="22"/>
      <c r="WWA145" s="22"/>
      <c r="WWB145" s="22"/>
      <c r="WWC145" s="22"/>
      <c r="WWD145" s="22"/>
      <c r="WWE145" s="22"/>
      <c r="WWF145" s="22"/>
      <c r="WWG145" s="22"/>
      <c r="WWH145" s="22"/>
      <c r="WWI145" s="22"/>
      <c r="WWJ145" s="22"/>
      <c r="WWK145" s="22"/>
      <c r="WWL145" s="22"/>
      <c r="WWM145" s="22"/>
      <c r="WWN145" s="22"/>
      <c r="WWO145" s="22"/>
      <c r="WWP145" s="22"/>
      <c r="WWQ145" s="22"/>
      <c r="WWR145" s="22"/>
      <c r="WWS145" s="22"/>
      <c r="WWT145" s="22"/>
      <c r="WWU145" s="22"/>
      <c r="WWV145" s="22"/>
      <c r="WWW145" s="22"/>
      <c r="WWX145" s="22"/>
      <c r="WWY145" s="22"/>
      <c r="WWZ145" s="22"/>
      <c r="WXA145" s="22"/>
      <c r="WXB145" s="22"/>
      <c r="WXC145" s="22"/>
      <c r="WXD145" s="22"/>
      <c r="WXE145" s="22"/>
      <c r="WXF145" s="22"/>
      <c r="WXG145" s="22"/>
      <c r="WXH145" s="22"/>
      <c r="WXI145" s="22"/>
      <c r="WXJ145" s="22"/>
      <c r="WXK145" s="22"/>
      <c r="WXL145" s="22"/>
      <c r="WXM145" s="22"/>
      <c r="WXN145" s="22"/>
      <c r="WXO145" s="22"/>
      <c r="WXP145" s="22"/>
      <c r="WXQ145" s="22"/>
      <c r="WXR145" s="22"/>
      <c r="WXS145" s="22"/>
      <c r="WXT145" s="22"/>
      <c r="WXU145" s="22"/>
      <c r="WXV145" s="22"/>
      <c r="WXW145" s="22"/>
      <c r="WXX145" s="22"/>
      <c r="WXY145" s="22"/>
      <c r="WXZ145" s="22"/>
      <c r="WYA145" s="22"/>
      <c r="WYB145" s="22"/>
      <c r="WYC145" s="22"/>
      <c r="WYD145" s="22"/>
      <c r="WYE145" s="22"/>
      <c r="WYF145" s="22"/>
      <c r="WYG145" s="22"/>
      <c r="WYH145" s="22"/>
      <c r="WYI145" s="22"/>
      <c r="WYJ145" s="22"/>
      <c r="WYK145" s="22"/>
      <c r="WYL145" s="22"/>
      <c r="WYM145" s="22"/>
      <c r="WYN145" s="22"/>
      <c r="WYO145" s="22"/>
      <c r="WYP145" s="22"/>
      <c r="WYQ145" s="22"/>
      <c r="WYR145" s="22"/>
      <c r="WYS145" s="22"/>
      <c r="WYT145" s="22"/>
      <c r="WYU145" s="22"/>
      <c r="WYV145" s="22"/>
      <c r="WYW145" s="22"/>
      <c r="WYX145" s="22"/>
      <c r="WYY145" s="22"/>
      <c r="WYZ145" s="22"/>
      <c r="WZA145" s="22"/>
      <c r="WZB145" s="22"/>
      <c r="WZC145" s="22"/>
      <c r="WZD145" s="22"/>
      <c r="WZE145" s="22"/>
      <c r="WZF145" s="22"/>
      <c r="WZG145" s="22"/>
      <c r="WZH145" s="22"/>
      <c r="WZI145" s="22"/>
      <c r="WZJ145" s="22"/>
      <c r="WZK145" s="22"/>
      <c r="WZL145" s="22"/>
      <c r="WZM145" s="22"/>
      <c r="WZN145" s="22"/>
      <c r="WZO145" s="22"/>
      <c r="WZP145" s="22"/>
      <c r="WZQ145" s="22"/>
      <c r="WZR145" s="22"/>
      <c r="WZS145" s="22"/>
      <c r="WZT145" s="22"/>
      <c r="WZU145" s="22"/>
      <c r="WZV145" s="22"/>
      <c r="WZW145" s="22"/>
      <c r="WZX145" s="22"/>
      <c r="WZY145" s="22"/>
      <c r="WZZ145" s="22"/>
      <c r="XAA145" s="22"/>
      <c r="XAB145" s="22"/>
      <c r="XAC145" s="22"/>
      <c r="XAD145" s="22"/>
      <c r="XAE145" s="22"/>
      <c r="XAF145" s="22"/>
      <c r="XAG145" s="22"/>
      <c r="XAH145" s="22"/>
      <c r="XAI145" s="22"/>
      <c r="XAJ145" s="22"/>
      <c r="XAK145" s="22"/>
      <c r="XAL145" s="22"/>
      <c r="XAM145" s="22"/>
      <c r="XAN145" s="22"/>
      <c r="XAO145" s="22"/>
      <c r="XAP145" s="22"/>
      <c r="XAQ145" s="22"/>
      <c r="XAR145" s="22"/>
      <c r="XAS145" s="22"/>
      <c r="XAT145" s="22"/>
      <c r="XAU145" s="22"/>
      <c r="XAV145" s="22"/>
      <c r="XAW145" s="22"/>
      <c r="XAX145" s="22"/>
      <c r="XAY145" s="22"/>
      <c r="XAZ145" s="22"/>
      <c r="XBA145" s="22"/>
      <c r="XBB145" s="22"/>
      <c r="XBC145" s="22"/>
      <c r="XBD145" s="22"/>
      <c r="XBE145" s="22"/>
      <c r="XBF145" s="22"/>
      <c r="XBG145" s="22"/>
      <c r="XBH145" s="22"/>
      <c r="XBI145" s="22"/>
      <c r="XBJ145" s="22"/>
      <c r="XBK145" s="22"/>
      <c r="XBL145" s="22"/>
      <c r="XBM145" s="22"/>
      <c r="XBN145" s="22"/>
      <c r="XBO145" s="22"/>
      <c r="XBP145" s="22"/>
      <c r="XBQ145" s="22"/>
      <c r="XBR145" s="22"/>
      <c r="XBS145" s="22"/>
      <c r="XBT145" s="22"/>
      <c r="XBU145" s="22"/>
      <c r="XBV145" s="22"/>
      <c r="XBW145" s="22"/>
      <c r="XBX145" s="22"/>
      <c r="XBY145" s="22"/>
      <c r="XBZ145" s="22"/>
      <c r="XCA145" s="22"/>
      <c r="XCB145" s="22"/>
      <c r="XCC145" s="22"/>
      <c r="XCD145" s="22"/>
      <c r="XCE145" s="22"/>
      <c r="XCF145" s="22"/>
      <c r="XCG145" s="22"/>
      <c r="XCH145" s="22"/>
      <c r="XCI145" s="22"/>
      <c r="XCJ145" s="22"/>
      <c r="XCK145" s="22"/>
      <c r="XCL145" s="22"/>
      <c r="XCM145" s="22"/>
      <c r="XCN145" s="22"/>
      <c r="XCO145" s="22"/>
      <c r="XCP145" s="22"/>
      <c r="XCQ145" s="22"/>
      <c r="XCR145" s="22"/>
      <c r="XCS145" s="22"/>
      <c r="XCT145" s="22"/>
      <c r="XCU145" s="22"/>
      <c r="XCV145" s="22"/>
      <c r="XCW145" s="22"/>
      <c r="XCX145" s="22"/>
      <c r="XCY145" s="22"/>
      <c r="XCZ145" s="22"/>
      <c r="XDA145" s="22"/>
      <c r="XDB145" s="22"/>
      <c r="XDC145" s="22"/>
      <c r="XDD145" s="22"/>
      <c r="XDE145" s="22"/>
      <c r="XDF145" s="22"/>
      <c r="XDG145" s="22"/>
      <c r="XDH145" s="22"/>
      <c r="XDI145" s="22"/>
      <c r="XDJ145" s="22"/>
      <c r="XDK145" s="22"/>
      <c r="XDL145" s="22"/>
      <c r="XDM145" s="22"/>
      <c r="XDN145" s="22"/>
      <c r="XDO145" s="22"/>
      <c r="XDP145" s="22"/>
      <c r="XDQ145" s="22"/>
      <c r="XDR145" s="22"/>
      <c r="XDS145" s="22"/>
      <c r="XDT145" s="22"/>
      <c r="XDU145" s="22"/>
      <c r="XDV145" s="22"/>
      <c r="XDW145" s="22"/>
      <c r="XDX145" s="22"/>
      <c r="XDY145" s="22"/>
      <c r="XDZ145" s="22"/>
      <c r="XEA145" s="22"/>
      <c r="XEB145" s="22"/>
      <c r="XEC145" s="22"/>
      <c r="XED145" s="22"/>
      <c r="XEE145" s="22"/>
      <c r="XEF145" s="22"/>
      <c r="XEG145" s="22"/>
      <c r="XEH145" s="22"/>
      <c r="XEI145" s="22"/>
      <c r="XEJ145" s="22"/>
      <c r="XEK145" s="22"/>
      <c r="XEL145" s="22"/>
      <c r="XEM145" s="22"/>
      <c r="XEN145" s="22"/>
      <c r="XEO145" s="22"/>
      <c r="XEP145" s="22"/>
      <c r="XEQ145" s="22"/>
      <c r="XER145" s="22"/>
      <c r="XES145" s="22"/>
      <c r="XET145" s="22"/>
      <c r="XEU145" s="22"/>
      <c r="XEV145" s="22"/>
      <c r="XEW145" s="22"/>
      <c r="XEX145" s="22"/>
      <c r="XEY145" s="22"/>
      <c r="XEZ145" s="22"/>
      <c r="XFA145" s="22"/>
      <c r="XFB145" s="22"/>
      <c r="XFC145" s="22"/>
      <c r="XFD145" s="22"/>
    </row>
    <row r="146" spans="1:16384" s="22" customFormat="1" hidden="1" outlineLevel="1" x14ac:dyDescent="0.25">
      <c r="A146" s="14"/>
      <c r="B146" s="15"/>
      <c r="C146" s="16" t="str">
        <f t="shared" si="201"/>
        <v xml:space="preserve"> </v>
      </c>
      <c r="D146" s="16" t="str">
        <f t="shared" si="202"/>
        <v xml:space="preserve"> </v>
      </c>
      <c r="E146" s="18"/>
      <c r="F146" s="18"/>
      <c r="G146" s="47">
        <f t="shared" si="203"/>
        <v>0</v>
      </c>
      <c r="H146" s="20">
        <f t="shared" si="204"/>
        <v>0</v>
      </c>
      <c r="I146" s="18"/>
      <c r="J146" s="21">
        <f t="shared" si="205"/>
        <v>0</v>
      </c>
      <c r="K146" s="318"/>
    </row>
    <row r="147" spans="1:16384" s="22" customFormat="1" hidden="1" outlineLevel="1" x14ac:dyDescent="0.25">
      <c r="A147" s="14"/>
      <c r="B147" s="15"/>
      <c r="C147" s="16" t="str">
        <f>VLOOKUP(LEFT(B147,2)&amp;0,invCustomer,2)</f>
        <v xml:space="preserve"> </v>
      </c>
      <c r="D147" s="16" t="str">
        <f>VLOOKUP(LEFT(B147,4)&amp;0,invProject,2)</f>
        <v xml:space="preserve"> </v>
      </c>
      <c r="E147" s="18"/>
      <c r="F147" s="18"/>
      <c r="G147" s="47">
        <f>ROUND(SUM(E147:F147)*0.1,2)</f>
        <v>0</v>
      </c>
      <c r="H147" s="20">
        <f>SUM(E147:G147)</f>
        <v>0</v>
      </c>
      <c r="I147" s="18"/>
      <c r="J147" s="21">
        <f>SUM(H147:I147)</f>
        <v>0</v>
      </c>
      <c r="K147" s="318"/>
    </row>
    <row r="148" spans="1:16384" s="54" customFormat="1" hidden="1" outlineLevel="1" x14ac:dyDescent="0.25">
      <c r="A148" s="14"/>
      <c r="B148" s="15"/>
      <c r="C148" s="16" t="str">
        <f t="shared" ref="C148" si="206">VLOOKUP(LEFT(B148,2)&amp;0,invCustomer,2)</f>
        <v xml:space="preserve"> </v>
      </c>
      <c r="D148" s="16" t="str">
        <f t="shared" ref="D148" si="207">VLOOKUP(LEFT(B148,4)&amp;0,invProject,2)</f>
        <v xml:space="preserve"> </v>
      </c>
      <c r="E148" s="18"/>
      <c r="F148" s="18"/>
      <c r="G148" s="47">
        <f t="shared" ref="G148" si="208">ROUND(SUM(E148:F148)*0.1,2)</f>
        <v>0</v>
      </c>
      <c r="H148" s="20">
        <f t="shared" ref="H148" si="209">SUM(E148:G148)</f>
        <v>0</v>
      </c>
      <c r="I148" s="18"/>
      <c r="J148" s="21">
        <f t="shared" ref="J148" si="210">SUM(H148:I148)</f>
        <v>0</v>
      </c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2"/>
      <c r="AP148" s="22"/>
      <c r="AQ148" s="22"/>
      <c r="AR148" s="22"/>
      <c r="AS148" s="22"/>
      <c r="AT148" s="22"/>
      <c r="AU148" s="22"/>
      <c r="AV148" s="22"/>
      <c r="AW148" s="22"/>
      <c r="AX148" s="22"/>
      <c r="AY148" s="22"/>
      <c r="AZ148" s="22"/>
      <c r="BA148" s="22"/>
      <c r="BB148" s="22"/>
      <c r="BC148" s="22"/>
      <c r="BD148" s="22"/>
      <c r="BE148" s="22"/>
      <c r="BF148" s="22"/>
      <c r="BG148" s="22"/>
      <c r="BH148" s="22"/>
      <c r="BI148" s="22"/>
      <c r="BJ148" s="22"/>
      <c r="BK148" s="22"/>
      <c r="BL148" s="22"/>
      <c r="BM148" s="22"/>
      <c r="BN148" s="22"/>
      <c r="BO148" s="22"/>
      <c r="BP148" s="22"/>
      <c r="BQ148" s="22"/>
      <c r="BR148" s="22"/>
      <c r="BS148" s="22"/>
      <c r="BT148" s="22"/>
      <c r="BU148" s="22"/>
      <c r="BV148" s="22"/>
      <c r="BW148" s="22"/>
      <c r="BX148" s="22"/>
      <c r="BY148" s="22"/>
      <c r="BZ148" s="22"/>
      <c r="CA148" s="22"/>
      <c r="CB148" s="22"/>
      <c r="CC148" s="22"/>
      <c r="CD148" s="22"/>
      <c r="CE148" s="22"/>
      <c r="CF148" s="22"/>
      <c r="CG148" s="22"/>
      <c r="CH148" s="22"/>
      <c r="CI148" s="22"/>
      <c r="CJ148" s="22"/>
      <c r="CK148" s="22"/>
      <c r="CL148" s="22"/>
      <c r="CM148" s="22"/>
      <c r="CN148" s="22"/>
      <c r="CO148" s="22"/>
      <c r="CP148" s="22"/>
      <c r="CQ148" s="22"/>
      <c r="CR148" s="22"/>
      <c r="CS148" s="22"/>
      <c r="CT148" s="22"/>
      <c r="CU148" s="22"/>
      <c r="CV148" s="22"/>
      <c r="CW148" s="22"/>
      <c r="CX148" s="22"/>
      <c r="CY148" s="22"/>
      <c r="CZ148" s="22"/>
      <c r="DA148" s="22"/>
      <c r="DB148" s="22"/>
      <c r="DC148" s="22"/>
      <c r="DD148" s="22"/>
      <c r="DE148" s="22"/>
      <c r="DF148" s="22"/>
      <c r="DG148" s="22"/>
      <c r="DH148" s="22"/>
      <c r="DI148" s="22"/>
      <c r="DJ148" s="22"/>
      <c r="DK148" s="22"/>
      <c r="DL148" s="22"/>
      <c r="DM148" s="22"/>
      <c r="DN148" s="22"/>
      <c r="DO148" s="22"/>
      <c r="DP148" s="22"/>
      <c r="DQ148" s="22"/>
      <c r="DR148" s="22"/>
      <c r="DS148" s="22"/>
      <c r="DT148" s="22"/>
      <c r="DU148" s="22"/>
      <c r="DV148" s="22"/>
      <c r="DW148" s="22"/>
      <c r="DX148" s="22"/>
      <c r="DY148" s="22"/>
      <c r="DZ148" s="22"/>
      <c r="EA148" s="22"/>
      <c r="EB148" s="22"/>
      <c r="EC148" s="22"/>
      <c r="ED148" s="22"/>
      <c r="EE148" s="22"/>
      <c r="EF148" s="22"/>
      <c r="EG148" s="22"/>
      <c r="EH148" s="22"/>
      <c r="EI148" s="22"/>
      <c r="EJ148" s="22"/>
      <c r="EK148" s="22"/>
      <c r="EL148" s="22"/>
      <c r="EM148" s="22"/>
      <c r="EN148" s="22"/>
      <c r="EO148" s="22"/>
      <c r="EP148" s="22"/>
      <c r="EQ148" s="22"/>
      <c r="ER148" s="22"/>
      <c r="ES148" s="22"/>
      <c r="ET148" s="22"/>
      <c r="EU148" s="22"/>
      <c r="EV148" s="22"/>
      <c r="EW148" s="22"/>
      <c r="EX148" s="22"/>
      <c r="EY148" s="22"/>
      <c r="EZ148" s="22"/>
      <c r="FA148" s="22"/>
      <c r="FB148" s="22"/>
      <c r="FC148" s="22"/>
      <c r="FD148" s="22"/>
      <c r="FE148" s="22"/>
      <c r="FF148" s="22"/>
      <c r="FG148" s="22"/>
      <c r="FH148" s="22"/>
      <c r="FI148" s="22"/>
      <c r="FJ148" s="22"/>
      <c r="FK148" s="22"/>
      <c r="FL148" s="22"/>
      <c r="FM148" s="22"/>
      <c r="FN148" s="22"/>
      <c r="FO148" s="22"/>
      <c r="FP148" s="22"/>
      <c r="FQ148" s="22"/>
      <c r="FR148" s="22"/>
      <c r="FS148" s="22"/>
      <c r="FT148" s="22"/>
      <c r="FU148" s="22"/>
      <c r="FV148" s="22"/>
      <c r="FW148" s="22"/>
      <c r="FX148" s="22"/>
      <c r="FY148" s="22"/>
      <c r="FZ148" s="22"/>
      <c r="GA148" s="22"/>
      <c r="GB148" s="22"/>
      <c r="GC148" s="22"/>
      <c r="GD148" s="22"/>
      <c r="GE148" s="22"/>
      <c r="GF148" s="22"/>
      <c r="GG148" s="22"/>
      <c r="GH148" s="22"/>
      <c r="GI148" s="22"/>
      <c r="GJ148" s="22"/>
      <c r="GK148" s="22"/>
      <c r="GL148" s="22"/>
      <c r="GM148" s="22"/>
      <c r="GN148" s="22"/>
      <c r="GO148" s="22"/>
      <c r="GP148" s="22"/>
      <c r="GQ148" s="22"/>
      <c r="GR148" s="22"/>
      <c r="GS148" s="22"/>
      <c r="GT148" s="22"/>
      <c r="GU148" s="22"/>
      <c r="GV148" s="22"/>
      <c r="GW148" s="22"/>
      <c r="GX148" s="22"/>
      <c r="GY148" s="22"/>
      <c r="GZ148" s="22"/>
      <c r="HA148" s="22"/>
      <c r="HB148" s="22"/>
      <c r="HC148" s="22"/>
      <c r="HD148" s="22"/>
      <c r="HE148" s="22"/>
      <c r="HF148" s="22"/>
      <c r="HG148" s="22"/>
      <c r="HH148" s="22"/>
      <c r="HI148" s="22"/>
      <c r="HJ148" s="22"/>
      <c r="HK148" s="22"/>
      <c r="HL148" s="22"/>
      <c r="HM148" s="22"/>
      <c r="HN148" s="22"/>
      <c r="HO148" s="22"/>
      <c r="HP148" s="22"/>
      <c r="HQ148" s="22"/>
      <c r="HR148" s="22"/>
      <c r="HS148" s="22"/>
      <c r="HT148" s="22"/>
      <c r="HU148" s="22"/>
      <c r="HV148" s="22"/>
      <c r="HW148" s="22"/>
      <c r="HX148" s="22"/>
      <c r="HY148" s="22"/>
      <c r="HZ148" s="22"/>
      <c r="IA148" s="22"/>
      <c r="IB148" s="22"/>
      <c r="IC148" s="22"/>
      <c r="ID148" s="22"/>
      <c r="IE148" s="22"/>
      <c r="IF148" s="22"/>
      <c r="IG148" s="22"/>
      <c r="IH148" s="22"/>
      <c r="II148" s="22"/>
      <c r="IJ148" s="22"/>
      <c r="IK148" s="22"/>
      <c r="IL148" s="22"/>
      <c r="IM148" s="22"/>
      <c r="IN148" s="22"/>
      <c r="IO148" s="22"/>
      <c r="IP148" s="22"/>
      <c r="IQ148" s="22"/>
      <c r="IR148" s="22"/>
      <c r="IS148" s="22"/>
      <c r="IT148" s="22"/>
      <c r="IU148" s="22"/>
      <c r="IV148" s="22"/>
      <c r="IW148" s="22"/>
      <c r="IX148" s="22"/>
      <c r="IY148" s="22"/>
      <c r="IZ148" s="22"/>
      <c r="JA148" s="22"/>
      <c r="JB148" s="22"/>
      <c r="JC148" s="22"/>
      <c r="JD148" s="22"/>
      <c r="JE148" s="22"/>
      <c r="JF148" s="22"/>
      <c r="JG148" s="22"/>
      <c r="JH148" s="22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2"/>
      <c r="LK148" s="22"/>
      <c r="LL148" s="22"/>
      <c r="LM148" s="22"/>
      <c r="LN148" s="22"/>
      <c r="LO148" s="22"/>
      <c r="LP148" s="22"/>
      <c r="LQ148" s="22"/>
      <c r="LR148" s="22"/>
      <c r="LS148" s="22"/>
      <c r="LT148" s="22"/>
      <c r="LU148" s="22"/>
      <c r="LV148" s="22"/>
      <c r="LW148" s="22"/>
      <c r="LX148" s="22"/>
      <c r="LY148" s="22"/>
      <c r="LZ148" s="22"/>
      <c r="MA148" s="22"/>
      <c r="MB148" s="22"/>
      <c r="MC148" s="22"/>
      <c r="MD148" s="22"/>
      <c r="ME148" s="22"/>
      <c r="MF148" s="22"/>
      <c r="MG148" s="22"/>
      <c r="MH148" s="22"/>
      <c r="MI148" s="22"/>
      <c r="MJ148" s="22"/>
      <c r="MK148" s="22"/>
      <c r="ML148" s="22"/>
      <c r="MM148" s="22"/>
      <c r="MN148" s="22"/>
      <c r="MO148" s="22"/>
      <c r="MP148" s="22"/>
      <c r="MQ148" s="22"/>
      <c r="MR148" s="22"/>
      <c r="MS148" s="22"/>
      <c r="MT148" s="22"/>
      <c r="MU148" s="22"/>
      <c r="MV148" s="22"/>
      <c r="MW148" s="22"/>
      <c r="MX148" s="22"/>
      <c r="MY148" s="22"/>
      <c r="MZ148" s="22"/>
      <c r="NA148" s="22"/>
      <c r="NB148" s="22"/>
      <c r="NC148" s="22"/>
      <c r="ND148" s="22"/>
      <c r="NE148" s="22"/>
      <c r="NF148" s="22"/>
      <c r="NG148" s="22"/>
      <c r="NH148" s="22"/>
      <c r="NI148" s="22"/>
      <c r="NJ148" s="22"/>
      <c r="NK148" s="22"/>
      <c r="NL148" s="22"/>
      <c r="NM148" s="22"/>
      <c r="NN148" s="22"/>
      <c r="NO148" s="22"/>
      <c r="NP148" s="22"/>
      <c r="NQ148" s="22"/>
      <c r="NR148" s="22"/>
      <c r="NS148" s="22"/>
      <c r="NT148" s="22"/>
      <c r="NU148" s="22"/>
      <c r="NV148" s="22"/>
      <c r="NW148" s="22"/>
      <c r="NX148" s="22"/>
      <c r="NY148" s="22"/>
      <c r="NZ148" s="22"/>
      <c r="OA148" s="22"/>
      <c r="OB148" s="22"/>
      <c r="OC148" s="22"/>
      <c r="OD148" s="22"/>
      <c r="OE148" s="22"/>
      <c r="OF148" s="22"/>
      <c r="OG148" s="22"/>
      <c r="OH148" s="22"/>
      <c r="OI148" s="22"/>
      <c r="OJ148" s="22"/>
      <c r="OK148" s="22"/>
      <c r="OL148" s="22"/>
      <c r="OM148" s="22"/>
      <c r="ON148" s="22"/>
      <c r="OO148" s="22"/>
      <c r="OP148" s="22"/>
      <c r="OQ148" s="22"/>
      <c r="OR148" s="22"/>
      <c r="OS148" s="22"/>
      <c r="OT148" s="22"/>
      <c r="OU148" s="22"/>
      <c r="OV148" s="22"/>
      <c r="OW148" s="22"/>
      <c r="OX148" s="22"/>
      <c r="OY148" s="22"/>
      <c r="OZ148" s="22"/>
      <c r="PA148" s="22"/>
      <c r="PB148" s="22"/>
      <c r="PC148" s="22"/>
      <c r="PD148" s="22"/>
      <c r="PE148" s="22"/>
      <c r="PF148" s="22"/>
      <c r="PG148" s="22"/>
      <c r="PH148" s="22"/>
      <c r="PI148" s="22"/>
      <c r="PJ148" s="22"/>
      <c r="PK148" s="22"/>
      <c r="PL148" s="22"/>
      <c r="PM148" s="22"/>
      <c r="PN148" s="22"/>
      <c r="PO148" s="22"/>
      <c r="PP148" s="22"/>
      <c r="PQ148" s="22"/>
      <c r="PR148" s="22"/>
      <c r="PS148" s="22"/>
      <c r="PT148" s="22"/>
      <c r="PU148" s="22"/>
      <c r="PV148" s="22"/>
      <c r="PW148" s="22"/>
      <c r="PX148" s="22"/>
      <c r="PY148" s="22"/>
      <c r="PZ148" s="22"/>
      <c r="QA148" s="22"/>
      <c r="QB148" s="22"/>
      <c r="QC148" s="22"/>
      <c r="QD148" s="22"/>
      <c r="QE148" s="22"/>
      <c r="QF148" s="22"/>
      <c r="QG148" s="22"/>
      <c r="QH148" s="22"/>
      <c r="QI148" s="22"/>
      <c r="QJ148" s="22"/>
      <c r="QK148" s="22"/>
      <c r="QL148" s="22"/>
      <c r="QM148" s="22"/>
      <c r="QN148" s="22"/>
      <c r="QO148" s="22"/>
      <c r="QP148" s="22"/>
      <c r="QQ148" s="22"/>
      <c r="QR148" s="22"/>
      <c r="QS148" s="22"/>
      <c r="QT148" s="22"/>
      <c r="QU148" s="22"/>
      <c r="QV148" s="22"/>
      <c r="QW148" s="22"/>
      <c r="QX148" s="22"/>
      <c r="QY148" s="22"/>
      <c r="QZ148" s="22"/>
      <c r="RA148" s="22"/>
      <c r="RB148" s="22"/>
      <c r="RC148" s="22"/>
      <c r="RD148" s="22"/>
      <c r="RE148" s="22"/>
      <c r="RF148" s="22"/>
      <c r="RG148" s="22"/>
      <c r="RH148" s="22"/>
      <c r="RI148" s="22"/>
      <c r="RJ148" s="22"/>
      <c r="RK148" s="22"/>
      <c r="RL148" s="22"/>
      <c r="RM148" s="22"/>
      <c r="RN148" s="22"/>
      <c r="RO148" s="22"/>
      <c r="RP148" s="22"/>
      <c r="RQ148" s="22"/>
      <c r="RR148" s="22"/>
      <c r="RS148" s="22"/>
      <c r="RT148" s="22"/>
      <c r="RU148" s="22"/>
      <c r="RV148" s="22"/>
      <c r="RW148" s="22"/>
      <c r="RX148" s="22"/>
      <c r="RY148" s="22"/>
      <c r="RZ148" s="22"/>
      <c r="SA148" s="22"/>
      <c r="SB148" s="22"/>
      <c r="SC148" s="22"/>
      <c r="SD148" s="22"/>
      <c r="SE148" s="22"/>
      <c r="SF148" s="22"/>
      <c r="SG148" s="22"/>
      <c r="SH148" s="22"/>
      <c r="SI148" s="22"/>
      <c r="SJ148" s="22"/>
      <c r="SK148" s="22"/>
      <c r="SL148" s="22"/>
      <c r="SM148" s="22"/>
      <c r="SN148" s="22"/>
      <c r="SO148" s="22"/>
      <c r="SP148" s="22"/>
      <c r="SQ148" s="22"/>
      <c r="SR148" s="22"/>
      <c r="SS148" s="22"/>
      <c r="ST148" s="22"/>
      <c r="SU148" s="22"/>
      <c r="SV148" s="22"/>
      <c r="SW148" s="22"/>
      <c r="SX148" s="22"/>
      <c r="SY148" s="22"/>
      <c r="SZ148" s="22"/>
      <c r="TA148" s="22"/>
      <c r="TB148" s="22"/>
      <c r="TC148" s="22"/>
      <c r="TD148" s="22"/>
      <c r="TE148" s="22"/>
      <c r="TF148" s="22"/>
      <c r="TG148" s="22"/>
      <c r="TH148" s="22"/>
      <c r="TI148" s="22"/>
      <c r="TJ148" s="22"/>
      <c r="TK148" s="22"/>
      <c r="TL148" s="22"/>
      <c r="TM148" s="22"/>
      <c r="TN148" s="22"/>
      <c r="TO148" s="22"/>
      <c r="TP148" s="22"/>
      <c r="TQ148" s="22"/>
      <c r="TR148" s="22"/>
      <c r="TS148" s="22"/>
      <c r="TT148" s="22"/>
      <c r="TU148" s="22"/>
      <c r="TV148" s="22"/>
      <c r="TW148" s="22"/>
      <c r="TX148" s="22"/>
      <c r="TY148" s="22"/>
      <c r="TZ148" s="22"/>
      <c r="UA148" s="22"/>
      <c r="UB148" s="22"/>
      <c r="UC148" s="22"/>
      <c r="UD148" s="22"/>
      <c r="UE148" s="22"/>
      <c r="UF148" s="22"/>
      <c r="UG148" s="22"/>
      <c r="UH148" s="22"/>
      <c r="UI148" s="22"/>
      <c r="UJ148" s="22"/>
      <c r="UK148" s="22"/>
      <c r="UL148" s="22"/>
      <c r="UM148" s="22"/>
      <c r="UN148" s="22"/>
      <c r="UO148" s="22"/>
      <c r="UP148" s="22"/>
      <c r="UQ148" s="22"/>
      <c r="UR148" s="22"/>
      <c r="US148" s="22"/>
      <c r="UT148" s="22"/>
      <c r="UU148" s="22"/>
      <c r="UV148" s="22"/>
      <c r="UW148" s="22"/>
      <c r="UX148" s="22"/>
      <c r="UY148" s="22"/>
      <c r="UZ148" s="22"/>
      <c r="VA148" s="22"/>
      <c r="VB148" s="22"/>
      <c r="VC148" s="22"/>
      <c r="VD148" s="22"/>
      <c r="VE148" s="22"/>
      <c r="VF148" s="22"/>
      <c r="VG148" s="22"/>
      <c r="VH148" s="22"/>
      <c r="VI148" s="22"/>
      <c r="VJ148" s="22"/>
      <c r="VK148" s="22"/>
      <c r="VL148" s="22"/>
      <c r="VM148" s="22"/>
      <c r="VN148" s="22"/>
      <c r="VO148" s="22"/>
      <c r="VP148" s="22"/>
      <c r="VQ148" s="22"/>
      <c r="VR148" s="22"/>
      <c r="VS148" s="22"/>
      <c r="VT148" s="22"/>
      <c r="VU148" s="22"/>
      <c r="VV148" s="22"/>
      <c r="VW148" s="22"/>
      <c r="VX148" s="22"/>
      <c r="VY148" s="22"/>
      <c r="VZ148" s="22"/>
      <c r="WA148" s="22"/>
      <c r="WB148" s="22"/>
      <c r="WC148" s="22"/>
      <c r="WD148" s="22"/>
      <c r="WE148" s="22"/>
      <c r="WF148" s="22"/>
      <c r="WG148" s="22"/>
      <c r="WH148" s="22"/>
      <c r="WI148" s="22"/>
      <c r="WJ148" s="22"/>
      <c r="WK148" s="22"/>
      <c r="WL148" s="22"/>
      <c r="WM148" s="22"/>
      <c r="WN148" s="22"/>
      <c r="WO148" s="22"/>
      <c r="WP148" s="22"/>
      <c r="WQ148" s="22"/>
      <c r="WR148" s="22"/>
      <c r="WS148" s="22"/>
      <c r="WT148" s="22"/>
      <c r="WU148" s="22"/>
      <c r="WV148" s="22"/>
      <c r="WW148" s="22"/>
      <c r="WX148" s="22"/>
      <c r="WY148" s="22"/>
      <c r="WZ148" s="22"/>
      <c r="XA148" s="22"/>
      <c r="XB148" s="22"/>
      <c r="XC148" s="22"/>
      <c r="XD148" s="22"/>
      <c r="XE148" s="22"/>
      <c r="XF148" s="22"/>
      <c r="XG148" s="22"/>
      <c r="XH148" s="22"/>
      <c r="XI148" s="22"/>
      <c r="XJ148" s="22"/>
      <c r="XK148" s="22"/>
      <c r="XL148" s="22"/>
      <c r="XM148" s="22"/>
      <c r="XN148" s="22"/>
      <c r="XO148" s="22"/>
      <c r="XP148" s="22"/>
      <c r="XQ148" s="22"/>
      <c r="XR148" s="22"/>
      <c r="XS148" s="22"/>
      <c r="XT148" s="22"/>
      <c r="XU148" s="22"/>
      <c r="XV148" s="22"/>
      <c r="XW148" s="22"/>
      <c r="XX148" s="22"/>
      <c r="XY148" s="22"/>
      <c r="XZ148" s="22"/>
      <c r="YA148" s="22"/>
      <c r="YB148" s="22"/>
      <c r="YC148" s="22"/>
      <c r="YD148" s="22"/>
      <c r="YE148" s="22"/>
      <c r="YF148" s="22"/>
      <c r="YG148" s="22"/>
      <c r="YH148" s="22"/>
      <c r="YI148" s="22"/>
      <c r="YJ148" s="22"/>
      <c r="YK148" s="22"/>
      <c r="YL148" s="22"/>
      <c r="YM148" s="22"/>
      <c r="YN148" s="22"/>
      <c r="YO148" s="22"/>
      <c r="YP148" s="22"/>
      <c r="YQ148" s="22"/>
      <c r="YR148" s="22"/>
      <c r="YS148" s="22"/>
      <c r="YT148" s="22"/>
      <c r="YU148" s="22"/>
      <c r="YV148" s="22"/>
      <c r="YW148" s="22"/>
      <c r="YX148" s="22"/>
      <c r="YY148" s="22"/>
      <c r="YZ148" s="22"/>
      <c r="ZA148" s="22"/>
      <c r="ZB148" s="22"/>
      <c r="ZC148" s="22"/>
      <c r="ZD148" s="22"/>
      <c r="ZE148" s="22"/>
      <c r="ZF148" s="22"/>
      <c r="ZG148" s="22"/>
      <c r="ZH148" s="22"/>
      <c r="ZI148" s="22"/>
      <c r="ZJ148" s="22"/>
      <c r="ZK148" s="22"/>
      <c r="ZL148" s="22"/>
      <c r="ZM148" s="22"/>
      <c r="ZN148" s="22"/>
      <c r="ZO148" s="22"/>
      <c r="ZP148" s="22"/>
      <c r="ZQ148" s="22"/>
      <c r="ZR148" s="22"/>
      <c r="ZS148" s="22"/>
      <c r="ZT148" s="22"/>
      <c r="ZU148" s="22"/>
      <c r="ZV148" s="22"/>
      <c r="ZW148" s="22"/>
      <c r="ZX148" s="22"/>
      <c r="ZY148" s="22"/>
      <c r="ZZ148" s="22"/>
      <c r="AAA148" s="22"/>
      <c r="AAB148" s="22"/>
      <c r="AAC148" s="22"/>
      <c r="AAD148" s="22"/>
      <c r="AAE148" s="22"/>
      <c r="AAF148" s="22"/>
      <c r="AAG148" s="22"/>
      <c r="AAH148" s="22"/>
      <c r="AAI148" s="22"/>
      <c r="AAJ148" s="22"/>
      <c r="AAK148" s="22"/>
      <c r="AAL148" s="22"/>
      <c r="AAM148" s="22"/>
      <c r="AAN148" s="22"/>
      <c r="AAO148" s="22"/>
      <c r="AAP148" s="22"/>
      <c r="AAQ148" s="22"/>
      <c r="AAR148" s="22"/>
      <c r="AAS148" s="22"/>
      <c r="AAT148" s="22"/>
      <c r="AAU148" s="22"/>
      <c r="AAV148" s="22"/>
      <c r="AAW148" s="22"/>
      <c r="AAX148" s="22"/>
      <c r="AAY148" s="22"/>
      <c r="AAZ148" s="22"/>
      <c r="ABA148" s="22"/>
      <c r="ABB148" s="22"/>
      <c r="ABC148" s="22"/>
      <c r="ABD148" s="22"/>
      <c r="ABE148" s="22"/>
      <c r="ABF148" s="22"/>
      <c r="ABG148" s="22"/>
      <c r="ABH148" s="22"/>
      <c r="ABI148" s="22"/>
      <c r="ABJ148" s="22"/>
      <c r="ABK148" s="22"/>
      <c r="ABL148" s="22"/>
      <c r="ABM148" s="22"/>
      <c r="ABN148" s="22"/>
      <c r="ABO148" s="22"/>
      <c r="ABP148" s="22"/>
      <c r="ABQ148" s="22"/>
      <c r="ABR148" s="22"/>
      <c r="ABS148" s="22"/>
      <c r="ABT148" s="22"/>
      <c r="ABU148" s="22"/>
      <c r="ABV148" s="22"/>
      <c r="ABW148" s="22"/>
      <c r="ABX148" s="22"/>
      <c r="ABY148" s="22"/>
      <c r="ABZ148" s="22"/>
      <c r="ACA148" s="22"/>
      <c r="ACB148" s="22"/>
      <c r="ACC148" s="22"/>
      <c r="ACD148" s="22"/>
      <c r="ACE148" s="22"/>
      <c r="ACF148" s="22"/>
      <c r="ACG148" s="22"/>
      <c r="ACH148" s="22"/>
      <c r="ACI148" s="22"/>
      <c r="ACJ148" s="22"/>
      <c r="ACK148" s="22"/>
      <c r="ACL148" s="22"/>
      <c r="ACM148" s="22"/>
      <c r="ACN148" s="22"/>
      <c r="ACO148" s="22"/>
      <c r="ACP148" s="22"/>
      <c r="ACQ148" s="22"/>
      <c r="ACR148" s="22"/>
      <c r="ACS148" s="22"/>
      <c r="ACT148" s="22"/>
      <c r="ACU148" s="22"/>
      <c r="ACV148" s="22"/>
      <c r="ACW148" s="22"/>
      <c r="ACX148" s="22"/>
      <c r="ACY148" s="22"/>
      <c r="ACZ148" s="22"/>
      <c r="ADA148" s="22"/>
      <c r="ADB148" s="22"/>
      <c r="ADC148" s="22"/>
      <c r="ADD148" s="22"/>
      <c r="ADE148" s="22"/>
      <c r="ADF148" s="22"/>
      <c r="ADG148" s="22"/>
      <c r="ADH148" s="22"/>
      <c r="ADI148" s="22"/>
      <c r="ADJ148" s="22"/>
      <c r="ADK148" s="22"/>
      <c r="ADL148" s="22"/>
      <c r="ADM148" s="22"/>
      <c r="ADN148" s="22"/>
      <c r="ADO148" s="22"/>
      <c r="ADP148" s="22"/>
      <c r="ADQ148" s="22"/>
      <c r="ADR148" s="22"/>
      <c r="ADS148" s="22"/>
      <c r="ADT148" s="22"/>
      <c r="ADU148" s="22"/>
      <c r="ADV148" s="22"/>
      <c r="ADW148" s="22"/>
      <c r="ADX148" s="22"/>
      <c r="ADY148" s="22"/>
      <c r="ADZ148" s="22"/>
      <c r="AEA148" s="22"/>
      <c r="AEB148" s="22"/>
      <c r="AEC148" s="22"/>
      <c r="AED148" s="22"/>
      <c r="AEE148" s="22"/>
      <c r="AEF148" s="22"/>
      <c r="AEG148" s="22"/>
      <c r="AEH148" s="22"/>
      <c r="AEI148" s="22"/>
      <c r="AEJ148" s="22"/>
      <c r="AEK148" s="22"/>
      <c r="AEL148" s="22"/>
      <c r="AEM148" s="22"/>
      <c r="AEN148" s="22"/>
      <c r="AEO148" s="22"/>
      <c r="AEP148" s="22"/>
      <c r="AEQ148" s="22"/>
      <c r="AER148" s="22"/>
      <c r="AES148" s="22"/>
      <c r="AET148" s="22"/>
      <c r="AEU148" s="22"/>
      <c r="AEV148" s="22"/>
      <c r="AEW148" s="22"/>
      <c r="AEX148" s="22"/>
      <c r="AEY148" s="22"/>
      <c r="AEZ148" s="22"/>
      <c r="AFA148" s="22"/>
      <c r="AFB148" s="22"/>
      <c r="AFC148" s="22"/>
      <c r="AFD148" s="22"/>
      <c r="AFE148" s="22"/>
      <c r="AFF148" s="22"/>
      <c r="AFG148" s="22"/>
      <c r="AFH148" s="22"/>
      <c r="AFI148" s="22"/>
      <c r="AFJ148" s="22"/>
      <c r="AFK148" s="22"/>
      <c r="AFL148" s="22"/>
      <c r="AFM148" s="22"/>
      <c r="AFN148" s="22"/>
      <c r="AFO148" s="22"/>
      <c r="AFP148" s="22"/>
      <c r="AFQ148" s="22"/>
      <c r="AFR148" s="22"/>
      <c r="AFS148" s="22"/>
      <c r="AFT148" s="22"/>
      <c r="AFU148" s="22"/>
      <c r="AFV148" s="22"/>
      <c r="AFW148" s="22"/>
      <c r="AFX148" s="22"/>
      <c r="AFY148" s="22"/>
      <c r="AFZ148" s="22"/>
      <c r="AGA148" s="22"/>
      <c r="AGB148" s="22"/>
      <c r="AGC148" s="22"/>
      <c r="AGD148" s="22"/>
      <c r="AGE148" s="22"/>
      <c r="AGF148" s="22"/>
      <c r="AGG148" s="22"/>
      <c r="AGH148" s="22"/>
      <c r="AGI148" s="22"/>
      <c r="AGJ148" s="22"/>
      <c r="AGK148" s="22"/>
      <c r="AGL148" s="22"/>
      <c r="AGM148" s="22"/>
      <c r="AGN148" s="22"/>
      <c r="AGO148" s="22"/>
      <c r="AGP148" s="22"/>
      <c r="AGQ148" s="22"/>
      <c r="AGR148" s="22"/>
      <c r="AGS148" s="22"/>
      <c r="AGT148" s="22"/>
      <c r="AGU148" s="22"/>
      <c r="AGV148" s="22"/>
      <c r="AGW148" s="22"/>
      <c r="AGX148" s="22"/>
      <c r="AGY148" s="22"/>
      <c r="AGZ148" s="22"/>
      <c r="AHA148" s="22"/>
      <c r="AHB148" s="22"/>
      <c r="AHC148" s="22"/>
      <c r="AHD148" s="22"/>
      <c r="AHE148" s="22"/>
      <c r="AHF148" s="22"/>
      <c r="AHG148" s="22"/>
      <c r="AHH148" s="22"/>
      <c r="AHI148" s="22"/>
      <c r="AHJ148" s="22"/>
      <c r="AHK148" s="22"/>
      <c r="AHL148" s="22"/>
      <c r="AHM148" s="22"/>
      <c r="AHN148" s="22"/>
      <c r="AHO148" s="22"/>
      <c r="AHP148" s="22"/>
      <c r="AHQ148" s="22"/>
      <c r="AHR148" s="22"/>
      <c r="AHS148" s="22"/>
      <c r="AHT148" s="22"/>
      <c r="AHU148" s="22"/>
      <c r="AHV148" s="22"/>
      <c r="AHW148" s="22"/>
      <c r="AHX148" s="22"/>
      <c r="AHY148" s="22"/>
      <c r="AHZ148" s="22"/>
      <c r="AIA148" s="22"/>
      <c r="AIB148" s="22"/>
      <c r="AIC148" s="22"/>
      <c r="AID148" s="22"/>
      <c r="AIE148" s="22"/>
      <c r="AIF148" s="22"/>
      <c r="AIG148" s="22"/>
      <c r="AIH148" s="22"/>
      <c r="AII148" s="22"/>
      <c r="AIJ148" s="22"/>
      <c r="AIK148" s="22"/>
      <c r="AIL148" s="22"/>
      <c r="AIM148" s="22"/>
      <c r="AIN148" s="22"/>
      <c r="AIO148" s="22"/>
      <c r="AIP148" s="22"/>
      <c r="AIQ148" s="22"/>
      <c r="AIR148" s="22"/>
      <c r="AIS148" s="22"/>
      <c r="AIT148" s="22"/>
      <c r="AIU148" s="22"/>
      <c r="AIV148" s="22"/>
      <c r="AIW148" s="22"/>
      <c r="AIX148" s="22"/>
      <c r="AIY148" s="22"/>
      <c r="AIZ148" s="22"/>
      <c r="AJA148" s="22"/>
      <c r="AJB148" s="22"/>
      <c r="AJC148" s="22"/>
      <c r="AJD148" s="22"/>
      <c r="AJE148" s="22"/>
      <c r="AJF148" s="22"/>
      <c r="AJG148" s="22"/>
      <c r="AJH148" s="22"/>
      <c r="AJI148" s="22"/>
      <c r="AJJ148" s="22"/>
      <c r="AJK148" s="22"/>
      <c r="AJL148" s="22"/>
      <c r="AJM148" s="22"/>
      <c r="AJN148" s="22"/>
      <c r="AJO148" s="22"/>
      <c r="AJP148" s="22"/>
      <c r="AJQ148" s="22"/>
      <c r="AJR148" s="22"/>
      <c r="AJS148" s="22"/>
      <c r="AJT148" s="22"/>
      <c r="AJU148" s="22"/>
      <c r="AJV148" s="22"/>
      <c r="AJW148" s="22"/>
      <c r="AJX148" s="22"/>
      <c r="AJY148" s="22"/>
      <c r="AJZ148" s="22"/>
      <c r="AKA148" s="22"/>
      <c r="AKB148" s="22"/>
      <c r="AKC148" s="22"/>
      <c r="AKD148" s="22"/>
      <c r="AKE148" s="22"/>
      <c r="AKF148" s="22"/>
      <c r="AKG148" s="22"/>
      <c r="AKH148" s="22"/>
      <c r="AKI148" s="22"/>
      <c r="AKJ148" s="22"/>
      <c r="AKK148" s="22"/>
      <c r="AKL148" s="22"/>
      <c r="AKM148" s="22"/>
      <c r="AKN148" s="22"/>
      <c r="AKO148" s="22"/>
      <c r="AKP148" s="22"/>
      <c r="AKQ148" s="22"/>
      <c r="AKR148" s="22"/>
      <c r="AKS148" s="22"/>
      <c r="AKT148" s="22"/>
      <c r="AKU148" s="22"/>
      <c r="AKV148" s="22"/>
      <c r="AKW148" s="22"/>
      <c r="AKX148" s="22"/>
      <c r="AKY148" s="22"/>
      <c r="AKZ148" s="22"/>
      <c r="ALA148" s="22"/>
      <c r="ALB148" s="22"/>
      <c r="ALC148" s="22"/>
      <c r="ALD148" s="22"/>
      <c r="ALE148" s="22"/>
      <c r="ALF148" s="22"/>
      <c r="ALG148" s="22"/>
      <c r="ALH148" s="22"/>
      <c r="ALI148" s="22"/>
      <c r="ALJ148" s="22"/>
      <c r="ALK148" s="22"/>
      <c r="ALL148" s="22"/>
      <c r="ALM148" s="22"/>
      <c r="ALN148" s="22"/>
      <c r="ALO148" s="22"/>
      <c r="ALP148" s="22"/>
      <c r="ALQ148" s="22"/>
      <c r="ALR148" s="22"/>
      <c r="ALS148" s="22"/>
      <c r="ALT148" s="22"/>
      <c r="ALU148" s="22"/>
      <c r="ALV148" s="22"/>
      <c r="ALW148" s="22"/>
      <c r="ALX148" s="22"/>
      <c r="ALY148" s="22"/>
      <c r="ALZ148" s="22"/>
      <c r="AMA148" s="22"/>
      <c r="AMB148" s="22"/>
      <c r="AMC148" s="22"/>
      <c r="AMD148" s="22"/>
      <c r="AME148" s="22"/>
      <c r="AMF148" s="22"/>
      <c r="AMG148" s="22"/>
      <c r="AMH148" s="22"/>
      <c r="AMI148" s="22"/>
      <c r="AMJ148" s="22"/>
      <c r="AMK148" s="22"/>
      <c r="AML148" s="22"/>
      <c r="AMM148" s="22"/>
      <c r="AMN148" s="22"/>
      <c r="AMO148" s="22"/>
      <c r="AMP148" s="22"/>
      <c r="AMQ148" s="22"/>
      <c r="AMR148" s="22"/>
      <c r="AMS148" s="22"/>
      <c r="AMT148" s="22"/>
      <c r="AMU148" s="22"/>
      <c r="AMV148" s="22"/>
      <c r="AMW148" s="22"/>
      <c r="AMX148" s="22"/>
      <c r="AMY148" s="22"/>
      <c r="AMZ148" s="22"/>
      <c r="ANA148" s="22"/>
      <c r="ANB148" s="22"/>
      <c r="ANC148" s="22"/>
      <c r="AND148" s="22"/>
      <c r="ANE148" s="22"/>
      <c r="ANF148" s="22"/>
      <c r="ANG148" s="22"/>
      <c r="ANH148" s="22"/>
      <c r="ANI148" s="22"/>
      <c r="ANJ148" s="22"/>
      <c r="ANK148" s="22"/>
      <c r="ANL148" s="22"/>
      <c r="ANM148" s="22"/>
      <c r="ANN148" s="22"/>
      <c r="ANO148" s="22"/>
      <c r="ANP148" s="22"/>
      <c r="ANQ148" s="22"/>
      <c r="ANR148" s="22"/>
      <c r="ANS148" s="22"/>
      <c r="ANT148" s="22"/>
      <c r="ANU148" s="22"/>
      <c r="ANV148" s="22"/>
      <c r="ANW148" s="22"/>
      <c r="ANX148" s="22"/>
      <c r="ANY148" s="22"/>
      <c r="ANZ148" s="22"/>
      <c r="AOA148" s="22"/>
      <c r="AOB148" s="22"/>
      <c r="AOC148" s="22"/>
      <c r="AOD148" s="22"/>
      <c r="AOE148" s="22"/>
      <c r="AOF148" s="22"/>
      <c r="AOG148" s="22"/>
      <c r="AOH148" s="22"/>
      <c r="AOI148" s="22"/>
      <c r="AOJ148" s="22"/>
      <c r="AOK148" s="22"/>
      <c r="AOL148" s="22"/>
      <c r="AOM148" s="22"/>
      <c r="AON148" s="22"/>
      <c r="AOO148" s="22"/>
      <c r="AOP148" s="22"/>
      <c r="AOQ148" s="22"/>
      <c r="AOR148" s="22"/>
      <c r="AOS148" s="22"/>
      <c r="AOT148" s="22"/>
      <c r="AOU148" s="22"/>
      <c r="AOV148" s="22"/>
      <c r="AOW148" s="22"/>
      <c r="AOX148" s="22"/>
      <c r="AOY148" s="22"/>
      <c r="AOZ148" s="22"/>
      <c r="APA148" s="22"/>
      <c r="APB148" s="22"/>
      <c r="APC148" s="22"/>
      <c r="APD148" s="22"/>
      <c r="APE148" s="22"/>
      <c r="APF148" s="22"/>
      <c r="APG148" s="22"/>
      <c r="APH148" s="22"/>
      <c r="API148" s="22"/>
      <c r="APJ148" s="22"/>
      <c r="APK148" s="22"/>
      <c r="APL148" s="22"/>
      <c r="APM148" s="22"/>
      <c r="APN148" s="22"/>
      <c r="APO148" s="22"/>
      <c r="APP148" s="22"/>
      <c r="APQ148" s="22"/>
      <c r="APR148" s="22"/>
      <c r="APS148" s="22"/>
      <c r="APT148" s="22"/>
      <c r="APU148" s="22"/>
      <c r="APV148" s="22"/>
      <c r="APW148" s="22"/>
      <c r="APX148" s="22"/>
      <c r="APY148" s="22"/>
      <c r="APZ148" s="22"/>
      <c r="AQA148" s="22"/>
      <c r="AQB148" s="22"/>
      <c r="AQC148" s="22"/>
      <c r="AQD148" s="22"/>
      <c r="AQE148" s="22"/>
      <c r="AQF148" s="22"/>
      <c r="AQG148" s="22"/>
      <c r="AQH148" s="22"/>
      <c r="AQI148" s="22"/>
      <c r="AQJ148" s="22"/>
      <c r="AQK148" s="22"/>
      <c r="AQL148" s="22"/>
      <c r="AQM148" s="22"/>
      <c r="AQN148" s="22"/>
      <c r="AQO148" s="22"/>
      <c r="AQP148" s="22"/>
      <c r="AQQ148" s="22"/>
      <c r="AQR148" s="22"/>
      <c r="AQS148" s="22"/>
      <c r="AQT148" s="22"/>
      <c r="AQU148" s="22"/>
      <c r="AQV148" s="22"/>
      <c r="AQW148" s="22"/>
      <c r="AQX148" s="22"/>
      <c r="AQY148" s="22"/>
      <c r="AQZ148" s="22"/>
      <c r="ARA148" s="22"/>
      <c r="ARB148" s="22"/>
      <c r="ARC148" s="22"/>
      <c r="ARD148" s="22"/>
      <c r="ARE148" s="22"/>
      <c r="ARF148" s="22"/>
      <c r="ARG148" s="22"/>
      <c r="ARH148" s="22"/>
      <c r="ARI148" s="22"/>
      <c r="ARJ148" s="22"/>
      <c r="ARK148" s="22"/>
      <c r="ARL148" s="22"/>
      <c r="ARM148" s="22"/>
      <c r="ARN148" s="22"/>
      <c r="ARO148" s="22"/>
      <c r="ARP148" s="22"/>
      <c r="ARQ148" s="22"/>
      <c r="ARR148" s="22"/>
      <c r="ARS148" s="22"/>
      <c r="ART148" s="22"/>
      <c r="ARU148" s="22"/>
      <c r="ARV148" s="22"/>
      <c r="ARW148" s="22"/>
      <c r="ARX148" s="22"/>
      <c r="ARY148" s="22"/>
      <c r="ARZ148" s="22"/>
      <c r="ASA148" s="22"/>
      <c r="ASB148" s="22"/>
      <c r="ASC148" s="22"/>
      <c r="ASD148" s="22"/>
      <c r="ASE148" s="22"/>
      <c r="ASF148" s="22"/>
      <c r="ASG148" s="22"/>
      <c r="ASH148" s="22"/>
      <c r="ASI148" s="22"/>
      <c r="ASJ148" s="22"/>
      <c r="ASK148" s="22"/>
      <c r="ASL148" s="22"/>
      <c r="ASM148" s="22"/>
      <c r="ASN148" s="22"/>
      <c r="ASO148" s="22"/>
      <c r="ASP148" s="22"/>
      <c r="ASQ148" s="22"/>
      <c r="ASR148" s="22"/>
      <c r="ASS148" s="22"/>
      <c r="AST148" s="22"/>
      <c r="ASU148" s="22"/>
      <c r="ASV148" s="22"/>
      <c r="ASW148" s="22"/>
      <c r="ASX148" s="22"/>
      <c r="ASY148" s="22"/>
      <c r="ASZ148" s="22"/>
      <c r="ATA148" s="22"/>
      <c r="ATB148" s="22"/>
      <c r="ATC148" s="22"/>
      <c r="ATD148" s="22"/>
      <c r="ATE148" s="22"/>
      <c r="ATF148" s="22"/>
      <c r="ATG148" s="22"/>
      <c r="ATH148" s="22"/>
      <c r="ATI148" s="22"/>
      <c r="ATJ148" s="22"/>
      <c r="ATK148" s="22"/>
      <c r="ATL148" s="22"/>
      <c r="ATM148" s="22"/>
      <c r="ATN148" s="22"/>
      <c r="ATO148" s="22"/>
      <c r="ATP148" s="22"/>
      <c r="ATQ148" s="22"/>
      <c r="ATR148" s="22"/>
      <c r="ATS148" s="22"/>
      <c r="ATT148" s="22"/>
      <c r="ATU148" s="22"/>
      <c r="ATV148" s="22"/>
      <c r="ATW148" s="22"/>
      <c r="ATX148" s="22"/>
      <c r="ATY148" s="22"/>
      <c r="ATZ148" s="22"/>
      <c r="AUA148" s="22"/>
      <c r="AUB148" s="22"/>
      <c r="AUC148" s="22"/>
      <c r="AUD148" s="22"/>
      <c r="AUE148" s="22"/>
      <c r="AUF148" s="22"/>
      <c r="AUG148" s="22"/>
      <c r="AUH148" s="22"/>
      <c r="AUI148" s="22"/>
      <c r="AUJ148" s="22"/>
      <c r="AUK148" s="22"/>
      <c r="AUL148" s="22"/>
      <c r="AUM148" s="22"/>
      <c r="AUN148" s="22"/>
      <c r="AUO148" s="22"/>
      <c r="AUP148" s="22"/>
      <c r="AUQ148" s="22"/>
      <c r="AUR148" s="22"/>
      <c r="AUS148" s="22"/>
      <c r="AUT148" s="22"/>
      <c r="AUU148" s="22"/>
      <c r="AUV148" s="22"/>
      <c r="AUW148" s="22"/>
      <c r="AUX148" s="22"/>
      <c r="AUY148" s="22"/>
      <c r="AUZ148" s="22"/>
      <c r="AVA148" s="22"/>
      <c r="AVB148" s="22"/>
      <c r="AVC148" s="22"/>
      <c r="AVD148" s="22"/>
      <c r="AVE148" s="22"/>
      <c r="AVF148" s="22"/>
      <c r="AVG148" s="22"/>
      <c r="AVH148" s="22"/>
      <c r="AVI148" s="22"/>
      <c r="AVJ148" s="22"/>
      <c r="AVK148" s="22"/>
      <c r="AVL148" s="22"/>
      <c r="AVM148" s="22"/>
      <c r="AVN148" s="22"/>
      <c r="AVO148" s="22"/>
      <c r="AVP148" s="22"/>
      <c r="AVQ148" s="22"/>
      <c r="AVR148" s="22"/>
      <c r="AVS148" s="22"/>
      <c r="AVT148" s="22"/>
      <c r="AVU148" s="22"/>
      <c r="AVV148" s="22"/>
      <c r="AVW148" s="22"/>
      <c r="AVX148" s="22"/>
      <c r="AVY148" s="22"/>
      <c r="AVZ148" s="22"/>
      <c r="AWA148" s="22"/>
      <c r="AWB148" s="22"/>
      <c r="AWC148" s="22"/>
      <c r="AWD148" s="22"/>
      <c r="AWE148" s="22"/>
      <c r="AWF148" s="22"/>
      <c r="AWG148" s="22"/>
      <c r="AWH148" s="22"/>
      <c r="AWI148" s="22"/>
      <c r="AWJ148" s="22"/>
      <c r="AWK148" s="22"/>
      <c r="AWL148" s="22"/>
      <c r="AWM148" s="22"/>
      <c r="AWN148" s="22"/>
      <c r="AWO148" s="22"/>
      <c r="AWP148" s="22"/>
      <c r="AWQ148" s="22"/>
      <c r="AWR148" s="22"/>
      <c r="AWS148" s="22"/>
      <c r="AWT148" s="22"/>
      <c r="AWU148" s="22"/>
      <c r="AWV148" s="22"/>
      <c r="AWW148" s="22"/>
      <c r="AWX148" s="22"/>
      <c r="AWY148" s="22"/>
      <c r="AWZ148" s="22"/>
      <c r="AXA148" s="22"/>
      <c r="AXB148" s="22"/>
      <c r="AXC148" s="22"/>
      <c r="AXD148" s="22"/>
      <c r="AXE148" s="22"/>
      <c r="AXF148" s="22"/>
      <c r="AXG148" s="22"/>
      <c r="AXH148" s="22"/>
      <c r="AXI148" s="22"/>
      <c r="AXJ148" s="22"/>
      <c r="AXK148" s="22"/>
      <c r="AXL148" s="22"/>
      <c r="AXM148" s="22"/>
      <c r="AXN148" s="22"/>
      <c r="AXO148" s="22"/>
      <c r="AXP148" s="22"/>
      <c r="AXQ148" s="22"/>
      <c r="AXR148" s="22"/>
      <c r="AXS148" s="22"/>
      <c r="AXT148" s="22"/>
      <c r="AXU148" s="22"/>
      <c r="AXV148" s="22"/>
      <c r="AXW148" s="22"/>
      <c r="AXX148" s="22"/>
      <c r="AXY148" s="22"/>
      <c r="AXZ148" s="22"/>
      <c r="AYA148" s="22"/>
      <c r="AYB148" s="22"/>
      <c r="AYC148" s="22"/>
      <c r="AYD148" s="22"/>
      <c r="AYE148" s="22"/>
      <c r="AYF148" s="22"/>
      <c r="AYG148" s="22"/>
      <c r="AYH148" s="22"/>
      <c r="AYI148" s="22"/>
      <c r="AYJ148" s="22"/>
      <c r="AYK148" s="22"/>
      <c r="AYL148" s="22"/>
      <c r="AYM148" s="22"/>
      <c r="AYN148" s="22"/>
      <c r="AYO148" s="22"/>
      <c r="AYP148" s="22"/>
      <c r="AYQ148" s="22"/>
      <c r="AYR148" s="22"/>
      <c r="AYS148" s="22"/>
      <c r="AYT148" s="22"/>
      <c r="AYU148" s="22"/>
      <c r="AYV148" s="22"/>
      <c r="AYW148" s="22"/>
      <c r="AYX148" s="22"/>
      <c r="AYY148" s="22"/>
      <c r="AYZ148" s="22"/>
      <c r="AZA148" s="22"/>
      <c r="AZB148" s="22"/>
      <c r="AZC148" s="22"/>
      <c r="AZD148" s="22"/>
      <c r="AZE148" s="22"/>
      <c r="AZF148" s="22"/>
      <c r="AZG148" s="22"/>
      <c r="AZH148" s="22"/>
      <c r="AZI148" s="22"/>
      <c r="AZJ148" s="22"/>
      <c r="AZK148" s="22"/>
      <c r="AZL148" s="22"/>
      <c r="AZM148" s="22"/>
      <c r="AZN148" s="22"/>
      <c r="AZO148" s="22"/>
      <c r="AZP148" s="22"/>
      <c r="AZQ148" s="22"/>
      <c r="AZR148" s="22"/>
      <c r="AZS148" s="22"/>
      <c r="AZT148" s="22"/>
      <c r="AZU148" s="22"/>
      <c r="AZV148" s="22"/>
      <c r="AZW148" s="22"/>
      <c r="AZX148" s="22"/>
      <c r="AZY148" s="22"/>
      <c r="AZZ148" s="22"/>
      <c r="BAA148" s="22"/>
      <c r="BAB148" s="22"/>
      <c r="BAC148" s="22"/>
      <c r="BAD148" s="22"/>
      <c r="BAE148" s="22"/>
      <c r="BAF148" s="22"/>
      <c r="BAG148" s="22"/>
      <c r="BAH148" s="22"/>
      <c r="BAI148" s="22"/>
      <c r="BAJ148" s="22"/>
      <c r="BAK148" s="22"/>
      <c r="BAL148" s="22"/>
      <c r="BAM148" s="22"/>
      <c r="BAN148" s="22"/>
      <c r="BAO148" s="22"/>
      <c r="BAP148" s="22"/>
      <c r="BAQ148" s="22"/>
      <c r="BAR148" s="22"/>
      <c r="BAS148" s="22"/>
      <c r="BAT148" s="22"/>
      <c r="BAU148" s="22"/>
      <c r="BAV148" s="22"/>
      <c r="BAW148" s="22"/>
      <c r="BAX148" s="22"/>
      <c r="BAY148" s="22"/>
      <c r="BAZ148" s="22"/>
      <c r="BBA148" s="22"/>
      <c r="BBB148" s="22"/>
      <c r="BBC148" s="22"/>
      <c r="BBD148" s="22"/>
      <c r="BBE148" s="22"/>
      <c r="BBF148" s="22"/>
      <c r="BBG148" s="22"/>
      <c r="BBH148" s="22"/>
      <c r="BBI148" s="22"/>
      <c r="BBJ148" s="22"/>
      <c r="BBK148" s="22"/>
      <c r="BBL148" s="22"/>
      <c r="BBM148" s="22"/>
      <c r="BBN148" s="22"/>
      <c r="BBO148" s="22"/>
      <c r="BBP148" s="22"/>
      <c r="BBQ148" s="22"/>
      <c r="BBR148" s="22"/>
      <c r="BBS148" s="22"/>
      <c r="BBT148" s="22"/>
      <c r="BBU148" s="22"/>
      <c r="BBV148" s="22"/>
      <c r="BBW148" s="22"/>
      <c r="BBX148" s="22"/>
      <c r="BBY148" s="22"/>
      <c r="BBZ148" s="22"/>
      <c r="BCA148" s="22"/>
      <c r="BCB148" s="22"/>
      <c r="BCC148" s="22"/>
      <c r="BCD148" s="22"/>
      <c r="BCE148" s="22"/>
      <c r="BCF148" s="22"/>
      <c r="BCG148" s="22"/>
      <c r="BCH148" s="22"/>
      <c r="BCI148" s="22"/>
      <c r="BCJ148" s="22"/>
      <c r="BCK148" s="22"/>
      <c r="BCL148" s="22"/>
      <c r="BCM148" s="22"/>
      <c r="BCN148" s="22"/>
      <c r="BCO148" s="22"/>
      <c r="BCP148" s="22"/>
      <c r="BCQ148" s="22"/>
      <c r="BCR148" s="22"/>
      <c r="BCS148" s="22"/>
      <c r="BCT148" s="22"/>
      <c r="BCU148" s="22"/>
      <c r="BCV148" s="22"/>
      <c r="BCW148" s="22"/>
      <c r="BCX148" s="22"/>
      <c r="BCY148" s="22"/>
      <c r="BCZ148" s="22"/>
      <c r="BDA148" s="22"/>
      <c r="BDB148" s="22"/>
      <c r="BDC148" s="22"/>
      <c r="BDD148" s="22"/>
      <c r="BDE148" s="22"/>
      <c r="BDF148" s="22"/>
      <c r="BDG148" s="22"/>
      <c r="BDH148" s="22"/>
      <c r="BDI148" s="22"/>
      <c r="BDJ148" s="22"/>
      <c r="BDK148" s="22"/>
      <c r="BDL148" s="22"/>
      <c r="BDM148" s="22"/>
      <c r="BDN148" s="22"/>
      <c r="BDO148" s="22"/>
      <c r="BDP148" s="22"/>
      <c r="BDQ148" s="22"/>
      <c r="BDR148" s="22"/>
      <c r="BDS148" s="22"/>
      <c r="BDT148" s="22"/>
      <c r="BDU148" s="22"/>
      <c r="BDV148" s="22"/>
      <c r="BDW148" s="22"/>
      <c r="BDX148" s="22"/>
      <c r="BDY148" s="22"/>
      <c r="BDZ148" s="22"/>
      <c r="BEA148" s="22"/>
      <c r="BEB148" s="22"/>
      <c r="BEC148" s="22"/>
      <c r="BED148" s="22"/>
      <c r="BEE148" s="22"/>
      <c r="BEF148" s="22"/>
      <c r="BEG148" s="22"/>
      <c r="BEH148" s="22"/>
      <c r="BEI148" s="22"/>
      <c r="BEJ148" s="22"/>
      <c r="BEK148" s="22"/>
      <c r="BEL148" s="22"/>
      <c r="BEM148" s="22"/>
      <c r="BEN148" s="22"/>
      <c r="BEO148" s="22"/>
      <c r="BEP148" s="22"/>
      <c r="BEQ148" s="22"/>
      <c r="BER148" s="22"/>
      <c r="BES148" s="22"/>
      <c r="BET148" s="22"/>
      <c r="BEU148" s="22"/>
      <c r="BEV148" s="22"/>
      <c r="BEW148" s="22"/>
      <c r="BEX148" s="22"/>
      <c r="BEY148" s="22"/>
      <c r="BEZ148" s="22"/>
      <c r="BFA148" s="22"/>
      <c r="BFB148" s="22"/>
      <c r="BFC148" s="22"/>
      <c r="BFD148" s="22"/>
      <c r="BFE148" s="22"/>
      <c r="BFF148" s="22"/>
      <c r="BFG148" s="22"/>
      <c r="BFH148" s="22"/>
      <c r="BFI148" s="22"/>
      <c r="BFJ148" s="22"/>
      <c r="BFK148" s="22"/>
      <c r="BFL148" s="22"/>
      <c r="BFM148" s="22"/>
      <c r="BFN148" s="22"/>
      <c r="BFO148" s="22"/>
      <c r="BFP148" s="22"/>
      <c r="BFQ148" s="22"/>
      <c r="BFR148" s="22"/>
      <c r="BFS148" s="22"/>
      <c r="BFT148" s="22"/>
      <c r="BFU148" s="22"/>
      <c r="BFV148" s="22"/>
      <c r="BFW148" s="22"/>
      <c r="BFX148" s="22"/>
      <c r="BFY148" s="22"/>
      <c r="BFZ148" s="22"/>
      <c r="BGA148" s="22"/>
      <c r="BGB148" s="22"/>
      <c r="BGC148" s="22"/>
      <c r="BGD148" s="22"/>
      <c r="BGE148" s="22"/>
      <c r="BGF148" s="22"/>
      <c r="BGG148" s="22"/>
      <c r="BGH148" s="22"/>
      <c r="BGI148" s="22"/>
      <c r="BGJ148" s="22"/>
      <c r="BGK148" s="22"/>
      <c r="BGL148" s="22"/>
      <c r="BGM148" s="22"/>
      <c r="BGN148" s="22"/>
      <c r="BGO148" s="22"/>
      <c r="BGP148" s="22"/>
      <c r="BGQ148" s="22"/>
      <c r="BGR148" s="22"/>
      <c r="BGS148" s="22"/>
      <c r="BGT148" s="22"/>
      <c r="BGU148" s="22"/>
      <c r="BGV148" s="22"/>
      <c r="BGW148" s="22"/>
      <c r="BGX148" s="22"/>
      <c r="BGY148" s="22"/>
      <c r="BGZ148" s="22"/>
      <c r="BHA148" s="22"/>
      <c r="BHB148" s="22"/>
      <c r="BHC148" s="22"/>
      <c r="BHD148" s="22"/>
      <c r="BHE148" s="22"/>
      <c r="BHF148" s="22"/>
      <c r="BHG148" s="22"/>
      <c r="BHH148" s="22"/>
      <c r="BHI148" s="22"/>
      <c r="BHJ148" s="22"/>
      <c r="BHK148" s="22"/>
      <c r="BHL148" s="22"/>
      <c r="BHM148" s="22"/>
      <c r="BHN148" s="22"/>
      <c r="BHO148" s="22"/>
      <c r="BHP148" s="22"/>
      <c r="BHQ148" s="22"/>
      <c r="BHR148" s="22"/>
      <c r="BHS148" s="22"/>
      <c r="BHT148" s="22"/>
      <c r="BHU148" s="22"/>
      <c r="BHV148" s="22"/>
      <c r="BHW148" s="22"/>
      <c r="BHX148" s="22"/>
      <c r="BHY148" s="22"/>
      <c r="BHZ148" s="22"/>
      <c r="BIA148" s="22"/>
      <c r="BIB148" s="22"/>
      <c r="BIC148" s="22"/>
      <c r="BID148" s="22"/>
      <c r="BIE148" s="22"/>
      <c r="BIF148" s="22"/>
      <c r="BIG148" s="22"/>
      <c r="BIH148" s="22"/>
      <c r="BII148" s="22"/>
      <c r="BIJ148" s="22"/>
      <c r="BIK148" s="22"/>
      <c r="BIL148" s="22"/>
      <c r="BIM148" s="22"/>
      <c r="BIN148" s="22"/>
      <c r="BIO148" s="22"/>
      <c r="BIP148" s="22"/>
      <c r="BIQ148" s="22"/>
      <c r="BIR148" s="22"/>
      <c r="BIS148" s="22"/>
      <c r="BIT148" s="22"/>
      <c r="BIU148" s="22"/>
      <c r="BIV148" s="22"/>
      <c r="BIW148" s="22"/>
      <c r="BIX148" s="22"/>
      <c r="BIY148" s="22"/>
      <c r="BIZ148" s="22"/>
      <c r="BJA148" s="22"/>
      <c r="BJB148" s="22"/>
      <c r="BJC148" s="22"/>
      <c r="BJD148" s="22"/>
      <c r="BJE148" s="22"/>
      <c r="BJF148" s="22"/>
      <c r="BJG148" s="22"/>
      <c r="BJH148" s="22"/>
      <c r="BJI148" s="22"/>
      <c r="BJJ148" s="22"/>
      <c r="BJK148" s="22"/>
      <c r="BJL148" s="22"/>
      <c r="BJM148" s="22"/>
      <c r="BJN148" s="22"/>
      <c r="BJO148" s="22"/>
      <c r="BJP148" s="22"/>
      <c r="BJQ148" s="22"/>
      <c r="BJR148" s="22"/>
      <c r="BJS148" s="22"/>
      <c r="BJT148" s="22"/>
      <c r="BJU148" s="22"/>
      <c r="BJV148" s="22"/>
      <c r="BJW148" s="22"/>
      <c r="BJX148" s="22"/>
      <c r="BJY148" s="22"/>
      <c r="BJZ148" s="22"/>
      <c r="BKA148" s="22"/>
      <c r="BKB148" s="22"/>
      <c r="BKC148" s="22"/>
      <c r="BKD148" s="22"/>
      <c r="BKE148" s="22"/>
      <c r="BKF148" s="22"/>
      <c r="BKG148" s="22"/>
      <c r="BKH148" s="22"/>
      <c r="BKI148" s="22"/>
      <c r="BKJ148" s="22"/>
      <c r="BKK148" s="22"/>
      <c r="BKL148" s="22"/>
      <c r="BKM148" s="22"/>
      <c r="BKN148" s="22"/>
      <c r="BKO148" s="22"/>
      <c r="BKP148" s="22"/>
      <c r="BKQ148" s="22"/>
      <c r="BKR148" s="22"/>
      <c r="BKS148" s="22"/>
      <c r="BKT148" s="22"/>
      <c r="BKU148" s="22"/>
      <c r="BKV148" s="22"/>
      <c r="BKW148" s="22"/>
      <c r="BKX148" s="22"/>
      <c r="BKY148" s="22"/>
      <c r="BKZ148" s="22"/>
      <c r="BLA148" s="22"/>
      <c r="BLB148" s="22"/>
      <c r="BLC148" s="22"/>
      <c r="BLD148" s="22"/>
      <c r="BLE148" s="22"/>
      <c r="BLF148" s="22"/>
      <c r="BLG148" s="22"/>
      <c r="BLH148" s="22"/>
      <c r="BLI148" s="22"/>
      <c r="BLJ148" s="22"/>
      <c r="BLK148" s="22"/>
      <c r="BLL148" s="22"/>
      <c r="BLM148" s="22"/>
      <c r="BLN148" s="22"/>
      <c r="BLO148" s="22"/>
      <c r="BLP148" s="22"/>
      <c r="BLQ148" s="22"/>
      <c r="BLR148" s="22"/>
      <c r="BLS148" s="22"/>
      <c r="BLT148" s="22"/>
      <c r="BLU148" s="22"/>
      <c r="BLV148" s="22"/>
      <c r="BLW148" s="22"/>
      <c r="BLX148" s="22"/>
      <c r="BLY148" s="22"/>
      <c r="BLZ148" s="22"/>
      <c r="BMA148" s="22"/>
      <c r="BMB148" s="22"/>
      <c r="BMC148" s="22"/>
      <c r="BMD148" s="22"/>
      <c r="BME148" s="22"/>
      <c r="BMF148" s="22"/>
      <c r="BMG148" s="22"/>
      <c r="BMH148" s="22"/>
      <c r="BMI148" s="22"/>
      <c r="BMJ148" s="22"/>
      <c r="BMK148" s="22"/>
      <c r="BML148" s="22"/>
      <c r="BMM148" s="22"/>
      <c r="BMN148" s="22"/>
      <c r="BMO148" s="22"/>
      <c r="BMP148" s="22"/>
      <c r="BMQ148" s="22"/>
      <c r="BMR148" s="22"/>
      <c r="BMS148" s="22"/>
      <c r="BMT148" s="22"/>
      <c r="BMU148" s="22"/>
      <c r="BMV148" s="22"/>
      <c r="BMW148" s="22"/>
      <c r="BMX148" s="22"/>
      <c r="BMY148" s="22"/>
      <c r="BMZ148" s="22"/>
      <c r="BNA148" s="22"/>
      <c r="BNB148" s="22"/>
      <c r="BNC148" s="22"/>
      <c r="BND148" s="22"/>
      <c r="BNE148" s="22"/>
      <c r="BNF148" s="22"/>
      <c r="BNG148" s="22"/>
      <c r="BNH148" s="22"/>
      <c r="BNI148" s="22"/>
      <c r="BNJ148" s="22"/>
      <c r="BNK148" s="22"/>
      <c r="BNL148" s="22"/>
      <c r="BNM148" s="22"/>
      <c r="BNN148" s="22"/>
      <c r="BNO148" s="22"/>
      <c r="BNP148" s="22"/>
      <c r="BNQ148" s="22"/>
      <c r="BNR148" s="22"/>
      <c r="BNS148" s="22"/>
      <c r="BNT148" s="22"/>
      <c r="BNU148" s="22"/>
      <c r="BNV148" s="22"/>
      <c r="BNW148" s="22"/>
      <c r="BNX148" s="22"/>
      <c r="BNY148" s="22"/>
      <c r="BNZ148" s="22"/>
      <c r="BOA148" s="22"/>
      <c r="BOB148" s="22"/>
      <c r="BOC148" s="22"/>
      <c r="BOD148" s="22"/>
      <c r="BOE148" s="22"/>
      <c r="BOF148" s="22"/>
      <c r="BOG148" s="22"/>
      <c r="BOH148" s="22"/>
      <c r="BOI148" s="22"/>
      <c r="BOJ148" s="22"/>
      <c r="BOK148" s="22"/>
      <c r="BOL148" s="22"/>
      <c r="BOM148" s="22"/>
      <c r="BON148" s="22"/>
      <c r="BOO148" s="22"/>
      <c r="BOP148" s="22"/>
      <c r="BOQ148" s="22"/>
      <c r="BOR148" s="22"/>
      <c r="BOS148" s="22"/>
      <c r="BOT148" s="22"/>
      <c r="BOU148" s="22"/>
      <c r="BOV148" s="22"/>
      <c r="BOW148" s="22"/>
      <c r="BOX148" s="22"/>
      <c r="BOY148" s="22"/>
      <c r="BOZ148" s="22"/>
      <c r="BPA148" s="22"/>
      <c r="BPB148" s="22"/>
      <c r="BPC148" s="22"/>
      <c r="BPD148" s="22"/>
      <c r="BPE148" s="22"/>
      <c r="BPF148" s="22"/>
      <c r="BPG148" s="22"/>
      <c r="BPH148" s="22"/>
      <c r="BPI148" s="22"/>
      <c r="BPJ148" s="22"/>
      <c r="BPK148" s="22"/>
      <c r="BPL148" s="22"/>
      <c r="BPM148" s="22"/>
      <c r="BPN148" s="22"/>
      <c r="BPO148" s="22"/>
      <c r="BPP148" s="22"/>
      <c r="BPQ148" s="22"/>
      <c r="BPR148" s="22"/>
      <c r="BPS148" s="22"/>
      <c r="BPT148" s="22"/>
      <c r="BPU148" s="22"/>
      <c r="BPV148" s="22"/>
      <c r="BPW148" s="22"/>
      <c r="BPX148" s="22"/>
      <c r="BPY148" s="22"/>
      <c r="BPZ148" s="22"/>
      <c r="BQA148" s="22"/>
      <c r="BQB148" s="22"/>
      <c r="BQC148" s="22"/>
      <c r="BQD148" s="22"/>
      <c r="BQE148" s="22"/>
      <c r="BQF148" s="22"/>
      <c r="BQG148" s="22"/>
      <c r="BQH148" s="22"/>
      <c r="BQI148" s="22"/>
      <c r="BQJ148" s="22"/>
      <c r="BQK148" s="22"/>
      <c r="BQL148" s="22"/>
      <c r="BQM148" s="22"/>
      <c r="BQN148" s="22"/>
      <c r="BQO148" s="22"/>
      <c r="BQP148" s="22"/>
      <c r="BQQ148" s="22"/>
      <c r="BQR148" s="22"/>
      <c r="BQS148" s="22"/>
      <c r="BQT148" s="22"/>
      <c r="BQU148" s="22"/>
      <c r="BQV148" s="22"/>
      <c r="BQW148" s="22"/>
      <c r="BQX148" s="22"/>
      <c r="BQY148" s="22"/>
      <c r="BQZ148" s="22"/>
      <c r="BRA148" s="22"/>
      <c r="BRB148" s="22"/>
      <c r="BRC148" s="22"/>
      <c r="BRD148" s="22"/>
      <c r="BRE148" s="22"/>
      <c r="BRF148" s="22"/>
      <c r="BRG148" s="22"/>
      <c r="BRH148" s="22"/>
      <c r="BRI148" s="22"/>
      <c r="BRJ148" s="22"/>
      <c r="BRK148" s="22"/>
      <c r="BRL148" s="22"/>
      <c r="BRM148" s="22"/>
      <c r="BRN148" s="22"/>
      <c r="BRO148" s="22"/>
      <c r="BRP148" s="22"/>
      <c r="BRQ148" s="22"/>
      <c r="BRR148" s="22"/>
      <c r="BRS148" s="22"/>
      <c r="BRT148" s="22"/>
      <c r="BRU148" s="22"/>
      <c r="BRV148" s="22"/>
      <c r="BRW148" s="22"/>
      <c r="BRX148" s="22"/>
      <c r="BRY148" s="22"/>
      <c r="BRZ148" s="22"/>
      <c r="BSA148" s="22"/>
      <c r="BSB148" s="22"/>
      <c r="BSC148" s="22"/>
      <c r="BSD148" s="22"/>
      <c r="BSE148" s="22"/>
      <c r="BSF148" s="22"/>
      <c r="BSG148" s="22"/>
      <c r="BSH148" s="22"/>
      <c r="BSI148" s="22"/>
      <c r="BSJ148" s="22"/>
      <c r="BSK148" s="22"/>
      <c r="BSL148" s="22"/>
      <c r="BSM148" s="22"/>
      <c r="BSN148" s="22"/>
      <c r="BSO148" s="22"/>
      <c r="BSP148" s="22"/>
      <c r="BSQ148" s="22"/>
      <c r="BSR148" s="22"/>
      <c r="BSS148" s="22"/>
      <c r="BST148" s="22"/>
      <c r="BSU148" s="22"/>
      <c r="BSV148" s="22"/>
      <c r="BSW148" s="22"/>
      <c r="BSX148" s="22"/>
      <c r="BSY148" s="22"/>
      <c r="BSZ148" s="22"/>
      <c r="BTA148" s="22"/>
      <c r="BTB148" s="22"/>
      <c r="BTC148" s="22"/>
      <c r="BTD148" s="22"/>
      <c r="BTE148" s="22"/>
      <c r="BTF148" s="22"/>
      <c r="BTG148" s="22"/>
      <c r="BTH148" s="22"/>
      <c r="BTI148" s="22"/>
      <c r="BTJ148" s="22"/>
      <c r="BTK148" s="22"/>
      <c r="BTL148" s="22"/>
      <c r="BTM148" s="22"/>
      <c r="BTN148" s="22"/>
      <c r="BTO148" s="22"/>
      <c r="BTP148" s="22"/>
      <c r="BTQ148" s="22"/>
      <c r="BTR148" s="22"/>
      <c r="BTS148" s="22"/>
      <c r="BTT148" s="22"/>
      <c r="BTU148" s="22"/>
      <c r="BTV148" s="22"/>
      <c r="BTW148" s="22"/>
      <c r="BTX148" s="22"/>
      <c r="BTY148" s="22"/>
      <c r="BTZ148" s="22"/>
      <c r="BUA148" s="22"/>
      <c r="BUB148" s="22"/>
      <c r="BUC148" s="22"/>
      <c r="BUD148" s="22"/>
      <c r="BUE148" s="22"/>
      <c r="BUF148" s="22"/>
      <c r="BUG148" s="22"/>
      <c r="BUH148" s="22"/>
      <c r="BUI148" s="22"/>
      <c r="BUJ148" s="22"/>
      <c r="BUK148" s="22"/>
      <c r="BUL148" s="22"/>
      <c r="BUM148" s="22"/>
      <c r="BUN148" s="22"/>
      <c r="BUO148" s="22"/>
      <c r="BUP148" s="22"/>
      <c r="BUQ148" s="22"/>
      <c r="BUR148" s="22"/>
      <c r="BUS148" s="22"/>
      <c r="BUT148" s="22"/>
      <c r="BUU148" s="22"/>
      <c r="BUV148" s="22"/>
      <c r="BUW148" s="22"/>
      <c r="BUX148" s="22"/>
      <c r="BUY148" s="22"/>
      <c r="BUZ148" s="22"/>
      <c r="BVA148" s="22"/>
      <c r="BVB148" s="22"/>
      <c r="BVC148" s="22"/>
      <c r="BVD148" s="22"/>
      <c r="BVE148" s="22"/>
      <c r="BVF148" s="22"/>
      <c r="BVG148" s="22"/>
      <c r="BVH148" s="22"/>
      <c r="BVI148" s="22"/>
      <c r="BVJ148" s="22"/>
      <c r="BVK148" s="22"/>
      <c r="BVL148" s="22"/>
      <c r="BVM148" s="22"/>
      <c r="BVN148" s="22"/>
      <c r="BVO148" s="22"/>
      <c r="BVP148" s="22"/>
      <c r="BVQ148" s="22"/>
      <c r="BVR148" s="22"/>
      <c r="BVS148" s="22"/>
      <c r="BVT148" s="22"/>
      <c r="BVU148" s="22"/>
      <c r="BVV148" s="22"/>
      <c r="BVW148" s="22"/>
      <c r="BVX148" s="22"/>
      <c r="BVY148" s="22"/>
      <c r="BVZ148" s="22"/>
      <c r="BWA148" s="22"/>
      <c r="BWB148" s="22"/>
      <c r="BWC148" s="22"/>
      <c r="BWD148" s="22"/>
      <c r="BWE148" s="22"/>
      <c r="BWF148" s="22"/>
      <c r="BWG148" s="22"/>
      <c r="BWH148" s="22"/>
      <c r="BWI148" s="22"/>
      <c r="BWJ148" s="22"/>
      <c r="BWK148" s="22"/>
      <c r="BWL148" s="22"/>
      <c r="BWM148" s="22"/>
      <c r="BWN148" s="22"/>
      <c r="BWO148" s="22"/>
      <c r="BWP148" s="22"/>
      <c r="BWQ148" s="22"/>
      <c r="BWR148" s="22"/>
      <c r="BWS148" s="22"/>
      <c r="BWT148" s="22"/>
      <c r="BWU148" s="22"/>
      <c r="BWV148" s="22"/>
      <c r="BWW148" s="22"/>
      <c r="BWX148" s="22"/>
      <c r="BWY148" s="22"/>
      <c r="BWZ148" s="22"/>
      <c r="BXA148" s="22"/>
      <c r="BXB148" s="22"/>
      <c r="BXC148" s="22"/>
      <c r="BXD148" s="22"/>
      <c r="BXE148" s="22"/>
      <c r="BXF148" s="22"/>
      <c r="BXG148" s="22"/>
      <c r="BXH148" s="22"/>
      <c r="BXI148" s="22"/>
      <c r="BXJ148" s="22"/>
      <c r="BXK148" s="22"/>
      <c r="BXL148" s="22"/>
      <c r="BXM148" s="22"/>
      <c r="BXN148" s="22"/>
      <c r="BXO148" s="22"/>
      <c r="BXP148" s="22"/>
      <c r="BXQ148" s="22"/>
      <c r="BXR148" s="22"/>
      <c r="BXS148" s="22"/>
      <c r="BXT148" s="22"/>
      <c r="BXU148" s="22"/>
      <c r="BXV148" s="22"/>
      <c r="BXW148" s="22"/>
      <c r="BXX148" s="22"/>
      <c r="BXY148" s="22"/>
      <c r="BXZ148" s="22"/>
      <c r="BYA148" s="22"/>
      <c r="BYB148" s="22"/>
      <c r="BYC148" s="22"/>
      <c r="BYD148" s="22"/>
      <c r="BYE148" s="22"/>
      <c r="BYF148" s="22"/>
      <c r="BYG148" s="22"/>
      <c r="BYH148" s="22"/>
      <c r="BYI148" s="22"/>
      <c r="BYJ148" s="22"/>
      <c r="BYK148" s="22"/>
      <c r="BYL148" s="22"/>
      <c r="BYM148" s="22"/>
      <c r="BYN148" s="22"/>
      <c r="BYO148" s="22"/>
      <c r="BYP148" s="22"/>
      <c r="BYQ148" s="22"/>
      <c r="BYR148" s="22"/>
      <c r="BYS148" s="22"/>
      <c r="BYT148" s="22"/>
      <c r="BYU148" s="22"/>
      <c r="BYV148" s="22"/>
      <c r="BYW148" s="22"/>
      <c r="BYX148" s="22"/>
      <c r="BYY148" s="22"/>
      <c r="BYZ148" s="22"/>
      <c r="BZA148" s="22"/>
      <c r="BZB148" s="22"/>
      <c r="BZC148" s="22"/>
      <c r="BZD148" s="22"/>
      <c r="BZE148" s="22"/>
      <c r="BZF148" s="22"/>
      <c r="BZG148" s="22"/>
      <c r="BZH148" s="22"/>
      <c r="BZI148" s="22"/>
      <c r="BZJ148" s="22"/>
      <c r="BZK148" s="22"/>
      <c r="BZL148" s="22"/>
      <c r="BZM148" s="22"/>
      <c r="BZN148" s="22"/>
      <c r="BZO148" s="22"/>
      <c r="BZP148" s="22"/>
      <c r="BZQ148" s="22"/>
      <c r="BZR148" s="22"/>
      <c r="BZS148" s="22"/>
      <c r="BZT148" s="22"/>
      <c r="BZU148" s="22"/>
      <c r="BZV148" s="22"/>
      <c r="BZW148" s="22"/>
      <c r="BZX148" s="22"/>
      <c r="BZY148" s="22"/>
      <c r="BZZ148" s="22"/>
      <c r="CAA148" s="22"/>
      <c r="CAB148" s="22"/>
      <c r="CAC148" s="22"/>
      <c r="CAD148" s="22"/>
      <c r="CAE148" s="22"/>
      <c r="CAF148" s="22"/>
      <c r="CAG148" s="22"/>
      <c r="CAH148" s="22"/>
      <c r="CAI148" s="22"/>
      <c r="CAJ148" s="22"/>
      <c r="CAK148" s="22"/>
      <c r="CAL148" s="22"/>
      <c r="CAM148" s="22"/>
      <c r="CAN148" s="22"/>
      <c r="CAO148" s="22"/>
      <c r="CAP148" s="22"/>
      <c r="CAQ148" s="22"/>
      <c r="CAR148" s="22"/>
      <c r="CAS148" s="22"/>
      <c r="CAT148" s="22"/>
      <c r="CAU148" s="22"/>
      <c r="CAV148" s="22"/>
      <c r="CAW148" s="22"/>
      <c r="CAX148" s="22"/>
      <c r="CAY148" s="22"/>
      <c r="CAZ148" s="22"/>
      <c r="CBA148" s="22"/>
      <c r="CBB148" s="22"/>
      <c r="CBC148" s="22"/>
      <c r="CBD148" s="22"/>
      <c r="CBE148" s="22"/>
      <c r="CBF148" s="22"/>
      <c r="CBG148" s="22"/>
      <c r="CBH148" s="22"/>
      <c r="CBI148" s="22"/>
      <c r="CBJ148" s="22"/>
      <c r="CBK148" s="22"/>
      <c r="CBL148" s="22"/>
      <c r="CBM148" s="22"/>
      <c r="CBN148" s="22"/>
      <c r="CBO148" s="22"/>
      <c r="CBP148" s="22"/>
      <c r="CBQ148" s="22"/>
      <c r="CBR148" s="22"/>
      <c r="CBS148" s="22"/>
      <c r="CBT148" s="22"/>
      <c r="CBU148" s="22"/>
      <c r="CBV148" s="22"/>
      <c r="CBW148" s="22"/>
      <c r="CBX148" s="22"/>
      <c r="CBY148" s="22"/>
      <c r="CBZ148" s="22"/>
      <c r="CCA148" s="22"/>
      <c r="CCB148" s="22"/>
      <c r="CCC148" s="22"/>
      <c r="CCD148" s="22"/>
      <c r="CCE148" s="22"/>
      <c r="CCF148" s="22"/>
      <c r="CCG148" s="22"/>
      <c r="CCH148" s="22"/>
      <c r="CCI148" s="22"/>
      <c r="CCJ148" s="22"/>
      <c r="CCK148" s="22"/>
      <c r="CCL148" s="22"/>
      <c r="CCM148" s="22"/>
      <c r="CCN148" s="22"/>
      <c r="CCO148" s="22"/>
      <c r="CCP148" s="22"/>
      <c r="CCQ148" s="22"/>
      <c r="CCR148" s="22"/>
      <c r="CCS148" s="22"/>
      <c r="CCT148" s="22"/>
      <c r="CCU148" s="22"/>
      <c r="CCV148" s="22"/>
      <c r="CCW148" s="22"/>
      <c r="CCX148" s="22"/>
      <c r="CCY148" s="22"/>
      <c r="CCZ148" s="22"/>
      <c r="CDA148" s="22"/>
      <c r="CDB148" s="22"/>
      <c r="CDC148" s="22"/>
      <c r="CDD148" s="22"/>
      <c r="CDE148" s="22"/>
      <c r="CDF148" s="22"/>
      <c r="CDG148" s="22"/>
      <c r="CDH148" s="22"/>
      <c r="CDI148" s="22"/>
      <c r="CDJ148" s="22"/>
      <c r="CDK148" s="22"/>
      <c r="CDL148" s="22"/>
      <c r="CDM148" s="22"/>
      <c r="CDN148" s="22"/>
      <c r="CDO148" s="22"/>
      <c r="CDP148" s="22"/>
      <c r="CDQ148" s="22"/>
      <c r="CDR148" s="22"/>
      <c r="CDS148" s="22"/>
      <c r="CDT148" s="22"/>
      <c r="CDU148" s="22"/>
      <c r="CDV148" s="22"/>
      <c r="CDW148" s="22"/>
      <c r="CDX148" s="22"/>
      <c r="CDY148" s="22"/>
      <c r="CDZ148" s="22"/>
      <c r="CEA148" s="22"/>
      <c r="CEB148" s="22"/>
      <c r="CEC148" s="22"/>
      <c r="CED148" s="22"/>
      <c r="CEE148" s="22"/>
      <c r="CEF148" s="22"/>
      <c r="CEG148" s="22"/>
      <c r="CEH148" s="22"/>
      <c r="CEI148" s="22"/>
      <c r="CEJ148" s="22"/>
      <c r="CEK148" s="22"/>
      <c r="CEL148" s="22"/>
      <c r="CEM148" s="22"/>
      <c r="CEN148" s="22"/>
      <c r="CEO148" s="22"/>
      <c r="CEP148" s="22"/>
      <c r="CEQ148" s="22"/>
      <c r="CER148" s="22"/>
      <c r="CES148" s="22"/>
      <c r="CET148" s="22"/>
      <c r="CEU148" s="22"/>
      <c r="CEV148" s="22"/>
      <c r="CEW148" s="22"/>
      <c r="CEX148" s="22"/>
      <c r="CEY148" s="22"/>
      <c r="CEZ148" s="22"/>
      <c r="CFA148" s="22"/>
      <c r="CFB148" s="22"/>
      <c r="CFC148" s="22"/>
      <c r="CFD148" s="22"/>
      <c r="CFE148" s="22"/>
      <c r="CFF148" s="22"/>
      <c r="CFG148" s="22"/>
      <c r="CFH148" s="22"/>
      <c r="CFI148" s="22"/>
      <c r="CFJ148" s="22"/>
      <c r="CFK148" s="22"/>
      <c r="CFL148" s="22"/>
      <c r="CFM148" s="22"/>
      <c r="CFN148" s="22"/>
      <c r="CFO148" s="22"/>
      <c r="CFP148" s="22"/>
      <c r="CFQ148" s="22"/>
      <c r="CFR148" s="22"/>
      <c r="CFS148" s="22"/>
      <c r="CFT148" s="22"/>
      <c r="CFU148" s="22"/>
      <c r="CFV148" s="22"/>
      <c r="CFW148" s="22"/>
      <c r="CFX148" s="22"/>
      <c r="CFY148" s="22"/>
      <c r="CFZ148" s="22"/>
      <c r="CGA148" s="22"/>
      <c r="CGB148" s="22"/>
      <c r="CGC148" s="22"/>
      <c r="CGD148" s="22"/>
      <c r="CGE148" s="22"/>
      <c r="CGF148" s="22"/>
      <c r="CGG148" s="22"/>
      <c r="CGH148" s="22"/>
      <c r="CGI148" s="22"/>
      <c r="CGJ148" s="22"/>
      <c r="CGK148" s="22"/>
      <c r="CGL148" s="22"/>
      <c r="CGM148" s="22"/>
      <c r="CGN148" s="22"/>
      <c r="CGO148" s="22"/>
      <c r="CGP148" s="22"/>
      <c r="CGQ148" s="22"/>
      <c r="CGR148" s="22"/>
      <c r="CGS148" s="22"/>
      <c r="CGT148" s="22"/>
      <c r="CGU148" s="22"/>
      <c r="CGV148" s="22"/>
      <c r="CGW148" s="22"/>
      <c r="CGX148" s="22"/>
      <c r="CGY148" s="22"/>
      <c r="CGZ148" s="22"/>
      <c r="CHA148" s="22"/>
      <c r="CHB148" s="22"/>
      <c r="CHC148" s="22"/>
      <c r="CHD148" s="22"/>
      <c r="CHE148" s="22"/>
      <c r="CHF148" s="22"/>
      <c r="CHG148" s="22"/>
      <c r="CHH148" s="22"/>
      <c r="CHI148" s="22"/>
      <c r="CHJ148" s="22"/>
      <c r="CHK148" s="22"/>
      <c r="CHL148" s="22"/>
      <c r="CHM148" s="22"/>
      <c r="CHN148" s="22"/>
      <c r="CHO148" s="22"/>
      <c r="CHP148" s="22"/>
      <c r="CHQ148" s="22"/>
      <c r="CHR148" s="22"/>
      <c r="CHS148" s="22"/>
      <c r="CHT148" s="22"/>
      <c r="CHU148" s="22"/>
      <c r="CHV148" s="22"/>
      <c r="CHW148" s="22"/>
      <c r="CHX148" s="22"/>
      <c r="CHY148" s="22"/>
      <c r="CHZ148" s="22"/>
      <c r="CIA148" s="22"/>
      <c r="CIB148" s="22"/>
      <c r="CIC148" s="22"/>
      <c r="CID148" s="22"/>
      <c r="CIE148" s="22"/>
      <c r="CIF148" s="22"/>
      <c r="CIG148" s="22"/>
      <c r="CIH148" s="22"/>
      <c r="CII148" s="22"/>
      <c r="CIJ148" s="22"/>
      <c r="CIK148" s="22"/>
      <c r="CIL148" s="22"/>
      <c r="CIM148" s="22"/>
      <c r="CIN148" s="22"/>
      <c r="CIO148" s="22"/>
      <c r="CIP148" s="22"/>
      <c r="CIQ148" s="22"/>
      <c r="CIR148" s="22"/>
      <c r="CIS148" s="22"/>
      <c r="CIT148" s="22"/>
      <c r="CIU148" s="22"/>
      <c r="CIV148" s="22"/>
      <c r="CIW148" s="22"/>
      <c r="CIX148" s="22"/>
      <c r="CIY148" s="22"/>
      <c r="CIZ148" s="22"/>
      <c r="CJA148" s="22"/>
      <c r="CJB148" s="22"/>
      <c r="CJC148" s="22"/>
      <c r="CJD148" s="22"/>
      <c r="CJE148" s="22"/>
      <c r="CJF148" s="22"/>
      <c r="CJG148" s="22"/>
      <c r="CJH148" s="22"/>
      <c r="CJI148" s="22"/>
      <c r="CJJ148" s="22"/>
      <c r="CJK148" s="22"/>
      <c r="CJL148" s="22"/>
      <c r="CJM148" s="22"/>
      <c r="CJN148" s="22"/>
      <c r="CJO148" s="22"/>
      <c r="CJP148" s="22"/>
      <c r="CJQ148" s="22"/>
      <c r="CJR148" s="22"/>
      <c r="CJS148" s="22"/>
      <c r="CJT148" s="22"/>
      <c r="CJU148" s="22"/>
      <c r="CJV148" s="22"/>
      <c r="CJW148" s="22"/>
      <c r="CJX148" s="22"/>
      <c r="CJY148" s="22"/>
      <c r="CJZ148" s="22"/>
      <c r="CKA148" s="22"/>
      <c r="CKB148" s="22"/>
      <c r="CKC148" s="22"/>
      <c r="CKD148" s="22"/>
      <c r="CKE148" s="22"/>
      <c r="CKF148" s="22"/>
      <c r="CKG148" s="22"/>
      <c r="CKH148" s="22"/>
      <c r="CKI148" s="22"/>
      <c r="CKJ148" s="22"/>
      <c r="CKK148" s="22"/>
      <c r="CKL148" s="22"/>
      <c r="CKM148" s="22"/>
      <c r="CKN148" s="22"/>
      <c r="CKO148" s="22"/>
      <c r="CKP148" s="22"/>
      <c r="CKQ148" s="22"/>
      <c r="CKR148" s="22"/>
      <c r="CKS148" s="22"/>
      <c r="CKT148" s="22"/>
      <c r="CKU148" s="22"/>
      <c r="CKV148" s="22"/>
      <c r="CKW148" s="22"/>
      <c r="CKX148" s="22"/>
      <c r="CKY148" s="22"/>
      <c r="CKZ148" s="22"/>
      <c r="CLA148" s="22"/>
      <c r="CLB148" s="22"/>
      <c r="CLC148" s="22"/>
      <c r="CLD148" s="22"/>
      <c r="CLE148" s="22"/>
      <c r="CLF148" s="22"/>
      <c r="CLG148" s="22"/>
      <c r="CLH148" s="22"/>
      <c r="CLI148" s="22"/>
      <c r="CLJ148" s="22"/>
      <c r="CLK148" s="22"/>
      <c r="CLL148" s="22"/>
      <c r="CLM148" s="22"/>
      <c r="CLN148" s="22"/>
      <c r="CLO148" s="22"/>
      <c r="CLP148" s="22"/>
      <c r="CLQ148" s="22"/>
      <c r="CLR148" s="22"/>
      <c r="CLS148" s="22"/>
      <c r="CLT148" s="22"/>
      <c r="CLU148" s="22"/>
      <c r="CLV148" s="22"/>
      <c r="CLW148" s="22"/>
      <c r="CLX148" s="22"/>
      <c r="CLY148" s="22"/>
      <c r="CLZ148" s="22"/>
      <c r="CMA148" s="22"/>
      <c r="CMB148" s="22"/>
      <c r="CMC148" s="22"/>
      <c r="CMD148" s="22"/>
      <c r="CME148" s="22"/>
      <c r="CMF148" s="22"/>
      <c r="CMG148" s="22"/>
      <c r="CMH148" s="22"/>
      <c r="CMI148" s="22"/>
      <c r="CMJ148" s="22"/>
      <c r="CMK148" s="22"/>
      <c r="CML148" s="22"/>
      <c r="CMM148" s="22"/>
      <c r="CMN148" s="22"/>
      <c r="CMO148" s="22"/>
      <c r="CMP148" s="22"/>
      <c r="CMQ148" s="22"/>
      <c r="CMR148" s="22"/>
      <c r="CMS148" s="22"/>
      <c r="CMT148" s="22"/>
      <c r="CMU148" s="22"/>
      <c r="CMV148" s="22"/>
      <c r="CMW148" s="22"/>
      <c r="CMX148" s="22"/>
      <c r="CMY148" s="22"/>
      <c r="CMZ148" s="22"/>
      <c r="CNA148" s="22"/>
      <c r="CNB148" s="22"/>
      <c r="CNC148" s="22"/>
      <c r="CND148" s="22"/>
      <c r="CNE148" s="22"/>
      <c r="CNF148" s="22"/>
      <c r="CNG148" s="22"/>
      <c r="CNH148" s="22"/>
      <c r="CNI148" s="22"/>
      <c r="CNJ148" s="22"/>
      <c r="CNK148" s="22"/>
      <c r="CNL148" s="22"/>
      <c r="CNM148" s="22"/>
      <c r="CNN148" s="22"/>
      <c r="CNO148" s="22"/>
      <c r="CNP148" s="22"/>
      <c r="CNQ148" s="22"/>
      <c r="CNR148" s="22"/>
      <c r="CNS148" s="22"/>
      <c r="CNT148" s="22"/>
      <c r="CNU148" s="22"/>
      <c r="CNV148" s="22"/>
      <c r="CNW148" s="22"/>
      <c r="CNX148" s="22"/>
      <c r="CNY148" s="22"/>
      <c r="CNZ148" s="22"/>
      <c r="COA148" s="22"/>
      <c r="COB148" s="22"/>
      <c r="COC148" s="22"/>
      <c r="COD148" s="22"/>
      <c r="COE148" s="22"/>
      <c r="COF148" s="22"/>
      <c r="COG148" s="22"/>
      <c r="COH148" s="22"/>
      <c r="COI148" s="22"/>
      <c r="COJ148" s="22"/>
      <c r="COK148" s="22"/>
      <c r="COL148" s="22"/>
      <c r="COM148" s="22"/>
      <c r="CON148" s="22"/>
      <c r="COO148" s="22"/>
      <c r="COP148" s="22"/>
      <c r="COQ148" s="22"/>
      <c r="COR148" s="22"/>
      <c r="COS148" s="22"/>
      <c r="COT148" s="22"/>
      <c r="COU148" s="22"/>
      <c r="COV148" s="22"/>
      <c r="COW148" s="22"/>
      <c r="COX148" s="22"/>
      <c r="COY148" s="22"/>
      <c r="COZ148" s="22"/>
      <c r="CPA148" s="22"/>
      <c r="CPB148" s="22"/>
      <c r="CPC148" s="22"/>
      <c r="CPD148" s="22"/>
      <c r="CPE148" s="22"/>
      <c r="CPF148" s="22"/>
      <c r="CPG148" s="22"/>
      <c r="CPH148" s="22"/>
      <c r="CPI148" s="22"/>
      <c r="CPJ148" s="22"/>
      <c r="CPK148" s="22"/>
      <c r="CPL148" s="22"/>
      <c r="CPM148" s="22"/>
      <c r="CPN148" s="22"/>
      <c r="CPO148" s="22"/>
      <c r="CPP148" s="22"/>
      <c r="CPQ148" s="22"/>
      <c r="CPR148" s="22"/>
      <c r="CPS148" s="22"/>
      <c r="CPT148" s="22"/>
      <c r="CPU148" s="22"/>
      <c r="CPV148" s="22"/>
      <c r="CPW148" s="22"/>
      <c r="CPX148" s="22"/>
      <c r="CPY148" s="22"/>
      <c r="CPZ148" s="22"/>
      <c r="CQA148" s="22"/>
      <c r="CQB148" s="22"/>
      <c r="CQC148" s="22"/>
      <c r="CQD148" s="22"/>
      <c r="CQE148" s="22"/>
      <c r="CQF148" s="22"/>
      <c r="CQG148" s="22"/>
      <c r="CQH148" s="22"/>
      <c r="CQI148" s="22"/>
      <c r="CQJ148" s="22"/>
      <c r="CQK148" s="22"/>
      <c r="CQL148" s="22"/>
      <c r="CQM148" s="22"/>
      <c r="CQN148" s="22"/>
      <c r="CQO148" s="22"/>
      <c r="CQP148" s="22"/>
      <c r="CQQ148" s="22"/>
      <c r="CQR148" s="22"/>
      <c r="CQS148" s="22"/>
      <c r="CQT148" s="22"/>
      <c r="CQU148" s="22"/>
      <c r="CQV148" s="22"/>
      <c r="CQW148" s="22"/>
      <c r="CQX148" s="22"/>
      <c r="CQY148" s="22"/>
      <c r="CQZ148" s="22"/>
      <c r="CRA148" s="22"/>
      <c r="CRB148" s="22"/>
      <c r="CRC148" s="22"/>
      <c r="CRD148" s="22"/>
      <c r="CRE148" s="22"/>
      <c r="CRF148" s="22"/>
      <c r="CRG148" s="22"/>
      <c r="CRH148" s="22"/>
      <c r="CRI148" s="22"/>
      <c r="CRJ148" s="22"/>
      <c r="CRK148" s="22"/>
      <c r="CRL148" s="22"/>
      <c r="CRM148" s="22"/>
      <c r="CRN148" s="22"/>
      <c r="CRO148" s="22"/>
      <c r="CRP148" s="22"/>
      <c r="CRQ148" s="22"/>
      <c r="CRR148" s="22"/>
      <c r="CRS148" s="22"/>
      <c r="CRT148" s="22"/>
      <c r="CRU148" s="22"/>
      <c r="CRV148" s="22"/>
      <c r="CRW148" s="22"/>
      <c r="CRX148" s="22"/>
      <c r="CRY148" s="22"/>
      <c r="CRZ148" s="22"/>
      <c r="CSA148" s="22"/>
      <c r="CSB148" s="22"/>
      <c r="CSC148" s="22"/>
      <c r="CSD148" s="22"/>
      <c r="CSE148" s="22"/>
      <c r="CSF148" s="22"/>
      <c r="CSG148" s="22"/>
      <c r="CSH148" s="22"/>
      <c r="CSI148" s="22"/>
      <c r="CSJ148" s="22"/>
      <c r="CSK148" s="22"/>
      <c r="CSL148" s="22"/>
      <c r="CSM148" s="22"/>
      <c r="CSN148" s="22"/>
      <c r="CSO148" s="22"/>
      <c r="CSP148" s="22"/>
      <c r="CSQ148" s="22"/>
      <c r="CSR148" s="22"/>
      <c r="CSS148" s="22"/>
      <c r="CST148" s="22"/>
      <c r="CSU148" s="22"/>
      <c r="CSV148" s="22"/>
      <c r="CSW148" s="22"/>
      <c r="CSX148" s="22"/>
      <c r="CSY148" s="22"/>
      <c r="CSZ148" s="22"/>
      <c r="CTA148" s="22"/>
      <c r="CTB148" s="22"/>
      <c r="CTC148" s="22"/>
      <c r="CTD148" s="22"/>
      <c r="CTE148" s="22"/>
      <c r="CTF148" s="22"/>
      <c r="CTG148" s="22"/>
      <c r="CTH148" s="22"/>
      <c r="CTI148" s="22"/>
      <c r="CTJ148" s="22"/>
      <c r="CTK148" s="22"/>
      <c r="CTL148" s="22"/>
      <c r="CTM148" s="22"/>
      <c r="CTN148" s="22"/>
      <c r="CTO148" s="22"/>
      <c r="CTP148" s="22"/>
      <c r="CTQ148" s="22"/>
      <c r="CTR148" s="22"/>
      <c r="CTS148" s="22"/>
      <c r="CTT148" s="22"/>
      <c r="CTU148" s="22"/>
      <c r="CTV148" s="22"/>
      <c r="CTW148" s="22"/>
      <c r="CTX148" s="22"/>
      <c r="CTY148" s="22"/>
      <c r="CTZ148" s="22"/>
      <c r="CUA148" s="22"/>
      <c r="CUB148" s="22"/>
      <c r="CUC148" s="22"/>
      <c r="CUD148" s="22"/>
      <c r="CUE148" s="22"/>
      <c r="CUF148" s="22"/>
      <c r="CUG148" s="22"/>
      <c r="CUH148" s="22"/>
      <c r="CUI148" s="22"/>
      <c r="CUJ148" s="22"/>
      <c r="CUK148" s="22"/>
      <c r="CUL148" s="22"/>
      <c r="CUM148" s="22"/>
      <c r="CUN148" s="22"/>
      <c r="CUO148" s="22"/>
      <c r="CUP148" s="22"/>
      <c r="CUQ148" s="22"/>
      <c r="CUR148" s="22"/>
      <c r="CUS148" s="22"/>
      <c r="CUT148" s="22"/>
      <c r="CUU148" s="22"/>
      <c r="CUV148" s="22"/>
      <c r="CUW148" s="22"/>
      <c r="CUX148" s="22"/>
      <c r="CUY148" s="22"/>
      <c r="CUZ148" s="22"/>
      <c r="CVA148" s="22"/>
      <c r="CVB148" s="22"/>
      <c r="CVC148" s="22"/>
      <c r="CVD148" s="22"/>
      <c r="CVE148" s="22"/>
      <c r="CVF148" s="22"/>
      <c r="CVG148" s="22"/>
      <c r="CVH148" s="22"/>
      <c r="CVI148" s="22"/>
      <c r="CVJ148" s="22"/>
      <c r="CVK148" s="22"/>
      <c r="CVL148" s="22"/>
      <c r="CVM148" s="22"/>
      <c r="CVN148" s="22"/>
      <c r="CVO148" s="22"/>
      <c r="CVP148" s="22"/>
      <c r="CVQ148" s="22"/>
      <c r="CVR148" s="22"/>
      <c r="CVS148" s="22"/>
      <c r="CVT148" s="22"/>
      <c r="CVU148" s="22"/>
      <c r="CVV148" s="22"/>
      <c r="CVW148" s="22"/>
      <c r="CVX148" s="22"/>
      <c r="CVY148" s="22"/>
      <c r="CVZ148" s="22"/>
      <c r="CWA148" s="22"/>
      <c r="CWB148" s="22"/>
      <c r="CWC148" s="22"/>
      <c r="CWD148" s="22"/>
      <c r="CWE148" s="22"/>
      <c r="CWF148" s="22"/>
      <c r="CWG148" s="22"/>
      <c r="CWH148" s="22"/>
      <c r="CWI148" s="22"/>
      <c r="CWJ148" s="22"/>
      <c r="CWK148" s="22"/>
      <c r="CWL148" s="22"/>
      <c r="CWM148" s="22"/>
      <c r="CWN148" s="22"/>
      <c r="CWO148" s="22"/>
      <c r="CWP148" s="22"/>
      <c r="CWQ148" s="22"/>
      <c r="CWR148" s="22"/>
      <c r="CWS148" s="22"/>
      <c r="CWT148" s="22"/>
      <c r="CWU148" s="22"/>
      <c r="CWV148" s="22"/>
      <c r="CWW148" s="22"/>
      <c r="CWX148" s="22"/>
      <c r="CWY148" s="22"/>
      <c r="CWZ148" s="22"/>
      <c r="CXA148" s="22"/>
      <c r="CXB148" s="22"/>
      <c r="CXC148" s="22"/>
      <c r="CXD148" s="22"/>
      <c r="CXE148" s="22"/>
      <c r="CXF148" s="22"/>
      <c r="CXG148" s="22"/>
      <c r="CXH148" s="22"/>
      <c r="CXI148" s="22"/>
      <c r="CXJ148" s="22"/>
      <c r="CXK148" s="22"/>
      <c r="CXL148" s="22"/>
      <c r="CXM148" s="22"/>
      <c r="CXN148" s="22"/>
      <c r="CXO148" s="22"/>
      <c r="CXP148" s="22"/>
      <c r="CXQ148" s="22"/>
      <c r="CXR148" s="22"/>
      <c r="CXS148" s="22"/>
      <c r="CXT148" s="22"/>
      <c r="CXU148" s="22"/>
      <c r="CXV148" s="22"/>
      <c r="CXW148" s="22"/>
      <c r="CXX148" s="22"/>
      <c r="CXY148" s="22"/>
      <c r="CXZ148" s="22"/>
      <c r="CYA148" s="22"/>
      <c r="CYB148" s="22"/>
      <c r="CYC148" s="22"/>
      <c r="CYD148" s="22"/>
      <c r="CYE148" s="22"/>
      <c r="CYF148" s="22"/>
      <c r="CYG148" s="22"/>
      <c r="CYH148" s="22"/>
      <c r="CYI148" s="22"/>
      <c r="CYJ148" s="22"/>
      <c r="CYK148" s="22"/>
      <c r="CYL148" s="22"/>
      <c r="CYM148" s="22"/>
      <c r="CYN148" s="22"/>
      <c r="CYO148" s="22"/>
      <c r="CYP148" s="22"/>
      <c r="CYQ148" s="22"/>
      <c r="CYR148" s="22"/>
      <c r="CYS148" s="22"/>
      <c r="CYT148" s="22"/>
      <c r="CYU148" s="22"/>
      <c r="CYV148" s="22"/>
      <c r="CYW148" s="22"/>
      <c r="CYX148" s="22"/>
      <c r="CYY148" s="22"/>
      <c r="CYZ148" s="22"/>
      <c r="CZA148" s="22"/>
      <c r="CZB148" s="22"/>
      <c r="CZC148" s="22"/>
      <c r="CZD148" s="22"/>
      <c r="CZE148" s="22"/>
      <c r="CZF148" s="22"/>
      <c r="CZG148" s="22"/>
      <c r="CZH148" s="22"/>
      <c r="CZI148" s="22"/>
      <c r="CZJ148" s="22"/>
      <c r="CZK148" s="22"/>
      <c r="CZL148" s="22"/>
      <c r="CZM148" s="22"/>
      <c r="CZN148" s="22"/>
      <c r="CZO148" s="22"/>
      <c r="CZP148" s="22"/>
      <c r="CZQ148" s="22"/>
      <c r="CZR148" s="22"/>
      <c r="CZS148" s="22"/>
      <c r="CZT148" s="22"/>
      <c r="CZU148" s="22"/>
      <c r="CZV148" s="22"/>
      <c r="CZW148" s="22"/>
      <c r="CZX148" s="22"/>
      <c r="CZY148" s="22"/>
      <c r="CZZ148" s="22"/>
      <c r="DAA148" s="22"/>
      <c r="DAB148" s="22"/>
      <c r="DAC148" s="22"/>
      <c r="DAD148" s="22"/>
      <c r="DAE148" s="22"/>
      <c r="DAF148" s="22"/>
      <c r="DAG148" s="22"/>
      <c r="DAH148" s="22"/>
      <c r="DAI148" s="22"/>
      <c r="DAJ148" s="22"/>
      <c r="DAK148" s="22"/>
      <c r="DAL148" s="22"/>
      <c r="DAM148" s="22"/>
      <c r="DAN148" s="22"/>
      <c r="DAO148" s="22"/>
      <c r="DAP148" s="22"/>
      <c r="DAQ148" s="22"/>
      <c r="DAR148" s="22"/>
      <c r="DAS148" s="22"/>
      <c r="DAT148" s="22"/>
      <c r="DAU148" s="22"/>
      <c r="DAV148" s="22"/>
      <c r="DAW148" s="22"/>
      <c r="DAX148" s="22"/>
      <c r="DAY148" s="22"/>
      <c r="DAZ148" s="22"/>
      <c r="DBA148" s="22"/>
      <c r="DBB148" s="22"/>
      <c r="DBC148" s="22"/>
      <c r="DBD148" s="22"/>
      <c r="DBE148" s="22"/>
      <c r="DBF148" s="22"/>
      <c r="DBG148" s="22"/>
      <c r="DBH148" s="22"/>
      <c r="DBI148" s="22"/>
      <c r="DBJ148" s="22"/>
      <c r="DBK148" s="22"/>
      <c r="DBL148" s="22"/>
      <c r="DBM148" s="22"/>
      <c r="DBN148" s="22"/>
      <c r="DBO148" s="22"/>
      <c r="DBP148" s="22"/>
      <c r="DBQ148" s="22"/>
      <c r="DBR148" s="22"/>
      <c r="DBS148" s="22"/>
      <c r="DBT148" s="22"/>
      <c r="DBU148" s="22"/>
      <c r="DBV148" s="22"/>
      <c r="DBW148" s="22"/>
      <c r="DBX148" s="22"/>
      <c r="DBY148" s="22"/>
      <c r="DBZ148" s="22"/>
      <c r="DCA148" s="22"/>
      <c r="DCB148" s="22"/>
      <c r="DCC148" s="22"/>
      <c r="DCD148" s="22"/>
      <c r="DCE148" s="22"/>
      <c r="DCF148" s="22"/>
      <c r="DCG148" s="22"/>
      <c r="DCH148" s="22"/>
      <c r="DCI148" s="22"/>
      <c r="DCJ148" s="22"/>
      <c r="DCK148" s="22"/>
      <c r="DCL148" s="22"/>
      <c r="DCM148" s="22"/>
      <c r="DCN148" s="22"/>
      <c r="DCO148" s="22"/>
      <c r="DCP148" s="22"/>
      <c r="DCQ148" s="22"/>
      <c r="DCR148" s="22"/>
      <c r="DCS148" s="22"/>
      <c r="DCT148" s="22"/>
      <c r="DCU148" s="22"/>
      <c r="DCV148" s="22"/>
      <c r="DCW148" s="22"/>
      <c r="DCX148" s="22"/>
      <c r="DCY148" s="22"/>
      <c r="DCZ148" s="22"/>
      <c r="DDA148" s="22"/>
      <c r="DDB148" s="22"/>
      <c r="DDC148" s="22"/>
      <c r="DDD148" s="22"/>
      <c r="DDE148" s="22"/>
      <c r="DDF148" s="22"/>
      <c r="DDG148" s="22"/>
      <c r="DDH148" s="22"/>
      <c r="DDI148" s="22"/>
      <c r="DDJ148" s="22"/>
      <c r="DDK148" s="22"/>
      <c r="DDL148" s="22"/>
      <c r="DDM148" s="22"/>
      <c r="DDN148" s="22"/>
      <c r="DDO148" s="22"/>
      <c r="DDP148" s="22"/>
      <c r="DDQ148" s="22"/>
      <c r="DDR148" s="22"/>
      <c r="DDS148" s="22"/>
      <c r="DDT148" s="22"/>
      <c r="DDU148" s="22"/>
      <c r="DDV148" s="22"/>
      <c r="DDW148" s="22"/>
      <c r="DDX148" s="22"/>
      <c r="DDY148" s="22"/>
      <c r="DDZ148" s="22"/>
      <c r="DEA148" s="22"/>
      <c r="DEB148" s="22"/>
      <c r="DEC148" s="22"/>
      <c r="DED148" s="22"/>
      <c r="DEE148" s="22"/>
      <c r="DEF148" s="22"/>
      <c r="DEG148" s="22"/>
      <c r="DEH148" s="22"/>
      <c r="DEI148" s="22"/>
      <c r="DEJ148" s="22"/>
      <c r="DEK148" s="22"/>
      <c r="DEL148" s="22"/>
      <c r="DEM148" s="22"/>
      <c r="DEN148" s="22"/>
      <c r="DEO148" s="22"/>
      <c r="DEP148" s="22"/>
      <c r="DEQ148" s="22"/>
      <c r="DER148" s="22"/>
      <c r="DES148" s="22"/>
      <c r="DET148" s="22"/>
      <c r="DEU148" s="22"/>
      <c r="DEV148" s="22"/>
      <c r="DEW148" s="22"/>
      <c r="DEX148" s="22"/>
      <c r="DEY148" s="22"/>
      <c r="DEZ148" s="22"/>
      <c r="DFA148" s="22"/>
      <c r="DFB148" s="22"/>
      <c r="DFC148" s="22"/>
      <c r="DFD148" s="22"/>
      <c r="DFE148" s="22"/>
      <c r="DFF148" s="22"/>
      <c r="DFG148" s="22"/>
      <c r="DFH148" s="22"/>
      <c r="DFI148" s="22"/>
      <c r="DFJ148" s="22"/>
      <c r="DFK148" s="22"/>
      <c r="DFL148" s="22"/>
      <c r="DFM148" s="22"/>
      <c r="DFN148" s="22"/>
      <c r="DFO148" s="22"/>
      <c r="DFP148" s="22"/>
      <c r="DFQ148" s="22"/>
      <c r="DFR148" s="22"/>
      <c r="DFS148" s="22"/>
      <c r="DFT148" s="22"/>
      <c r="DFU148" s="22"/>
      <c r="DFV148" s="22"/>
      <c r="DFW148" s="22"/>
      <c r="DFX148" s="22"/>
      <c r="DFY148" s="22"/>
      <c r="DFZ148" s="22"/>
      <c r="DGA148" s="22"/>
      <c r="DGB148" s="22"/>
      <c r="DGC148" s="22"/>
      <c r="DGD148" s="22"/>
      <c r="DGE148" s="22"/>
      <c r="DGF148" s="22"/>
      <c r="DGG148" s="22"/>
      <c r="DGH148" s="22"/>
      <c r="DGI148" s="22"/>
      <c r="DGJ148" s="22"/>
      <c r="DGK148" s="22"/>
      <c r="DGL148" s="22"/>
      <c r="DGM148" s="22"/>
      <c r="DGN148" s="22"/>
      <c r="DGO148" s="22"/>
      <c r="DGP148" s="22"/>
      <c r="DGQ148" s="22"/>
      <c r="DGR148" s="22"/>
      <c r="DGS148" s="22"/>
      <c r="DGT148" s="22"/>
      <c r="DGU148" s="22"/>
      <c r="DGV148" s="22"/>
      <c r="DGW148" s="22"/>
      <c r="DGX148" s="22"/>
      <c r="DGY148" s="22"/>
      <c r="DGZ148" s="22"/>
      <c r="DHA148" s="22"/>
      <c r="DHB148" s="22"/>
      <c r="DHC148" s="22"/>
      <c r="DHD148" s="22"/>
      <c r="DHE148" s="22"/>
      <c r="DHF148" s="22"/>
      <c r="DHG148" s="22"/>
      <c r="DHH148" s="22"/>
      <c r="DHI148" s="22"/>
      <c r="DHJ148" s="22"/>
      <c r="DHK148" s="22"/>
      <c r="DHL148" s="22"/>
      <c r="DHM148" s="22"/>
      <c r="DHN148" s="22"/>
      <c r="DHO148" s="22"/>
      <c r="DHP148" s="22"/>
      <c r="DHQ148" s="22"/>
      <c r="DHR148" s="22"/>
      <c r="DHS148" s="22"/>
      <c r="DHT148" s="22"/>
      <c r="DHU148" s="22"/>
      <c r="DHV148" s="22"/>
      <c r="DHW148" s="22"/>
      <c r="DHX148" s="22"/>
      <c r="DHY148" s="22"/>
      <c r="DHZ148" s="22"/>
      <c r="DIA148" s="22"/>
      <c r="DIB148" s="22"/>
      <c r="DIC148" s="22"/>
      <c r="DID148" s="22"/>
      <c r="DIE148" s="22"/>
      <c r="DIF148" s="22"/>
      <c r="DIG148" s="22"/>
      <c r="DIH148" s="22"/>
      <c r="DII148" s="22"/>
      <c r="DIJ148" s="22"/>
      <c r="DIK148" s="22"/>
      <c r="DIL148" s="22"/>
      <c r="DIM148" s="22"/>
      <c r="DIN148" s="22"/>
      <c r="DIO148" s="22"/>
      <c r="DIP148" s="22"/>
      <c r="DIQ148" s="22"/>
      <c r="DIR148" s="22"/>
      <c r="DIS148" s="22"/>
      <c r="DIT148" s="22"/>
      <c r="DIU148" s="22"/>
      <c r="DIV148" s="22"/>
      <c r="DIW148" s="22"/>
      <c r="DIX148" s="22"/>
      <c r="DIY148" s="22"/>
      <c r="DIZ148" s="22"/>
      <c r="DJA148" s="22"/>
      <c r="DJB148" s="22"/>
      <c r="DJC148" s="22"/>
      <c r="DJD148" s="22"/>
      <c r="DJE148" s="22"/>
      <c r="DJF148" s="22"/>
      <c r="DJG148" s="22"/>
      <c r="DJH148" s="22"/>
      <c r="DJI148" s="22"/>
      <c r="DJJ148" s="22"/>
      <c r="DJK148" s="22"/>
      <c r="DJL148" s="22"/>
      <c r="DJM148" s="22"/>
      <c r="DJN148" s="22"/>
      <c r="DJO148" s="22"/>
      <c r="DJP148" s="22"/>
      <c r="DJQ148" s="22"/>
      <c r="DJR148" s="22"/>
      <c r="DJS148" s="22"/>
      <c r="DJT148" s="22"/>
      <c r="DJU148" s="22"/>
      <c r="DJV148" s="22"/>
      <c r="DJW148" s="22"/>
      <c r="DJX148" s="22"/>
      <c r="DJY148" s="22"/>
      <c r="DJZ148" s="22"/>
      <c r="DKA148" s="22"/>
      <c r="DKB148" s="22"/>
      <c r="DKC148" s="22"/>
      <c r="DKD148" s="22"/>
      <c r="DKE148" s="22"/>
      <c r="DKF148" s="22"/>
      <c r="DKG148" s="22"/>
      <c r="DKH148" s="22"/>
      <c r="DKI148" s="22"/>
      <c r="DKJ148" s="22"/>
      <c r="DKK148" s="22"/>
      <c r="DKL148" s="22"/>
      <c r="DKM148" s="22"/>
      <c r="DKN148" s="22"/>
      <c r="DKO148" s="22"/>
      <c r="DKP148" s="22"/>
      <c r="DKQ148" s="22"/>
      <c r="DKR148" s="22"/>
      <c r="DKS148" s="22"/>
      <c r="DKT148" s="22"/>
      <c r="DKU148" s="22"/>
      <c r="DKV148" s="22"/>
      <c r="DKW148" s="22"/>
      <c r="DKX148" s="22"/>
      <c r="DKY148" s="22"/>
      <c r="DKZ148" s="22"/>
      <c r="DLA148" s="22"/>
      <c r="DLB148" s="22"/>
      <c r="DLC148" s="22"/>
      <c r="DLD148" s="22"/>
      <c r="DLE148" s="22"/>
      <c r="DLF148" s="22"/>
      <c r="DLG148" s="22"/>
      <c r="DLH148" s="22"/>
      <c r="DLI148" s="22"/>
      <c r="DLJ148" s="22"/>
      <c r="DLK148" s="22"/>
      <c r="DLL148" s="22"/>
      <c r="DLM148" s="22"/>
      <c r="DLN148" s="22"/>
      <c r="DLO148" s="22"/>
      <c r="DLP148" s="22"/>
      <c r="DLQ148" s="22"/>
      <c r="DLR148" s="22"/>
      <c r="DLS148" s="22"/>
      <c r="DLT148" s="22"/>
      <c r="DLU148" s="22"/>
      <c r="DLV148" s="22"/>
      <c r="DLW148" s="22"/>
      <c r="DLX148" s="22"/>
      <c r="DLY148" s="22"/>
      <c r="DLZ148" s="22"/>
      <c r="DMA148" s="22"/>
      <c r="DMB148" s="22"/>
      <c r="DMC148" s="22"/>
      <c r="DMD148" s="22"/>
      <c r="DME148" s="22"/>
      <c r="DMF148" s="22"/>
      <c r="DMG148" s="22"/>
      <c r="DMH148" s="22"/>
      <c r="DMI148" s="22"/>
      <c r="DMJ148" s="22"/>
      <c r="DMK148" s="22"/>
      <c r="DML148" s="22"/>
      <c r="DMM148" s="22"/>
      <c r="DMN148" s="22"/>
      <c r="DMO148" s="22"/>
      <c r="DMP148" s="22"/>
      <c r="DMQ148" s="22"/>
      <c r="DMR148" s="22"/>
      <c r="DMS148" s="22"/>
      <c r="DMT148" s="22"/>
      <c r="DMU148" s="22"/>
      <c r="DMV148" s="22"/>
      <c r="DMW148" s="22"/>
      <c r="DMX148" s="22"/>
      <c r="DMY148" s="22"/>
      <c r="DMZ148" s="22"/>
      <c r="DNA148" s="22"/>
      <c r="DNB148" s="22"/>
      <c r="DNC148" s="22"/>
      <c r="DND148" s="22"/>
      <c r="DNE148" s="22"/>
      <c r="DNF148" s="22"/>
      <c r="DNG148" s="22"/>
      <c r="DNH148" s="22"/>
      <c r="DNI148" s="22"/>
      <c r="DNJ148" s="22"/>
      <c r="DNK148" s="22"/>
      <c r="DNL148" s="22"/>
      <c r="DNM148" s="22"/>
      <c r="DNN148" s="22"/>
      <c r="DNO148" s="22"/>
      <c r="DNP148" s="22"/>
      <c r="DNQ148" s="22"/>
      <c r="DNR148" s="22"/>
      <c r="DNS148" s="22"/>
      <c r="DNT148" s="22"/>
      <c r="DNU148" s="22"/>
      <c r="DNV148" s="22"/>
      <c r="DNW148" s="22"/>
      <c r="DNX148" s="22"/>
      <c r="DNY148" s="22"/>
      <c r="DNZ148" s="22"/>
      <c r="DOA148" s="22"/>
      <c r="DOB148" s="22"/>
      <c r="DOC148" s="22"/>
      <c r="DOD148" s="22"/>
      <c r="DOE148" s="22"/>
      <c r="DOF148" s="22"/>
      <c r="DOG148" s="22"/>
      <c r="DOH148" s="22"/>
      <c r="DOI148" s="22"/>
      <c r="DOJ148" s="22"/>
      <c r="DOK148" s="22"/>
      <c r="DOL148" s="22"/>
      <c r="DOM148" s="22"/>
      <c r="DON148" s="22"/>
      <c r="DOO148" s="22"/>
      <c r="DOP148" s="22"/>
      <c r="DOQ148" s="22"/>
      <c r="DOR148" s="22"/>
      <c r="DOS148" s="22"/>
      <c r="DOT148" s="22"/>
      <c r="DOU148" s="22"/>
      <c r="DOV148" s="22"/>
      <c r="DOW148" s="22"/>
      <c r="DOX148" s="22"/>
      <c r="DOY148" s="22"/>
      <c r="DOZ148" s="22"/>
      <c r="DPA148" s="22"/>
      <c r="DPB148" s="22"/>
      <c r="DPC148" s="22"/>
      <c r="DPD148" s="22"/>
      <c r="DPE148" s="22"/>
      <c r="DPF148" s="22"/>
      <c r="DPG148" s="22"/>
      <c r="DPH148" s="22"/>
      <c r="DPI148" s="22"/>
      <c r="DPJ148" s="22"/>
      <c r="DPK148" s="22"/>
      <c r="DPL148" s="22"/>
      <c r="DPM148" s="22"/>
      <c r="DPN148" s="22"/>
      <c r="DPO148" s="22"/>
      <c r="DPP148" s="22"/>
      <c r="DPQ148" s="22"/>
      <c r="DPR148" s="22"/>
      <c r="DPS148" s="22"/>
      <c r="DPT148" s="22"/>
      <c r="DPU148" s="22"/>
      <c r="DPV148" s="22"/>
      <c r="DPW148" s="22"/>
      <c r="DPX148" s="22"/>
      <c r="DPY148" s="22"/>
      <c r="DPZ148" s="22"/>
      <c r="DQA148" s="22"/>
      <c r="DQB148" s="22"/>
      <c r="DQC148" s="22"/>
      <c r="DQD148" s="22"/>
      <c r="DQE148" s="22"/>
      <c r="DQF148" s="22"/>
      <c r="DQG148" s="22"/>
      <c r="DQH148" s="22"/>
      <c r="DQI148" s="22"/>
      <c r="DQJ148" s="22"/>
      <c r="DQK148" s="22"/>
      <c r="DQL148" s="22"/>
      <c r="DQM148" s="22"/>
      <c r="DQN148" s="22"/>
      <c r="DQO148" s="22"/>
      <c r="DQP148" s="22"/>
      <c r="DQQ148" s="22"/>
      <c r="DQR148" s="22"/>
      <c r="DQS148" s="22"/>
      <c r="DQT148" s="22"/>
      <c r="DQU148" s="22"/>
      <c r="DQV148" s="22"/>
      <c r="DQW148" s="22"/>
      <c r="DQX148" s="22"/>
      <c r="DQY148" s="22"/>
      <c r="DQZ148" s="22"/>
      <c r="DRA148" s="22"/>
      <c r="DRB148" s="22"/>
      <c r="DRC148" s="22"/>
      <c r="DRD148" s="22"/>
      <c r="DRE148" s="22"/>
      <c r="DRF148" s="22"/>
      <c r="DRG148" s="22"/>
      <c r="DRH148" s="22"/>
      <c r="DRI148" s="22"/>
      <c r="DRJ148" s="22"/>
      <c r="DRK148" s="22"/>
      <c r="DRL148" s="22"/>
      <c r="DRM148" s="22"/>
      <c r="DRN148" s="22"/>
      <c r="DRO148" s="22"/>
      <c r="DRP148" s="22"/>
      <c r="DRQ148" s="22"/>
      <c r="DRR148" s="22"/>
      <c r="DRS148" s="22"/>
      <c r="DRT148" s="22"/>
      <c r="DRU148" s="22"/>
      <c r="DRV148" s="22"/>
      <c r="DRW148" s="22"/>
      <c r="DRX148" s="22"/>
      <c r="DRY148" s="22"/>
      <c r="DRZ148" s="22"/>
      <c r="DSA148" s="22"/>
      <c r="DSB148" s="22"/>
      <c r="DSC148" s="22"/>
      <c r="DSD148" s="22"/>
      <c r="DSE148" s="22"/>
      <c r="DSF148" s="22"/>
      <c r="DSG148" s="22"/>
      <c r="DSH148" s="22"/>
      <c r="DSI148" s="22"/>
      <c r="DSJ148" s="22"/>
      <c r="DSK148" s="22"/>
      <c r="DSL148" s="22"/>
      <c r="DSM148" s="22"/>
      <c r="DSN148" s="22"/>
      <c r="DSO148" s="22"/>
      <c r="DSP148" s="22"/>
      <c r="DSQ148" s="22"/>
      <c r="DSR148" s="22"/>
      <c r="DSS148" s="22"/>
      <c r="DST148" s="22"/>
      <c r="DSU148" s="22"/>
      <c r="DSV148" s="22"/>
      <c r="DSW148" s="22"/>
      <c r="DSX148" s="22"/>
      <c r="DSY148" s="22"/>
      <c r="DSZ148" s="22"/>
      <c r="DTA148" s="22"/>
      <c r="DTB148" s="22"/>
      <c r="DTC148" s="22"/>
      <c r="DTD148" s="22"/>
      <c r="DTE148" s="22"/>
      <c r="DTF148" s="22"/>
      <c r="DTG148" s="22"/>
      <c r="DTH148" s="22"/>
      <c r="DTI148" s="22"/>
      <c r="DTJ148" s="22"/>
      <c r="DTK148" s="22"/>
      <c r="DTL148" s="22"/>
      <c r="DTM148" s="22"/>
      <c r="DTN148" s="22"/>
      <c r="DTO148" s="22"/>
      <c r="DTP148" s="22"/>
      <c r="DTQ148" s="22"/>
      <c r="DTR148" s="22"/>
      <c r="DTS148" s="22"/>
      <c r="DTT148" s="22"/>
      <c r="DTU148" s="22"/>
      <c r="DTV148" s="22"/>
      <c r="DTW148" s="22"/>
      <c r="DTX148" s="22"/>
      <c r="DTY148" s="22"/>
      <c r="DTZ148" s="22"/>
      <c r="DUA148" s="22"/>
      <c r="DUB148" s="22"/>
      <c r="DUC148" s="22"/>
      <c r="DUD148" s="22"/>
      <c r="DUE148" s="22"/>
      <c r="DUF148" s="22"/>
      <c r="DUG148" s="22"/>
      <c r="DUH148" s="22"/>
      <c r="DUI148" s="22"/>
      <c r="DUJ148" s="22"/>
      <c r="DUK148" s="22"/>
      <c r="DUL148" s="22"/>
      <c r="DUM148" s="22"/>
      <c r="DUN148" s="22"/>
      <c r="DUO148" s="22"/>
      <c r="DUP148" s="22"/>
      <c r="DUQ148" s="22"/>
      <c r="DUR148" s="22"/>
      <c r="DUS148" s="22"/>
      <c r="DUT148" s="22"/>
      <c r="DUU148" s="22"/>
      <c r="DUV148" s="22"/>
      <c r="DUW148" s="22"/>
      <c r="DUX148" s="22"/>
      <c r="DUY148" s="22"/>
      <c r="DUZ148" s="22"/>
      <c r="DVA148" s="22"/>
      <c r="DVB148" s="22"/>
      <c r="DVC148" s="22"/>
      <c r="DVD148" s="22"/>
      <c r="DVE148" s="22"/>
      <c r="DVF148" s="22"/>
      <c r="DVG148" s="22"/>
      <c r="DVH148" s="22"/>
      <c r="DVI148" s="22"/>
      <c r="DVJ148" s="22"/>
      <c r="DVK148" s="22"/>
      <c r="DVL148" s="22"/>
      <c r="DVM148" s="22"/>
      <c r="DVN148" s="22"/>
      <c r="DVO148" s="22"/>
      <c r="DVP148" s="22"/>
      <c r="DVQ148" s="22"/>
      <c r="DVR148" s="22"/>
      <c r="DVS148" s="22"/>
      <c r="DVT148" s="22"/>
      <c r="DVU148" s="22"/>
      <c r="DVV148" s="22"/>
      <c r="DVW148" s="22"/>
      <c r="DVX148" s="22"/>
      <c r="DVY148" s="22"/>
      <c r="DVZ148" s="22"/>
      <c r="DWA148" s="22"/>
      <c r="DWB148" s="22"/>
      <c r="DWC148" s="22"/>
      <c r="DWD148" s="22"/>
      <c r="DWE148" s="22"/>
      <c r="DWF148" s="22"/>
      <c r="DWG148" s="22"/>
      <c r="DWH148" s="22"/>
      <c r="DWI148" s="22"/>
      <c r="DWJ148" s="22"/>
      <c r="DWK148" s="22"/>
      <c r="DWL148" s="22"/>
      <c r="DWM148" s="22"/>
      <c r="DWN148" s="22"/>
      <c r="DWO148" s="22"/>
      <c r="DWP148" s="22"/>
      <c r="DWQ148" s="22"/>
      <c r="DWR148" s="22"/>
      <c r="DWS148" s="22"/>
      <c r="DWT148" s="22"/>
      <c r="DWU148" s="22"/>
      <c r="DWV148" s="22"/>
      <c r="DWW148" s="22"/>
      <c r="DWX148" s="22"/>
      <c r="DWY148" s="22"/>
      <c r="DWZ148" s="22"/>
      <c r="DXA148" s="22"/>
      <c r="DXB148" s="22"/>
      <c r="DXC148" s="22"/>
      <c r="DXD148" s="22"/>
      <c r="DXE148" s="22"/>
      <c r="DXF148" s="22"/>
      <c r="DXG148" s="22"/>
      <c r="DXH148" s="22"/>
      <c r="DXI148" s="22"/>
      <c r="DXJ148" s="22"/>
      <c r="DXK148" s="22"/>
      <c r="DXL148" s="22"/>
      <c r="DXM148" s="22"/>
      <c r="DXN148" s="22"/>
      <c r="DXO148" s="22"/>
      <c r="DXP148" s="22"/>
      <c r="DXQ148" s="22"/>
      <c r="DXR148" s="22"/>
      <c r="DXS148" s="22"/>
      <c r="DXT148" s="22"/>
      <c r="DXU148" s="22"/>
      <c r="DXV148" s="22"/>
      <c r="DXW148" s="22"/>
      <c r="DXX148" s="22"/>
      <c r="DXY148" s="22"/>
      <c r="DXZ148" s="22"/>
      <c r="DYA148" s="22"/>
      <c r="DYB148" s="22"/>
      <c r="DYC148" s="22"/>
      <c r="DYD148" s="22"/>
      <c r="DYE148" s="22"/>
      <c r="DYF148" s="22"/>
      <c r="DYG148" s="22"/>
      <c r="DYH148" s="22"/>
      <c r="DYI148" s="22"/>
      <c r="DYJ148" s="22"/>
      <c r="DYK148" s="22"/>
      <c r="DYL148" s="22"/>
      <c r="DYM148" s="22"/>
      <c r="DYN148" s="22"/>
      <c r="DYO148" s="22"/>
      <c r="DYP148" s="22"/>
      <c r="DYQ148" s="22"/>
      <c r="DYR148" s="22"/>
      <c r="DYS148" s="22"/>
      <c r="DYT148" s="22"/>
      <c r="DYU148" s="22"/>
      <c r="DYV148" s="22"/>
      <c r="DYW148" s="22"/>
      <c r="DYX148" s="22"/>
      <c r="DYY148" s="22"/>
      <c r="DYZ148" s="22"/>
      <c r="DZA148" s="22"/>
      <c r="DZB148" s="22"/>
      <c r="DZC148" s="22"/>
      <c r="DZD148" s="22"/>
      <c r="DZE148" s="22"/>
      <c r="DZF148" s="22"/>
      <c r="DZG148" s="22"/>
      <c r="DZH148" s="22"/>
      <c r="DZI148" s="22"/>
      <c r="DZJ148" s="22"/>
      <c r="DZK148" s="22"/>
      <c r="DZL148" s="22"/>
      <c r="DZM148" s="22"/>
      <c r="DZN148" s="22"/>
      <c r="DZO148" s="22"/>
      <c r="DZP148" s="22"/>
      <c r="DZQ148" s="22"/>
      <c r="DZR148" s="22"/>
      <c r="DZS148" s="22"/>
      <c r="DZT148" s="22"/>
      <c r="DZU148" s="22"/>
      <c r="DZV148" s="22"/>
      <c r="DZW148" s="22"/>
      <c r="DZX148" s="22"/>
      <c r="DZY148" s="22"/>
      <c r="DZZ148" s="22"/>
      <c r="EAA148" s="22"/>
      <c r="EAB148" s="22"/>
      <c r="EAC148" s="22"/>
      <c r="EAD148" s="22"/>
      <c r="EAE148" s="22"/>
      <c r="EAF148" s="22"/>
      <c r="EAG148" s="22"/>
      <c r="EAH148" s="22"/>
      <c r="EAI148" s="22"/>
      <c r="EAJ148" s="22"/>
      <c r="EAK148" s="22"/>
      <c r="EAL148" s="22"/>
      <c r="EAM148" s="22"/>
      <c r="EAN148" s="22"/>
      <c r="EAO148" s="22"/>
      <c r="EAP148" s="22"/>
      <c r="EAQ148" s="22"/>
      <c r="EAR148" s="22"/>
      <c r="EAS148" s="22"/>
      <c r="EAT148" s="22"/>
      <c r="EAU148" s="22"/>
      <c r="EAV148" s="22"/>
      <c r="EAW148" s="22"/>
      <c r="EAX148" s="22"/>
      <c r="EAY148" s="22"/>
      <c r="EAZ148" s="22"/>
      <c r="EBA148" s="22"/>
      <c r="EBB148" s="22"/>
      <c r="EBC148" s="22"/>
      <c r="EBD148" s="22"/>
      <c r="EBE148" s="22"/>
      <c r="EBF148" s="22"/>
      <c r="EBG148" s="22"/>
      <c r="EBH148" s="22"/>
      <c r="EBI148" s="22"/>
      <c r="EBJ148" s="22"/>
      <c r="EBK148" s="22"/>
      <c r="EBL148" s="22"/>
      <c r="EBM148" s="22"/>
      <c r="EBN148" s="22"/>
      <c r="EBO148" s="22"/>
      <c r="EBP148" s="22"/>
      <c r="EBQ148" s="22"/>
      <c r="EBR148" s="22"/>
      <c r="EBS148" s="22"/>
      <c r="EBT148" s="22"/>
      <c r="EBU148" s="22"/>
      <c r="EBV148" s="22"/>
      <c r="EBW148" s="22"/>
      <c r="EBX148" s="22"/>
      <c r="EBY148" s="22"/>
      <c r="EBZ148" s="22"/>
      <c r="ECA148" s="22"/>
      <c r="ECB148" s="22"/>
      <c r="ECC148" s="22"/>
      <c r="ECD148" s="22"/>
      <c r="ECE148" s="22"/>
      <c r="ECF148" s="22"/>
      <c r="ECG148" s="22"/>
      <c r="ECH148" s="22"/>
      <c r="ECI148" s="22"/>
      <c r="ECJ148" s="22"/>
      <c r="ECK148" s="22"/>
      <c r="ECL148" s="22"/>
      <c r="ECM148" s="22"/>
      <c r="ECN148" s="22"/>
      <c r="ECO148" s="22"/>
      <c r="ECP148" s="22"/>
      <c r="ECQ148" s="22"/>
      <c r="ECR148" s="22"/>
      <c r="ECS148" s="22"/>
      <c r="ECT148" s="22"/>
      <c r="ECU148" s="22"/>
      <c r="ECV148" s="22"/>
      <c r="ECW148" s="22"/>
      <c r="ECX148" s="22"/>
      <c r="ECY148" s="22"/>
      <c r="ECZ148" s="22"/>
      <c r="EDA148" s="22"/>
      <c r="EDB148" s="22"/>
      <c r="EDC148" s="22"/>
      <c r="EDD148" s="22"/>
      <c r="EDE148" s="22"/>
      <c r="EDF148" s="22"/>
      <c r="EDG148" s="22"/>
      <c r="EDH148" s="22"/>
      <c r="EDI148" s="22"/>
      <c r="EDJ148" s="22"/>
      <c r="EDK148" s="22"/>
      <c r="EDL148" s="22"/>
      <c r="EDM148" s="22"/>
      <c r="EDN148" s="22"/>
      <c r="EDO148" s="22"/>
      <c r="EDP148" s="22"/>
      <c r="EDQ148" s="22"/>
      <c r="EDR148" s="22"/>
      <c r="EDS148" s="22"/>
      <c r="EDT148" s="22"/>
      <c r="EDU148" s="22"/>
      <c r="EDV148" s="22"/>
      <c r="EDW148" s="22"/>
      <c r="EDX148" s="22"/>
      <c r="EDY148" s="22"/>
      <c r="EDZ148" s="22"/>
      <c r="EEA148" s="22"/>
      <c r="EEB148" s="22"/>
      <c r="EEC148" s="22"/>
      <c r="EED148" s="22"/>
      <c r="EEE148" s="22"/>
      <c r="EEF148" s="22"/>
      <c r="EEG148" s="22"/>
      <c r="EEH148" s="22"/>
      <c r="EEI148" s="22"/>
      <c r="EEJ148" s="22"/>
      <c r="EEK148" s="22"/>
      <c r="EEL148" s="22"/>
      <c r="EEM148" s="22"/>
      <c r="EEN148" s="22"/>
      <c r="EEO148" s="22"/>
      <c r="EEP148" s="22"/>
      <c r="EEQ148" s="22"/>
      <c r="EER148" s="22"/>
      <c r="EES148" s="22"/>
      <c r="EET148" s="22"/>
      <c r="EEU148" s="22"/>
      <c r="EEV148" s="22"/>
      <c r="EEW148" s="22"/>
      <c r="EEX148" s="22"/>
      <c r="EEY148" s="22"/>
      <c r="EEZ148" s="22"/>
      <c r="EFA148" s="22"/>
      <c r="EFB148" s="22"/>
      <c r="EFC148" s="22"/>
      <c r="EFD148" s="22"/>
      <c r="EFE148" s="22"/>
      <c r="EFF148" s="22"/>
      <c r="EFG148" s="22"/>
      <c r="EFH148" s="22"/>
      <c r="EFI148" s="22"/>
      <c r="EFJ148" s="22"/>
      <c r="EFK148" s="22"/>
      <c r="EFL148" s="22"/>
      <c r="EFM148" s="22"/>
      <c r="EFN148" s="22"/>
      <c r="EFO148" s="22"/>
      <c r="EFP148" s="22"/>
      <c r="EFQ148" s="22"/>
      <c r="EFR148" s="22"/>
      <c r="EFS148" s="22"/>
      <c r="EFT148" s="22"/>
      <c r="EFU148" s="22"/>
      <c r="EFV148" s="22"/>
      <c r="EFW148" s="22"/>
      <c r="EFX148" s="22"/>
      <c r="EFY148" s="22"/>
      <c r="EFZ148" s="22"/>
      <c r="EGA148" s="22"/>
      <c r="EGB148" s="22"/>
      <c r="EGC148" s="22"/>
      <c r="EGD148" s="22"/>
      <c r="EGE148" s="22"/>
      <c r="EGF148" s="22"/>
      <c r="EGG148" s="22"/>
      <c r="EGH148" s="22"/>
      <c r="EGI148" s="22"/>
      <c r="EGJ148" s="22"/>
      <c r="EGK148" s="22"/>
      <c r="EGL148" s="22"/>
      <c r="EGM148" s="22"/>
      <c r="EGN148" s="22"/>
      <c r="EGO148" s="22"/>
      <c r="EGP148" s="22"/>
      <c r="EGQ148" s="22"/>
      <c r="EGR148" s="22"/>
      <c r="EGS148" s="22"/>
      <c r="EGT148" s="22"/>
      <c r="EGU148" s="22"/>
      <c r="EGV148" s="22"/>
      <c r="EGW148" s="22"/>
      <c r="EGX148" s="22"/>
      <c r="EGY148" s="22"/>
      <c r="EGZ148" s="22"/>
      <c r="EHA148" s="22"/>
      <c r="EHB148" s="22"/>
      <c r="EHC148" s="22"/>
      <c r="EHD148" s="22"/>
      <c r="EHE148" s="22"/>
      <c r="EHF148" s="22"/>
      <c r="EHG148" s="22"/>
      <c r="EHH148" s="22"/>
      <c r="EHI148" s="22"/>
      <c r="EHJ148" s="22"/>
      <c r="EHK148" s="22"/>
      <c r="EHL148" s="22"/>
      <c r="EHM148" s="22"/>
      <c r="EHN148" s="22"/>
      <c r="EHO148" s="22"/>
      <c r="EHP148" s="22"/>
      <c r="EHQ148" s="22"/>
      <c r="EHR148" s="22"/>
      <c r="EHS148" s="22"/>
      <c r="EHT148" s="22"/>
      <c r="EHU148" s="22"/>
      <c r="EHV148" s="22"/>
      <c r="EHW148" s="22"/>
      <c r="EHX148" s="22"/>
      <c r="EHY148" s="22"/>
      <c r="EHZ148" s="22"/>
      <c r="EIA148" s="22"/>
      <c r="EIB148" s="22"/>
      <c r="EIC148" s="22"/>
      <c r="EID148" s="22"/>
      <c r="EIE148" s="22"/>
      <c r="EIF148" s="22"/>
      <c r="EIG148" s="22"/>
      <c r="EIH148" s="22"/>
      <c r="EII148" s="22"/>
      <c r="EIJ148" s="22"/>
      <c r="EIK148" s="22"/>
      <c r="EIL148" s="22"/>
      <c r="EIM148" s="22"/>
      <c r="EIN148" s="22"/>
      <c r="EIO148" s="22"/>
      <c r="EIP148" s="22"/>
      <c r="EIQ148" s="22"/>
      <c r="EIR148" s="22"/>
      <c r="EIS148" s="22"/>
      <c r="EIT148" s="22"/>
      <c r="EIU148" s="22"/>
      <c r="EIV148" s="22"/>
      <c r="EIW148" s="22"/>
      <c r="EIX148" s="22"/>
      <c r="EIY148" s="22"/>
      <c r="EIZ148" s="22"/>
      <c r="EJA148" s="22"/>
      <c r="EJB148" s="22"/>
      <c r="EJC148" s="22"/>
      <c r="EJD148" s="22"/>
      <c r="EJE148" s="22"/>
      <c r="EJF148" s="22"/>
      <c r="EJG148" s="22"/>
      <c r="EJH148" s="22"/>
      <c r="EJI148" s="22"/>
      <c r="EJJ148" s="22"/>
      <c r="EJK148" s="22"/>
      <c r="EJL148" s="22"/>
      <c r="EJM148" s="22"/>
      <c r="EJN148" s="22"/>
      <c r="EJO148" s="22"/>
      <c r="EJP148" s="22"/>
      <c r="EJQ148" s="22"/>
      <c r="EJR148" s="22"/>
      <c r="EJS148" s="22"/>
      <c r="EJT148" s="22"/>
      <c r="EJU148" s="22"/>
      <c r="EJV148" s="22"/>
      <c r="EJW148" s="22"/>
      <c r="EJX148" s="22"/>
      <c r="EJY148" s="22"/>
      <c r="EJZ148" s="22"/>
      <c r="EKA148" s="22"/>
      <c r="EKB148" s="22"/>
      <c r="EKC148" s="22"/>
      <c r="EKD148" s="22"/>
      <c r="EKE148" s="22"/>
      <c r="EKF148" s="22"/>
      <c r="EKG148" s="22"/>
      <c r="EKH148" s="22"/>
      <c r="EKI148" s="22"/>
      <c r="EKJ148" s="22"/>
      <c r="EKK148" s="22"/>
      <c r="EKL148" s="22"/>
      <c r="EKM148" s="22"/>
      <c r="EKN148" s="22"/>
      <c r="EKO148" s="22"/>
      <c r="EKP148" s="22"/>
      <c r="EKQ148" s="22"/>
      <c r="EKR148" s="22"/>
      <c r="EKS148" s="22"/>
      <c r="EKT148" s="22"/>
      <c r="EKU148" s="22"/>
      <c r="EKV148" s="22"/>
      <c r="EKW148" s="22"/>
      <c r="EKX148" s="22"/>
      <c r="EKY148" s="22"/>
      <c r="EKZ148" s="22"/>
      <c r="ELA148" s="22"/>
      <c r="ELB148" s="22"/>
      <c r="ELC148" s="22"/>
      <c r="ELD148" s="22"/>
      <c r="ELE148" s="22"/>
      <c r="ELF148" s="22"/>
      <c r="ELG148" s="22"/>
      <c r="ELH148" s="22"/>
      <c r="ELI148" s="22"/>
      <c r="ELJ148" s="22"/>
      <c r="ELK148" s="22"/>
      <c r="ELL148" s="22"/>
      <c r="ELM148" s="22"/>
      <c r="ELN148" s="22"/>
      <c r="ELO148" s="22"/>
      <c r="ELP148" s="22"/>
      <c r="ELQ148" s="22"/>
      <c r="ELR148" s="22"/>
      <c r="ELS148" s="22"/>
      <c r="ELT148" s="22"/>
      <c r="ELU148" s="22"/>
      <c r="ELV148" s="22"/>
      <c r="ELW148" s="22"/>
      <c r="ELX148" s="22"/>
      <c r="ELY148" s="22"/>
      <c r="ELZ148" s="22"/>
      <c r="EMA148" s="22"/>
      <c r="EMB148" s="22"/>
      <c r="EMC148" s="22"/>
      <c r="EMD148" s="22"/>
      <c r="EME148" s="22"/>
      <c r="EMF148" s="22"/>
      <c r="EMG148" s="22"/>
      <c r="EMH148" s="22"/>
      <c r="EMI148" s="22"/>
      <c r="EMJ148" s="22"/>
      <c r="EMK148" s="22"/>
      <c r="EML148" s="22"/>
      <c r="EMM148" s="22"/>
      <c r="EMN148" s="22"/>
      <c r="EMO148" s="22"/>
      <c r="EMP148" s="22"/>
      <c r="EMQ148" s="22"/>
      <c r="EMR148" s="22"/>
      <c r="EMS148" s="22"/>
      <c r="EMT148" s="22"/>
      <c r="EMU148" s="22"/>
      <c r="EMV148" s="22"/>
      <c r="EMW148" s="22"/>
      <c r="EMX148" s="22"/>
      <c r="EMY148" s="22"/>
      <c r="EMZ148" s="22"/>
      <c r="ENA148" s="22"/>
      <c r="ENB148" s="22"/>
      <c r="ENC148" s="22"/>
      <c r="END148" s="22"/>
      <c r="ENE148" s="22"/>
      <c r="ENF148" s="22"/>
      <c r="ENG148" s="22"/>
      <c r="ENH148" s="22"/>
      <c r="ENI148" s="22"/>
      <c r="ENJ148" s="22"/>
      <c r="ENK148" s="22"/>
      <c r="ENL148" s="22"/>
      <c r="ENM148" s="22"/>
      <c r="ENN148" s="22"/>
      <c r="ENO148" s="22"/>
      <c r="ENP148" s="22"/>
      <c r="ENQ148" s="22"/>
      <c r="ENR148" s="22"/>
      <c r="ENS148" s="22"/>
      <c r="ENT148" s="22"/>
      <c r="ENU148" s="22"/>
      <c r="ENV148" s="22"/>
      <c r="ENW148" s="22"/>
      <c r="ENX148" s="22"/>
      <c r="ENY148" s="22"/>
      <c r="ENZ148" s="22"/>
      <c r="EOA148" s="22"/>
      <c r="EOB148" s="22"/>
      <c r="EOC148" s="22"/>
      <c r="EOD148" s="22"/>
      <c r="EOE148" s="22"/>
      <c r="EOF148" s="22"/>
      <c r="EOG148" s="22"/>
      <c r="EOH148" s="22"/>
      <c r="EOI148" s="22"/>
      <c r="EOJ148" s="22"/>
      <c r="EOK148" s="22"/>
      <c r="EOL148" s="22"/>
      <c r="EOM148" s="22"/>
      <c r="EON148" s="22"/>
      <c r="EOO148" s="22"/>
      <c r="EOP148" s="22"/>
      <c r="EOQ148" s="22"/>
      <c r="EOR148" s="22"/>
      <c r="EOS148" s="22"/>
      <c r="EOT148" s="22"/>
      <c r="EOU148" s="22"/>
      <c r="EOV148" s="22"/>
      <c r="EOW148" s="22"/>
      <c r="EOX148" s="22"/>
      <c r="EOY148" s="22"/>
      <c r="EOZ148" s="22"/>
      <c r="EPA148" s="22"/>
      <c r="EPB148" s="22"/>
      <c r="EPC148" s="22"/>
      <c r="EPD148" s="22"/>
      <c r="EPE148" s="22"/>
      <c r="EPF148" s="22"/>
      <c r="EPG148" s="22"/>
      <c r="EPH148" s="22"/>
      <c r="EPI148" s="22"/>
      <c r="EPJ148" s="22"/>
      <c r="EPK148" s="22"/>
      <c r="EPL148" s="22"/>
      <c r="EPM148" s="22"/>
      <c r="EPN148" s="22"/>
      <c r="EPO148" s="22"/>
      <c r="EPP148" s="22"/>
      <c r="EPQ148" s="22"/>
      <c r="EPR148" s="22"/>
      <c r="EPS148" s="22"/>
      <c r="EPT148" s="22"/>
      <c r="EPU148" s="22"/>
      <c r="EPV148" s="22"/>
      <c r="EPW148" s="22"/>
      <c r="EPX148" s="22"/>
      <c r="EPY148" s="22"/>
      <c r="EPZ148" s="22"/>
      <c r="EQA148" s="22"/>
      <c r="EQB148" s="22"/>
      <c r="EQC148" s="22"/>
      <c r="EQD148" s="22"/>
      <c r="EQE148" s="22"/>
      <c r="EQF148" s="22"/>
      <c r="EQG148" s="22"/>
      <c r="EQH148" s="22"/>
      <c r="EQI148" s="22"/>
      <c r="EQJ148" s="22"/>
      <c r="EQK148" s="22"/>
      <c r="EQL148" s="22"/>
      <c r="EQM148" s="22"/>
      <c r="EQN148" s="22"/>
      <c r="EQO148" s="22"/>
      <c r="EQP148" s="22"/>
      <c r="EQQ148" s="22"/>
      <c r="EQR148" s="22"/>
      <c r="EQS148" s="22"/>
      <c r="EQT148" s="22"/>
      <c r="EQU148" s="22"/>
      <c r="EQV148" s="22"/>
      <c r="EQW148" s="22"/>
      <c r="EQX148" s="22"/>
      <c r="EQY148" s="22"/>
      <c r="EQZ148" s="22"/>
      <c r="ERA148" s="22"/>
      <c r="ERB148" s="22"/>
      <c r="ERC148" s="22"/>
      <c r="ERD148" s="22"/>
      <c r="ERE148" s="22"/>
      <c r="ERF148" s="22"/>
      <c r="ERG148" s="22"/>
      <c r="ERH148" s="22"/>
      <c r="ERI148" s="22"/>
      <c r="ERJ148" s="22"/>
      <c r="ERK148" s="22"/>
      <c r="ERL148" s="22"/>
      <c r="ERM148" s="22"/>
      <c r="ERN148" s="22"/>
      <c r="ERO148" s="22"/>
      <c r="ERP148" s="22"/>
      <c r="ERQ148" s="22"/>
      <c r="ERR148" s="22"/>
      <c r="ERS148" s="22"/>
      <c r="ERT148" s="22"/>
      <c r="ERU148" s="22"/>
      <c r="ERV148" s="22"/>
      <c r="ERW148" s="22"/>
      <c r="ERX148" s="22"/>
      <c r="ERY148" s="22"/>
      <c r="ERZ148" s="22"/>
      <c r="ESA148" s="22"/>
      <c r="ESB148" s="22"/>
      <c r="ESC148" s="22"/>
      <c r="ESD148" s="22"/>
      <c r="ESE148" s="22"/>
      <c r="ESF148" s="22"/>
      <c r="ESG148" s="22"/>
      <c r="ESH148" s="22"/>
      <c r="ESI148" s="22"/>
      <c r="ESJ148" s="22"/>
      <c r="ESK148" s="22"/>
      <c r="ESL148" s="22"/>
      <c r="ESM148" s="22"/>
      <c r="ESN148" s="22"/>
      <c r="ESO148" s="22"/>
      <c r="ESP148" s="22"/>
      <c r="ESQ148" s="22"/>
      <c r="ESR148" s="22"/>
      <c r="ESS148" s="22"/>
      <c r="EST148" s="22"/>
      <c r="ESU148" s="22"/>
      <c r="ESV148" s="22"/>
      <c r="ESW148" s="22"/>
      <c r="ESX148" s="22"/>
      <c r="ESY148" s="22"/>
      <c r="ESZ148" s="22"/>
      <c r="ETA148" s="22"/>
      <c r="ETB148" s="22"/>
      <c r="ETC148" s="22"/>
      <c r="ETD148" s="22"/>
      <c r="ETE148" s="22"/>
      <c r="ETF148" s="22"/>
      <c r="ETG148" s="22"/>
      <c r="ETH148" s="22"/>
      <c r="ETI148" s="22"/>
      <c r="ETJ148" s="22"/>
      <c r="ETK148" s="22"/>
      <c r="ETL148" s="22"/>
      <c r="ETM148" s="22"/>
      <c r="ETN148" s="22"/>
      <c r="ETO148" s="22"/>
      <c r="ETP148" s="22"/>
      <c r="ETQ148" s="22"/>
      <c r="ETR148" s="22"/>
      <c r="ETS148" s="22"/>
      <c r="ETT148" s="22"/>
      <c r="ETU148" s="22"/>
      <c r="ETV148" s="22"/>
      <c r="ETW148" s="22"/>
      <c r="ETX148" s="22"/>
      <c r="ETY148" s="22"/>
      <c r="ETZ148" s="22"/>
      <c r="EUA148" s="22"/>
      <c r="EUB148" s="22"/>
      <c r="EUC148" s="22"/>
      <c r="EUD148" s="22"/>
      <c r="EUE148" s="22"/>
      <c r="EUF148" s="22"/>
      <c r="EUG148" s="22"/>
      <c r="EUH148" s="22"/>
      <c r="EUI148" s="22"/>
      <c r="EUJ148" s="22"/>
      <c r="EUK148" s="22"/>
      <c r="EUL148" s="22"/>
      <c r="EUM148" s="22"/>
      <c r="EUN148" s="22"/>
      <c r="EUO148" s="22"/>
      <c r="EUP148" s="22"/>
      <c r="EUQ148" s="22"/>
      <c r="EUR148" s="22"/>
      <c r="EUS148" s="22"/>
      <c r="EUT148" s="22"/>
      <c r="EUU148" s="22"/>
      <c r="EUV148" s="22"/>
      <c r="EUW148" s="22"/>
      <c r="EUX148" s="22"/>
      <c r="EUY148" s="22"/>
      <c r="EUZ148" s="22"/>
      <c r="EVA148" s="22"/>
      <c r="EVB148" s="22"/>
      <c r="EVC148" s="22"/>
      <c r="EVD148" s="22"/>
      <c r="EVE148" s="22"/>
      <c r="EVF148" s="22"/>
      <c r="EVG148" s="22"/>
      <c r="EVH148" s="22"/>
      <c r="EVI148" s="22"/>
      <c r="EVJ148" s="22"/>
      <c r="EVK148" s="22"/>
      <c r="EVL148" s="22"/>
      <c r="EVM148" s="22"/>
      <c r="EVN148" s="22"/>
      <c r="EVO148" s="22"/>
      <c r="EVP148" s="22"/>
      <c r="EVQ148" s="22"/>
      <c r="EVR148" s="22"/>
      <c r="EVS148" s="22"/>
      <c r="EVT148" s="22"/>
      <c r="EVU148" s="22"/>
      <c r="EVV148" s="22"/>
      <c r="EVW148" s="22"/>
      <c r="EVX148" s="22"/>
      <c r="EVY148" s="22"/>
      <c r="EVZ148" s="22"/>
      <c r="EWA148" s="22"/>
      <c r="EWB148" s="22"/>
      <c r="EWC148" s="22"/>
      <c r="EWD148" s="22"/>
      <c r="EWE148" s="22"/>
      <c r="EWF148" s="22"/>
      <c r="EWG148" s="22"/>
      <c r="EWH148" s="22"/>
      <c r="EWI148" s="22"/>
      <c r="EWJ148" s="22"/>
      <c r="EWK148" s="22"/>
      <c r="EWL148" s="22"/>
      <c r="EWM148" s="22"/>
      <c r="EWN148" s="22"/>
      <c r="EWO148" s="22"/>
      <c r="EWP148" s="22"/>
      <c r="EWQ148" s="22"/>
      <c r="EWR148" s="22"/>
      <c r="EWS148" s="22"/>
      <c r="EWT148" s="22"/>
      <c r="EWU148" s="22"/>
      <c r="EWV148" s="22"/>
      <c r="EWW148" s="22"/>
      <c r="EWX148" s="22"/>
      <c r="EWY148" s="22"/>
      <c r="EWZ148" s="22"/>
      <c r="EXA148" s="22"/>
      <c r="EXB148" s="22"/>
      <c r="EXC148" s="22"/>
      <c r="EXD148" s="22"/>
      <c r="EXE148" s="22"/>
      <c r="EXF148" s="22"/>
      <c r="EXG148" s="22"/>
      <c r="EXH148" s="22"/>
      <c r="EXI148" s="22"/>
      <c r="EXJ148" s="22"/>
      <c r="EXK148" s="22"/>
      <c r="EXL148" s="22"/>
      <c r="EXM148" s="22"/>
      <c r="EXN148" s="22"/>
      <c r="EXO148" s="22"/>
      <c r="EXP148" s="22"/>
      <c r="EXQ148" s="22"/>
      <c r="EXR148" s="22"/>
      <c r="EXS148" s="22"/>
      <c r="EXT148" s="22"/>
      <c r="EXU148" s="22"/>
      <c r="EXV148" s="22"/>
      <c r="EXW148" s="22"/>
      <c r="EXX148" s="22"/>
      <c r="EXY148" s="22"/>
      <c r="EXZ148" s="22"/>
      <c r="EYA148" s="22"/>
      <c r="EYB148" s="22"/>
      <c r="EYC148" s="22"/>
      <c r="EYD148" s="22"/>
      <c r="EYE148" s="22"/>
      <c r="EYF148" s="22"/>
      <c r="EYG148" s="22"/>
      <c r="EYH148" s="22"/>
      <c r="EYI148" s="22"/>
      <c r="EYJ148" s="22"/>
      <c r="EYK148" s="22"/>
      <c r="EYL148" s="22"/>
      <c r="EYM148" s="22"/>
      <c r="EYN148" s="22"/>
      <c r="EYO148" s="22"/>
      <c r="EYP148" s="22"/>
      <c r="EYQ148" s="22"/>
      <c r="EYR148" s="22"/>
      <c r="EYS148" s="22"/>
      <c r="EYT148" s="22"/>
      <c r="EYU148" s="22"/>
      <c r="EYV148" s="22"/>
      <c r="EYW148" s="22"/>
      <c r="EYX148" s="22"/>
      <c r="EYY148" s="22"/>
      <c r="EYZ148" s="22"/>
      <c r="EZA148" s="22"/>
      <c r="EZB148" s="22"/>
      <c r="EZC148" s="22"/>
      <c r="EZD148" s="22"/>
      <c r="EZE148" s="22"/>
      <c r="EZF148" s="22"/>
      <c r="EZG148" s="22"/>
      <c r="EZH148" s="22"/>
      <c r="EZI148" s="22"/>
      <c r="EZJ148" s="22"/>
      <c r="EZK148" s="22"/>
      <c r="EZL148" s="22"/>
      <c r="EZM148" s="22"/>
      <c r="EZN148" s="22"/>
      <c r="EZO148" s="22"/>
      <c r="EZP148" s="22"/>
      <c r="EZQ148" s="22"/>
      <c r="EZR148" s="22"/>
      <c r="EZS148" s="22"/>
      <c r="EZT148" s="22"/>
      <c r="EZU148" s="22"/>
      <c r="EZV148" s="22"/>
      <c r="EZW148" s="22"/>
      <c r="EZX148" s="22"/>
      <c r="EZY148" s="22"/>
      <c r="EZZ148" s="22"/>
      <c r="FAA148" s="22"/>
      <c r="FAB148" s="22"/>
      <c r="FAC148" s="22"/>
      <c r="FAD148" s="22"/>
      <c r="FAE148" s="22"/>
      <c r="FAF148" s="22"/>
      <c r="FAG148" s="22"/>
      <c r="FAH148" s="22"/>
      <c r="FAI148" s="22"/>
      <c r="FAJ148" s="22"/>
      <c r="FAK148" s="22"/>
      <c r="FAL148" s="22"/>
      <c r="FAM148" s="22"/>
      <c r="FAN148" s="22"/>
      <c r="FAO148" s="22"/>
      <c r="FAP148" s="22"/>
      <c r="FAQ148" s="22"/>
      <c r="FAR148" s="22"/>
      <c r="FAS148" s="22"/>
      <c r="FAT148" s="22"/>
      <c r="FAU148" s="22"/>
      <c r="FAV148" s="22"/>
      <c r="FAW148" s="22"/>
      <c r="FAX148" s="22"/>
      <c r="FAY148" s="22"/>
      <c r="FAZ148" s="22"/>
      <c r="FBA148" s="22"/>
      <c r="FBB148" s="22"/>
      <c r="FBC148" s="22"/>
      <c r="FBD148" s="22"/>
      <c r="FBE148" s="22"/>
      <c r="FBF148" s="22"/>
      <c r="FBG148" s="22"/>
      <c r="FBH148" s="22"/>
      <c r="FBI148" s="22"/>
      <c r="FBJ148" s="22"/>
      <c r="FBK148" s="22"/>
      <c r="FBL148" s="22"/>
      <c r="FBM148" s="22"/>
      <c r="FBN148" s="22"/>
      <c r="FBO148" s="22"/>
      <c r="FBP148" s="22"/>
      <c r="FBQ148" s="22"/>
      <c r="FBR148" s="22"/>
      <c r="FBS148" s="22"/>
      <c r="FBT148" s="22"/>
      <c r="FBU148" s="22"/>
      <c r="FBV148" s="22"/>
      <c r="FBW148" s="22"/>
      <c r="FBX148" s="22"/>
      <c r="FBY148" s="22"/>
      <c r="FBZ148" s="22"/>
      <c r="FCA148" s="22"/>
      <c r="FCB148" s="22"/>
      <c r="FCC148" s="22"/>
      <c r="FCD148" s="22"/>
      <c r="FCE148" s="22"/>
      <c r="FCF148" s="22"/>
      <c r="FCG148" s="22"/>
      <c r="FCH148" s="22"/>
      <c r="FCI148" s="22"/>
      <c r="FCJ148" s="22"/>
      <c r="FCK148" s="22"/>
      <c r="FCL148" s="22"/>
      <c r="FCM148" s="22"/>
      <c r="FCN148" s="22"/>
      <c r="FCO148" s="22"/>
      <c r="FCP148" s="22"/>
      <c r="FCQ148" s="22"/>
      <c r="FCR148" s="22"/>
      <c r="FCS148" s="22"/>
      <c r="FCT148" s="22"/>
      <c r="FCU148" s="22"/>
      <c r="FCV148" s="22"/>
      <c r="FCW148" s="22"/>
      <c r="FCX148" s="22"/>
      <c r="FCY148" s="22"/>
      <c r="FCZ148" s="22"/>
      <c r="FDA148" s="22"/>
      <c r="FDB148" s="22"/>
      <c r="FDC148" s="22"/>
      <c r="FDD148" s="22"/>
      <c r="FDE148" s="22"/>
      <c r="FDF148" s="22"/>
      <c r="FDG148" s="22"/>
      <c r="FDH148" s="22"/>
      <c r="FDI148" s="22"/>
      <c r="FDJ148" s="22"/>
      <c r="FDK148" s="22"/>
      <c r="FDL148" s="22"/>
      <c r="FDM148" s="22"/>
      <c r="FDN148" s="22"/>
      <c r="FDO148" s="22"/>
      <c r="FDP148" s="22"/>
      <c r="FDQ148" s="22"/>
      <c r="FDR148" s="22"/>
      <c r="FDS148" s="22"/>
      <c r="FDT148" s="22"/>
      <c r="FDU148" s="22"/>
      <c r="FDV148" s="22"/>
      <c r="FDW148" s="22"/>
      <c r="FDX148" s="22"/>
      <c r="FDY148" s="22"/>
      <c r="FDZ148" s="22"/>
      <c r="FEA148" s="22"/>
      <c r="FEB148" s="22"/>
      <c r="FEC148" s="22"/>
      <c r="FED148" s="22"/>
      <c r="FEE148" s="22"/>
      <c r="FEF148" s="22"/>
      <c r="FEG148" s="22"/>
      <c r="FEH148" s="22"/>
      <c r="FEI148" s="22"/>
      <c r="FEJ148" s="22"/>
      <c r="FEK148" s="22"/>
      <c r="FEL148" s="22"/>
      <c r="FEM148" s="22"/>
      <c r="FEN148" s="22"/>
      <c r="FEO148" s="22"/>
      <c r="FEP148" s="22"/>
      <c r="FEQ148" s="22"/>
      <c r="FER148" s="22"/>
      <c r="FES148" s="22"/>
      <c r="FET148" s="22"/>
      <c r="FEU148" s="22"/>
      <c r="FEV148" s="22"/>
      <c r="FEW148" s="22"/>
      <c r="FEX148" s="22"/>
      <c r="FEY148" s="22"/>
      <c r="FEZ148" s="22"/>
      <c r="FFA148" s="22"/>
      <c r="FFB148" s="22"/>
      <c r="FFC148" s="22"/>
      <c r="FFD148" s="22"/>
      <c r="FFE148" s="22"/>
      <c r="FFF148" s="22"/>
      <c r="FFG148" s="22"/>
      <c r="FFH148" s="22"/>
      <c r="FFI148" s="22"/>
      <c r="FFJ148" s="22"/>
      <c r="FFK148" s="22"/>
      <c r="FFL148" s="22"/>
      <c r="FFM148" s="22"/>
      <c r="FFN148" s="22"/>
      <c r="FFO148" s="22"/>
      <c r="FFP148" s="22"/>
      <c r="FFQ148" s="22"/>
      <c r="FFR148" s="22"/>
      <c r="FFS148" s="22"/>
      <c r="FFT148" s="22"/>
      <c r="FFU148" s="22"/>
      <c r="FFV148" s="22"/>
      <c r="FFW148" s="22"/>
      <c r="FFX148" s="22"/>
      <c r="FFY148" s="22"/>
      <c r="FFZ148" s="22"/>
      <c r="FGA148" s="22"/>
      <c r="FGB148" s="22"/>
      <c r="FGC148" s="22"/>
      <c r="FGD148" s="22"/>
      <c r="FGE148" s="22"/>
      <c r="FGF148" s="22"/>
      <c r="FGG148" s="22"/>
      <c r="FGH148" s="22"/>
      <c r="FGI148" s="22"/>
      <c r="FGJ148" s="22"/>
      <c r="FGK148" s="22"/>
      <c r="FGL148" s="22"/>
      <c r="FGM148" s="22"/>
      <c r="FGN148" s="22"/>
      <c r="FGO148" s="22"/>
      <c r="FGP148" s="22"/>
      <c r="FGQ148" s="22"/>
      <c r="FGR148" s="22"/>
      <c r="FGS148" s="22"/>
      <c r="FGT148" s="22"/>
      <c r="FGU148" s="22"/>
      <c r="FGV148" s="22"/>
      <c r="FGW148" s="22"/>
      <c r="FGX148" s="22"/>
      <c r="FGY148" s="22"/>
      <c r="FGZ148" s="22"/>
      <c r="FHA148" s="22"/>
      <c r="FHB148" s="22"/>
      <c r="FHC148" s="22"/>
      <c r="FHD148" s="22"/>
      <c r="FHE148" s="22"/>
      <c r="FHF148" s="22"/>
      <c r="FHG148" s="22"/>
      <c r="FHH148" s="22"/>
      <c r="FHI148" s="22"/>
      <c r="FHJ148" s="22"/>
      <c r="FHK148" s="22"/>
      <c r="FHL148" s="22"/>
      <c r="FHM148" s="22"/>
      <c r="FHN148" s="22"/>
      <c r="FHO148" s="22"/>
      <c r="FHP148" s="22"/>
      <c r="FHQ148" s="22"/>
      <c r="FHR148" s="22"/>
      <c r="FHS148" s="22"/>
      <c r="FHT148" s="22"/>
      <c r="FHU148" s="22"/>
      <c r="FHV148" s="22"/>
      <c r="FHW148" s="22"/>
      <c r="FHX148" s="22"/>
      <c r="FHY148" s="22"/>
      <c r="FHZ148" s="22"/>
      <c r="FIA148" s="22"/>
      <c r="FIB148" s="22"/>
      <c r="FIC148" s="22"/>
      <c r="FID148" s="22"/>
      <c r="FIE148" s="22"/>
      <c r="FIF148" s="22"/>
      <c r="FIG148" s="22"/>
      <c r="FIH148" s="22"/>
      <c r="FII148" s="22"/>
      <c r="FIJ148" s="22"/>
      <c r="FIK148" s="22"/>
      <c r="FIL148" s="22"/>
      <c r="FIM148" s="22"/>
      <c r="FIN148" s="22"/>
      <c r="FIO148" s="22"/>
      <c r="FIP148" s="22"/>
      <c r="FIQ148" s="22"/>
      <c r="FIR148" s="22"/>
      <c r="FIS148" s="22"/>
      <c r="FIT148" s="22"/>
      <c r="FIU148" s="22"/>
      <c r="FIV148" s="22"/>
      <c r="FIW148" s="22"/>
      <c r="FIX148" s="22"/>
      <c r="FIY148" s="22"/>
      <c r="FIZ148" s="22"/>
      <c r="FJA148" s="22"/>
      <c r="FJB148" s="22"/>
      <c r="FJC148" s="22"/>
      <c r="FJD148" s="22"/>
      <c r="FJE148" s="22"/>
      <c r="FJF148" s="22"/>
      <c r="FJG148" s="22"/>
      <c r="FJH148" s="22"/>
      <c r="FJI148" s="22"/>
      <c r="FJJ148" s="22"/>
      <c r="FJK148" s="22"/>
      <c r="FJL148" s="22"/>
      <c r="FJM148" s="22"/>
      <c r="FJN148" s="22"/>
      <c r="FJO148" s="22"/>
      <c r="FJP148" s="22"/>
      <c r="FJQ148" s="22"/>
      <c r="FJR148" s="22"/>
      <c r="FJS148" s="22"/>
      <c r="FJT148" s="22"/>
      <c r="FJU148" s="22"/>
      <c r="FJV148" s="22"/>
      <c r="FJW148" s="22"/>
      <c r="FJX148" s="22"/>
      <c r="FJY148" s="22"/>
      <c r="FJZ148" s="22"/>
      <c r="FKA148" s="22"/>
      <c r="FKB148" s="22"/>
      <c r="FKC148" s="22"/>
      <c r="FKD148" s="22"/>
      <c r="FKE148" s="22"/>
      <c r="FKF148" s="22"/>
      <c r="FKG148" s="22"/>
      <c r="FKH148" s="22"/>
      <c r="FKI148" s="22"/>
      <c r="FKJ148" s="22"/>
      <c r="FKK148" s="22"/>
      <c r="FKL148" s="22"/>
      <c r="FKM148" s="22"/>
      <c r="FKN148" s="22"/>
      <c r="FKO148" s="22"/>
      <c r="FKP148" s="22"/>
      <c r="FKQ148" s="22"/>
      <c r="FKR148" s="22"/>
      <c r="FKS148" s="22"/>
      <c r="FKT148" s="22"/>
      <c r="FKU148" s="22"/>
      <c r="FKV148" s="22"/>
      <c r="FKW148" s="22"/>
      <c r="FKX148" s="22"/>
      <c r="FKY148" s="22"/>
      <c r="FKZ148" s="22"/>
      <c r="FLA148" s="22"/>
      <c r="FLB148" s="22"/>
      <c r="FLC148" s="22"/>
      <c r="FLD148" s="22"/>
      <c r="FLE148" s="22"/>
      <c r="FLF148" s="22"/>
      <c r="FLG148" s="22"/>
      <c r="FLH148" s="22"/>
      <c r="FLI148" s="22"/>
      <c r="FLJ148" s="22"/>
      <c r="FLK148" s="22"/>
      <c r="FLL148" s="22"/>
      <c r="FLM148" s="22"/>
      <c r="FLN148" s="22"/>
      <c r="FLO148" s="22"/>
      <c r="FLP148" s="22"/>
      <c r="FLQ148" s="22"/>
      <c r="FLR148" s="22"/>
      <c r="FLS148" s="22"/>
      <c r="FLT148" s="22"/>
      <c r="FLU148" s="22"/>
      <c r="FLV148" s="22"/>
      <c r="FLW148" s="22"/>
      <c r="FLX148" s="22"/>
      <c r="FLY148" s="22"/>
      <c r="FLZ148" s="22"/>
      <c r="FMA148" s="22"/>
      <c r="FMB148" s="22"/>
      <c r="FMC148" s="22"/>
      <c r="FMD148" s="22"/>
      <c r="FME148" s="22"/>
      <c r="FMF148" s="22"/>
      <c r="FMG148" s="22"/>
      <c r="FMH148" s="22"/>
      <c r="FMI148" s="22"/>
      <c r="FMJ148" s="22"/>
      <c r="FMK148" s="22"/>
      <c r="FML148" s="22"/>
      <c r="FMM148" s="22"/>
      <c r="FMN148" s="22"/>
      <c r="FMO148" s="22"/>
      <c r="FMP148" s="22"/>
      <c r="FMQ148" s="22"/>
      <c r="FMR148" s="22"/>
      <c r="FMS148" s="22"/>
      <c r="FMT148" s="22"/>
      <c r="FMU148" s="22"/>
      <c r="FMV148" s="22"/>
      <c r="FMW148" s="22"/>
      <c r="FMX148" s="22"/>
      <c r="FMY148" s="22"/>
      <c r="FMZ148" s="22"/>
      <c r="FNA148" s="22"/>
      <c r="FNB148" s="22"/>
      <c r="FNC148" s="22"/>
      <c r="FND148" s="22"/>
      <c r="FNE148" s="22"/>
      <c r="FNF148" s="22"/>
      <c r="FNG148" s="22"/>
      <c r="FNH148" s="22"/>
      <c r="FNI148" s="22"/>
      <c r="FNJ148" s="22"/>
      <c r="FNK148" s="22"/>
      <c r="FNL148" s="22"/>
      <c r="FNM148" s="22"/>
      <c r="FNN148" s="22"/>
      <c r="FNO148" s="22"/>
      <c r="FNP148" s="22"/>
      <c r="FNQ148" s="22"/>
      <c r="FNR148" s="22"/>
      <c r="FNS148" s="22"/>
      <c r="FNT148" s="22"/>
      <c r="FNU148" s="22"/>
      <c r="FNV148" s="22"/>
      <c r="FNW148" s="22"/>
      <c r="FNX148" s="22"/>
      <c r="FNY148" s="22"/>
      <c r="FNZ148" s="22"/>
      <c r="FOA148" s="22"/>
      <c r="FOB148" s="22"/>
      <c r="FOC148" s="22"/>
      <c r="FOD148" s="22"/>
      <c r="FOE148" s="22"/>
      <c r="FOF148" s="22"/>
      <c r="FOG148" s="22"/>
      <c r="FOH148" s="22"/>
      <c r="FOI148" s="22"/>
      <c r="FOJ148" s="22"/>
      <c r="FOK148" s="22"/>
      <c r="FOL148" s="22"/>
      <c r="FOM148" s="22"/>
      <c r="FON148" s="22"/>
      <c r="FOO148" s="22"/>
      <c r="FOP148" s="22"/>
      <c r="FOQ148" s="22"/>
      <c r="FOR148" s="22"/>
      <c r="FOS148" s="22"/>
      <c r="FOT148" s="22"/>
      <c r="FOU148" s="22"/>
      <c r="FOV148" s="22"/>
      <c r="FOW148" s="22"/>
      <c r="FOX148" s="22"/>
      <c r="FOY148" s="22"/>
      <c r="FOZ148" s="22"/>
      <c r="FPA148" s="22"/>
      <c r="FPB148" s="22"/>
      <c r="FPC148" s="22"/>
      <c r="FPD148" s="22"/>
      <c r="FPE148" s="22"/>
      <c r="FPF148" s="22"/>
      <c r="FPG148" s="22"/>
      <c r="FPH148" s="22"/>
      <c r="FPI148" s="22"/>
      <c r="FPJ148" s="22"/>
      <c r="FPK148" s="22"/>
      <c r="FPL148" s="22"/>
      <c r="FPM148" s="22"/>
      <c r="FPN148" s="22"/>
      <c r="FPO148" s="22"/>
      <c r="FPP148" s="22"/>
      <c r="FPQ148" s="22"/>
      <c r="FPR148" s="22"/>
      <c r="FPS148" s="22"/>
      <c r="FPT148" s="22"/>
      <c r="FPU148" s="22"/>
      <c r="FPV148" s="22"/>
      <c r="FPW148" s="22"/>
      <c r="FPX148" s="22"/>
      <c r="FPY148" s="22"/>
      <c r="FPZ148" s="22"/>
      <c r="FQA148" s="22"/>
      <c r="FQB148" s="22"/>
      <c r="FQC148" s="22"/>
      <c r="FQD148" s="22"/>
      <c r="FQE148" s="22"/>
      <c r="FQF148" s="22"/>
      <c r="FQG148" s="22"/>
      <c r="FQH148" s="22"/>
      <c r="FQI148" s="22"/>
      <c r="FQJ148" s="22"/>
      <c r="FQK148" s="22"/>
      <c r="FQL148" s="22"/>
      <c r="FQM148" s="22"/>
      <c r="FQN148" s="22"/>
      <c r="FQO148" s="22"/>
      <c r="FQP148" s="22"/>
      <c r="FQQ148" s="22"/>
      <c r="FQR148" s="22"/>
      <c r="FQS148" s="22"/>
      <c r="FQT148" s="22"/>
      <c r="FQU148" s="22"/>
      <c r="FQV148" s="22"/>
      <c r="FQW148" s="22"/>
      <c r="FQX148" s="22"/>
      <c r="FQY148" s="22"/>
      <c r="FQZ148" s="22"/>
      <c r="FRA148" s="22"/>
      <c r="FRB148" s="22"/>
      <c r="FRC148" s="22"/>
      <c r="FRD148" s="22"/>
      <c r="FRE148" s="22"/>
      <c r="FRF148" s="22"/>
      <c r="FRG148" s="22"/>
      <c r="FRH148" s="22"/>
      <c r="FRI148" s="22"/>
      <c r="FRJ148" s="22"/>
      <c r="FRK148" s="22"/>
      <c r="FRL148" s="22"/>
      <c r="FRM148" s="22"/>
      <c r="FRN148" s="22"/>
      <c r="FRO148" s="22"/>
      <c r="FRP148" s="22"/>
      <c r="FRQ148" s="22"/>
      <c r="FRR148" s="22"/>
      <c r="FRS148" s="22"/>
      <c r="FRT148" s="22"/>
      <c r="FRU148" s="22"/>
      <c r="FRV148" s="22"/>
      <c r="FRW148" s="22"/>
      <c r="FRX148" s="22"/>
      <c r="FRY148" s="22"/>
      <c r="FRZ148" s="22"/>
      <c r="FSA148" s="22"/>
      <c r="FSB148" s="22"/>
      <c r="FSC148" s="22"/>
      <c r="FSD148" s="22"/>
      <c r="FSE148" s="22"/>
      <c r="FSF148" s="22"/>
      <c r="FSG148" s="22"/>
      <c r="FSH148" s="22"/>
      <c r="FSI148" s="22"/>
      <c r="FSJ148" s="22"/>
      <c r="FSK148" s="22"/>
      <c r="FSL148" s="22"/>
      <c r="FSM148" s="22"/>
      <c r="FSN148" s="22"/>
      <c r="FSO148" s="22"/>
      <c r="FSP148" s="22"/>
      <c r="FSQ148" s="22"/>
      <c r="FSR148" s="22"/>
      <c r="FSS148" s="22"/>
      <c r="FST148" s="22"/>
      <c r="FSU148" s="22"/>
      <c r="FSV148" s="22"/>
      <c r="FSW148" s="22"/>
      <c r="FSX148" s="22"/>
      <c r="FSY148" s="22"/>
      <c r="FSZ148" s="22"/>
      <c r="FTA148" s="22"/>
      <c r="FTB148" s="22"/>
      <c r="FTC148" s="22"/>
      <c r="FTD148" s="22"/>
      <c r="FTE148" s="22"/>
      <c r="FTF148" s="22"/>
      <c r="FTG148" s="22"/>
      <c r="FTH148" s="22"/>
      <c r="FTI148" s="22"/>
      <c r="FTJ148" s="22"/>
      <c r="FTK148" s="22"/>
      <c r="FTL148" s="22"/>
      <c r="FTM148" s="22"/>
      <c r="FTN148" s="22"/>
      <c r="FTO148" s="22"/>
      <c r="FTP148" s="22"/>
      <c r="FTQ148" s="22"/>
      <c r="FTR148" s="22"/>
      <c r="FTS148" s="22"/>
      <c r="FTT148" s="22"/>
      <c r="FTU148" s="22"/>
      <c r="FTV148" s="22"/>
      <c r="FTW148" s="22"/>
      <c r="FTX148" s="22"/>
      <c r="FTY148" s="22"/>
      <c r="FTZ148" s="22"/>
      <c r="FUA148" s="22"/>
      <c r="FUB148" s="22"/>
      <c r="FUC148" s="22"/>
      <c r="FUD148" s="22"/>
      <c r="FUE148" s="22"/>
      <c r="FUF148" s="22"/>
      <c r="FUG148" s="22"/>
      <c r="FUH148" s="22"/>
      <c r="FUI148" s="22"/>
      <c r="FUJ148" s="22"/>
      <c r="FUK148" s="22"/>
      <c r="FUL148" s="22"/>
      <c r="FUM148" s="22"/>
      <c r="FUN148" s="22"/>
      <c r="FUO148" s="22"/>
      <c r="FUP148" s="22"/>
      <c r="FUQ148" s="22"/>
      <c r="FUR148" s="22"/>
      <c r="FUS148" s="22"/>
      <c r="FUT148" s="22"/>
      <c r="FUU148" s="22"/>
      <c r="FUV148" s="22"/>
      <c r="FUW148" s="22"/>
      <c r="FUX148" s="22"/>
      <c r="FUY148" s="22"/>
      <c r="FUZ148" s="22"/>
      <c r="FVA148" s="22"/>
      <c r="FVB148" s="22"/>
      <c r="FVC148" s="22"/>
      <c r="FVD148" s="22"/>
      <c r="FVE148" s="22"/>
      <c r="FVF148" s="22"/>
      <c r="FVG148" s="22"/>
      <c r="FVH148" s="22"/>
      <c r="FVI148" s="22"/>
      <c r="FVJ148" s="22"/>
      <c r="FVK148" s="22"/>
      <c r="FVL148" s="22"/>
      <c r="FVM148" s="22"/>
      <c r="FVN148" s="22"/>
      <c r="FVO148" s="22"/>
      <c r="FVP148" s="22"/>
      <c r="FVQ148" s="22"/>
      <c r="FVR148" s="22"/>
      <c r="FVS148" s="22"/>
      <c r="FVT148" s="22"/>
      <c r="FVU148" s="22"/>
      <c r="FVV148" s="22"/>
      <c r="FVW148" s="22"/>
      <c r="FVX148" s="22"/>
      <c r="FVY148" s="22"/>
      <c r="FVZ148" s="22"/>
      <c r="FWA148" s="22"/>
      <c r="FWB148" s="22"/>
      <c r="FWC148" s="22"/>
      <c r="FWD148" s="22"/>
      <c r="FWE148" s="22"/>
      <c r="FWF148" s="22"/>
      <c r="FWG148" s="22"/>
      <c r="FWH148" s="22"/>
      <c r="FWI148" s="22"/>
      <c r="FWJ148" s="22"/>
      <c r="FWK148" s="22"/>
      <c r="FWL148" s="22"/>
      <c r="FWM148" s="22"/>
      <c r="FWN148" s="22"/>
      <c r="FWO148" s="22"/>
      <c r="FWP148" s="22"/>
      <c r="FWQ148" s="22"/>
      <c r="FWR148" s="22"/>
      <c r="FWS148" s="22"/>
      <c r="FWT148" s="22"/>
      <c r="FWU148" s="22"/>
      <c r="FWV148" s="22"/>
      <c r="FWW148" s="22"/>
      <c r="FWX148" s="22"/>
      <c r="FWY148" s="22"/>
      <c r="FWZ148" s="22"/>
      <c r="FXA148" s="22"/>
      <c r="FXB148" s="22"/>
      <c r="FXC148" s="22"/>
      <c r="FXD148" s="22"/>
      <c r="FXE148" s="22"/>
      <c r="FXF148" s="22"/>
      <c r="FXG148" s="22"/>
      <c r="FXH148" s="22"/>
      <c r="FXI148" s="22"/>
      <c r="FXJ148" s="22"/>
      <c r="FXK148" s="22"/>
      <c r="FXL148" s="22"/>
      <c r="FXM148" s="22"/>
      <c r="FXN148" s="22"/>
      <c r="FXO148" s="22"/>
      <c r="FXP148" s="22"/>
      <c r="FXQ148" s="22"/>
      <c r="FXR148" s="22"/>
      <c r="FXS148" s="22"/>
      <c r="FXT148" s="22"/>
      <c r="FXU148" s="22"/>
      <c r="FXV148" s="22"/>
      <c r="FXW148" s="22"/>
      <c r="FXX148" s="22"/>
      <c r="FXY148" s="22"/>
      <c r="FXZ148" s="22"/>
      <c r="FYA148" s="22"/>
      <c r="FYB148" s="22"/>
      <c r="FYC148" s="22"/>
      <c r="FYD148" s="22"/>
      <c r="FYE148" s="22"/>
      <c r="FYF148" s="22"/>
      <c r="FYG148" s="22"/>
      <c r="FYH148" s="22"/>
      <c r="FYI148" s="22"/>
      <c r="FYJ148" s="22"/>
      <c r="FYK148" s="22"/>
      <c r="FYL148" s="22"/>
      <c r="FYM148" s="22"/>
      <c r="FYN148" s="22"/>
      <c r="FYO148" s="22"/>
      <c r="FYP148" s="22"/>
      <c r="FYQ148" s="22"/>
      <c r="FYR148" s="22"/>
      <c r="FYS148" s="22"/>
      <c r="FYT148" s="22"/>
      <c r="FYU148" s="22"/>
      <c r="FYV148" s="22"/>
      <c r="FYW148" s="22"/>
      <c r="FYX148" s="22"/>
      <c r="FYY148" s="22"/>
      <c r="FYZ148" s="22"/>
      <c r="FZA148" s="22"/>
      <c r="FZB148" s="22"/>
      <c r="FZC148" s="22"/>
      <c r="FZD148" s="22"/>
      <c r="FZE148" s="22"/>
      <c r="FZF148" s="22"/>
      <c r="FZG148" s="22"/>
      <c r="FZH148" s="22"/>
      <c r="FZI148" s="22"/>
      <c r="FZJ148" s="22"/>
      <c r="FZK148" s="22"/>
      <c r="FZL148" s="22"/>
      <c r="FZM148" s="22"/>
      <c r="FZN148" s="22"/>
      <c r="FZO148" s="22"/>
      <c r="FZP148" s="22"/>
      <c r="FZQ148" s="22"/>
      <c r="FZR148" s="22"/>
      <c r="FZS148" s="22"/>
      <c r="FZT148" s="22"/>
      <c r="FZU148" s="22"/>
      <c r="FZV148" s="22"/>
      <c r="FZW148" s="22"/>
      <c r="FZX148" s="22"/>
      <c r="FZY148" s="22"/>
      <c r="FZZ148" s="22"/>
      <c r="GAA148" s="22"/>
      <c r="GAB148" s="22"/>
      <c r="GAC148" s="22"/>
      <c r="GAD148" s="22"/>
      <c r="GAE148" s="22"/>
      <c r="GAF148" s="22"/>
      <c r="GAG148" s="22"/>
      <c r="GAH148" s="22"/>
      <c r="GAI148" s="22"/>
      <c r="GAJ148" s="22"/>
      <c r="GAK148" s="22"/>
      <c r="GAL148" s="22"/>
      <c r="GAM148" s="22"/>
      <c r="GAN148" s="22"/>
      <c r="GAO148" s="22"/>
      <c r="GAP148" s="22"/>
      <c r="GAQ148" s="22"/>
      <c r="GAR148" s="22"/>
      <c r="GAS148" s="22"/>
      <c r="GAT148" s="22"/>
      <c r="GAU148" s="22"/>
      <c r="GAV148" s="22"/>
      <c r="GAW148" s="22"/>
      <c r="GAX148" s="22"/>
      <c r="GAY148" s="22"/>
      <c r="GAZ148" s="22"/>
      <c r="GBA148" s="22"/>
      <c r="GBB148" s="22"/>
      <c r="GBC148" s="22"/>
      <c r="GBD148" s="22"/>
      <c r="GBE148" s="22"/>
      <c r="GBF148" s="22"/>
      <c r="GBG148" s="22"/>
      <c r="GBH148" s="22"/>
      <c r="GBI148" s="22"/>
      <c r="GBJ148" s="22"/>
      <c r="GBK148" s="22"/>
      <c r="GBL148" s="22"/>
      <c r="GBM148" s="22"/>
      <c r="GBN148" s="22"/>
      <c r="GBO148" s="22"/>
      <c r="GBP148" s="22"/>
      <c r="GBQ148" s="22"/>
      <c r="GBR148" s="22"/>
      <c r="GBS148" s="22"/>
      <c r="GBT148" s="22"/>
      <c r="GBU148" s="22"/>
      <c r="GBV148" s="22"/>
      <c r="GBW148" s="22"/>
      <c r="GBX148" s="22"/>
      <c r="GBY148" s="22"/>
      <c r="GBZ148" s="22"/>
      <c r="GCA148" s="22"/>
      <c r="GCB148" s="22"/>
      <c r="GCC148" s="22"/>
      <c r="GCD148" s="22"/>
      <c r="GCE148" s="22"/>
      <c r="GCF148" s="22"/>
      <c r="GCG148" s="22"/>
      <c r="GCH148" s="22"/>
      <c r="GCI148" s="22"/>
      <c r="GCJ148" s="22"/>
      <c r="GCK148" s="22"/>
      <c r="GCL148" s="22"/>
      <c r="GCM148" s="22"/>
      <c r="GCN148" s="22"/>
      <c r="GCO148" s="22"/>
      <c r="GCP148" s="22"/>
      <c r="GCQ148" s="22"/>
      <c r="GCR148" s="22"/>
      <c r="GCS148" s="22"/>
      <c r="GCT148" s="22"/>
      <c r="GCU148" s="22"/>
      <c r="GCV148" s="22"/>
      <c r="GCW148" s="22"/>
      <c r="GCX148" s="22"/>
      <c r="GCY148" s="22"/>
      <c r="GCZ148" s="22"/>
      <c r="GDA148" s="22"/>
      <c r="GDB148" s="22"/>
      <c r="GDC148" s="22"/>
      <c r="GDD148" s="22"/>
      <c r="GDE148" s="22"/>
      <c r="GDF148" s="22"/>
      <c r="GDG148" s="22"/>
      <c r="GDH148" s="22"/>
      <c r="GDI148" s="22"/>
      <c r="GDJ148" s="22"/>
      <c r="GDK148" s="22"/>
      <c r="GDL148" s="22"/>
      <c r="GDM148" s="22"/>
      <c r="GDN148" s="22"/>
      <c r="GDO148" s="22"/>
      <c r="GDP148" s="22"/>
      <c r="GDQ148" s="22"/>
      <c r="GDR148" s="22"/>
      <c r="GDS148" s="22"/>
      <c r="GDT148" s="22"/>
      <c r="GDU148" s="22"/>
      <c r="GDV148" s="22"/>
      <c r="GDW148" s="22"/>
      <c r="GDX148" s="22"/>
      <c r="GDY148" s="22"/>
      <c r="GDZ148" s="22"/>
      <c r="GEA148" s="22"/>
      <c r="GEB148" s="22"/>
      <c r="GEC148" s="22"/>
      <c r="GED148" s="22"/>
      <c r="GEE148" s="22"/>
      <c r="GEF148" s="22"/>
      <c r="GEG148" s="22"/>
      <c r="GEH148" s="22"/>
      <c r="GEI148" s="22"/>
      <c r="GEJ148" s="22"/>
      <c r="GEK148" s="22"/>
      <c r="GEL148" s="22"/>
      <c r="GEM148" s="22"/>
      <c r="GEN148" s="22"/>
      <c r="GEO148" s="22"/>
      <c r="GEP148" s="22"/>
      <c r="GEQ148" s="22"/>
      <c r="GER148" s="22"/>
      <c r="GES148" s="22"/>
      <c r="GET148" s="22"/>
      <c r="GEU148" s="22"/>
      <c r="GEV148" s="22"/>
      <c r="GEW148" s="22"/>
      <c r="GEX148" s="22"/>
      <c r="GEY148" s="22"/>
      <c r="GEZ148" s="22"/>
      <c r="GFA148" s="22"/>
      <c r="GFB148" s="22"/>
      <c r="GFC148" s="22"/>
      <c r="GFD148" s="22"/>
      <c r="GFE148" s="22"/>
      <c r="GFF148" s="22"/>
      <c r="GFG148" s="22"/>
      <c r="GFH148" s="22"/>
      <c r="GFI148" s="22"/>
      <c r="GFJ148" s="22"/>
      <c r="GFK148" s="22"/>
      <c r="GFL148" s="22"/>
      <c r="GFM148" s="22"/>
      <c r="GFN148" s="22"/>
      <c r="GFO148" s="22"/>
      <c r="GFP148" s="22"/>
      <c r="GFQ148" s="22"/>
      <c r="GFR148" s="22"/>
      <c r="GFS148" s="22"/>
      <c r="GFT148" s="22"/>
      <c r="GFU148" s="22"/>
      <c r="GFV148" s="22"/>
      <c r="GFW148" s="22"/>
      <c r="GFX148" s="22"/>
      <c r="GFY148" s="22"/>
      <c r="GFZ148" s="22"/>
      <c r="GGA148" s="22"/>
      <c r="GGB148" s="22"/>
      <c r="GGC148" s="22"/>
      <c r="GGD148" s="22"/>
      <c r="GGE148" s="22"/>
      <c r="GGF148" s="22"/>
      <c r="GGG148" s="22"/>
      <c r="GGH148" s="22"/>
      <c r="GGI148" s="22"/>
      <c r="GGJ148" s="22"/>
      <c r="GGK148" s="22"/>
      <c r="GGL148" s="22"/>
      <c r="GGM148" s="22"/>
      <c r="GGN148" s="22"/>
      <c r="GGO148" s="22"/>
      <c r="GGP148" s="22"/>
      <c r="GGQ148" s="22"/>
      <c r="GGR148" s="22"/>
      <c r="GGS148" s="22"/>
      <c r="GGT148" s="22"/>
      <c r="GGU148" s="22"/>
      <c r="GGV148" s="22"/>
      <c r="GGW148" s="22"/>
      <c r="GGX148" s="22"/>
      <c r="GGY148" s="22"/>
      <c r="GGZ148" s="22"/>
      <c r="GHA148" s="22"/>
      <c r="GHB148" s="22"/>
      <c r="GHC148" s="22"/>
      <c r="GHD148" s="22"/>
      <c r="GHE148" s="22"/>
      <c r="GHF148" s="22"/>
      <c r="GHG148" s="22"/>
      <c r="GHH148" s="22"/>
      <c r="GHI148" s="22"/>
      <c r="GHJ148" s="22"/>
      <c r="GHK148" s="22"/>
      <c r="GHL148" s="22"/>
      <c r="GHM148" s="22"/>
      <c r="GHN148" s="22"/>
      <c r="GHO148" s="22"/>
      <c r="GHP148" s="22"/>
      <c r="GHQ148" s="22"/>
      <c r="GHR148" s="22"/>
      <c r="GHS148" s="22"/>
      <c r="GHT148" s="22"/>
      <c r="GHU148" s="22"/>
      <c r="GHV148" s="22"/>
      <c r="GHW148" s="22"/>
      <c r="GHX148" s="22"/>
      <c r="GHY148" s="22"/>
      <c r="GHZ148" s="22"/>
      <c r="GIA148" s="22"/>
      <c r="GIB148" s="22"/>
      <c r="GIC148" s="22"/>
      <c r="GID148" s="22"/>
      <c r="GIE148" s="22"/>
      <c r="GIF148" s="22"/>
      <c r="GIG148" s="22"/>
      <c r="GIH148" s="22"/>
      <c r="GII148" s="22"/>
      <c r="GIJ148" s="22"/>
      <c r="GIK148" s="22"/>
      <c r="GIL148" s="22"/>
      <c r="GIM148" s="22"/>
      <c r="GIN148" s="22"/>
      <c r="GIO148" s="22"/>
      <c r="GIP148" s="22"/>
      <c r="GIQ148" s="22"/>
      <c r="GIR148" s="22"/>
      <c r="GIS148" s="22"/>
      <c r="GIT148" s="22"/>
      <c r="GIU148" s="22"/>
      <c r="GIV148" s="22"/>
      <c r="GIW148" s="22"/>
      <c r="GIX148" s="22"/>
      <c r="GIY148" s="22"/>
      <c r="GIZ148" s="22"/>
      <c r="GJA148" s="22"/>
      <c r="GJB148" s="22"/>
      <c r="GJC148" s="22"/>
      <c r="GJD148" s="22"/>
      <c r="GJE148" s="22"/>
      <c r="GJF148" s="22"/>
      <c r="GJG148" s="22"/>
      <c r="GJH148" s="22"/>
      <c r="GJI148" s="22"/>
      <c r="GJJ148" s="22"/>
      <c r="GJK148" s="22"/>
      <c r="GJL148" s="22"/>
      <c r="GJM148" s="22"/>
      <c r="GJN148" s="22"/>
      <c r="GJO148" s="22"/>
      <c r="GJP148" s="22"/>
      <c r="GJQ148" s="22"/>
      <c r="GJR148" s="22"/>
      <c r="GJS148" s="22"/>
      <c r="GJT148" s="22"/>
      <c r="GJU148" s="22"/>
      <c r="GJV148" s="22"/>
      <c r="GJW148" s="22"/>
      <c r="GJX148" s="22"/>
      <c r="GJY148" s="22"/>
      <c r="GJZ148" s="22"/>
      <c r="GKA148" s="22"/>
      <c r="GKB148" s="22"/>
      <c r="GKC148" s="22"/>
      <c r="GKD148" s="22"/>
      <c r="GKE148" s="22"/>
      <c r="GKF148" s="22"/>
      <c r="GKG148" s="22"/>
      <c r="GKH148" s="22"/>
      <c r="GKI148" s="22"/>
      <c r="GKJ148" s="22"/>
      <c r="GKK148" s="22"/>
      <c r="GKL148" s="22"/>
      <c r="GKM148" s="22"/>
      <c r="GKN148" s="22"/>
      <c r="GKO148" s="22"/>
      <c r="GKP148" s="22"/>
      <c r="GKQ148" s="22"/>
      <c r="GKR148" s="22"/>
      <c r="GKS148" s="22"/>
      <c r="GKT148" s="22"/>
      <c r="GKU148" s="22"/>
      <c r="GKV148" s="22"/>
      <c r="GKW148" s="22"/>
      <c r="GKX148" s="22"/>
      <c r="GKY148" s="22"/>
      <c r="GKZ148" s="22"/>
      <c r="GLA148" s="22"/>
      <c r="GLB148" s="22"/>
      <c r="GLC148" s="22"/>
      <c r="GLD148" s="22"/>
      <c r="GLE148" s="22"/>
      <c r="GLF148" s="22"/>
      <c r="GLG148" s="22"/>
      <c r="GLH148" s="22"/>
      <c r="GLI148" s="22"/>
      <c r="GLJ148" s="22"/>
      <c r="GLK148" s="22"/>
      <c r="GLL148" s="22"/>
      <c r="GLM148" s="22"/>
      <c r="GLN148" s="22"/>
      <c r="GLO148" s="22"/>
      <c r="GLP148" s="22"/>
      <c r="GLQ148" s="22"/>
      <c r="GLR148" s="22"/>
      <c r="GLS148" s="22"/>
      <c r="GLT148" s="22"/>
      <c r="GLU148" s="22"/>
      <c r="GLV148" s="22"/>
      <c r="GLW148" s="22"/>
      <c r="GLX148" s="22"/>
      <c r="GLY148" s="22"/>
      <c r="GLZ148" s="22"/>
      <c r="GMA148" s="22"/>
      <c r="GMB148" s="22"/>
      <c r="GMC148" s="22"/>
      <c r="GMD148" s="22"/>
      <c r="GME148" s="22"/>
      <c r="GMF148" s="22"/>
      <c r="GMG148" s="22"/>
      <c r="GMH148" s="22"/>
      <c r="GMI148" s="22"/>
      <c r="GMJ148" s="22"/>
      <c r="GMK148" s="22"/>
      <c r="GML148" s="22"/>
      <c r="GMM148" s="22"/>
      <c r="GMN148" s="22"/>
      <c r="GMO148" s="22"/>
      <c r="GMP148" s="22"/>
      <c r="GMQ148" s="22"/>
      <c r="GMR148" s="22"/>
      <c r="GMS148" s="22"/>
      <c r="GMT148" s="22"/>
      <c r="GMU148" s="22"/>
      <c r="GMV148" s="22"/>
      <c r="GMW148" s="22"/>
      <c r="GMX148" s="22"/>
      <c r="GMY148" s="22"/>
      <c r="GMZ148" s="22"/>
      <c r="GNA148" s="22"/>
      <c r="GNB148" s="22"/>
      <c r="GNC148" s="22"/>
      <c r="GND148" s="22"/>
      <c r="GNE148" s="22"/>
      <c r="GNF148" s="22"/>
      <c r="GNG148" s="22"/>
      <c r="GNH148" s="22"/>
      <c r="GNI148" s="22"/>
      <c r="GNJ148" s="22"/>
      <c r="GNK148" s="22"/>
      <c r="GNL148" s="22"/>
      <c r="GNM148" s="22"/>
      <c r="GNN148" s="22"/>
      <c r="GNO148" s="22"/>
      <c r="GNP148" s="22"/>
      <c r="GNQ148" s="22"/>
      <c r="GNR148" s="22"/>
      <c r="GNS148" s="22"/>
      <c r="GNT148" s="22"/>
      <c r="GNU148" s="22"/>
      <c r="GNV148" s="22"/>
      <c r="GNW148" s="22"/>
      <c r="GNX148" s="22"/>
      <c r="GNY148" s="22"/>
      <c r="GNZ148" s="22"/>
      <c r="GOA148" s="22"/>
      <c r="GOB148" s="22"/>
      <c r="GOC148" s="22"/>
      <c r="GOD148" s="22"/>
      <c r="GOE148" s="22"/>
      <c r="GOF148" s="22"/>
      <c r="GOG148" s="22"/>
      <c r="GOH148" s="22"/>
      <c r="GOI148" s="22"/>
      <c r="GOJ148" s="22"/>
      <c r="GOK148" s="22"/>
      <c r="GOL148" s="22"/>
      <c r="GOM148" s="22"/>
      <c r="GON148" s="22"/>
      <c r="GOO148" s="22"/>
      <c r="GOP148" s="22"/>
      <c r="GOQ148" s="22"/>
      <c r="GOR148" s="22"/>
      <c r="GOS148" s="22"/>
      <c r="GOT148" s="22"/>
      <c r="GOU148" s="22"/>
      <c r="GOV148" s="22"/>
      <c r="GOW148" s="22"/>
      <c r="GOX148" s="22"/>
      <c r="GOY148" s="22"/>
      <c r="GOZ148" s="22"/>
      <c r="GPA148" s="22"/>
      <c r="GPB148" s="22"/>
      <c r="GPC148" s="22"/>
      <c r="GPD148" s="22"/>
      <c r="GPE148" s="22"/>
      <c r="GPF148" s="22"/>
      <c r="GPG148" s="22"/>
      <c r="GPH148" s="22"/>
      <c r="GPI148" s="22"/>
      <c r="GPJ148" s="22"/>
      <c r="GPK148" s="22"/>
      <c r="GPL148" s="22"/>
      <c r="GPM148" s="22"/>
      <c r="GPN148" s="22"/>
      <c r="GPO148" s="22"/>
      <c r="GPP148" s="22"/>
      <c r="GPQ148" s="22"/>
      <c r="GPR148" s="22"/>
      <c r="GPS148" s="22"/>
      <c r="GPT148" s="22"/>
      <c r="GPU148" s="22"/>
      <c r="GPV148" s="22"/>
      <c r="GPW148" s="22"/>
      <c r="GPX148" s="22"/>
      <c r="GPY148" s="22"/>
      <c r="GPZ148" s="22"/>
      <c r="GQA148" s="22"/>
      <c r="GQB148" s="22"/>
      <c r="GQC148" s="22"/>
      <c r="GQD148" s="22"/>
      <c r="GQE148" s="22"/>
      <c r="GQF148" s="22"/>
      <c r="GQG148" s="22"/>
      <c r="GQH148" s="22"/>
      <c r="GQI148" s="22"/>
      <c r="GQJ148" s="22"/>
      <c r="GQK148" s="22"/>
      <c r="GQL148" s="22"/>
      <c r="GQM148" s="22"/>
      <c r="GQN148" s="22"/>
      <c r="GQO148" s="22"/>
      <c r="GQP148" s="22"/>
      <c r="GQQ148" s="22"/>
      <c r="GQR148" s="22"/>
      <c r="GQS148" s="22"/>
      <c r="GQT148" s="22"/>
      <c r="GQU148" s="22"/>
      <c r="GQV148" s="22"/>
      <c r="GQW148" s="22"/>
      <c r="GQX148" s="22"/>
      <c r="GQY148" s="22"/>
      <c r="GQZ148" s="22"/>
      <c r="GRA148" s="22"/>
      <c r="GRB148" s="22"/>
      <c r="GRC148" s="22"/>
      <c r="GRD148" s="22"/>
      <c r="GRE148" s="22"/>
      <c r="GRF148" s="22"/>
      <c r="GRG148" s="22"/>
      <c r="GRH148" s="22"/>
      <c r="GRI148" s="22"/>
      <c r="GRJ148" s="22"/>
      <c r="GRK148" s="22"/>
      <c r="GRL148" s="22"/>
      <c r="GRM148" s="22"/>
      <c r="GRN148" s="22"/>
      <c r="GRO148" s="22"/>
      <c r="GRP148" s="22"/>
      <c r="GRQ148" s="22"/>
      <c r="GRR148" s="22"/>
      <c r="GRS148" s="22"/>
      <c r="GRT148" s="22"/>
      <c r="GRU148" s="22"/>
      <c r="GRV148" s="22"/>
      <c r="GRW148" s="22"/>
      <c r="GRX148" s="22"/>
      <c r="GRY148" s="22"/>
      <c r="GRZ148" s="22"/>
      <c r="GSA148" s="22"/>
      <c r="GSB148" s="22"/>
      <c r="GSC148" s="22"/>
      <c r="GSD148" s="22"/>
      <c r="GSE148" s="22"/>
      <c r="GSF148" s="22"/>
      <c r="GSG148" s="22"/>
      <c r="GSH148" s="22"/>
      <c r="GSI148" s="22"/>
      <c r="GSJ148" s="22"/>
      <c r="GSK148" s="22"/>
      <c r="GSL148" s="22"/>
      <c r="GSM148" s="22"/>
      <c r="GSN148" s="22"/>
      <c r="GSO148" s="22"/>
      <c r="GSP148" s="22"/>
      <c r="GSQ148" s="22"/>
      <c r="GSR148" s="22"/>
      <c r="GSS148" s="22"/>
      <c r="GST148" s="22"/>
      <c r="GSU148" s="22"/>
      <c r="GSV148" s="22"/>
      <c r="GSW148" s="22"/>
      <c r="GSX148" s="22"/>
      <c r="GSY148" s="22"/>
      <c r="GSZ148" s="22"/>
      <c r="GTA148" s="22"/>
      <c r="GTB148" s="22"/>
      <c r="GTC148" s="22"/>
      <c r="GTD148" s="22"/>
      <c r="GTE148" s="22"/>
      <c r="GTF148" s="22"/>
      <c r="GTG148" s="22"/>
      <c r="GTH148" s="22"/>
      <c r="GTI148" s="22"/>
      <c r="GTJ148" s="22"/>
      <c r="GTK148" s="22"/>
      <c r="GTL148" s="22"/>
      <c r="GTM148" s="22"/>
      <c r="GTN148" s="22"/>
      <c r="GTO148" s="22"/>
      <c r="GTP148" s="22"/>
      <c r="GTQ148" s="22"/>
      <c r="GTR148" s="22"/>
      <c r="GTS148" s="22"/>
      <c r="GTT148" s="22"/>
      <c r="GTU148" s="22"/>
      <c r="GTV148" s="22"/>
      <c r="GTW148" s="22"/>
      <c r="GTX148" s="22"/>
      <c r="GTY148" s="22"/>
      <c r="GTZ148" s="22"/>
      <c r="GUA148" s="22"/>
      <c r="GUB148" s="22"/>
      <c r="GUC148" s="22"/>
      <c r="GUD148" s="22"/>
      <c r="GUE148" s="22"/>
      <c r="GUF148" s="22"/>
      <c r="GUG148" s="22"/>
      <c r="GUH148" s="22"/>
      <c r="GUI148" s="22"/>
      <c r="GUJ148" s="22"/>
      <c r="GUK148" s="22"/>
      <c r="GUL148" s="22"/>
      <c r="GUM148" s="22"/>
      <c r="GUN148" s="22"/>
      <c r="GUO148" s="22"/>
      <c r="GUP148" s="22"/>
      <c r="GUQ148" s="22"/>
      <c r="GUR148" s="22"/>
      <c r="GUS148" s="22"/>
      <c r="GUT148" s="22"/>
      <c r="GUU148" s="22"/>
      <c r="GUV148" s="22"/>
      <c r="GUW148" s="22"/>
      <c r="GUX148" s="22"/>
      <c r="GUY148" s="22"/>
      <c r="GUZ148" s="22"/>
      <c r="GVA148" s="22"/>
      <c r="GVB148" s="22"/>
      <c r="GVC148" s="22"/>
      <c r="GVD148" s="22"/>
      <c r="GVE148" s="22"/>
      <c r="GVF148" s="22"/>
      <c r="GVG148" s="22"/>
      <c r="GVH148" s="22"/>
      <c r="GVI148" s="22"/>
      <c r="GVJ148" s="22"/>
      <c r="GVK148" s="22"/>
      <c r="GVL148" s="22"/>
      <c r="GVM148" s="22"/>
      <c r="GVN148" s="22"/>
      <c r="GVO148" s="22"/>
      <c r="GVP148" s="22"/>
      <c r="GVQ148" s="22"/>
      <c r="GVR148" s="22"/>
      <c r="GVS148" s="22"/>
      <c r="GVT148" s="22"/>
      <c r="GVU148" s="22"/>
      <c r="GVV148" s="22"/>
      <c r="GVW148" s="22"/>
      <c r="GVX148" s="22"/>
      <c r="GVY148" s="22"/>
      <c r="GVZ148" s="22"/>
      <c r="GWA148" s="22"/>
      <c r="GWB148" s="22"/>
      <c r="GWC148" s="22"/>
      <c r="GWD148" s="22"/>
      <c r="GWE148" s="22"/>
      <c r="GWF148" s="22"/>
      <c r="GWG148" s="22"/>
      <c r="GWH148" s="22"/>
      <c r="GWI148" s="22"/>
      <c r="GWJ148" s="22"/>
      <c r="GWK148" s="22"/>
      <c r="GWL148" s="22"/>
      <c r="GWM148" s="22"/>
      <c r="GWN148" s="22"/>
      <c r="GWO148" s="22"/>
      <c r="GWP148" s="22"/>
      <c r="GWQ148" s="22"/>
      <c r="GWR148" s="22"/>
      <c r="GWS148" s="22"/>
      <c r="GWT148" s="22"/>
      <c r="GWU148" s="22"/>
      <c r="GWV148" s="22"/>
      <c r="GWW148" s="22"/>
      <c r="GWX148" s="22"/>
      <c r="GWY148" s="22"/>
      <c r="GWZ148" s="22"/>
      <c r="GXA148" s="22"/>
      <c r="GXB148" s="22"/>
      <c r="GXC148" s="22"/>
      <c r="GXD148" s="22"/>
      <c r="GXE148" s="22"/>
      <c r="GXF148" s="22"/>
      <c r="GXG148" s="22"/>
      <c r="GXH148" s="22"/>
      <c r="GXI148" s="22"/>
      <c r="GXJ148" s="22"/>
      <c r="GXK148" s="22"/>
      <c r="GXL148" s="22"/>
      <c r="GXM148" s="22"/>
      <c r="GXN148" s="22"/>
      <c r="GXO148" s="22"/>
      <c r="GXP148" s="22"/>
      <c r="GXQ148" s="22"/>
      <c r="GXR148" s="22"/>
      <c r="GXS148" s="22"/>
      <c r="GXT148" s="22"/>
      <c r="GXU148" s="22"/>
      <c r="GXV148" s="22"/>
      <c r="GXW148" s="22"/>
      <c r="GXX148" s="22"/>
      <c r="GXY148" s="22"/>
      <c r="GXZ148" s="22"/>
      <c r="GYA148" s="22"/>
      <c r="GYB148" s="22"/>
      <c r="GYC148" s="22"/>
      <c r="GYD148" s="22"/>
      <c r="GYE148" s="22"/>
      <c r="GYF148" s="22"/>
      <c r="GYG148" s="22"/>
      <c r="GYH148" s="22"/>
      <c r="GYI148" s="22"/>
      <c r="GYJ148" s="22"/>
      <c r="GYK148" s="22"/>
      <c r="GYL148" s="22"/>
      <c r="GYM148" s="22"/>
      <c r="GYN148" s="22"/>
      <c r="GYO148" s="22"/>
      <c r="GYP148" s="22"/>
      <c r="GYQ148" s="22"/>
      <c r="GYR148" s="22"/>
      <c r="GYS148" s="22"/>
      <c r="GYT148" s="22"/>
      <c r="GYU148" s="22"/>
      <c r="GYV148" s="22"/>
      <c r="GYW148" s="22"/>
      <c r="GYX148" s="22"/>
      <c r="GYY148" s="22"/>
      <c r="GYZ148" s="22"/>
      <c r="GZA148" s="22"/>
      <c r="GZB148" s="22"/>
      <c r="GZC148" s="22"/>
      <c r="GZD148" s="22"/>
      <c r="GZE148" s="22"/>
      <c r="GZF148" s="22"/>
      <c r="GZG148" s="22"/>
      <c r="GZH148" s="22"/>
      <c r="GZI148" s="22"/>
      <c r="GZJ148" s="22"/>
      <c r="GZK148" s="22"/>
      <c r="GZL148" s="22"/>
      <c r="GZM148" s="22"/>
      <c r="GZN148" s="22"/>
      <c r="GZO148" s="22"/>
      <c r="GZP148" s="22"/>
      <c r="GZQ148" s="22"/>
      <c r="GZR148" s="22"/>
      <c r="GZS148" s="22"/>
      <c r="GZT148" s="22"/>
      <c r="GZU148" s="22"/>
      <c r="GZV148" s="22"/>
      <c r="GZW148" s="22"/>
      <c r="GZX148" s="22"/>
      <c r="GZY148" s="22"/>
      <c r="GZZ148" s="22"/>
      <c r="HAA148" s="22"/>
      <c r="HAB148" s="22"/>
      <c r="HAC148" s="22"/>
      <c r="HAD148" s="22"/>
      <c r="HAE148" s="22"/>
      <c r="HAF148" s="22"/>
      <c r="HAG148" s="22"/>
      <c r="HAH148" s="22"/>
      <c r="HAI148" s="22"/>
      <c r="HAJ148" s="22"/>
      <c r="HAK148" s="22"/>
      <c r="HAL148" s="22"/>
      <c r="HAM148" s="22"/>
      <c r="HAN148" s="22"/>
      <c r="HAO148" s="22"/>
      <c r="HAP148" s="22"/>
      <c r="HAQ148" s="22"/>
      <c r="HAR148" s="22"/>
      <c r="HAS148" s="22"/>
      <c r="HAT148" s="22"/>
      <c r="HAU148" s="22"/>
      <c r="HAV148" s="22"/>
      <c r="HAW148" s="22"/>
      <c r="HAX148" s="22"/>
      <c r="HAY148" s="22"/>
      <c r="HAZ148" s="22"/>
      <c r="HBA148" s="22"/>
      <c r="HBB148" s="22"/>
      <c r="HBC148" s="22"/>
      <c r="HBD148" s="22"/>
      <c r="HBE148" s="22"/>
      <c r="HBF148" s="22"/>
      <c r="HBG148" s="22"/>
      <c r="HBH148" s="22"/>
      <c r="HBI148" s="22"/>
      <c r="HBJ148" s="22"/>
      <c r="HBK148" s="22"/>
      <c r="HBL148" s="22"/>
      <c r="HBM148" s="22"/>
      <c r="HBN148" s="22"/>
      <c r="HBO148" s="22"/>
      <c r="HBP148" s="22"/>
      <c r="HBQ148" s="22"/>
      <c r="HBR148" s="22"/>
      <c r="HBS148" s="22"/>
      <c r="HBT148" s="22"/>
      <c r="HBU148" s="22"/>
      <c r="HBV148" s="22"/>
      <c r="HBW148" s="22"/>
      <c r="HBX148" s="22"/>
      <c r="HBY148" s="22"/>
      <c r="HBZ148" s="22"/>
      <c r="HCA148" s="22"/>
      <c r="HCB148" s="22"/>
      <c r="HCC148" s="22"/>
      <c r="HCD148" s="22"/>
      <c r="HCE148" s="22"/>
      <c r="HCF148" s="22"/>
      <c r="HCG148" s="22"/>
      <c r="HCH148" s="22"/>
      <c r="HCI148" s="22"/>
      <c r="HCJ148" s="22"/>
      <c r="HCK148" s="22"/>
      <c r="HCL148" s="22"/>
      <c r="HCM148" s="22"/>
      <c r="HCN148" s="22"/>
      <c r="HCO148" s="22"/>
      <c r="HCP148" s="22"/>
      <c r="HCQ148" s="22"/>
      <c r="HCR148" s="22"/>
      <c r="HCS148" s="22"/>
      <c r="HCT148" s="22"/>
      <c r="HCU148" s="22"/>
      <c r="HCV148" s="22"/>
      <c r="HCW148" s="22"/>
      <c r="HCX148" s="22"/>
      <c r="HCY148" s="22"/>
      <c r="HCZ148" s="22"/>
      <c r="HDA148" s="22"/>
      <c r="HDB148" s="22"/>
      <c r="HDC148" s="22"/>
      <c r="HDD148" s="22"/>
      <c r="HDE148" s="22"/>
      <c r="HDF148" s="22"/>
      <c r="HDG148" s="22"/>
      <c r="HDH148" s="22"/>
      <c r="HDI148" s="22"/>
      <c r="HDJ148" s="22"/>
      <c r="HDK148" s="22"/>
      <c r="HDL148" s="22"/>
      <c r="HDM148" s="22"/>
      <c r="HDN148" s="22"/>
      <c r="HDO148" s="22"/>
      <c r="HDP148" s="22"/>
      <c r="HDQ148" s="22"/>
      <c r="HDR148" s="22"/>
      <c r="HDS148" s="22"/>
      <c r="HDT148" s="22"/>
      <c r="HDU148" s="22"/>
      <c r="HDV148" s="22"/>
      <c r="HDW148" s="22"/>
      <c r="HDX148" s="22"/>
      <c r="HDY148" s="22"/>
      <c r="HDZ148" s="22"/>
      <c r="HEA148" s="22"/>
      <c r="HEB148" s="22"/>
      <c r="HEC148" s="22"/>
      <c r="HED148" s="22"/>
      <c r="HEE148" s="22"/>
      <c r="HEF148" s="22"/>
      <c r="HEG148" s="22"/>
      <c r="HEH148" s="22"/>
      <c r="HEI148" s="22"/>
      <c r="HEJ148" s="22"/>
      <c r="HEK148" s="22"/>
      <c r="HEL148" s="22"/>
      <c r="HEM148" s="22"/>
      <c r="HEN148" s="22"/>
      <c r="HEO148" s="22"/>
      <c r="HEP148" s="22"/>
      <c r="HEQ148" s="22"/>
      <c r="HER148" s="22"/>
      <c r="HES148" s="22"/>
      <c r="HET148" s="22"/>
      <c r="HEU148" s="22"/>
      <c r="HEV148" s="22"/>
      <c r="HEW148" s="22"/>
      <c r="HEX148" s="22"/>
      <c r="HEY148" s="22"/>
      <c r="HEZ148" s="22"/>
      <c r="HFA148" s="22"/>
      <c r="HFB148" s="22"/>
      <c r="HFC148" s="22"/>
      <c r="HFD148" s="22"/>
      <c r="HFE148" s="22"/>
      <c r="HFF148" s="22"/>
      <c r="HFG148" s="22"/>
      <c r="HFH148" s="22"/>
      <c r="HFI148" s="22"/>
      <c r="HFJ148" s="22"/>
      <c r="HFK148" s="22"/>
      <c r="HFL148" s="22"/>
      <c r="HFM148" s="22"/>
      <c r="HFN148" s="22"/>
      <c r="HFO148" s="22"/>
      <c r="HFP148" s="22"/>
      <c r="HFQ148" s="22"/>
      <c r="HFR148" s="22"/>
      <c r="HFS148" s="22"/>
      <c r="HFT148" s="22"/>
      <c r="HFU148" s="22"/>
      <c r="HFV148" s="22"/>
      <c r="HFW148" s="22"/>
      <c r="HFX148" s="22"/>
      <c r="HFY148" s="22"/>
      <c r="HFZ148" s="22"/>
      <c r="HGA148" s="22"/>
      <c r="HGB148" s="22"/>
      <c r="HGC148" s="22"/>
      <c r="HGD148" s="22"/>
      <c r="HGE148" s="22"/>
      <c r="HGF148" s="22"/>
      <c r="HGG148" s="22"/>
      <c r="HGH148" s="22"/>
      <c r="HGI148" s="22"/>
      <c r="HGJ148" s="22"/>
      <c r="HGK148" s="22"/>
      <c r="HGL148" s="22"/>
      <c r="HGM148" s="22"/>
      <c r="HGN148" s="22"/>
      <c r="HGO148" s="22"/>
      <c r="HGP148" s="22"/>
      <c r="HGQ148" s="22"/>
      <c r="HGR148" s="22"/>
      <c r="HGS148" s="22"/>
      <c r="HGT148" s="22"/>
      <c r="HGU148" s="22"/>
      <c r="HGV148" s="22"/>
      <c r="HGW148" s="22"/>
      <c r="HGX148" s="22"/>
      <c r="HGY148" s="22"/>
      <c r="HGZ148" s="22"/>
      <c r="HHA148" s="22"/>
      <c r="HHB148" s="22"/>
      <c r="HHC148" s="22"/>
      <c r="HHD148" s="22"/>
      <c r="HHE148" s="22"/>
      <c r="HHF148" s="22"/>
      <c r="HHG148" s="22"/>
      <c r="HHH148" s="22"/>
      <c r="HHI148" s="22"/>
      <c r="HHJ148" s="22"/>
      <c r="HHK148" s="22"/>
      <c r="HHL148" s="22"/>
      <c r="HHM148" s="22"/>
      <c r="HHN148" s="22"/>
      <c r="HHO148" s="22"/>
      <c r="HHP148" s="22"/>
      <c r="HHQ148" s="22"/>
      <c r="HHR148" s="22"/>
      <c r="HHS148" s="22"/>
      <c r="HHT148" s="22"/>
      <c r="HHU148" s="22"/>
      <c r="HHV148" s="22"/>
      <c r="HHW148" s="22"/>
      <c r="HHX148" s="22"/>
      <c r="HHY148" s="22"/>
      <c r="HHZ148" s="22"/>
      <c r="HIA148" s="22"/>
      <c r="HIB148" s="22"/>
      <c r="HIC148" s="22"/>
      <c r="HID148" s="22"/>
      <c r="HIE148" s="22"/>
      <c r="HIF148" s="22"/>
      <c r="HIG148" s="22"/>
      <c r="HIH148" s="22"/>
      <c r="HII148" s="22"/>
      <c r="HIJ148" s="22"/>
      <c r="HIK148" s="22"/>
      <c r="HIL148" s="22"/>
      <c r="HIM148" s="22"/>
      <c r="HIN148" s="22"/>
      <c r="HIO148" s="22"/>
      <c r="HIP148" s="22"/>
      <c r="HIQ148" s="22"/>
      <c r="HIR148" s="22"/>
      <c r="HIS148" s="22"/>
      <c r="HIT148" s="22"/>
      <c r="HIU148" s="22"/>
      <c r="HIV148" s="22"/>
      <c r="HIW148" s="22"/>
      <c r="HIX148" s="22"/>
      <c r="HIY148" s="22"/>
      <c r="HIZ148" s="22"/>
      <c r="HJA148" s="22"/>
      <c r="HJB148" s="22"/>
      <c r="HJC148" s="22"/>
      <c r="HJD148" s="22"/>
      <c r="HJE148" s="22"/>
      <c r="HJF148" s="22"/>
      <c r="HJG148" s="22"/>
      <c r="HJH148" s="22"/>
      <c r="HJI148" s="22"/>
      <c r="HJJ148" s="22"/>
      <c r="HJK148" s="22"/>
      <c r="HJL148" s="22"/>
      <c r="HJM148" s="22"/>
      <c r="HJN148" s="22"/>
      <c r="HJO148" s="22"/>
      <c r="HJP148" s="22"/>
      <c r="HJQ148" s="22"/>
      <c r="HJR148" s="22"/>
      <c r="HJS148" s="22"/>
      <c r="HJT148" s="22"/>
      <c r="HJU148" s="22"/>
      <c r="HJV148" s="22"/>
      <c r="HJW148" s="22"/>
      <c r="HJX148" s="22"/>
      <c r="HJY148" s="22"/>
      <c r="HJZ148" s="22"/>
      <c r="HKA148" s="22"/>
      <c r="HKB148" s="22"/>
      <c r="HKC148" s="22"/>
      <c r="HKD148" s="22"/>
      <c r="HKE148" s="22"/>
      <c r="HKF148" s="22"/>
      <c r="HKG148" s="22"/>
      <c r="HKH148" s="22"/>
      <c r="HKI148" s="22"/>
      <c r="HKJ148" s="22"/>
      <c r="HKK148" s="22"/>
      <c r="HKL148" s="22"/>
      <c r="HKM148" s="22"/>
      <c r="HKN148" s="22"/>
      <c r="HKO148" s="22"/>
      <c r="HKP148" s="22"/>
      <c r="HKQ148" s="22"/>
      <c r="HKR148" s="22"/>
      <c r="HKS148" s="22"/>
      <c r="HKT148" s="22"/>
      <c r="HKU148" s="22"/>
      <c r="HKV148" s="22"/>
      <c r="HKW148" s="22"/>
      <c r="HKX148" s="22"/>
      <c r="HKY148" s="22"/>
      <c r="HKZ148" s="22"/>
      <c r="HLA148" s="22"/>
      <c r="HLB148" s="22"/>
      <c r="HLC148" s="22"/>
      <c r="HLD148" s="22"/>
      <c r="HLE148" s="22"/>
      <c r="HLF148" s="22"/>
      <c r="HLG148" s="22"/>
      <c r="HLH148" s="22"/>
      <c r="HLI148" s="22"/>
      <c r="HLJ148" s="22"/>
      <c r="HLK148" s="22"/>
      <c r="HLL148" s="22"/>
      <c r="HLM148" s="22"/>
      <c r="HLN148" s="22"/>
      <c r="HLO148" s="22"/>
      <c r="HLP148" s="22"/>
      <c r="HLQ148" s="22"/>
      <c r="HLR148" s="22"/>
      <c r="HLS148" s="22"/>
      <c r="HLT148" s="22"/>
      <c r="HLU148" s="22"/>
      <c r="HLV148" s="22"/>
      <c r="HLW148" s="22"/>
      <c r="HLX148" s="22"/>
      <c r="HLY148" s="22"/>
      <c r="HLZ148" s="22"/>
      <c r="HMA148" s="22"/>
      <c r="HMB148" s="22"/>
      <c r="HMC148" s="22"/>
      <c r="HMD148" s="22"/>
      <c r="HME148" s="22"/>
      <c r="HMF148" s="22"/>
      <c r="HMG148" s="22"/>
      <c r="HMH148" s="22"/>
      <c r="HMI148" s="22"/>
      <c r="HMJ148" s="22"/>
      <c r="HMK148" s="22"/>
      <c r="HML148" s="22"/>
      <c r="HMM148" s="22"/>
      <c r="HMN148" s="22"/>
      <c r="HMO148" s="22"/>
      <c r="HMP148" s="22"/>
      <c r="HMQ148" s="22"/>
      <c r="HMR148" s="22"/>
      <c r="HMS148" s="22"/>
      <c r="HMT148" s="22"/>
      <c r="HMU148" s="22"/>
      <c r="HMV148" s="22"/>
      <c r="HMW148" s="22"/>
      <c r="HMX148" s="22"/>
      <c r="HMY148" s="22"/>
      <c r="HMZ148" s="22"/>
      <c r="HNA148" s="22"/>
      <c r="HNB148" s="22"/>
      <c r="HNC148" s="22"/>
      <c r="HND148" s="22"/>
      <c r="HNE148" s="22"/>
      <c r="HNF148" s="22"/>
      <c r="HNG148" s="22"/>
      <c r="HNH148" s="22"/>
      <c r="HNI148" s="22"/>
      <c r="HNJ148" s="22"/>
      <c r="HNK148" s="22"/>
      <c r="HNL148" s="22"/>
      <c r="HNM148" s="22"/>
      <c r="HNN148" s="22"/>
      <c r="HNO148" s="22"/>
      <c r="HNP148" s="22"/>
      <c r="HNQ148" s="22"/>
      <c r="HNR148" s="22"/>
      <c r="HNS148" s="22"/>
      <c r="HNT148" s="22"/>
      <c r="HNU148" s="22"/>
      <c r="HNV148" s="22"/>
      <c r="HNW148" s="22"/>
      <c r="HNX148" s="22"/>
      <c r="HNY148" s="22"/>
      <c r="HNZ148" s="22"/>
      <c r="HOA148" s="22"/>
      <c r="HOB148" s="22"/>
      <c r="HOC148" s="22"/>
      <c r="HOD148" s="22"/>
      <c r="HOE148" s="22"/>
      <c r="HOF148" s="22"/>
      <c r="HOG148" s="22"/>
      <c r="HOH148" s="22"/>
      <c r="HOI148" s="22"/>
      <c r="HOJ148" s="22"/>
      <c r="HOK148" s="22"/>
      <c r="HOL148" s="22"/>
      <c r="HOM148" s="22"/>
      <c r="HON148" s="22"/>
      <c r="HOO148" s="22"/>
      <c r="HOP148" s="22"/>
      <c r="HOQ148" s="22"/>
      <c r="HOR148" s="22"/>
      <c r="HOS148" s="22"/>
      <c r="HOT148" s="22"/>
      <c r="HOU148" s="22"/>
      <c r="HOV148" s="22"/>
      <c r="HOW148" s="22"/>
      <c r="HOX148" s="22"/>
      <c r="HOY148" s="22"/>
      <c r="HOZ148" s="22"/>
      <c r="HPA148" s="22"/>
      <c r="HPB148" s="22"/>
      <c r="HPC148" s="22"/>
      <c r="HPD148" s="22"/>
      <c r="HPE148" s="22"/>
      <c r="HPF148" s="22"/>
      <c r="HPG148" s="22"/>
      <c r="HPH148" s="22"/>
      <c r="HPI148" s="22"/>
      <c r="HPJ148" s="22"/>
      <c r="HPK148" s="22"/>
      <c r="HPL148" s="22"/>
      <c r="HPM148" s="22"/>
      <c r="HPN148" s="22"/>
      <c r="HPO148" s="22"/>
      <c r="HPP148" s="22"/>
      <c r="HPQ148" s="22"/>
      <c r="HPR148" s="22"/>
      <c r="HPS148" s="22"/>
      <c r="HPT148" s="22"/>
      <c r="HPU148" s="22"/>
      <c r="HPV148" s="22"/>
      <c r="HPW148" s="22"/>
      <c r="HPX148" s="22"/>
      <c r="HPY148" s="22"/>
      <c r="HPZ148" s="22"/>
      <c r="HQA148" s="22"/>
      <c r="HQB148" s="22"/>
      <c r="HQC148" s="22"/>
      <c r="HQD148" s="22"/>
      <c r="HQE148" s="22"/>
      <c r="HQF148" s="22"/>
      <c r="HQG148" s="22"/>
      <c r="HQH148" s="22"/>
      <c r="HQI148" s="22"/>
      <c r="HQJ148" s="22"/>
      <c r="HQK148" s="22"/>
      <c r="HQL148" s="22"/>
      <c r="HQM148" s="22"/>
      <c r="HQN148" s="22"/>
      <c r="HQO148" s="22"/>
      <c r="HQP148" s="22"/>
      <c r="HQQ148" s="22"/>
      <c r="HQR148" s="22"/>
      <c r="HQS148" s="22"/>
      <c r="HQT148" s="22"/>
      <c r="HQU148" s="22"/>
      <c r="HQV148" s="22"/>
      <c r="HQW148" s="22"/>
      <c r="HQX148" s="22"/>
      <c r="HQY148" s="22"/>
      <c r="HQZ148" s="22"/>
      <c r="HRA148" s="22"/>
      <c r="HRB148" s="22"/>
      <c r="HRC148" s="22"/>
      <c r="HRD148" s="22"/>
      <c r="HRE148" s="22"/>
      <c r="HRF148" s="22"/>
      <c r="HRG148" s="22"/>
      <c r="HRH148" s="22"/>
      <c r="HRI148" s="22"/>
      <c r="HRJ148" s="22"/>
      <c r="HRK148" s="22"/>
      <c r="HRL148" s="22"/>
      <c r="HRM148" s="22"/>
      <c r="HRN148" s="22"/>
      <c r="HRO148" s="22"/>
      <c r="HRP148" s="22"/>
      <c r="HRQ148" s="22"/>
      <c r="HRR148" s="22"/>
      <c r="HRS148" s="22"/>
      <c r="HRT148" s="22"/>
      <c r="HRU148" s="22"/>
      <c r="HRV148" s="22"/>
      <c r="HRW148" s="22"/>
      <c r="HRX148" s="22"/>
      <c r="HRY148" s="22"/>
      <c r="HRZ148" s="22"/>
      <c r="HSA148" s="22"/>
      <c r="HSB148" s="22"/>
      <c r="HSC148" s="22"/>
      <c r="HSD148" s="22"/>
      <c r="HSE148" s="22"/>
      <c r="HSF148" s="22"/>
      <c r="HSG148" s="22"/>
      <c r="HSH148" s="22"/>
      <c r="HSI148" s="22"/>
      <c r="HSJ148" s="22"/>
      <c r="HSK148" s="22"/>
      <c r="HSL148" s="22"/>
      <c r="HSM148" s="22"/>
      <c r="HSN148" s="22"/>
      <c r="HSO148" s="22"/>
      <c r="HSP148" s="22"/>
      <c r="HSQ148" s="22"/>
      <c r="HSR148" s="22"/>
      <c r="HSS148" s="22"/>
      <c r="HST148" s="22"/>
      <c r="HSU148" s="22"/>
      <c r="HSV148" s="22"/>
      <c r="HSW148" s="22"/>
      <c r="HSX148" s="22"/>
      <c r="HSY148" s="22"/>
      <c r="HSZ148" s="22"/>
      <c r="HTA148" s="22"/>
      <c r="HTB148" s="22"/>
      <c r="HTC148" s="22"/>
      <c r="HTD148" s="22"/>
      <c r="HTE148" s="22"/>
      <c r="HTF148" s="22"/>
      <c r="HTG148" s="22"/>
      <c r="HTH148" s="22"/>
      <c r="HTI148" s="22"/>
      <c r="HTJ148" s="22"/>
      <c r="HTK148" s="22"/>
      <c r="HTL148" s="22"/>
      <c r="HTM148" s="22"/>
      <c r="HTN148" s="22"/>
      <c r="HTO148" s="22"/>
      <c r="HTP148" s="22"/>
      <c r="HTQ148" s="22"/>
      <c r="HTR148" s="22"/>
      <c r="HTS148" s="22"/>
      <c r="HTT148" s="22"/>
      <c r="HTU148" s="22"/>
      <c r="HTV148" s="22"/>
      <c r="HTW148" s="22"/>
      <c r="HTX148" s="22"/>
      <c r="HTY148" s="22"/>
      <c r="HTZ148" s="22"/>
      <c r="HUA148" s="22"/>
      <c r="HUB148" s="22"/>
      <c r="HUC148" s="22"/>
      <c r="HUD148" s="22"/>
      <c r="HUE148" s="22"/>
      <c r="HUF148" s="22"/>
      <c r="HUG148" s="22"/>
      <c r="HUH148" s="22"/>
      <c r="HUI148" s="22"/>
      <c r="HUJ148" s="22"/>
      <c r="HUK148" s="22"/>
      <c r="HUL148" s="22"/>
      <c r="HUM148" s="22"/>
      <c r="HUN148" s="22"/>
      <c r="HUO148" s="22"/>
      <c r="HUP148" s="22"/>
      <c r="HUQ148" s="22"/>
      <c r="HUR148" s="22"/>
      <c r="HUS148" s="22"/>
      <c r="HUT148" s="22"/>
      <c r="HUU148" s="22"/>
      <c r="HUV148" s="22"/>
      <c r="HUW148" s="22"/>
      <c r="HUX148" s="22"/>
      <c r="HUY148" s="22"/>
      <c r="HUZ148" s="22"/>
      <c r="HVA148" s="22"/>
      <c r="HVB148" s="22"/>
      <c r="HVC148" s="22"/>
      <c r="HVD148" s="22"/>
      <c r="HVE148" s="22"/>
      <c r="HVF148" s="22"/>
      <c r="HVG148" s="22"/>
      <c r="HVH148" s="22"/>
      <c r="HVI148" s="22"/>
      <c r="HVJ148" s="22"/>
      <c r="HVK148" s="22"/>
      <c r="HVL148" s="22"/>
      <c r="HVM148" s="22"/>
      <c r="HVN148" s="22"/>
      <c r="HVO148" s="22"/>
      <c r="HVP148" s="22"/>
      <c r="HVQ148" s="22"/>
      <c r="HVR148" s="22"/>
      <c r="HVS148" s="22"/>
      <c r="HVT148" s="22"/>
      <c r="HVU148" s="22"/>
      <c r="HVV148" s="22"/>
      <c r="HVW148" s="22"/>
      <c r="HVX148" s="22"/>
      <c r="HVY148" s="22"/>
      <c r="HVZ148" s="22"/>
      <c r="HWA148" s="22"/>
      <c r="HWB148" s="22"/>
      <c r="HWC148" s="22"/>
      <c r="HWD148" s="22"/>
      <c r="HWE148" s="22"/>
      <c r="HWF148" s="22"/>
      <c r="HWG148" s="22"/>
      <c r="HWH148" s="22"/>
      <c r="HWI148" s="22"/>
      <c r="HWJ148" s="22"/>
      <c r="HWK148" s="22"/>
      <c r="HWL148" s="22"/>
      <c r="HWM148" s="22"/>
      <c r="HWN148" s="22"/>
      <c r="HWO148" s="22"/>
      <c r="HWP148" s="22"/>
      <c r="HWQ148" s="22"/>
      <c r="HWR148" s="22"/>
      <c r="HWS148" s="22"/>
      <c r="HWT148" s="22"/>
      <c r="HWU148" s="22"/>
      <c r="HWV148" s="22"/>
      <c r="HWW148" s="22"/>
      <c r="HWX148" s="22"/>
      <c r="HWY148" s="22"/>
      <c r="HWZ148" s="22"/>
      <c r="HXA148" s="22"/>
      <c r="HXB148" s="22"/>
      <c r="HXC148" s="22"/>
      <c r="HXD148" s="22"/>
      <c r="HXE148" s="22"/>
      <c r="HXF148" s="22"/>
      <c r="HXG148" s="22"/>
      <c r="HXH148" s="22"/>
      <c r="HXI148" s="22"/>
      <c r="HXJ148" s="22"/>
      <c r="HXK148" s="22"/>
      <c r="HXL148" s="22"/>
      <c r="HXM148" s="22"/>
      <c r="HXN148" s="22"/>
      <c r="HXO148" s="22"/>
      <c r="HXP148" s="22"/>
      <c r="HXQ148" s="22"/>
      <c r="HXR148" s="22"/>
      <c r="HXS148" s="22"/>
      <c r="HXT148" s="22"/>
      <c r="HXU148" s="22"/>
      <c r="HXV148" s="22"/>
      <c r="HXW148" s="22"/>
      <c r="HXX148" s="22"/>
      <c r="HXY148" s="22"/>
      <c r="HXZ148" s="22"/>
      <c r="HYA148" s="22"/>
      <c r="HYB148" s="22"/>
      <c r="HYC148" s="22"/>
      <c r="HYD148" s="22"/>
      <c r="HYE148" s="22"/>
      <c r="HYF148" s="22"/>
      <c r="HYG148" s="22"/>
      <c r="HYH148" s="22"/>
      <c r="HYI148" s="22"/>
      <c r="HYJ148" s="22"/>
      <c r="HYK148" s="22"/>
      <c r="HYL148" s="22"/>
      <c r="HYM148" s="22"/>
      <c r="HYN148" s="22"/>
      <c r="HYO148" s="22"/>
      <c r="HYP148" s="22"/>
      <c r="HYQ148" s="22"/>
      <c r="HYR148" s="22"/>
      <c r="HYS148" s="22"/>
      <c r="HYT148" s="22"/>
      <c r="HYU148" s="22"/>
      <c r="HYV148" s="22"/>
      <c r="HYW148" s="22"/>
      <c r="HYX148" s="22"/>
      <c r="HYY148" s="22"/>
      <c r="HYZ148" s="22"/>
      <c r="HZA148" s="22"/>
      <c r="HZB148" s="22"/>
      <c r="HZC148" s="22"/>
      <c r="HZD148" s="22"/>
      <c r="HZE148" s="22"/>
      <c r="HZF148" s="22"/>
      <c r="HZG148" s="22"/>
      <c r="HZH148" s="22"/>
      <c r="HZI148" s="22"/>
      <c r="HZJ148" s="22"/>
      <c r="HZK148" s="22"/>
      <c r="HZL148" s="22"/>
      <c r="HZM148" s="22"/>
      <c r="HZN148" s="22"/>
      <c r="HZO148" s="22"/>
      <c r="HZP148" s="22"/>
      <c r="HZQ148" s="22"/>
      <c r="HZR148" s="22"/>
      <c r="HZS148" s="22"/>
      <c r="HZT148" s="22"/>
      <c r="HZU148" s="22"/>
      <c r="HZV148" s="22"/>
      <c r="HZW148" s="22"/>
      <c r="HZX148" s="22"/>
      <c r="HZY148" s="22"/>
      <c r="HZZ148" s="22"/>
      <c r="IAA148" s="22"/>
      <c r="IAB148" s="22"/>
      <c r="IAC148" s="22"/>
      <c r="IAD148" s="22"/>
      <c r="IAE148" s="22"/>
      <c r="IAF148" s="22"/>
      <c r="IAG148" s="22"/>
      <c r="IAH148" s="22"/>
      <c r="IAI148" s="22"/>
      <c r="IAJ148" s="22"/>
      <c r="IAK148" s="22"/>
      <c r="IAL148" s="22"/>
      <c r="IAM148" s="22"/>
      <c r="IAN148" s="22"/>
      <c r="IAO148" s="22"/>
      <c r="IAP148" s="22"/>
      <c r="IAQ148" s="22"/>
      <c r="IAR148" s="22"/>
      <c r="IAS148" s="22"/>
      <c r="IAT148" s="22"/>
      <c r="IAU148" s="22"/>
      <c r="IAV148" s="22"/>
      <c r="IAW148" s="22"/>
      <c r="IAX148" s="22"/>
      <c r="IAY148" s="22"/>
      <c r="IAZ148" s="22"/>
      <c r="IBA148" s="22"/>
      <c r="IBB148" s="22"/>
      <c r="IBC148" s="22"/>
      <c r="IBD148" s="22"/>
      <c r="IBE148" s="22"/>
      <c r="IBF148" s="22"/>
      <c r="IBG148" s="22"/>
      <c r="IBH148" s="22"/>
      <c r="IBI148" s="22"/>
      <c r="IBJ148" s="22"/>
      <c r="IBK148" s="22"/>
      <c r="IBL148" s="22"/>
      <c r="IBM148" s="22"/>
      <c r="IBN148" s="22"/>
      <c r="IBO148" s="22"/>
      <c r="IBP148" s="22"/>
      <c r="IBQ148" s="22"/>
      <c r="IBR148" s="22"/>
      <c r="IBS148" s="22"/>
      <c r="IBT148" s="22"/>
      <c r="IBU148" s="22"/>
      <c r="IBV148" s="22"/>
      <c r="IBW148" s="22"/>
      <c r="IBX148" s="22"/>
      <c r="IBY148" s="22"/>
      <c r="IBZ148" s="22"/>
      <c r="ICA148" s="22"/>
      <c r="ICB148" s="22"/>
      <c r="ICC148" s="22"/>
      <c r="ICD148" s="22"/>
      <c r="ICE148" s="22"/>
      <c r="ICF148" s="22"/>
      <c r="ICG148" s="22"/>
      <c r="ICH148" s="22"/>
      <c r="ICI148" s="22"/>
      <c r="ICJ148" s="22"/>
      <c r="ICK148" s="22"/>
      <c r="ICL148" s="22"/>
      <c r="ICM148" s="22"/>
      <c r="ICN148" s="22"/>
      <c r="ICO148" s="22"/>
      <c r="ICP148" s="22"/>
      <c r="ICQ148" s="22"/>
      <c r="ICR148" s="22"/>
      <c r="ICS148" s="22"/>
      <c r="ICT148" s="22"/>
      <c r="ICU148" s="22"/>
      <c r="ICV148" s="22"/>
      <c r="ICW148" s="22"/>
      <c r="ICX148" s="22"/>
      <c r="ICY148" s="22"/>
      <c r="ICZ148" s="22"/>
      <c r="IDA148" s="22"/>
      <c r="IDB148" s="22"/>
      <c r="IDC148" s="22"/>
      <c r="IDD148" s="22"/>
      <c r="IDE148" s="22"/>
      <c r="IDF148" s="22"/>
      <c r="IDG148" s="22"/>
      <c r="IDH148" s="22"/>
      <c r="IDI148" s="22"/>
      <c r="IDJ148" s="22"/>
      <c r="IDK148" s="22"/>
      <c r="IDL148" s="22"/>
      <c r="IDM148" s="22"/>
      <c r="IDN148" s="22"/>
      <c r="IDO148" s="22"/>
      <c r="IDP148" s="22"/>
      <c r="IDQ148" s="22"/>
      <c r="IDR148" s="22"/>
      <c r="IDS148" s="22"/>
      <c r="IDT148" s="22"/>
      <c r="IDU148" s="22"/>
      <c r="IDV148" s="22"/>
      <c r="IDW148" s="22"/>
      <c r="IDX148" s="22"/>
      <c r="IDY148" s="22"/>
      <c r="IDZ148" s="22"/>
      <c r="IEA148" s="22"/>
      <c r="IEB148" s="22"/>
      <c r="IEC148" s="22"/>
      <c r="IED148" s="22"/>
      <c r="IEE148" s="22"/>
      <c r="IEF148" s="22"/>
      <c r="IEG148" s="22"/>
      <c r="IEH148" s="22"/>
      <c r="IEI148" s="22"/>
      <c r="IEJ148" s="22"/>
      <c r="IEK148" s="22"/>
      <c r="IEL148" s="22"/>
      <c r="IEM148" s="22"/>
      <c r="IEN148" s="22"/>
      <c r="IEO148" s="22"/>
      <c r="IEP148" s="22"/>
      <c r="IEQ148" s="22"/>
      <c r="IER148" s="22"/>
      <c r="IES148" s="22"/>
      <c r="IET148" s="22"/>
      <c r="IEU148" s="22"/>
      <c r="IEV148" s="22"/>
      <c r="IEW148" s="22"/>
      <c r="IEX148" s="22"/>
      <c r="IEY148" s="22"/>
      <c r="IEZ148" s="22"/>
      <c r="IFA148" s="22"/>
      <c r="IFB148" s="22"/>
      <c r="IFC148" s="22"/>
      <c r="IFD148" s="22"/>
      <c r="IFE148" s="22"/>
      <c r="IFF148" s="22"/>
      <c r="IFG148" s="22"/>
      <c r="IFH148" s="22"/>
      <c r="IFI148" s="22"/>
      <c r="IFJ148" s="22"/>
      <c r="IFK148" s="22"/>
      <c r="IFL148" s="22"/>
      <c r="IFM148" s="22"/>
      <c r="IFN148" s="22"/>
      <c r="IFO148" s="22"/>
      <c r="IFP148" s="22"/>
      <c r="IFQ148" s="22"/>
      <c r="IFR148" s="22"/>
      <c r="IFS148" s="22"/>
      <c r="IFT148" s="22"/>
      <c r="IFU148" s="22"/>
      <c r="IFV148" s="22"/>
      <c r="IFW148" s="22"/>
      <c r="IFX148" s="22"/>
      <c r="IFY148" s="22"/>
      <c r="IFZ148" s="22"/>
      <c r="IGA148" s="22"/>
      <c r="IGB148" s="22"/>
      <c r="IGC148" s="22"/>
      <c r="IGD148" s="22"/>
      <c r="IGE148" s="22"/>
      <c r="IGF148" s="22"/>
      <c r="IGG148" s="22"/>
      <c r="IGH148" s="22"/>
      <c r="IGI148" s="22"/>
      <c r="IGJ148" s="22"/>
      <c r="IGK148" s="22"/>
      <c r="IGL148" s="22"/>
      <c r="IGM148" s="22"/>
      <c r="IGN148" s="22"/>
      <c r="IGO148" s="22"/>
      <c r="IGP148" s="22"/>
      <c r="IGQ148" s="22"/>
      <c r="IGR148" s="22"/>
      <c r="IGS148" s="22"/>
      <c r="IGT148" s="22"/>
      <c r="IGU148" s="22"/>
      <c r="IGV148" s="22"/>
      <c r="IGW148" s="22"/>
      <c r="IGX148" s="22"/>
      <c r="IGY148" s="22"/>
      <c r="IGZ148" s="22"/>
      <c r="IHA148" s="22"/>
      <c r="IHB148" s="22"/>
      <c r="IHC148" s="22"/>
      <c r="IHD148" s="22"/>
      <c r="IHE148" s="22"/>
      <c r="IHF148" s="22"/>
      <c r="IHG148" s="22"/>
      <c r="IHH148" s="22"/>
      <c r="IHI148" s="22"/>
      <c r="IHJ148" s="22"/>
      <c r="IHK148" s="22"/>
      <c r="IHL148" s="22"/>
      <c r="IHM148" s="22"/>
      <c r="IHN148" s="22"/>
      <c r="IHO148" s="22"/>
      <c r="IHP148" s="22"/>
      <c r="IHQ148" s="22"/>
      <c r="IHR148" s="22"/>
      <c r="IHS148" s="22"/>
      <c r="IHT148" s="22"/>
      <c r="IHU148" s="22"/>
      <c r="IHV148" s="22"/>
      <c r="IHW148" s="22"/>
      <c r="IHX148" s="22"/>
      <c r="IHY148" s="22"/>
      <c r="IHZ148" s="22"/>
      <c r="IIA148" s="22"/>
      <c r="IIB148" s="22"/>
      <c r="IIC148" s="22"/>
      <c r="IID148" s="22"/>
      <c r="IIE148" s="22"/>
      <c r="IIF148" s="22"/>
      <c r="IIG148" s="22"/>
      <c r="IIH148" s="22"/>
      <c r="III148" s="22"/>
      <c r="IIJ148" s="22"/>
      <c r="IIK148" s="22"/>
      <c r="IIL148" s="22"/>
      <c r="IIM148" s="22"/>
      <c r="IIN148" s="22"/>
      <c r="IIO148" s="22"/>
      <c r="IIP148" s="22"/>
      <c r="IIQ148" s="22"/>
      <c r="IIR148" s="22"/>
      <c r="IIS148" s="22"/>
      <c r="IIT148" s="22"/>
      <c r="IIU148" s="22"/>
      <c r="IIV148" s="22"/>
      <c r="IIW148" s="22"/>
      <c r="IIX148" s="22"/>
      <c r="IIY148" s="22"/>
      <c r="IIZ148" s="22"/>
      <c r="IJA148" s="22"/>
      <c r="IJB148" s="22"/>
      <c r="IJC148" s="22"/>
      <c r="IJD148" s="22"/>
      <c r="IJE148" s="22"/>
      <c r="IJF148" s="22"/>
      <c r="IJG148" s="22"/>
      <c r="IJH148" s="22"/>
      <c r="IJI148" s="22"/>
      <c r="IJJ148" s="22"/>
      <c r="IJK148" s="22"/>
      <c r="IJL148" s="22"/>
      <c r="IJM148" s="22"/>
      <c r="IJN148" s="22"/>
      <c r="IJO148" s="22"/>
      <c r="IJP148" s="22"/>
      <c r="IJQ148" s="22"/>
      <c r="IJR148" s="22"/>
      <c r="IJS148" s="22"/>
      <c r="IJT148" s="22"/>
      <c r="IJU148" s="22"/>
      <c r="IJV148" s="22"/>
      <c r="IJW148" s="22"/>
      <c r="IJX148" s="22"/>
      <c r="IJY148" s="22"/>
      <c r="IJZ148" s="22"/>
      <c r="IKA148" s="22"/>
      <c r="IKB148" s="22"/>
      <c r="IKC148" s="22"/>
      <c r="IKD148" s="22"/>
      <c r="IKE148" s="22"/>
      <c r="IKF148" s="22"/>
      <c r="IKG148" s="22"/>
      <c r="IKH148" s="22"/>
      <c r="IKI148" s="22"/>
      <c r="IKJ148" s="22"/>
      <c r="IKK148" s="22"/>
      <c r="IKL148" s="22"/>
      <c r="IKM148" s="22"/>
      <c r="IKN148" s="22"/>
      <c r="IKO148" s="22"/>
      <c r="IKP148" s="22"/>
      <c r="IKQ148" s="22"/>
      <c r="IKR148" s="22"/>
      <c r="IKS148" s="22"/>
      <c r="IKT148" s="22"/>
      <c r="IKU148" s="22"/>
      <c r="IKV148" s="22"/>
      <c r="IKW148" s="22"/>
      <c r="IKX148" s="22"/>
      <c r="IKY148" s="22"/>
      <c r="IKZ148" s="22"/>
      <c r="ILA148" s="22"/>
      <c r="ILB148" s="22"/>
      <c r="ILC148" s="22"/>
      <c r="ILD148" s="22"/>
      <c r="ILE148" s="22"/>
      <c r="ILF148" s="22"/>
      <c r="ILG148" s="22"/>
      <c r="ILH148" s="22"/>
      <c r="ILI148" s="22"/>
      <c r="ILJ148" s="22"/>
      <c r="ILK148" s="22"/>
      <c r="ILL148" s="22"/>
      <c r="ILM148" s="22"/>
      <c r="ILN148" s="22"/>
      <c r="ILO148" s="22"/>
      <c r="ILP148" s="22"/>
      <c r="ILQ148" s="22"/>
      <c r="ILR148" s="22"/>
      <c r="ILS148" s="22"/>
      <c r="ILT148" s="22"/>
      <c r="ILU148" s="22"/>
      <c r="ILV148" s="22"/>
      <c r="ILW148" s="22"/>
      <c r="ILX148" s="22"/>
      <c r="ILY148" s="22"/>
      <c r="ILZ148" s="22"/>
      <c r="IMA148" s="22"/>
      <c r="IMB148" s="22"/>
      <c r="IMC148" s="22"/>
      <c r="IMD148" s="22"/>
      <c r="IME148" s="22"/>
      <c r="IMF148" s="22"/>
      <c r="IMG148" s="22"/>
      <c r="IMH148" s="22"/>
      <c r="IMI148" s="22"/>
      <c r="IMJ148" s="22"/>
      <c r="IMK148" s="22"/>
      <c r="IML148" s="22"/>
      <c r="IMM148" s="22"/>
      <c r="IMN148" s="22"/>
      <c r="IMO148" s="22"/>
      <c r="IMP148" s="22"/>
      <c r="IMQ148" s="22"/>
      <c r="IMR148" s="22"/>
      <c r="IMS148" s="22"/>
      <c r="IMT148" s="22"/>
      <c r="IMU148" s="22"/>
      <c r="IMV148" s="22"/>
      <c r="IMW148" s="22"/>
      <c r="IMX148" s="22"/>
      <c r="IMY148" s="22"/>
      <c r="IMZ148" s="22"/>
      <c r="INA148" s="22"/>
      <c r="INB148" s="22"/>
      <c r="INC148" s="22"/>
      <c r="IND148" s="22"/>
      <c r="INE148" s="22"/>
      <c r="INF148" s="22"/>
      <c r="ING148" s="22"/>
      <c r="INH148" s="22"/>
      <c r="INI148" s="22"/>
      <c r="INJ148" s="22"/>
      <c r="INK148" s="22"/>
      <c r="INL148" s="22"/>
      <c r="INM148" s="22"/>
      <c r="INN148" s="22"/>
      <c r="INO148" s="22"/>
      <c r="INP148" s="22"/>
      <c r="INQ148" s="22"/>
      <c r="INR148" s="22"/>
      <c r="INS148" s="22"/>
      <c r="INT148" s="22"/>
      <c r="INU148" s="22"/>
      <c r="INV148" s="22"/>
      <c r="INW148" s="22"/>
      <c r="INX148" s="22"/>
      <c r="INY148" s="22"/>
      <c r="INZ148" s="22"/>
      <c r="IOA148" s="22"/>
      <c r="IOB148" s="22"/>
      <c r="IOC148" s="22"/>
      <c r="IOD148" s="22"/>
      <c r="IOE148" s="22"/>
      <c r="IOF148" s="22"/>
      <c r="IOG148" s="22"/>
      <c r="IOH148" s="22"/>
      <c r="IOI148" s="22"/>
      <c r="IOJ148" s="22"/>
      <c r="IOK148" s="22"/>
      <c r="IOL148" s="22"/>
      <c r="IOM148" s="22"/>
      <c r="ION148" s="22"/>
      <c r="IOO148" s="22"/>
      <c r="IOP148" s="22"/>
      <c r="IOQ148" s="22"/>
      <c r="IOR148" s="22"/>
      <c r="IOS148" s="22"/>
      <c r="IOT148" s="22"/>
      <c r="IOU148" s="22"/>
      <c r="IOV148" s="22"/>
      <c r="IOW148" s="22"/>
      <c r="IOX148" s="22"/>
      <c r="IOY148" s="22"/>
      <c r="IOZ148" s="22"/>
      <c r="IPA148" s="22"/>
      <c r="IPB148" s="22"/>
      <c r="IPC148" s="22"/>
      <c r="IPD148" s="22"/>
      <c r="IPE148" s="22"/>
      <c r="IPF148" s="22"/>
      <c r="IPG148" s="22"/>
      <c r="IPH148" s="22"/>
      <c r="IPI148" s="22"/>
      <c r="IPJ148" s="22"/>
      <c r="IPK148" s="22"/>
      <c r="IPL148" s="22"/>
      <c r="IPM148" s="22"/>
      <c r="IPN148" s="22"/>
      <c r="IPO148" s="22"/>
      <c r="IPP148" s="22"/>
      <c r="IPQ148" s="22"/>
      <c r="IPR148" s="22"/>
      <c r="IPS148" s="22"/>
      <c r="IPT148" s="22"/>
      <c r="IPU148" s="22"/>
      <c r="IPV148" s="22"/>
      <c r="IPW148" s="22"/>
      <c r="IPX148" s="22"/>
      <c r="IPY148" s="22"/>
      <c r="IPZ148" s="22"/>
      <c r="IQA148" s="22"/>
      <c r="IQB148" s="22"/>
      <c r="IQC148" s="22"/>
      <c r="IQD148" s="22"/>
      <c r="IQE148" s="22"/>
      <c r="IQF148" s="22"/>
      <c r="IQG148" s="22"/>
      <c r="IQH148" s="22"/>
      <c r="IQI148" s="22"/>
      <c r="IQJ148" s="22"/>
      <c r="IQK148" s="22"/>
      <c r="IQL148" s="22"/>
      <c r="IQM148" s="22"/>
      <c r="IQN148" s="22"/>
      <c r="IQO148" s="22"/>
      <c r="IQP148" s="22"/>
      <c r="IQQ148" s="22"/>
      <c r="IQR148" s="22"/>
      <c r="IQS148" s="22"/>
      <c r="IQT148" s="22"/>
      <c r="IQU148" s="22"/>
      <c r="IQV148" s="22"/>
      <c r="IQW148" s="22"/>
      <c r="IQX148" s="22"/>
      <c r="IQY148" s="22"/>
      <c r="IQZ148" s="22"/>
      <c r="IRA148" s="22"/>
      <c r="IRB148" s="22"/>
      <c r="IRC148" s="22"/>
      <c r="IRD148" s="22"/>
      <c r="IRE148" s="22"/>
      <c r="IRF148" s="22"/>
      <c r="IRG148" s="22"/>
      <c r="IRH148" s="22"/>
      <c r="IRI148" s="22"/>
      <c r="IRJ148" s="22"/>
      <c r="IRK148" s="22"/>
      <c r="IRL148" s="22"/>
      <c r="IRM148" s="22"/>
      <c r="IRN148" s="22"/>
      <c r="IRO148" s="22"/>
      <c r="IRP148" s="22"/>
      <c r="IRQ148" s="22"/>
      <c r="IRR148" s="22"/>
      <c r="IRS148" s="22"/>
      <c r="IRT148" s="22"/>
      <c r="IRU148" s="22"/>
      <c r="IRV148" s="22"/>
      <c r="IRW148" s="22"/>
      <c r="IRX148" s="22"/>
      <c r="IRY148" s="22"/>
      <c r="IRZ148" s="22"/>
      <c r="ISA148" s="22"/>
      <c r="ISB148" s="22"/>
      <c r="ISC148" s="22"/>
      <c r="ISD148" s="22"/>
      <c r="ISE148" s="22"/>
      <c r="ISF148" s="22"/>
      <c r="ISG148" s="22"/>
      <c r="ISH148" s="22"/>
      <c r="ISI148" s="22"/>
      <c r="ISJ148" s="22"/>
      <c r="ISK148" s="22"/>
      <c r="ISL148" s="22"/>
      <c r="ISM148" s="22"/>
      <c r="ISN148" s="22"/>
      <c r="ISO148" s="22"/>
      <c r="ISP148" s="22"/>
      <c r="ISQ148" s="22"/>
      <c r="ISR148" s="22"/>
      <c r="ISS148" s="22"/>
      <c r="IST148" s="22"/>
      <c r="ISU148" s="22"/>
      <c r="ISV148" s="22"/>
      <c r="ISW148" s="22"/>
      <c r="ISX148" s="22"/>
      <c r="ISY148" s="22"/>
      <c r="ISZ148" s="22"/>
      <c r="ITA148" s="22"/>
      <c r="ITB148" s="22"/>
      <c r="ITC148" s="22"/>
      <c r="ITD148" s="22"/>
      <c r="ITE148" s="22"/>
      <c r="ITF148" s="22"/>
      <c r="ITG148" s="22"/>
      <c r="ITH148" s="22"/>
      <c r="ITI148" s="22"/>
      <c r="ITJ148" s="22"/>
      <c r="ITK148" s="22"/>
      <c r="ITL148" s="22"/>
      <c r="ITM148" s="22"/>
      <c r="ITN148" s="22"/>
      <c r="ITO148" s="22"/>
      <c r="ITP148" s="22"/>
      <c r="ITQ148" s="22"/>
      <c r="ITR148" s="22"/>
      <c r="ITS148" s="22"/>
      <c r="ITT148" s="22"/>
      <c r="ITU148" s="22"/>
      <c r="ITV148" s="22"/>
      <c r="ITW148" s="22"/>
      <c r="ITX148" s="22"/>
      <c r="ITY148" s="22"/>
      <c r="ITZ148" s="22"/>
      <c r="IUA148" s="22"/>
      <c r="IUB148" s="22"/>
      <c r="IUC148" s="22"/>
      <c r="IUD148" s="22"/>
      <c r="IUE148" s="22"/>
      <c r="IUF148" s="22"/>
      <c r="IUG148" s="22"/>
      <c r="IUH148" s="22"/>
      <c r="IUI148" s="22"/>
      <c r="IUJ148" s="22"/>
      <c r="IUK148" s="22"/>
      <c r="IUL148" s="22"/>
      <c r="IUM148" s="22"/>
      <c r="IUN148" s="22"/>
      <c r="IUO148" s="22"/>
      <c r="IUP148" s="22"/>
      <c r="IUQ148" s="22"/>
      <c r="IUR148" s="22"/>
      <c r="IUS148" s="22"/>
      <c r="IUT148" s="22"/>
      <c r="IUU148" s="22"/>
      <c r="IUV148" s="22"/>
      <c r="IUW148" s="22"/>
      <c r="IUX148" s="22"/>
      <c r="IUY148" s="22"/>
      <c r="IUZ148" s="22"/>
      <c r="IVA148" s="22"/>
      <c r="IVB148" s="22"/>
      <c r="IVC148" s="22"/>
      <c r="IVD148" s="22"/>
      <c r="IVE148" s="22"/>
      <c r="IVF148" s="22"/>
      <c r="IVG148" s="22"/>
      <c r="IVH148" s="22"/>
      <c r="IVI148" s="22"/>
      <c r="IVJ148" s="22"/>
      <c r="IVK148" s="22"/>
      <c r="IVL148" s="22"/>
      <c r="IVM148" s="22"/>
      <c r="IVN148" s="22"/>
      <c r="IVO148" s="22"/>
      <c r="IVP148" s="22"/>
      <c r="IVQ148" s="22"/>
      <c r="IVR148" s="22"/>
      <c r="IVS148" s="22"/>
      <c r="IVT148" s="22"/>
      <c r="IVU148" s="22"/>
      <c r="IVV148" s="22"/>
      <c r="IVW148" s="22"/>
      <c r="IVX148" s="22"/>
      <c r="IVY148" s="22"/>
      <c r="IVZ148" s="22"/>
      <c r="IWA148" s="22"/>
      <c r="IWB148" s="22"/>
      <c r="IWC148" s="22"/>
      <c r="IWD148" s="22"/>
      <c r="IWE148" s="22"/>
      <c r="IWF148" s="22"/>
      <c r="IWG148" s="22"/>
      <c r="IWH148" s="22"/>
      <c r="IWI148" s="22"/>
      <c r="IWJ148" s="22"/>
      <c r="IWK148" s="22"/>
      <c r="IWL148" s="22"/>
      <c r="IWM148" s="22"/>
      <c r="IWN148" s="22"/>
      <c r="IWO148" s="22"/>
      <c r="IWP148" s="22"/>
      <c r="IWQ148" s="22"/>
      <c r="IWR148" s="22"/>
      <c r="IWS148" s="22"/>
      <c r="IWT148" s="22"/>
      <c r="IWU148" s="22"/>
      <c r="IWV148" s="22"/>
      <c r="IWW148" s="22"/>
      <c r="IWX148" s="22"/>
      <c r="IWY148" s="22"/>
      <c r="IWZ148" s="22"/>
      <c r="IXA148" s="22"/>
      <c r="IXB148" s="22"/>
      <c r="IXC148" s="22"/>
      <c r="IXD148" s="22"/>
      <c r="IXE148" s="22"/>
      <c r="IXF148" s="22"/>
      <c r="IXG148" s="22"/>
      <c r="IXH148" s="22"/>
      <c r="IXI148" s="22"/>
      <c r="IXJ148" s="22"/>
      <c r="IXK148" s="22"/>
      <c r="IXL148" s="22"/>
      <c r="IXM148" s="22"/>
      <c r="IXN148" s="22"/>
      <c r="IXO148" s="22"/>
      <c r="IXP148" s="22"/>
      <c r="IXQ148" s="22"/>
      <c r="IXR148" s="22"/>
      <c r="IXS148" s="22"/>
      <c r="IXT148" s="22"/>
      <c r="IXU148" s="22"/>
      <c r="IXV148" s="22"/>
      <c r="IXW148" s="22"/>
      <c r="IXX148" s="22"/>
      <c r="IXY148" s="22"/>
      <c r="IXZ148" s="22"/>
      <c r="IYA148" s="22"/>
      <c r="IYB148" s="22"/>
      <c r="IYC148" s="22"/>
      <c r="IYD148" s="22"/>
      <c r="IYE148" s="22"/>
      <c r="IYF148" s="22"/>
      <c r="IYG148" s="22"/>
      <c r="IYH148" s="22"/>
      <c r="IYI148" s="22"/>
      <c r="IYJ148" s="22"/>
      <c r="IYK148" s="22"/>
      <c r="IYL148" s="22"/>
      <c r="IYM148" s="22"/>
      <c r="IYN148" s="22"/>
      <c r="IYO148" s="22"/>
      <c r="IYP148" s="22"/>
      <c r="IYQ148" s="22"/>
      <c r="IYR148" s="22"/>
      <c r="IYS148" s="22"/>
      <c r="IYT148" s="22"/>
      <c r="IYU148" s="22"/>
      <c r="IYV148" s="22"/>
      <c r="IYW148" s="22"/>
      <c r="IYX148" s="22"/>
      <c r="IYY148" s="22"/>
      <c r="IYZ148" s="22"/>
      <c r="IZA148" s="22"/>
      <c r="IZB148" s="22"/>
      <c r="IZC148" s="22"/>
      <c r="IZD148" s="22"/>
      <c r="IZE148" s="22"/>
      <c r="IZF148" s="22"/>
      <c r="IZG148" s="22"/>
      <c r="IZH148" s="22"/>
      <c r="IZI148" s="22"/>
      <c r="IZJ148" s="22"/>
      <c r="IZK148" s="22"/>
      <c r="IZL148" s="22"/>
      <c r="IZM148" s="22"/>
      <c r="IZN148" s="22"/>
      <c r="IZO148" s="22"/>
      <c r="IZP148" s="22"/>
      <c r="IZQ148" s="22"/>
      <c r="IZR148" s="22"/>
      <c r="IZS148" s="22"/>
      <c r="IZT148" s="22"/>
      <c r="IZU148" s="22"/>
      <c r="IZV148" s="22"/>
      <c r="IZW148" s="22"/>
      <c r="IZX148" s="22"/>
      <c r="IZY148" s="22"/>
      <c r="IZZ148" s="22"/>
      <c r="JAA148" s="22"/>
      <c r="JAB148" s="22"/>
      <c r="JAC148" s="22"/>
      <c r="JAD148" s="22"/>
      <c r="JAE148" s="22"/>
      <c r="JAF148" s="22"/>
      <c r="JAG148" s="22"/>
      <c r="JAH148" s="22"/>
      <c r="JAI148" s="22"/>
      <c r="JAJ148" s="22"/>
      <c r="JAK148" s="22"/>
      <c r="JAL148" s="22"/>
      <c r="JAM148" s="22"/>
      <c r="JAN148" s="22"/>
      <c r="JAO148" s="22"/>
      <c r="JAP148" s="22"/>
      <c r="JAQ148" s="22"/>
      <c r="JAR148" s="22"/>
      <c r="JAS148" s="22"/>
      <c r="JAT148" s="22"/>
      <c r="JAU148" s="22"/>
      <c r="JAV148" s="22"/>
      <c r="JAW148" s="22"/>
      <c r="JAX148" s="22"/>
      <c r="JAY148" s="22"/>
      <c r="JAZ148" s="22"/>
      <c r="JBA148" s="22"/>
      <c r="JBB148" s="22"/>
      <c r="JBC148" s="22"/>
      <c r="JBD148" s="22"/>
      <c r="JBE148" s="22"/>
      <c r="JBF148" s="22"/>
      <c r="JBG148" s="22"/>
      <c r="JBH148" s="22"/>
      <c r="JBI148" s="22"/>
      <c r="JBJ148" s="22"/>
      <c r="JBK148" s="22"/>
      <c r="JBL148" s="22"/>
      <c r="JBM148" s="22"/>
      <c r="JBN148" s="22"/>
      <c r="JBO148" s="22"/>
      <c r="JBP148" s="22"/>
      <c r="JBQ148" s="22"/>
      <c r="JBR148" s="22"/>
      <c r="JBS148" s="22"/>
      <c r="JBT148" s="22"/>
      <c r="JBU148" s="22"/>
      <c r="JBV148" s="22"/>
      <c r="JBW148" s="22"/>
      <c r="JBX148" s="22"/>
      <c r="JBY148" s="22"/>
      <c r="JBZ148" s="22"/>
      <c r="JCA148" s="22"/>
      <c r="JCB148" s="22"/>
      <c r="JCC148" s="22"/>
      <c r="JCD148" s="22"/>
      <c r="JCE148" s="22"/>
      <c r="JCF148" s="22"/>
      <c r="JCG148" s="22"/>
      <c r="JCH148" s="22"/>
      <c r="JCI148" s="22"/>
      <c r="JCJ148" s="22"/>
      <c r="JCK148" s="22"/>
      <c r="JCL148" s="22"/>
      <c r="JCM148" s="22"/>
      <c r="JCN148" s="22"/>
      <c r="JCO148" s="22"/>
      <c r="JCP148" s="22"/>
      <c r="JCQ148" s="22"/>
      <c r="JCR148" s="22"/>
      <c r="JCS148" s="22"/>
      <c r="JCT148" s="22"/>
      <c r="JCU148" s="22"/>
      <c r="JCV148" s="22"/>
      <c r="JCW148" s="22"/>
      <c r="JCX148" s="22"/>
      <c r="JCY148" s="22"/>
      <c r="JCZ148" s="22"/>
      <c r="JDA148" s="22"/>
      <c r="JDB148" s="22"/>
      <c r="JDC148" s="22"/>
      <c r="JDD148" s="22"/>
      <c r="JDE148" s="22"/>
      <c r="JDF148" s="22"/>
      <c r="JDG148" s="22"/>
      <c r="JDH148" s="22"/>
      <c r="JDI148" s="22"/>
      <c r="JDJ148" s="22"/>
      <c r="JDK148" s="22"/>
      <c r="JDL148" s="22"/>
      <c r="JDM148" s="22"/>
      <c r="JDN148" s="22"/>
      <c r="JDO148" s="22"/>
      <c r="JDP148" s="22"/>
      <c r="JDQ148" s="22"/>
      <c r="JDR148" s="22"/>
      <c r="JDS148" s="22"/>
      <c r="JDT148" s="22"/>
      <c r="JDU148" s="22"/>
      <c r="JDV148" s="22"/>
      <c r="JDW148" s="22"/>
      <c r="JDX148" s="22"/>
      <c r="JDY148" s="22"/>
      <c r="JDZ148" s="22"/>
      <c r="JEA148" s="22"/>
      <c r="JEB148" s="22"/>
      <c r="JEC148" s="22"/>
      <c r="JED148" s="22"/>
      <c r="JEE148" s="22"/>
      <c r="JEF148" s="22"/>
      <c r="JEG148" s="22"/>
      <c r="JEH148" s="22"/>
      <c r="JEI148" s="22"/>
      <c r="JEJ148" s="22"/>
      <c r="JEK148" s="22"/>
      <c r="JEL148" s="22"/>
      <c r="JEM148" s="22"/>
      <c r="JEN148" s="22"/>
      <c r="JEO148" s="22"/>
      <c r="JEP148" s="22"/>
      <c r="JEQ148" s="22"/>
      <c r="JER148" s="22"/>
      <c r="JES148" s="22"/>
      <c r="JET148" s="22"/>
      <c r="JEU148" s="22"/>
      <c r="JEV148" s="22"/>
      <c r="JEW148" s="22"/>
      <c r="JEX148" s="22"/>
      <c r="JEY148" s="22"/>
      <c r="JEZ148" s="22"/>
      <c r="JFA148" s="22"/>
      <c r="JFB148" s="22"/>
      <c r="JFC148" s="22"/>
      <c r="JFD148" s="22"/>
      <c r="JFE148" s="22"/>
      <c r="JFF148" s="22"/>
      <c r="JFG148" s="22"/>
      <c r="JFH148" s="22"/>
      <c r="JFI148" s="22"/>
      <c r="JFJ148" s="22"/>
      <c r="JFK148" s="22"/>
      <c r="JFL148" s="22"/>
      <c r="JFM148" s="22"/>
      <c r="JFN148" s="22"/>
      <c r="JFO148" s="22"/>
      <c r="JFP148" s="22"/>
      <c r="JFQ148" s="22"/>
      <c r="JFR148" s="22"/>
      <c r="JFS148" s="22"/>
      <c r="JFT148" s="22"/>
      <c r="JFU148" s="22"/>
      <c r="JFV148" s="22"/>
      <c r="JFW148" s="22"/>
      <c r="JFX148" s="22"/>
      <c r="JFY148" s="22"/>
      <c r="JFZ148" s="22"/>
      <c r="JGA148" s="22"/>
      <c r="JGB148" s="22"/>
      <c r="JGC148" s="22"/>
      <c r="JGD148" s="22"/>
      <c r="JGE148" s="22"/>
      <c r="JGF148" s="22"/>
      <c r="JGG148" s="22"/>
      <c r="JGH148" s="22"/>
      <c r="JGI148" s="22"/>
      <c r="JGJ148" s="22"/>
      <c r="JGK148" s="22"/>
      <c r="JGL148" s="22"/>
      <c r="JGM148" s="22"/>
      <c r="JGN148" s="22"/>
      <c r="JGO148" s="22"/>
      <c r="JGP148" s="22"/>
      <c r="JGQ148" s="22"/>
      <c r="JGR148" s="22"/>
      <c r="JGS148" s="22"/>
      <c r="JGT148" s="22"/>
      <c r="JGU148" s="22"/>
      <c r="JGV148" s="22"/>
      <c r="JGW148" s="22"/>
      <c r="JGX148" s="22"/>
      <c r="JGY148" s="22"/>
      <c r="JGZ148" s="22"/>
      <c r="JHA148" s="22"/>
      <c r="JHB148" s="22"/>
      <c r="JHC148" s="22"/>
      <c r="JHD148" s="22"/>
      <c r="JHE148" s="22"/>
      <c r="JHF148" s="22"/>
      <c r="JHG148" s="22"/>
      <c r="JHH148" s="22"/>
      <c r="JHI148" s="22"/>
      <c r="JHJ148" s="22"/>
      <c r="JHK148" s="22"/>
      <c r="JHL148" s="22"/>
      <c r="JHM148" s="22"/>
      <c r="JHN148" s="22"/>
      <c r="JHO148" s="22"/>
      <c r="JHP148" s="22"/>
      <c r="JHQ148" s="22"/>
      <c r="JHR148" s="22"/>
      <c r="JHS148" s="22"/>
      <c r="JHT148" s="22"/>
      <c r="JHU148" s="22"/>
      <c r="JHV148" s="22"/>
      <c r="JHW148" s="22"/>
      <c r="JHX148" s="22"/>
      <c r="JHY148" s="22"/>
      <c r="JHZ148" s="22"/>
      <c r="JIA148" s="22"/>
      <c r="JIB148" s="22"/>
      <c r="JIC148" s="22"/>
      <c r="JID148" s="22"/>
      <c r="JIE148" s="22"/>
      <c r="JIF148" s="22"/>
      <c r="JIG148" s="22"/>
      <c r="JIH148" s="22"/>
      <c r="JII148" s="22"/>
      <c r="JIJ148" s="22"/>
      <c r="JIK148" s="22"/>
      <c r="JIL148" s="22"/>
      <c r="JIM148" s="22"/>
      <c r="JIN148" s="22"/>
      <c r="JIO148" s="22"/>
      <c r="JIP148" s="22"/>
      <c r="JIQ148" s="22"/>
      <c r="JIR148" s="22"/>
      <c r="JIS148" s="22"/>
      <c r="JIT148" s="22"/>
      <c r="JIU148" s="22"/>
      <c r="JIV148" s="22"/>
      <c r="JIW148" s="22"/>
      <c r="JIX148" s="22"/>
      <c r="JIY148" s="22"/>
      <c r="JIZ148" s="22"/>
      <c r="JJA148" s="22"/>
      <c r="JJB148" s="22"/>
      <c r="JJC148" s="22"/>
      <c r="JJD148" s="22"/>
      <c r="JJE148" s="22"/>
      <c r="JJF148" s="22"/>
      <c r="JJG148" s="22"/>
      <c r="JJH148" s="22"/>
      <c r="JJI148" s="22"/>
      <c r="JJJ148" s="22"/>
      <c r="JJK148" s="22"/>
      <c r="JJL148" s="22"/>
      <c r="JJM148" s="22"/>
      <c r="JJN148" s="22"/>
      <c r="JJO148" s="22"/>
      <c r="JJP148" s="22"/>
      <c r="JJQ148" s="22"/>
      <c r="JJR148" s="22"/>
      <c r="JJS148" s="22"/>
      <c r="JJT148" s="22"/>
      <c r="JJU148" s="22"/>
      <c r="JJV148" s="22"/>
      <c r="JJW148" s="22"/>
      <c r="JJX148" s="22"/>
      <c r="JJY148" s="22"/>
      <c r="JJZ148" s="22"/>
      <c r="JKA148" s="22"/>
      <c r="JKB148" s="22"/>
      <c r="JKC148" s="22"/>
      <c r="JKD148" s="22"/>
      <c r="JKE148" s="22"/>
      <c r="JKF148" s="22"/>
      <c r="JKG148" s="22"/>
      <c r="JKH148" s="22"/>
      <c r="JKI148" s="22"/>
      <c r="JKJ148" s="22"/>
      <c r="JKK148" s="22"/>
      <c r="JKL148" s="22"/>
      <c r="JKM148" s="22"/>
      <c r="JKN148" s="22"/>
      <c r="JKO148" s="22"/>
      <c r="JKP148" s="22"/>
      <c r="JKQ148" s="22"/>
      <c r="JKR148" s="22"/>
      <c r="JKS148" s="22"/>
      <c r="JKT148" s="22"/>
      <c r="JKU148" s="22"/>
      <c r="JKV148" s="22"/>
      <c r="JKW148" s="22"/>
      <c r="JKX148" s="22"/>
      <c r="JKY148" s="22"/>
      <c r="JKZ148" s="22"/>
      <c r="JLA148" s="22"/>
      <c r="JLB148" s="22"/>
      <c r="JLC148" s="22"/>
      <c r="JLD148" s="22"/>
      <c r="JLE148" s="22"/>
      <c r="JLF148" s="22"/>
      <c r="JLG148" s="22"/>
      <c r="JLH148" s="22"/>
      <c r="JLI148" s="22"/>
      <c r="JLJ148" s="22"/>
      <c r="JLK148" s="22"/>
      <c r="JLL148" s="22"/>
      <c r="JLM148" s="22"/>
      <c r="JLN148" s="22"/>
      <c r="JLO148" s="22"/>
      <c r="JLP148" s="22"/>
      <c r="JLQ148" s="22"/>
      <c r="JLR148" s="22"/>
      <c r="JLS148" s="22"/>
      <c r="JLT148" s="22"/>
      <c r="JLU148" s="22"/>
      <c r="JLV148" s="22"/>
      <c r="JLW148" s="22"/>
      <c r="JLX148" s="22"/>
      <c r="JLY148" s="22"/>
      <c r="JLZ148" s="22"/>
      <c r="JMA148" s="22"/>
      <c r="JMB148" s="22"/>
      <c r="JMC148" s="22"/>
      <c r="JMD148" s="22"/>
      <c r="JME148" s="22"/>
      <c r="JMF148" s="22"/>
      <c r="JMG148" s="22"/>
      <c r="JMH148" s="22"/>
      <c r="JMI148" s="22"/>
      <c r="JMJ148" s="22"/>
      <c r="JMK148" s="22"/>
      <c r="JML148" s="22"/>
      <c r="JMM148" s="22"/>
      <c r="JMN148" s="22"/>
      <c r="JMO148" s="22"/>
      <c r="JMP148" s="22"/>
      <c r="JMQ148" s="22"/>
      <c r="JMR148" s="22"/>
      <c r="JMS148" s="22"/>
      <c r="JMT148" s="22"/>
      <c r="JMU148" s="22"/>
      <c r="JMV148" s="22"/>
      <c r="JMW148" s="22"/>
      <c r="JMX148" s="22"/>
      <c r="JMY148" s="22"/>
      <c r="JMZ148" s="22"/>
      <c r="JNA148" s="22"/>
      <c r="JNB148" s="22"/>
      <c r="JNC148" s="22"/>
      <c r="JND148" s="22"/>
      <c r="JNE148" s="22"/>
      <c r="JNF148" s="22"/>
      <c r="JNG148" s="22"/>
      <c r="JNH148" s="22"/>
      <c r="JNI148" s="22"/>
      <c r="JNJ148" s="22"/>
      <c r="JNK148" s="22"/>
      <c r="JNL148" s="22"/>
      <c r="JNM148" s="22"/>
      <c r="JNN148" s="22"/>
      <c r="JNO148" s="22"/>
      <c r="JNP148" s="22"/>
      <c r="JNQ148" s="22"/>
      <c r="JNR148" s="22"/>
      <c r="JNS148" s="22"/>
      <c r="JNT148" s="22"/>
      <c r="JNU148" s="22"/>
      <c r="JNV148" s="22"/>
      <c r="JNW148" s="22"/>
      <c r="JNX148" s="22"/>
      <c r="JNY148" s="22"/>
      <c r="JNZ148" s="22"/>
      <c r="JOA148" s="22"/>
      <c r="JOB148" s="22"/>
      <c r="JOC148" s="22"/>
      <c r="JOD148" s="22"/>
      <c r="JOE148" s="22"/>
      <c r="JOF148" s="22"/>
      <c r="JOG148" s="22"/>
      <c r="JOH148" s="22"/>
      <c r="JOI148" s="22"/>
      <c r="JOJ148" s="22"/>
      <c r="JOK148" s="22"/>
      <c r="JOL148" s="22"/>
      <c r="JOM148" s="22"/>
      <c r="JON148" s="22"/>
      <c r="JOO148" s="22"/>
      <c r="JOP148" s="22"/>
      <c r="JOQ148" s="22"/>
      <c r="JOR148" s="22"/>
      <c r="JOS148" s="22"/>
      <c r="JOT148" s="22"/>
      <c r="JOU148" s="22"/>
      <c r="JOV148" s="22"/>
      <c r="JOW148" s="22"/>
      <c r="JOX148" s="22"/>
      <c r="JOY148" s="22"/>
      <c r="JOZ148" s="22"/>
      <c r="JPA148" s="22"/>
      <c r="JPB148" s="22"/>
      <c r="JPC148" s="22"/>
      <c r="JPD148" s="22"/>
      <c r="JPE148" s="22"/>
      <c r="JPF148" s="22"/>
      <c r="JPG148" s="22"/>
      <c r="JPH148" s="22"/>
      <c r="JPI148" s="22"/>
      <c r="JPJ148" s="22"/>
      <c r="JPK148" s="22"/>
      <c r="JPL148" s="22"/>
      <c r="JPM148" s="22"/>
      <c r="JPN148" s="22"/>
      <c r="JPO148" s="22"/>
      <c r="JPP148" s="22"/>
      <c r="JPQ148" s="22"/>
      <c r="JPR148" s="22"/>
      <c r="JPS148" s="22"/>
      <c r="JPT148" s="22"/>
      <c r="JPU148" s="22"/>
      <c r="JPV148" s="22"/>
      <c r="JPW148" s="22"/>
      <c r="JPX148" s="22"/>
      <c r="JPY148" s="22"/>
      <c r="JPZ148" s="22"/>
      <c r="JQA148" s="22"/>
      <c r="JQB148" s="22"/>
      <c r="JQC148" s="22"/>
      <c r="JQD148" s="22"/>
      <c r="JQE148" s="22"/>
      <c r="JQF148" s="22"/>
      <c r="JQG148" s="22"/>
      <c r="JQH148" s="22"/>
      <c r="JQI148" s="22"/>
      <c r="JQJ148" s="22"/>
      <c r="JQK148" s="22"/>
      <c r="JQL148" s="22"/>
      <c r="JQM148" s="22"/>
      <c r="JQN148" s="22"/>
      <c r="JQO148" s="22"/>
      <c r="JQP148" s="22"/>
      <c r="JQQ148" s="22"/>
      <c r="JQR148" s="22"/>
      <c r="JQS148" s="22"/>
      <c r="JQT148" s="22"/>
      <c r="JQU148" s="22"/>
      <c r="JQV148" s="22"/>
      <c r="JQW148" s="22"/>
      <c r="JQX148" s="22"/>
      <c r="JQY148" s="22"/>
      <c r="JQZ148" s="22"/>
      <c r="JRA148" s="22"/>
      <c r="JRB148" s="22"/>
      <c r="JRC148" s="22"/>
      <c r="JRD148" s="22"/>
      <c r="JRE148" s="22"/>
      <c r="JRF148" s="22"/>
      <c r="JRG148" s="22"/>
      <c r="JRH148" s="22"/>
      <c r="JRI148" s="22"/>
      <c r="JRJ148" s="22"/>
      <c r="JRK148" s="22"/>
      <c r="JRL148" s="22"/>
      <c r="JRM148" s="22"/>
      <c r="JRN148" s="22"/>
      <c r="JRO148" s="22"/>
      <c r="JRP148" s="22"/>
      <c r="JRQ148" s="22"/>
      <c r="JRR148" s="22"/>
      <c r="JRS148" s="22"/>
      <c r="JRT148" s="22"/>
      <c r="JRU148" s="22"/>
      <c r="JRV148" s="22"/>
      <c r="JRW148" s="22"/>
      <c r="JRX148" s="22"/>
      <c r="JRY148" s="22"/>
      <c r="JRZ148" s="22"/>
      <c r="JSA148" s="22"/>
      <c r="JSB148" s="22"/>
      <c r="JSC148" s="22"/>
      <c r="JSD148" s="22"/>
      <c r="JSE148" s="22"/>
      <c r="JSF148" s="22"/>
      <c r="JSG148" s="22"/>
      <c r="JSH148" s="22"/>
      <c r="JSI148" s="22"/>
      <c r="JSJ148" s="22"/>
      <c r="JSK148" s="22"/>
      <c r="JSL148" s="22"/>
      <c r="JSM148" s="22"/>
      <c r="JSN148" s="22"/>
      <c r="JSO148" s="22"/>
      <c r="JSP148" s="22"/>
      <c r="JSQ148" s="22"/>
      <c r="JSR148" s="22"/>
      <c r="JSS148" s="22"/>
      <c r="JST148" s="22"/>
      <c r="JSU148" s="22"/>
      <c r="JSV148" s="22"/>
      <c r="JSW148" s="22"/>
      <c r="JSX148" s="22"/>
      <c r="JSY148" s="22"/>
      <c r="JSZ148" s="22"/>
      <c r="JTA148" s="22"/>
      <c r="JTB148" s="22"/>
      <c r="JTC148" s="22"/>
      <c r="JTD148" s="22"/>
      <c r="JTE148" s="22"/>
      <c r="JTF148" s="22"/>
      <c r="JTG148" s="22"/>
      <c r="JTH148" s="22"/>
      <c r="JTI148" s="22"/>
      <c r="JTJ148" s="22"/>
      <c r="JTK148" s="22"/>
      <c r="JTL148" s="22"/>
      <c r="JTM148" s="22"/>
      <c r="JTN148" s="22"/>
      <c r="JTO148" s="22"/>
      <c r="JTP148" s="22"/>
      <c r="JTQ148" s="22"/>
      <c r="JTR148" s="22"/>
      <c r="JTS148" s="22"/>
      <c r="JTT148" s="22"/>
      <c r="JTU148" s="22"/>
      <c r="JTV148" s="22"/>
      <c r="JTW148" s="22"/>
      <c r="JTX148" s="22"/>
      <c r="JTY148" s="22"/>
      <c r="JTZ148" s="22"/>
      <c r="JUA148" s="22"/>
      <c r="JUB148" s="22"/>
      <c r="JUC148" s="22"/>
      <c r="JUD148" s="22"/>
      <c r="JUE148" s="22"/>
      <c r="JUF148" s="22"/>
      <c r="JUG148" s="22"/>
      <c r="JUH148" s="22"/>
      <c r="JUI148" s="22"/>
      <c r="JUJ148" s="22"/>
      <c r="JUK148" s="22"/>
      <c r="JUL148" s="22"/>
      <c r="JUM148" s="22"/>
      <c r="JUN148" s="22"/>
      <c r="JUO148" s="22"/>
      <c r="JUP148" s="22"/>
      <c r="JUQ148" s="22"/>
      <c r="JUR148" s="22"/>
      <c r="JUS148" s="22"/>
      <c r="JUT148" s="22"/>
      <c r="JUU148" s="22"/>
      <c r="JUV148" s="22"/>
      <c r="JUW148" s="22"/>
      <c r="JUX148" s="22"/>
      <c r="JUY148" s="22"/>
      <c r="JUZ148" s="22"/>
      <c r="JVA148" s="22"/>
      <c r="JVB148" s="22"/>
      <c r="JVC148" s="22"/>
      <c r="JVD148" s="22"/>
      <c r="JVE148" s="22"/>
      <c r="JVF148" s="22"/>
      <c r="JVG148" s="22"/>
      <c r="JVH148" s="22"/>
      <c r="JVI148" s="22"/>
      <c r="JVJ148" s="22"/>
      <c r="JVK148" s="22"/>
      <c r="JVL148" s="22"/>
      <c r="JVM148" s="22"/>
      <c r="JVN148" s="22"/>
      <c r="JVO148" s="22"/>
      <c r="JVP148" s="22"/>
      <c r="JVQ148" s="22"/>
      <c r="JVR148" s="22"/>
      <c r="JVS148" s="22"/>
      <c r="JVT148" s="22"/>
      <c r="JVU148" s="22"/>
      <c r="JVV148" s="22"/>
      <c r="JVW148" s="22"/>
      <c r="JVX148" s="22"/>
      <c r="JVY148" s="22"/>
      <c r="JVZ148" s="22"/>
      <c r="JWA148" s="22"/>
      <c r="JWB148" s="22"/>
      <c r="JWC148" s="22"/>
      <c r="JWD148" s="22"/>
      <c r="JWE148" s="22"/>
      <c r="JWF148" s="22"/>
      <c r="JWG148" s="22"/>
      <c r="JWH148" s="22"/>
      <c r="JWI148" s="22"/>
      <c r="JWJ148" s="22"/>
      <c r="JWK148" s="22"/>
      <c r="JWL148" s="22"/>
      <c r="JWM148" s="22"/>
      <c r="JWN148" s="22"/>
      <c r="JWO148" s="22"/>
      <c r="JWP148" s="22"/>
      <c r="JWQ148" s="22"/>
      <c r="JWR148" s="22"/>
      <c r="JWS148" s="22"/>
      <c r="JWT148" s="22"/>
      <c r="JWU148" s="22"/>
      <c r="JWV148" s="22"/>
      <c r="JWW148" s="22"/>
      <c r="JWX148" s="22"/>
      <c r="JWY148" s="22"/>
      <c r="JWZ148" s="22"/>
      <c r="JXA148" s="22"/>
      <c r="JXB148" s="22"/>
      <c r="JXC148" s="22"/>
      <c r="JXD148" s="22"/>
      <c r="JXE148" s="22"/>
      <c r="JXF148" s="22"/>
      <c r="JXG148" s="22"/>
      <c r="JXH148" s="22"/>
      <c r="JXI148" s="22"/>
      <c r="JXJ148" s="22"/>
      <c r="JXK148" s="22"/>
      <c r="JXL148" s="22"/>
      <c r="JXM148" s="22"/>
      <c r="JXN148" s="22"/>
      <c r="JXO148" s="22"/>
      <c r="JXP148" s="22"/>
      <c r="JXQ148" s="22"/>
      <c r="JXR148" s="22"/>
      <c r="JXS148" s="22"/>
      <c r="JXT148" s="22"/>
      <c r="JXU148" s="22"/>
      <c r="JXV148" s="22"/>
      <c r="JXW148" s="22"/>
      <c r="JXX148" s="22"/>
      <c r="JXY148" s="22"/>
      <c r="JXZ148" s="22"/>
      <c r="JYA148" s="22"/>
      <c r="JYB148" s="22"/>
      <c r="JYC148" s="22"/>
      <c r="JYD148" s="22"/>
      <c r="JYE148" s="22"/>
      <c r="JYF148" s="22"/>
      <c r="JYG148" s="22"/>
      <c r="JYH148" s="22"/>
      <c r="JYI148" s="22"/>
      <c r="JYJ148" s="22"/>
      <c r="JYK148" s="22"/>
      <c r="JYL148" s="22"/>
      <c r="JYM148" s="22"/>
      <c r="JYN148" s="22"/>
      <c r="JYO148" s="22"/>
      <c r="JYP148" s="22"/>
      <c r="JYQ148" s="22"/>
      <c r="JYR148" s="22"/>
      <c r="JYS148" s="22"/>
      <c r="JYT148" s="22"/>
      <c r="JYU148" s="22"/>
      <c r="JYV148" s="22"/>
      <c r="JYW148" s="22"/>
      <c r="JYX148" s="22"/>
      <c r="JYY148" s="22"/>
      <c r="JYZ148" s="22"/>
      <c r="JZA148" s="22"/>
      <c r="JZB148" s="22"/>
      <c r="JZC148" s="22"/>
      <c r="JZD148" s="22"/>
      <c r="JZE148" s="22"/>
      <c r="JZF148" s="22"/>
      <c r="JZG148" s="22"/>
      <c r="JZH148" s="22"/>
      <c r="JZI148" s="22"/>
      <c r="JZJ148" s="22"/>
      <c r="JZK148" s="22"/>
      <c r="JZL148" s="22"/>
      <c r="JZM148" s="22"/>
      <c r="JZN148" s="22"/>
      <c r="JZO148" s="22"/>
      <c r="JZP148" s="22"/>
      <c r="JZQ148" s="22"/>
      <c r="JZR148" s="22"/>
      <c r="JZS148" s="22"/>
      <c r="JZT148" s="22"/>
      <c r="JZU148" s="22"/>
      <c r="JZV148" s="22"/>
      <c r="JZW148" s="22"/>
      <c r="JZX148" s="22"/>
      <c r="JZY148" s="22"/>
      <c r="JZZ148" s="22"/>
      <c r="KAA148" s="22"/>
      <c r="KAB148" s="22"/>
      <c r="KAC148" s="22"/>
      <c r="KAD148" s="22"/>
      <c r="KAE148" s="22"/>
      <c r="KAF148" s="22"/>
      <c r="KAG148" s="22"/>
      <c r="KAH148" s="22"/>
      <c r="KAI148" s="22"/>
      <c r="KAJ148" s="22"/>
      <c r="KAK148" s="22"/>
      <c r="KAL148" s="22"/>
      <c r="KAM148" s="22"/>
      <c r="KAN148" s="22"/>
      <c r="KAO148" s="22"/>
      <c r="KAP148" s="22"/>
      <c r="KAQ148" s="22"/>
      <c r="KAR148" s="22"/>
      <c r="KAS148" s="22"/>
      <c r="KAT148" s="22"/>
      <c r="KAU148" s="22"/>
      <c r="KAV148" s="22"/>
      <c r="KAW148" s="22"/>
      <c r="KAX148" s="22"/>
      <c r="KAY148" s="22"/>
      <c r="KAZ148" s="22"/>
      <c r="KBA148" s="22"/>
      <c r="KBB148" s="22"/>
      <c r="KBC148" s="22"/>
      <c r="KBD148" s="22"/>
      <c r="KBE148" s="22"/>
      <c r="KBF148" s="22"/>
      <c r="KBG148" s="22"/>
      <c r="KBH148" s="22"/>
      <c r="KBI148" s="22"/>
      <c r="KBJ148" s="22"/>
      <c r="KBK148" s="22"/>
      <c r="KBL148" s="22"/>
      <c r="KBM148" s="22"/>
      <c r="KBN148" s="22"/>
      <c r="KBO148" s="22"/>
      <c r="KBP148" s="22"/>
      <c r="KBQ148" s="22"/>
      <c r="KBR148" s="22"/>
      <c r="KBS148" s="22"/>
      <c r="KBT148" s="22"/>
      <c r="KBU148" s="22"/>
      <c r="KBV148" s="22"/>
      <c r="KBW148" s="22"/>
      <c r="KBX148" s="22"/>
      <c r="KBY148" s="22"/>
      <c r="KBZ148" s="22"/>
      <c r="KCA148" s="22"/>
      <c r="KCB148" s="22"/>
      <c r="KCC148" s="22"/>
      <c r="KCD148" s="22"/>
      <c r="KCE148" s="22"/>
      <c r="KCF148" s="22"/>
      <c r="KCG148" s="22"/>
      <c r="KCH148" s="22"/>
      <c r="KCI148" s="22"/>
      <c r="KCJ148" s="22"/>
      <c r="KCK148" s="22"/>
      <c r="KCL148" s="22"/>
      <c r="KCM148" s="22"/>
      <c r="KCN148" s="22"/>
      <c r="KCO148" s="22"/>
      <c r="KCP148" s="22"/>
      <c r="KCQ148" s="22"/>
      <c r="KCR148" s="22"/>
      <c r="KCS148" s="22"/>
      <c r="KCT148" s="22"/>
      <c r="KCU148" s="22"/>
      <c r="KCV148" s="22"/>
      <c r="KCW148" s="22"/>
      <c r="KCX148" s="22"/>
      <c r="KCY148" s="22"/>
      <c r="KCZ148" s="22"/>
      <c r="KDA148" s="22"/>
      <c r="KDB148" s="22"/>
      <c r="KDC148" s="22"/>
      <c r="KDD148" s="22"/>
      <c r="KDE148" s="22"/>
      <c r="KDF148" s="22"/>
      <c r="KDG148" s="22"/>
      <c r="KDH148" s="22"/>
      <c r="KDI148" s="22"/>
      <c r="KDJ148" s="22"/>
      <c r="KDK148" s="22"/>
      <c r="KDL148" s="22"/>
      <c r="KDM148" s="22"/>
      <c r="KDN148" s="22"/>
      <c r="KDO148" s="22"/>
      <c r="KDP148" s="22"/>
      <c r="KDQ148" s="22"/>
      <c r="KDR148" s="22"/>
      <c r="KDS148" s="22"/>
      <c r="KDT148" s="22"/>
      <c r="KDU148" s="22"/>
      <c r="KDV148" s="22"/>
      <c r="KDW148" s="22"/>
      <c r="KDX148" s="22"/>
      <c r="KDY148" s="22"/>
      <c r="KDZ148" s="22"/>
      <c r="KEA148" s="22"/>
      <c r="KEB148" s="22"/>
      <c r="KEC148" s="22"/>
      <c r="KED148" s="22"/>
      <c r="KEE148" s="22"/>
      <c r="KEF148" s="22"/>
      <c r="KEG148" s="22"/>
      <c r="KEH148" s="22"/>
      <c r="KEI148" s="22"/>
      <c r="KEJ148" s="22"/>
      <c r="KEK148" s="22"/>
      <c r="KEL148" s="22"/>
      <c r="KEM148" s="22"/>
      <c r="KEN148" s="22"/>
      <c r="KEO148" s="22"/>
      <c r="KEP148" s="22"/>
      <c r="KEQ148" s="22"/>
      <c r="KER148" s="22"/>
      <c r="KES148" s="22"/>
      <c r="KET148" s="22"/>
      <c r="KEU148" s="22"/>
      <c r="KEV148" s="22"/>
      <c r="KEW148" s="22"/>
      <c r="KEX148" s="22"/>
      <c r="KEY148" s="22"/>
      <c r="KEZ148" s="22"/>
      <c r="KFA148" s="22"/>
      <c r="KFB148" s="22"/>
      <c r="KFC148" s="22"/>
      <c r="KFD148" s="22"/>
      <c r="KFE148" s="22"/>
      <c r="KFF148" s="22"/>
      <c r="KFG148" s="22"/>
      <c r="KFH148" s="22"/>
      <c r="KFI148" s="22"/>
      <c r="KFJ148" s="22"/>
      <c r="KFK148" s="22"/>
      <c r="KFL148" s="22"/>
      <c r="KFM148" s="22"/>
      <c r="KFN148" s="22"/>
      <c r="KFO148" s="22"/>
      <c r="KFP148" s="22"/>
      <c r="KFQ148" s="22"/>
      <c r="KFR148" s="22"/>
      <c r="KFS148" s="22"/>
      <c r="KFT148" s="22"/>
      <c r="KFU148" s="22"/>
      <c r="KFV148" s="22"/>
      <c r="KFW148" s="22"/>
      <c r="KFX148" s="22"/>
      <c r="KFY148" s="22"/>
      <c r="KFZ148" s="22"/>
      <c r="KGA148" s="22"/>
      <c r="KGB148" s="22"/>
      <c r="KGC148" s="22"/>
      <c r="KGD148" s="22"/>
      <c r="KGE148" s="22"/>
      <c r="KGF148" s="22"/>
      <c r="KGG148" s="22"/>
      <c r="KGH148" s="22"/>
      <c r="KGI148" s="22"/>
      <c r="KGJ148" s="22"/>
      <c r="KGK148" s="22"/>
      <c r="KGL148" s="22"/>
      <c r="KGM148" s="22"/>
      <c r="KGN148" s="22"/>
      <c r="KGO148" s="22"/>
      <c r="KGP148" s="22"/>
      <c r="KGQ148" s="22"/>
      <c r="KGR148" s="22"/>
      <c r="KGS148" s="22"/>
      <c r="KGT148" s="22"/>
      <c r="KGU148" s="22"/>
      <c r="KGV148" s="22"/>
      <c r="KGW148" s="22"/>
      <c r="KGX148" s="22"/>
      <c r="KGY148" s="22"/>
      <c r="KGZ148" s="22"/>
      <c r="KHA148" s="22"/>
      <c r="KHB148" s="22"/>
      <c r="KHC148" s="22"/>
      <c r="KHD148" s="22"/>
      <c r="KHE148" s="22"/>
      <c r="KHF148" s="22"/>
      <c r="KHG148" s="22"/>
      <c r="KHH148" s="22"/>
      <c r="KHI148" s="22"/>
      <c r="KHJ148" s="22"/>
      <c r="KHK148" s="22"/>
      <c r="KHL148" s="22"/>
      <c r="KHM148" s="22"/>
      <c r="KHN148" s="22"/>
      <c r="KHO148" s="22"/>
      <c r="KHP148" s="22"/>
      <c r="KHQ148" s="22"/>
      <c r="KHR148" s="22"/>
      <c r="KHS148" s="22"/>
      <c r="KHT148" s="22"/>
      <c r="KHU148" s="22"/>
      <c r="KHV148" s="22"/>
      <c r="KHW148" s="22"/>
      <c r="KHX148" s="22"/>
      <c r="KHY148" s="22"/>
      <c r="KHZ148" s="22"/>
      <c r="KIA148" s="22"/>
      <c r="KIB148" s="22"/>
      <c r="KIC148" s="22"/>
      <c r="KID148" s="22"/>
      <c r="KIE148" s="22"/>
      <c r="KIF148" s="22"/>
      <c r="KIG148" s="22"/>
      <c r="KIH148" s="22"/>
      <c r="KII148" s="22"/>
      <c r="KIJ148" s="22"/>
      <c r="KIK148" s="22"/>
      <c r="KIL148" s="22"/>
      <c r="KIM148" s="22"/>
      <c r="KIN148" s="22"/>
      <c r="KIO148" s="22"/>
      <c r="KIP148" s="22"/>
      <c r="KIQ148" s="22"/>
      <c r="KIR148" s="22"/>
      <c r="KIS148" s="22"/>
      <c r="KIT148" s="22"/>
      <c r="KIU148" s="22"/>
      <c r="KIV148" s="22"/>
      <c r="KIW148" s="22"/>
      <c r="KIX148" s="22"/>
      <c r="KIY148" s="22"/>
      <c r="KIZ148" s="22"/>
      <c r="KJA148" s="22"/>
      <c r="KJB148" s="22"/>
      <c r="KJC148" s="22"/>
      <c r="KJD148" s="22"/>
      <c r="KJE148" s="22"/>
      <c r="KJF148" s="22"/>
      <c r="KJG148" s="22"/>
      <c r="KJH148" s="22"/>
      <c r="KJI148" s="22"/>
      <c r="KJJ148" s="22"/>
      <c r="KJK148" s="22"/>
      <c r="KJL148" s="22"/>
      <c r="KJM148" s="22"/>
      <c r="KJN148" s="22"/>
      <c r="KJO148" s="22"/>
      <c r="KJP148" s="22"/>
      <c r="KJQ148" s="22"/>
      <c r="KJR148" s="22"/>
      <c r="KJS148" s="22"/>
      <c r="KJT148" s="22"/>
      <c r="KJU148" s="22"/>
      <c r="KJV148" s="22"/>
      <c r="KJW148" s="22"/>
      <c r="KJX148" s="22"/>
      <c r="KJY148" s="22"/>
      <c r="KJZ148" s="22"/>
      <c r="KKA148" s="22"/>
      <c r="KKB148" s="22"/>
      <c r="KKC148" s="22"/>
      <c r="KKD148" s="22"/>
      <c r="KKE148" s="22"/>
      <c r="KKF148" s="22"/>
      <c r="KKG148" s="22"/>
      <c r="KKH148" s="22"/>
      <c r="KKI148" s="22"/>
      <c r="KKJ148" s="22"/>
      <c r="KKK148" s="22"/>
      <c r="KKL148" s="22"/>
      <c r="KKM148" s="22"/>
      <c r="KKN148" s="22"/>
      <c r="KKO148" s="22"/>
      <c r="KKP148" s="22"/>
      <c r="KKQ148" s="22"/>
      <c r="KKR148" s="22"/>
      <c r="KKS148" s="22"/>
      <c r="KKT148" s="22"/>
      <c r="KKU148" s="22"/>
      <c r="KKV148" s="22"/>
      <c r="KKW148" s="22"/>
      <c r="KKX148" s="22"/>
      <c r="KKY148" s="22"/>
      <c r="KKZ148" s="22"/>
      <c r="KLA148" s="22"/>
      <c r="KLB148" s="22"/>
      <c r="KLC148" s="22"/>
      <c r="KLD148" s="22"/>
      <c r="KLE148" s="22"/>
      <c r="KLF148" s="22"/>
      <c r="KLG148" s="22"/>
      <c r="KLH148" s="22"/>
      <c r="KLI148" s="22"/>
      <c r="KLJ148" s="22"/>
      <c r="KLK148" s="22"/>
      <c r="KLL148" s="22"/>
      <c r="KLM148" s="22"/>
      <c r="KLN148" s="22"/>
      <c r="KLO148" s="22"/>
      <c r="KLP148" s="22"/>
      <c r="KLQ148" s="22"/>
      <c r="KLR148" s="22"/>
      <c r="KLS148" s="22"/>
      <c r="KLT148" s="22"/>
      <c r="KLU148" s="22"/>
      <c r="KLV148" s="22"/>
      <c r="KLW148" s="22"/>
      <c r="KLX148" s="22"/>
      <c r="KLY148" s="22"/>
      <c r="KLZ148" s="22"/>
      <c r="KMA148" s="22"/>
      <c r="KMB148" s="22"/>
      <c r="KMC148" s="22"/>
      <c r="KMD148" s="22"/>
      <c r="KME148" s="22"/>
      <c r="KMF148" s="22"/>
      <c r="KMG148" s="22"/>
      <c r="KMH148" s="22"/>
      <c r="KMI148" s="22"/>
      <c r="KMJ148" s="22"/>
      <c r="KMK148" s="22"/>
      <c r="KML148" s="22"/>
      <c r="KMM148" s="22"/>
      <c r="KMN148" s="22"/>
      <c r="KMO148" s="22"/>
      <c r="KMP148" s="22"/>
      <c r="KMQ148" s="22"/>
      <c r="KMR148" s="22"/>
      <c r="KMS148" s="22"/>
      <c r="KMT148" s="22"/>
      <c r="KMU148" s="22"/>
      <c r="KMV148" s="22"/>
      <c r="KMW148" s="22"/>
      <c r="KMX148" s="22"/>
      <c r="KMY148" s="22"/>
      <c r="KMZ148" s="22"/>
      <c r="KNA148" s="22"/>
      <c r="KNB148" s="22"/>
      <c r="KNC148" s="22"/>
      <c r="KND148" s="22"/>
      <c r="KNE148" s="22"/>
      <c r="KNF148" s="22"/>
      <c r="KNG148" s="22"/>
      <c r="KNH148" s="22"/>
      <c r="KNI148" s="22"/>
      <c r="KNJ148" s="22"/>
      <c r="KNK148" s="22"/>
      <c r="KNL148" s="22"/>
      <c r="KNM148" s="22"/>
      <c r="KNN148" s="22"/>
      <c r="KNO148" s="22"/>
      <c r="KNP148" s="22"/>
      <c r="KNQ148" s="22"/>
      <c r="KNR148" s="22"/>
      <c r="KNS148" s="22"/>
      <c r="KNT148" s="22"/>
      <c r="KNU148" s="22"/>
      <c r="KNV148" s="22"/>
      <c r="KNW148" s="22"/>
      <c r="KNX148" s="22"/>
      <c r="KNY148" s="22"/>
      <c r="KNZ148" s="22"/>
      <c r="KOA148" s="22"/>
      <c r="KOB148" s="22"/>
      <c r="KOC148" s="22"/>
      <c r="KOD148" s="22"/>
      <c r="KOE148" s="22"/>
      <c r="KOF148" s="22"/>
      <c r="KOG148" s="22"/>
      <c r="KOH148" s="22"/>
      <c r="KOI148" s="22"/>
      <c r="KOJ148" s="22"/>
      <c r="KOK148" s="22"/>
      <c r="KOL148" s="22"/>
      <c r="KOM148" s="22"/>
      <c r="KON148" s="22"/>
      <c r="KOO148" s="22"/>
      <c r="KOP148" s="22"/>
      <c r="KOQ148" s="22"/>
      <c r="KOR148" s="22"/>
      <c r="KOS148" s="22"/>
      <c r="KOT148" s="22"/>
      <c r="KOU148" s="22"/>
      <c r="KOV148" s="22"/>
      <c r="KOW148" s="22"/>
      <c r="KOX148" s="22"/>
      <c r="KOY148" s="22"/>
      <c r="KOZ148" s="22"/>
      <c r="KPA148" s="22"/>
      <c r="KPB148" s="22"/>
      <c r="KPC148" s="22"/>
      <c r="KPD148" s="22"/>
      <c r="KPE148" s="22"/>
      <c r="KPF148" s="22"/>
      <c r="KPG148" s="22"/>
      <c r="KPH148" s="22"/>
      <c r="KPI148" s="22"/>
      <c r="KPJ148" s="22"/>
      <c r="KPK148" s="22"/>
      <c r="KPL148" s="22"/>
      <c r="KPM148" s="22"/>
      <c r="KPN148" s="22"/>
      <c r="KPO148" s="22"/>
      <c r="KPP148" s="22"/>
      <c r="KPQ148" s="22"/>
      <c r="KPR148" s="22"/>
      <c r="KPS148" s="22"/>
      <c r="KPT148" s="22"/>
      <c r="KPU148" s="22"/>
      <c r="KPV148" s="22"/>
      <c r="KPW148" s="22"/>
      <c r="KPX148" s="22"/>
      <c r="KPY148" s="22"/>
      <c r="KPZ148" s="22"/>
      <c r="KQA148" s="22"/>
      <c r="KQB148" s="22"/>
      <c r="KQC148" s="22"/>
      <c r="KQD148" s="22"/>
      <c r="KQE148" s="22"/>
      <c r="KQF148" s="22"/>
      <c r="KQG148" s="22"/>
      <c r="KQH148" s="22"/>
      <c r="KQI148" s="22"/>
      <c r="KQJ148" s="22"/>
      <c r="KQK148" s="22"/>
      <c r="KQL148" s="22"/>
      <c r="KQM148" s="22"/>
      <c r="KQN148" s="22"/>
      <c r="KQO148" s="22"/>
      <c r="KQP148" s="22"/>
      <c r="KQQ148" s="22"/>
      <c r="KQR148" s="22"/>
      <c r="KQS148" s="22"/>
      <c r="KQT148" s="22"/>
      <c r="KQU148" s="22"/>
      <c r="KQV148" s="22"/>
      <c r="KQW148" s="22"/>
      <c r="KQX148" s="22"/>
      <c r="KQY148" s="22"/>
      <c r="KQZ148" s="22"/>
      <c r="KRA148" s="22"/>
      <c r="KRB148" s="22"/>
      <c r="KRC148" s="22"/>
      <c r="KRD148" s="22"/>
      <c r="KRE148" s="22"/>
      <c r="KRF148" s="22"/>
      <c r="KRG148" s="22"/>
      <c r="KRH148" s="22"/>
      <c r="KRI148" s="22"/>
      <c r="KRJ148" s="22"/>
      <c r="KRK148" s="22"/>
      <c r="KRL148" s="22"/>
      <c r="KRM148" s="22"/>
      <c r="KRN148" s="22"/>
      <c r="KRO148" s="22"/>
      <c r="KRP148" s="22"/>
      <c r="KRQ148" s="22"/>
      <c r="KRR148" s="22"/>
      <c r="KRS148" s="22"/>
      <c r="KRT148" s="22"/>
      <c r="KRU148" s="22"/>
      <c r="KRV148" s="22"/>
      <c r="KRW148" s="22"/>
      <c r="KRX148" s="22"/>
      <c r="KRY148" s="22"/>
      <c r="KRZ148" s="22"/>
      <c r="KSA148" s="22"/>
      <c r="KSB148" s="22"/>
      <c r="KSC148" s="22"/>
      <c r="KSD148" s="22"/>
      <c r="KSE148" s="22"/>
      <c r="KSF148" s="22"/>
      <c r="KSG148" s="22"/>
      <c r="KSH148" s="22"/>
      <c r="KSI148" s="22"/>
      <c r="KSJ148" s="22"/>
      <c r="KSK148" s="22"/>
      <c r="KSL148" s="22"/>
      <c r="KSM148" s="22"/>
      <c r="KSN148" s="22"/>
      <c r="KSO148" s="22"/>
      <c r="KSP148" s="22"/>
      <c r="KSQ148" s="22"/>
      <c r="KSR148" s="22"/>
      <c r="KSS148" s="22"/>
      <c r="KST148" s="22"/>
      <c r="KSU148" s="22"/>
      <c r="KSV148" s="22"/>
      <c r="KSW148" s="22"/>
      <c r="KSX148" s="22"/>
      <c r="KSY148" s="22"/>
      <c r="KSZ148" s="22"/>
      <c r="KTA148" s="22"/>
      <c r="KTB148" s="22"/>
      <c r="KTC148" s="22"/>
      <c r="KTD148" s="22"/>
      <c r="KTE148" s="22"/>
      <c r="KTF148" s="22"/>
      <c r="KTG148" s="22"/>
      <c r="KTH148" s="22"/>
      <c r="KTI148" s="22"/>
      <c r="KTJ148" s="22"/>
      <c r="KTK148" s="22"/>
      <c r="KTL148" s="22"/>
      <c r="KTM148" s="22"/>
      <c r="KTN148" s="22"/>
      <c r="KTO148" s="22"/>
      <c r="KTP148" s="22"/>
      <c r="KTQ148" s="22"/>
      <c r="KTR148" s="22"/>
      <c r="KTS148" s="22"/>
      <c r="KTT148" s="22"/>
      <c r="KTU148" s="22"/>
      <c r="KTV148" s="22"/>
      <c r="KTW148" s="22"/>
      <c r="KTX148" s="22"/>
      <c r="KTY148" s="22"/>
      <c r="KTZ148" s="22"/>
      <c r="KUA148" s="22"/>
      <c r="KUB148" s="22"/>
      <c r="KUC148" s="22"/>
      <c r="KUD148" s="22"/>
      <c r="KUE148" s="22"/>
      <c r="KUF148" s="22"/>
      <c r="KUG148" s="22"/>
      <c r="KUH148" s="22"/>
      <c r="KUI148" s="22"/>
      <c r="KUJ148" s="22"/>
      <c r="KUK148" s="22"/>
      <c r="KUL148" s="22"/>
      <c r="KUM148" s="22"/>
      <c r="KUN148" s="22"/>
      <c r="KUO148" s="22"/>
      <c r="KUP148" s="22"/>
      <c r="KUQ148" s="22"/>
      <c r="KUR148" s="22"/>
      <c r="KUS148" s="22"/>
      <c r="KUT148" s="22"/>
      <c r="KUU148" s="22"/>
      <c r="KUV148" s="22"/>
      <c r="KUW148" s="22"/>
      <c r="KUX148" s="22"/>
      <c r="KUY148" s="22"/>
      <c r="KUZ148" s="22"/>
      <c r="KVA148" s="22"/>
      <c r="KVB148" s="22"/>
      <c r="KVC148" s="22"/>
      <c r="KVD148" s="22"/>
      <c r="KVE148" s="22"/>
      <c r="KVF148" s="22"/>
      <c r="KVG148" s="22"/>
      <c r="KVH148" s="22"/>
      <c r="KVI148" s="22"/>
      <c r="KVJ148" s="22"/>
      <c r="KVK148" s="22"/>
      <c r="KVL148" s="22"/>
      <c r="KVM148" s="22"/>
      <c r="KVN148" s="22"/>
      <c r="KVO148" s="22"/>
      <c r="KVP148" s="22"/>
      <c r="KVQ148" s="22"/>
      <c r="KVR148" s="22"/>
      <c r="KVS148" s="22"/>
      <c r="KVT148" s="22"/>
      <c r="KVU148" s="22"/>
      <c r="KVV148" s="22"/>
      <c r="KVW148" s="22"/>
      <c r="KVX148" s="22"/>
      <c r="KVY148" s="22"/>
      <c r="KVZ148" s="22"/>
      <c r="KWA148" s="22"/>
      <c r="KWB148" s="22"/>
      <c r="KWC148" s="22"/>
      <c r="KWD148" s="22"/>
      <c r="KWE148" s="22"/>
      <c r="KWF148" s="22"/>
      <c r="KWG148" s="22"/>
      <c r="KWH148" s="22"/>
      <c r="KWI148" s="22"/>
      <c r="KWJ148" s="22"/>
      <c r="KWK148" s="22"/>
      <c r="KWL148" s="22"/>
      <c r="KWM148" s="22"/>
      <c r="KWN148" s="22"/>
      <c r="KWO148" s="22"/>
      <c r="KWP148" s="22"/>
      <c r="KWQ148" s="22"/>
      <c r="KWR148" s="22"/>
      <c r="KWS148" s="22"/>
      <c r="KWT148" s="22"/>
      <c r="KWU148" s="22"/>
      <c r="KWV148" s="22"/>
      <c r="KWW148" s="22"/>
      <c r="KWX148" s="22"/>
      <c r="KWY148" s="22"/>
      <c r="KWZ148" s="22"/>
      <c r="KXA148" s="22"/>
      <c r="KXB148" s="22"/>
      <c r="KXC148" s="22"/>
      <c r="KXD148" s="22"/>
      <c r="KXE148" s="22"/>
      <c r="KXF148" s="22"/>
      <c r="KXG148" s="22"/>
      <c r="KXH148" s="22"/>
      <c r="KXI148" s="22"/>
      <c r="KXJ148" s="22"/>
      <c r="KXK148" s="22"/>
      <c r="KXL148" s="22"/>
      <c r="KXM148" s="22"/>
      <c r="KXN148" s="22"/>
      <c r="KXO148" s="22"/>
      <c r="KXP148" s="22"/>
      <c r="KXQ148" s="22"/>
      <c r="KXR148" s="22"/>
      <c r="KXS148" s="22"/>
      <c r="KXT148" s="22"/>
      <c r="KXU148" s="22"/>
      <c r="KXV148" s="22"/>
      <c r="KXW148" s="22"/>
      <c r="KXX148" s="22"/>
      <c r="KXY148" s="22"/>
      <c r="KXZ148" s="22"/>
      <c r="KYA148" s="22"/>
      <c r="KYB148" s="22"/>
      <c r="KYC148" s="22"/>
      <c r="KYD148" s="22"/>
      <c r="KYE148" s="22"/>
      <c r="KYF148" s="22"/>
      <c r="KYG148" s="22"/>
      <c r="KYH148" s="22"/>
      <c r="KYI148" s="22"/>
      <c r="KYJ148" s="22"/>
      <c r="KYK148" s="22"/>
      <c r="KYL148" s="22"/>
      <c r="KYM148" s="22"/>
      <c r="KYN148" s="22"/>
      <c r="KYO148" s="22"/>
      <c r="KYP148" s="22"/>
      <c r="KYQ148" s="22"/>
      <c r="KYR148" s="22"/>
      <c r="KYS148" s="22"/>
      <c r="KYT148" s="22"/>
      <c r="KYU148" s="22"/>
      <c r="KYV148" s="22"/>
      <c r="KYW148" s="22"/>
      <c r="KYX148" s="22"/>
      <c r="KYY148" s="22"/>
      <c r="KYZ148" s="22"/>
      <c r="KZA148" s="22"/>
      <c r="KZB148" s="22"/>
      <c r="KZC148" s="22"/>
      <c r="KZD148" s="22"/>
      <c r="KZE148" s="22"/>
      <c r="KZF148" s="22"/>
      <c r="KZG148" s="22"/>
      <c r="KZH148" s="22"/>
      <c r="KZI148" s="22"/>
      <c r="KZJ148" s="22"/>
      <c r="KZK148" s="22"/>
      <c r="KZL148" s="22"/>
      <c r="KZM148" s="22"/>
      <c r="KZN148" s="22"/>
      <c r="KZO148" s="22"/>
      <c r="KZP148" s="22"/>
      <c r="KZQ148" s="22"/>
      <c r="KZR148" s="22"/>
      <c r="KZS148" s="22"/>
      <c r="KZT148" s="22"/>
      <c r="KZU148" s="22"/>
      <c r="KZV148" s="22"/>
      <c r="KZW148" s="22"/>
      <c r="KZX148" s="22"/>
      <c r="KZY148" s="22"/>
      <c r="KZZ148" s="22"/>
      <c r="LAA148" s="22"/>
      <c r="LAB148" s="22"/>
      <c r="LAC148" s="22"/>
      <c r="LAD148" s="22"/>
      <c r="LAE148" s="22"/>
      <c r="LAF148" s="22"/>
      <c r="LAG148" s="22"/>
      <c r="LAH148" s="22"/>
      <c r="LAI148" s="22"/>
      <c r="LAJ148" s="22"/>
      <c r="LAK148" s="22"/>
      <c r="LAL148" s="22"/>
      <c r="LAM148" s="22"/>
      <c r="LAN148" s="22"/>
      <c r="LAO148" s="22"/>
      <c r="LAP148" s="22"/>
      <c r="LAQ148" s="22"/>
      <c r="LAR148" s="22"/>
      <c r="LAS148" s="22"/>
      <c r="LAT148" s="22"/>
      <c r="LAU148" s="22"/>
      <c r="LAV148" s="22"/>
      <c r="LAW148" s="22"/>
      <c r="LAX148" s="22"/>
      <c r="LAY148" s="22"/>
      <c r="LAZ148" s="22"/>
      <c r="LBA148" s="22"/>
      <c r="LBB148" s="22"/>
      <c r="LBC148" s="22"/>
      <c r="LBD148" s="22"/>
      <c r="LBE148" s="22"/>
      <c r="LBF148" s="22"/>
      <c r="LBG148" s="22"/>
      <c r="LBH148" s="22"/>
      <c r="LBI148" s="22"/>
      <c r="LBJ148" s="22"/>
      <c r="LBK148" s="22"/>
      <c r="LBL148" s="22"/>
      <c r="LBM148" s="22"/>
      <c r="LBN148" s="22"/>
      <c r="LBO148" s="22"/>
      <c r="LBP148" s="22"/>
      <c r="LBQ148" s="22"/>
      <c r="LBR148" s="22"/>
      <c r="LBS148" s="22"/>
      <c r="LBT148" s="22"/>
      <c r="LBU148" s="22"/>
      <c r="LBV148" s="22"/>
      <c r="LBW148" s="22"/>
      <c r="LBX148" s="22"/>
      <c r="LBY148" s="22"/>
      <c r="LBZ148" s="22"/>
      <c r="LCA148" s="22"/>
      <c r="LCB148" s="22"/>
      <c r="LCC148" s="22"/>
      <c r="LCD148" s="22"/>
      <c r="LCE148" s="22"/>
      <c r="LCF148" s="22"/>
      <c r="LCG148" s="22"/>
      <c r="LCH148" s="22"/>
      <c r="LCI148" s="22"/>
      <c r="LCJ148" s="22"/>
      <c r="LCK148" s="22"/>
      <c r="LCL148" s="22"/>
      <c r="LCM148" s="22"/>
      <c r="LCN148" s="22"/>
      <c r="LCO148" s="22"/>
      <c r="LCP148" s="22"/>
      <c r="LCQ148" s="22"/>
      <c r="LCR148" s="22"/>
      <c r="LCS148" s="22"/>
      <c r="LCT148" s="22"/>
      <c r="LCU148" s="22"/>
      <c r="LCV148" s="22"/>
      <c r="LCW148" s="22"/>
      <c r="LCX148" s="22"/>
      <c r="LCY148" s="22"/>
      <c r="LCZ148" s="22"/>
      <c r="LDA148" s="22"/>
      <c r="LDB148" s="22"/>
      <c r="LDC148" s="22"/>
      <c r="LDD148" s="22"/>
      <c r="LDE148" s="22"/>
      <c r="LDF148" s="22"/>
      <c r="LDG148" s="22"/>
      <c r="LDH148" s="22"/>
      <c r="LDI148" s="22"/>
      <c r="LDJ148" s="22"/>
      <c r="LDK148" s="22"/>
      <c r="LDL148" s="22"/>
      <c r="LDM148" s="22"/>
      <c r="LDN148" s="22"/>
      <c r="LDO148" s="22"/>
      <c r="LDP148" s="22"/>
      <c r="LDQ148" s="22"/>
      <c r="LDR148" s="22"/>
      <c r="LDS148" s="22"/>
      <c r="LDT148" s="22"/>
      <c r="LDU148" s="22"/>
      <c r="LDV148" s="22"/>
      <c r="LDW148" s="22"/>
      <c r="LDX148" s="22"/>
      <c r="LDY148" s="22"/>
      <c r="LDZ148" s="22"/>
      <c r="LEA148" s="22"/>
      <c r="LEB148" s="22"/>
      <c r="LEC148" s="22"/>
      <c r="LED148" s="22"/>
      <c r="LEE148" s="22"/>
      <c r="LEF148" s="22"/>
      <c r="LEG148" s="22"/>
      <c r="LEH148" s="22"/>
      <c r="LEI148" s="22"/>
      <c r="LEJ148" s="22"/>
      <c r="LEK148" s="22"/>
      <c r="LEL148" s="22"/>
      <c r="LEM148" s="22"/>
      <c r="LEN148" s="22"/>
      <c r="LEO148" s="22"/>
      <c r="LEP148" s="22"/>
      <c r="LEQ148" s="22"/>
      <c r="LER148" s="22"/>
      <c r="LES148" s="22"/>
      <c r="LET148" s="22"/>
      <c r="LEU148" s="22"/>
      <c r="LEV148" s="22"/>
      <c r="LEW148" s="22"/>
      <c r="LEX148" s="22"/>
      <c r="LEY148" s="22"/>
      <c r="LEZ148" s="22"/>
      <c r="LFA148" s="22"/>
      <c r="LFB148" s="22"/>
      <c r="LFC148" s="22"/>
      <c r="LFD148" s="22"/>
      <c r="LFE148" s="22"/>
      <c r="LFF148" s="22"/>
      <c r="LFG148" s="22"/>
      <c r="LFH148" s="22"/>
      <c r="LFI148" s="22"/>
      <c r="LFJ148" s="22"/>
      <c r="LFK148" s="22"/>
      <c r="LFL148" s="22"/>
      <c r="LFM148" s="22"/>
      <c r="LFN148" s="22"/>
      <c r="LFO148" s="22"/>
      <c r="LFP148" s="22"/>
      <c r="LFQ148" s="22"/>
      <c r="LFR148" s="22"/>
      <c r="LFS148" s="22"/>
      <c r="LFT148" s="22"/>
      <c r="LFU148" s="22"/>
      <c r="LFV148" s="22"/>
      <c r="LFW148" s="22"/>
      <c r="LFX148" s="22"/>
      <c r="LFY148" s="22"/>
      <c r="LFZ148" s="22"/>
      <c r="LGA148" s="22"/>
      <c r="LGB148" s="22"/>
      <c r="LGC148" s="22"/>
      <c r="LGD148" s="22"/>
      <c r="LGE148" s="22"/>
      <c r="LGF148" s="22"/>
      <c r="LGG148" s="22"/>
      <c r="LGH148" s="22"/>
      <c r="LGI148" s="22"/>
      <c r="LGJ148" s="22"/>
      <c r="LGK148" s="22"/>
      <c r="LGL148" s="22"/>
      <c r="LGM148" s="22"/>
      <c r="LGN148" s="22"/>
      <c r="LGO148" s="22"/>
      <c r="LGP148" s="22"/>
      <c r="LGQ148" s="22"/>
      <c r="LGR148" s="22"/>
      <c r="LGS148" s="22"/>
      <c r="LGT148" s="22"/>
      <c r="LGU148" s="22"/>
      <c r="LGV148" s="22"/>
      <c r="LGW148" s="22"/>
      <c r="LGX148" s="22"/>
      <c r="LGY148" s="22"/>
      <c r="LGZ148" s="22"/>
      <c r="LHA148" s="22"/>
      <c r="LHB148" s="22"/>
      <c r="LHC148" s="22"/>
      <c r="LHD148" s="22"/>
      <c r="LHE148" s="22"/>
      <c r="LHF148" s="22"/>
      <c r="LHG148" s="22"/>
      <c r="LHH148" s="22"/>
      <c r="LHI148" s="22"/>
      <c r="LHJ148" s="22"/>
      <c r="LHK148" s="22"/>
      <c r="LHL148" s="22"/>
      <c r="LHM148" s="22"/>
      <c r="LHN148" s="22"/>
      <c r="LHO148" s="22"/>
      <c r="LHP148" s="22"/>
      <c r="LHQ148" s="22"/>
      <c r="LHR148" s="22"/>
      <c r="LHS148" s="22"/>
      <c r="LHT148" s="22"/>
      <c r="LHU148" s="22"/>
      <c r="LHV148" s="22"/>
      <c r="LHW148" s="22"/>
      <c r="LHX148" s="22"/>
      <c r="LHY148" s="22"/>
      <c r="LHZ148" s="22"/>
      <c r="LIA148" s="22"/>
      <c r="LIB148" s="22"/>
      <c r="LIC148" s="22"/>
      <c r="LID148" s="22"/>
      <c r="LIE148" s="22"/>
      <c r="LIF148" s="22"/>
      <c r="LIG148" s="22"/>
      <c r="LIH148" s="22"/>
      <c r="LII148" s="22"/>
      <c r="LIJ148" s="22"/>
      <c r="LIK148" s="22"/>
      <c r="LIL148" s="22"/>
      <c r="LIM148" s="22"/>
      <c r="LIN148" s="22"/>
      <c r="LIO148" s="22"/>
      <c r="LIP148" s="22"/>
      <c r="LIQ148" s="22"/>
      <c r="LIR148" s="22"/>
      <c r="LIS148" s="22"/>
      <c r="LIT148" s="22"/>
      <c r="LIU148" s="22"/>
      <c r="LIV148" s="22"/>
      <c r="LIW148" s="22"/>
      <c r="LIX148" s="22"/>
      <c r="LIY148" s="22"/>
      <c r="LIZ148" s="22"/>
      <c r="LJA148" s="22"/>
      <c r="LJB148" s="22"/>
      <c r="LJC148" s="22"/>
      <c r="LJD148" s="22"/>
      <c r="LJE148" s="22"/>
      <c r="LJF148" s="22"/>
      <c r="LJG148" s="22"/>
      <c r="LJH148" s="22"/>
      <c r="LJI148" s="22"/>
      <c r="LJJ148" s="22"/>
      <c r="LJK148" s="22"/>
      <c r="LJL148" s="22"/>
      <c r="LJM148" s="22"/>
      <c r="LJN148" s="22"/>
      <c r="LJO148" s="22"/>
      <c r="LJP148" s="22"/>
      <c r="LJQ148" s="22"/>
      <c r="LJR148" s="22"/>
      <c r="LJS148" s="22"/>
      <c r="LJT148" s="22"/>
      <c r="LJU148" s="22"/>
      <c r="LJV148" s="22"/>
      <c r="LJW148" s="22"/>
      <c r="LJX148" s="22"/>
      <c r="LJY148" s="22"/>
      <c r="LJZ148" s="22"/>
      <c r="LKA148" s="22"/>
      <c r="LKB148" s="22"/>
      <c r="LKC148" s="22"/>
      <c r="LKD148" s="22"/>
      <c r="LKE148" s="22"/>
      <c r="LKF148" s="22"/>
      <c r="LKG148" s="22"/>
      <c r="LKH148" s="22"/>
      <c r="LKI148" s="22"/>
      <c r="LKJ148" s="22"/>
      <c r="LKK148" s="22"/>
      <c r="LKL148" s="22"/>
      <c r="LKM148" s="22"/>
      <c r="LKN148" s="22"/>
      <c r="LKO148" s="22"/>
      <c r="LKP148" s="22"/>
      <c r="LKQ148" s="22"/>
      <c r="LKR148" s="22"/>
      <c r="LKS148" s="22"/>
      <c r="LKT148" s="22"/>
      <c r="LKU148" s="22"/>
      <c r="LKV148" s="22"/>
      <c r="LKW148" s="22"/>
      <c r="LKX148" s="22"/>
      <c r="LKY148" s="22"/>
      <c r="LKZ148" s="22"/>
      <c r="LLA148" s="22"/>
      <c r="LLB148" s="22"/>
      <c r="LLC148" s="22"/>
      <c r="LLD148" s="22"/>
      <c r="LLE148" s="22"/>
      <c r="LLF148" s="22"/>
      <c r="LLG148" s="22"/>
      <c r="LLH148" s="22"/>
      <c r="LLI148" s="22"/>
      <c r="LLJ148" s="22"/>
      <c r="LLK148" s="22"/>
      <c r="LLL148" s="22"/>
      <c r="LLM148" s="22"/>
      <c r="LLN148" s="22"/>
      <c r="LLO148" s="22"/>
      <c r="LLP148" s="22"/>
      <c r="LLQ148" s="22"/>
      <c r="LLR148" s="22"/>
      <c r="LLS148" s="22"/>
      <c r="LLT148" s="22"/>
      <c r="LLU148" s="22"/>
      <c r="LLV148" s="22"/>
      <c r="LLW148" s="22"/>
      <c r="LLX148" s="22"/>
      <c r="LLY148" s="22"/>
      <c r="LLZ148" s="22"/>
      <c r="LMA148" s="22"/>
      <c r="LMB148" s="22"/>
      <c r="LMC148" s="22"/>
      <c r="LMD148" s="22"/>
      <c r="LME148" s="22"/>
      <c r="LMF148" s="22"/>
      <c r="LMG148" s="22"/>
      <c r="LMH148" s="22"/>
      <c r="LMI148" s="22"/>
      <c r="LMJ148" s="22"/>
      <c r="LMK148" s="22"/>
      <c r="LML148" s="22"/>
      <c r="LMM148" s="22"/>
      <c r="LMN148" s="22"/>
      <c r="LMO148" s="22"/>
      <c r="LMP148" s="22"/>
      <c r="LMQ148" s="22"/>
      <c r="LMR148" s="22"/>
      <c r="LMS148" s="22"/>
      <c r="LMT148" s="22"/>
      <c r="LMU148" s="22"/>
      <c r="LMV148" s="22"/>
      <c r="LMW148" s="22"/>
      <c r="LMX148" s="22"/>
      <c r="LMY148" s="22"/>
      <c r="LMZ148" s="22"/>
      <c r="LNA148" s="22"/>
      <c r="LNB148" s="22"/>
      <c r="LNC148" s="22"/>
      <c r="LND148" s="22"/>
      <c r="LNE148" s="22"/>
      <c r="LNF148" s="22"/>
      <c r="LNG148" s="22"/>
      <c r="LNH148" s="22"/>
      <c r="LNI148" s="22"/>
      <c r="LNJ148" s="22"/>
      <c r="LNK148" s="22"/>
      <c r="LNL148" s="22"/>
      <c r="LNM148" s="22"/>
      <c r="LNN148" s="22"/>
      <c r="LNO148" s="22"/>
      <c r="LNP148" s="22"/>
      <c r="LNQ148" s="22"/>
      <c r="LNR148" s="22"/>
      <c r="LNS148" s="22"/>
      <c r="LNT148" s="22"/>
      <c r="LNU148" s="22"/>
      <c r="LNV148" s="22"/>
      <c r="LNW148" s="22"/>
      <c r="LNX148" s="22"/>
      <c r="LNY148" s="22"/>
      <c r="LNZ148" s="22"/>
      <c r="LOA148" s="22"/>
      <c r="LOB148" s="22"/>
      <c r="LOC148" s="22"/>
      <c r="LOD148" s="22"/>
      <c r="LOE148" s="22"/>
      <c r="LOF148" s="22"/>
      <c r="LOG148" s="22"/>
      <c r="LOH148" s="22"/>
      <c r="LOI148" s="22"/>
      <c r="LOJ148" s="22"/>
      <c r="LOK148" s="22"/>
      <c r="LOL148" s="22"/>
      <c r="LOM148" s="22"/>
      <c r="LON148" s="22"/>
      <c r="LOO148" s="22"/>
      <c r="LOP148" s="22"/>
      <c r="LOQ148" s="22"/>
      <c r="LOR148" s="22"/>
      <c r="LOS148" s="22"/>
      <c r="LOT148" s="22"/>
      <c r="LOU148" s="22"/>
      <c r="LOV148" s="22"/>
      <c r="LOW148" s="22"/>
      <c r="LOX148" s="22"/>
      <c r="LOY148" s="22"/>
      <c r="LOZ148" s="22"/>
      <c r="LPA148" s="22"/>
      <c r="LPB148" s="22"/>
      <c r="LPC148" s="22"/>
      <c r="LPD148" s="22"/>
      <c r="LPE148" s="22"/>
      <c r="LPF148" s="22"/>
      <c r="LPG148" s="22"/>
      <c r="LPH148" s="22"/>
      <c r="LPI148" s="22"/>
      <c r="LPJ148" s="22"/>
      <c r="LPK148" s="22"/>
      <c r="LPL148" s="22"/>
      <c r="LPM148" s="22"/>
      <c r="LPN148" s="22"/>
      <c r="LPO148" s="22"/>
      <c r="LPP148" s="22"/>
      <c r="LPQ148" s="22"/>
      <c r="LPR148" s="22"/>
      <c r="LPS148" s="22"/>
      <c r="LPT148" s="22"/>
      <c r="LPU148" s="22"/>
      <c r="LPV148" s="22"/>
      <c r="LPW148" s="22"/>
      <c r="LPX148" s="22"/>
      <c r="LPY148" s="22"/>
      <c r="LPZ148" s="22"/>
      <c r="LQA148" s="22"/>
      <c r="LQB148" s="22"/>
      <c r="LQC148" s="22"/>
      <c r="LQD148" s="22"/>
      <c r="LQE148" s="22"/>
      <c r="LQF148" s="22"/>
      <c r="LQG148" s="22"/>
      <c r="LQH148" s="22"/>
      <c r="LQI148" s="22"/>
      <c r="LQJ148" s="22"/>
      <c r="LQK148" s="22"/>
      <c r="LQL148" s="22"/>
      <c r="LQM148" s="22"/>
      <c r="LQN148" s="22"/>
      <c r="LQO148" s="22"/>
      <c r="LQP148" s="22"/>
      <c r="LQQ148" s="22"/>
      <c r="LQR148" s="22"/>
      <c r="LQS148" s="22"/>
      <c r="LQT148" s="22"/>
      <c r="LQU148" s="22"/>
      <c r="LQV148" s="22"/>
      <c r="LQW148" s="22"/>
      <c r="LQX148" s="22"/>
      <c r="LQY148" s="22"/>
      <c r="LQZ148" s="22"/>
      <c r="LRA148" s="22"/>
      <c r="LRB148" s="22"/>
      <c r="LRC148" s="22"/>
      <c r="LRD148" s="22"/>
      <c r="LRE148" s="22"/>
      <c r="LRF148" s="22"/>
      <c r="LRG148" s="22"/>
      <c r="LRH148" s="22"/>
      <c r="LRI148" s="22"/>
      <c r="LRJ148" s="22"/>
      <c r="LRK148" s="22"/>
      <c r="LRL148" s="22"/>
      <c r="LRM148" s="22"/>
      <c r="LRN148" s="22"/>
      <c r="LRO148" s="22"/>
      <c r="LRP148" s="22"/>
      <c r="LRQ148" s="22"/>
      <c r="LRR148" s="22"/>
      <c r="LRS148" s="22"/>
      <c r="LRT148" s="22"/>
      <c r="LRU148" s="22"/>
      <c r="LRV148" s="22"/>
      <c r="LRW148" s="22"/>
      <c r="LRX148" s="22"/>
      <c r="LRY148" s="22"/>
      <c r="LRZ148" s="22"/>
      <c r="LSA148" s="22"/>
      <c r="LSB148" s="22"/>
      <c r="LSC148" s="22"/>
      <c r="LSD148" s="22"/>
      <c r="LSE148" s="22"/>
      <c r="LSF148" s="22"/>
      <c r="LSG148" s="22"/>
      <c r="LSH148" s="22"/>
      <c r="LSI148" s="22"/>
      <c r="LSJ148" s="22"/>
      <c r="LSK148" s="22"/>
      <c r="LSL148" s="22"/>
      <c r="LSM148" s="22"/>
      <c r="LSN148" s="22"/>
      <c r="LSO148" s="22"/>
      <c r="LSP148" s="22"/>
      <c r="LSQ148" s="22"/>
      <c r="LSR148" s="22"/>
      <c r="LSS148" s="22"/>
      <c r="LST148" s="22"/>
      <c r="LSU148" s="22"/>
      <c r="LSV148" s="22"/>
      <c r="LSW148" s="22"/>
      <c r="LSX148" s="22"/>
      <c r="LSY148" s="22"/>
      <c r="LSZ148" s="22"/>
      <c r="LTA148" s="22"/>
      <c r="LTB148" s="22"/>
      <c r="LTC148" s="22"/>
      <c r="LTD148" s="22"/>
      <c r="LTE148" s="22"/>
      <c r="LTF148" s="22"/>
      <c r="LTG148" s="22"/>
      <c r="LTH148" s="22"/>
      <c r="LTI148" s="22"/>
      <c r="LTJ148" s="22"/>
      <c r="LTK148" s="22"/>
      <c r="LTL148" s="22"/>
      <c r="LTM148" s="22"/>
      <c r="LTN148" s="22"/>
      <c r="LTO148" s="22"/>
      <c r="LTP148" s="22"/>
      <c r="LTQ148" s="22"/>
      <c r="LTR148" s="22"/>
      <c r="LTS148" s="22"/>
      <c r="LTT148" s="22"/>
      <c r="LTU148" s="22"/>
      <c r="LTV148" s="22"/>
      <c r="LTW148" s="22"/>
      <c r="LTX148" s="22"/>
      <c r="LTY148" s="22"/>
      <c r="LTZ148" s="22"/>
      <c r="LUA148" s="22"/>
      <c r="LUB148" s="22"/>
      <c r="LUC148" s="22"/>
      <c r="LUD148" s="22"/>
      <c r="LUE148" s="22"/>
      <c r="LUF148" s="22"/>
      <c r="LUG148" s="22"/>
      <c r="LUH148" s="22"/>
      <c r="LUI148" s="22"/>
      <c r="LUJ148" s="22"/>
      <c r="LUK148" s="22"/>
      <c r="LUL148" s="22"/>
      <c r="LUM148" s="22"/>
      <c r="LUN148" s="22"/>
      <c r="LUO148" s="22"/>
      <c r="LUP148" s="22"/>
      <c r="LUQ148" s="22"/>
      <c r="LUR148" s="22"/>
      <c r="LUS148" s="22"/>
      <c r="LUT148" s="22"/>
      <c r="LUU148" s="22"/>
      <c r="LUV148" s="22"/>
      <c r="LUW148" s="22"/>
      <c r="LUX148" s="22"/>
      <c r="LUY148" s="22"/>
      <c r="LUZ148" s="22"/>
      <c r="LVA148" s="22"/>
      <c r="LVB148" s="22"/>
      <c r="LVC148" s="22"/>
      <c r="LVD148" s="22"/>
      <c r="LVE148" s="22"/>
      <c r="LVF148" s="22"/>
      <c r="LVG148" s="22"/>
      <c r="LVH148" s="22"/>
      <c r="LVI148" s="22"/>
      <c r="LVJ148" s="22"/>
      <c r="LVK148" s="22"/>
      <c r="LVL148" s="22"/>
      <c r="LVM148" s="22"/>
      <c r="LVN148" s="22"/>
      <c r="LVO148" s="22"/>
      <c r="LVP148" s="22"/>
      <c r="LVQ148" s="22"/>
      <c r="LVR148" s="22"/>
      <c r="LVS148" s="22"/>
      <c r="LVT148" s="22"/>
      <c r="LVU148" s="22"/>
      <c r="LVV148" s="22"/>
      <c r="LVW148" s="22"/>
      <c r="LVX148" s="22"/>
      <c r="LVY148" s="22"/>
      <c r="LVZ148" s="22"/>
      <c r="LWA148" s="22"/>
      <c r="LWB148" s="22"/>
      <c r="LWC148" s="22"/>
      <c r="LWD148" s="22"/>
      <c r="LWE148" s="22"/>
      <c r="LWF148" s="22"/>
      <c r="LWG148" s="22"/>
      <c r="LWH148" s="22"/>
      <c r="LWI148" s="22"/>
      <c r="LWJ148" s="22"/>
      <c r="LWK148" s="22"/>
      <c r="LWL148" s="22"/>
      <c r="LWM148" s="22"/>
      <c r="LWN148" s="22"/>
      <c r="LWO148" s="22"/>
      <c r="LWP148" s="22"/>
      <c r="LWQ148" s="22"/>
      <c r="LWR148" s="22"/>
      <c r="LWS148" s="22"/>
      <c r="LWT148" s="22"/>
      <c r="LWU148" s="22"/>
      <c r="LWV148" s="22"/>
      <c r="LWW148" s="22"/>
      <c r="LWX148" s="22"/>
      <c r="LWY148" s="22"/>
      <c r="LWZ148" s="22"/>
      <c r="LXA148" s="22"/>
      <c r="LXB148" s="22"/>
      <c r="LXC148" s="22"/>
      <c r="LXD148" s="22"/>
      <c r="LXE148" s="22"/>
      <c r="LXF148" s="22"/>
      <c r="LXG148" s="22"/>
      <c r="LXH148" s="22"/>
      <c r="LXI148" s="22"/>
      <c r="LXJ148" s="22"/>
      <c r="LXK148" s="22"/>
      <c r="LXL148" s="22"/>
      <c r="LXM148" s="22"/>
      <c r="LXN148" s="22"/>
      <c r="LXO148" s="22"/>
      <c r="LXP148" s="22"/>
      <c r="LXQ148" s="22"/>
      <c r="LXR148" s="22"/>
      <c r="LXS148" s="22"/>
      <c r="LXT148" s="22"/>
      <c r="LXU148" s="22"/>
      <c r="LXV148" s="22"/>
      <c r="LXW148" s="22"/>
      <c r="LXX148" s="22"/>
      <c r="LXY148" s="22"/>
      <c r="LXZ148" s="22"/>
      <c r="LYA148" s="22"/>
      <c r="LYB148" s="22"/>
      <c r="LYC148" s="22"/>
      <c r="LYD148" s="22"/>
      <c r="LYE148" s="22"/>
      <c r="LYF148" s="22"/>
      <c r="LYG148" s="22"/>
      <c r="LYH148" s="22"/>
      <c r="LYI148" s="22"/>
      <c r="LYJ148" s="22"/>
      <c r="LYK148" s="22"/>
      <c r="LYL148" s="22"/>
      <c r="LYM148" s="22"/>
      <c r="LYN148" s="22"/>
      <c r="LYO148" s="22"/>
      <c r="LYP148" s="22"/>
      <c r="LYQ148" s="22"/>
      <c r="LYR148" s="22"/>
      <c r="LYS148" s="22"/>
      <c r="LYT148" s="22"/>
      <c r="LYU148" s="22"/>
      <c r="LYV148" s="22"/>
      <c r="LYW148" s="22"/>
      <c r="LYX148" s="22"/>
      <c r="LYY148" s="22"/>
      <c r="LYZ148" s="22"/>
      <c r="LZA148" s="22"/>
      <c r="LZB148" s="22"/>
      <c r="LZC148" s="22"/>
      <c r="LZD148" s="22"/>
      <c r="LZE148" s="22"/>
      <c r="LZF148" s="22"/>
      <c r="LZG148" s="22"/>
      <c r="LZH148" s="22"/>
      <c r="LZI148" s="22"/>
      <c r="LZJ148" s="22"/>
      <c r="LZK148" s="22"/>
      <c r="LZL148" s="22"/>
      <c r="LZM148" s="22"/>
      <c r="LZN148" s="22"/>
      <c r="LZO148" s="22"/>
      <c r="LZP148" s="22"/>
      <c r="LZQ148" s="22"/>
      <c r="LZR148" s="22"/>
      <c r="LZS148" s="22"/>
      <c r="LZT148" s="22"/>
      <c r="LZU148" s="22"/>
      <c r="LZV148" s="22"/>
      <c r="LZW148" s="22"/>
      <c r="LZX148" s="22"/>
      <c r="LZY148" s="22"/>
      <c r="LZZ148" s="22"/>
      <c r="MAA148" s="22"/>
      <c r="MAB148" s="22"/>
      <c r="MAC148" s="22"/>
      <c r="MAD148" s="22"/>
      <c r="MAE148" s="22"/>
      <c r="MAF148" s="22"/>
      <c r="MAG148" s="22"/>
      <c r="MAH148" s="22"/>
      <c r="MAI148" s="22"/>
      <c r="MAJ148" s="22"/>
      <c r="MAK148" s="22"/>
      <c r="MAL148" s="22"/>
      <c r="MAM148" s="22"/>
      <c r="MAN148" s="22"/>
      <c r="MAO148" s="22"/>
      <c r="MAP148" s="22"/>
      <c r="MAQ148" s="22"/>
      <c r="MAR148" s="22"/>
      <c r="MAS148" s="22"/>
      <c r="MAT148" s="22"/>
      <c r="MAU148" s="22"/>
      <c r="MAV148" s="22"/>
      <c r="MAW148" s="22"/>
      <c r="MAX148" s="22"/>
      <c r="MAY148" s="22"/>
      <c r="MAZ148" s="22"/>
      <c r="MBA148" s="22"/>
      <c r="MBB148" s="22"/>
      <c r="MBC148" s="22"/>
      <c r="MBD148" s="22"/>
      <c r="MBE148" s="22"/>
      <c r="MBF148" s="22"/>
      <c r="MBG148" s="22"/>
      <c r="MBH148" s="22"/>
      <c r="MBI148" s="22"/>
      <c r="MBJ148" s="22"/>
      <c r="MBK148" s="22"/>
      <c r="MBL148" s="22"/>
      <c r="MBM148" s="22"/>
      <c r="MBN148" s="22"/>
      <c r="MBO148" s="22"/>
      <c r="MBP148" s="22"/>
      <c r="MBQ148" s="22"/>
      <c r="MBR148" s="22"/>
      <c r="MBS148" s="22"/>
      <c r="MBT148" s="22"/>
      <c r="MBU148" s="22"/>
      <c r="MBV148" s="22"/>
      <c r="MBW148" s="22"/>
      <c r="MBX148" s="22"/>
      <c r="MBY148" s="22"/>
      <c r="MBZ148" s="22"/>
      <c r="MCA148" s="22"/>
      <c r="MCB148" s="22"/>
      <c r="MCC148" s="22"/>
      <c r="MCD148" s="22"/>
      <c r="MCE148" s="22"/>
      <c r="MCF148" s="22"/>
      <c r="MCG148" s="22"/>
      <c r="MCH148" s="22"/>
      <c r="MCI148" s="22"/>
      <c r="MCJ148" s="22"/>
      <c r="MCK148" s="22"/>
      <c r="MCL148" s="22"/>
      <c r="MCM148" s="22"/>
      <c r="MCN148" s="22"/>
      <c r="MCO148" s="22"/>
      <c r="MCP148" s="22"/>
      <c r="MCQ148" s="22"/>
      <c r="MCR148" s="22"/>
      <c r="MCS148" s="22"/>
      <c r="MCT148" s="22"/>
      <c r="MCU148" s="22"/>
      <c r="MCV148" s="22"/>
      <c r="MCW148" s="22"/>
      <c r="MCX148" s="22"/>
      <c r="MCY148" s="22"/>
      <c r="MCZ148" s="22"/>
      <c r="MDA148" s="22"/>
      <c r="MDB148" s="22"/>
      <c r="MDC148" s="22"/>
      <c r="MDD148" s="22"/>
      <c r="MDE148" s="22"/>
      <c r="MDF148" s="22"/>
      <c r="MDG148" s="22"/>
      <c r="MDH148" s="22"/>
      <c r="MDI148" s="22"/>
      <c r="MDJ148" s="22"/>
      <c r="MDK148" s="22"/>
      <c r="MDL148" s="22"/>
      <c r="MDM148" s="22"/>
      <c r="MDN148" s="22"/>
      <c r="MDO148" s="22"/>
      <c r="MDP148" s="22"/>
      <c r="MDQ148" s="22"/>
      <c r="MDR148" s="22"/>
      <c r="MDS148" s="22"/>
      <c r="MDT148" s="22"/>
      <c r="MDU148" s="22"/>
      <c r="MDV148" s="22"/>
      <c r="MDW148" s="22"/>
      <c r="MDX148" s="22"/>
      <c r="MDY148" s="22"/>
      <c r="MDZ148" s="22"/>
      <c r="MEA148" s="22"/>
      <c r="MEB148" s="22"/>
      <c r="MEC148" s="22"/>
      <c r="MED148" s="22"/>
      <c r="MEE148" s="22"/>
      <c r="MEF148" s="22"/>
      <c r="MEG148" s="22"/>
      <c r="MEH148" s="22"/>
      <c r="MEI148" s="22"/>
      <c r="MEJ148" s="22"/>
      <c r="MEK148" s="22"/>
      <c r="MEL148" s="22"/>
      <c r="MEM148" s="22"/>
      <c r="MEN148" s="22"/>
      <c r="MEO148" s="22"/>
      <c r="MEP148" s="22"/>
      <c r="MEQ148" s="22"/>
      <c r="MER148" s="22"/>
      <c r="MES148" s="22"/>
      <c r="MET148" s="22"/>
      <c r="MEU148" s="22"/>
      <c r="MEV148" s="22"/>
      <c r="MEW148" s="22"/>
      <c r="MEX148" s="22"/>
      <c r="MEY148" s="22"/>
      <c r="MEZ148" s="22"/>
      <c r="MFA148" s="22"/>
      <c r="MFB148" s="22"/>
      <c r="MFC148" s="22"/>
      <c r="MFD148" s="22"/>
      <c r="MFE148" s="22"/>
      <c r="MFF148" s="22"/>
      <c r="MFG148" s="22"/>
      <c r="MFH148" s="22"/>
      <c r="MFI148" s="22"/>
      <c r="MFJ148" s="22"/>
      <c r="MFK148" s="22"/>
      <c r="MFL148" s="22"/>
      <c r="MFM148" s="22"/>
      <c r="MFN148" s="22"/>
      <c r="MFO148" s="22"/>
      <c r="MFP148" s="22"/>
      <c r="MFQ148" s="22"/>
      <c r="MFR148" s="22"/>
      <c r="MFS148" s="22"/>
      <c r="MFT148" s="22"/>
      <c r="MFU148" s="22"/>
      <c r="MFV148" s="22"/>
      <c r="MFW148" s="22"/>
      <c r="MFX148" s="22"/>
      <c r="MFY148" s="22"/>
      <c r="MFZ148" s="22"/>
      <c r="MGA148" s="22"/>
      <c r="MGB148" s="22"/>
      <c r="MGC148" s="22"/>
      <c r="MGD148" s="22"/>
      <c r="MGE148" s="22"/>
      <c r="MGF148" s="22"/>
      <c r="MGG148" s="22"/>
      <c r="MGH148" s="22"/>
      <c r="MGI148" s="22"/>
      <c r="MGJ148" s="22"/>
      <c r="MGK148" s="22"/>
      <c r="MGL148" s="22"/>
      <c r="MGM148" s="22"/>
      <c r="MGN148" s="22"/>
      <c r="MGO148" s="22"/>
      <c r="MGP148" s="22"/>
      <c r="MGQ148" s="22"/>
      <c r="MGR148" s="22"/>
      <c r="MGS148" s="22"/>
      <c r="MGT148" s="22"/>
      <c r="MGU148" s="22"/>
      <c r="MGV148" s="22"/>
      <c r="MGW148" s="22"/>
      <c r="MGX148" s="22"/>
      <c r="MGY148" s="22"/>
      <c r="MGZ148" s="22"/>
      <c r="MHA148" s="22"/>
      <c r="MHB148" s="22"/>
      <c r="MHC148" s="22"/>
      <c r="MHD148" s="22"/>
      <c r="MHE148" s="22"/>
      <c r="MHF148" s="22"/>
      <c r="MHG148" s="22"/>
      <c r="MHH148" s="22"/>
      <c r="MHI148" s="22"/>
      <c r="MHJ148" s="22"/>
      <c r="MHK148" s="22"/>
      <c r="MHL148" s="22"/>
      <c r="MHM148" s="22"/>
      <c r="MHN148" s="22"/>
      <c r="MHO148" s="22"/>
      <c r="MHP148" s="22"/>
      <c r="MHQ148" s="22"/>
      <c r="MHR148" s="22"/>
      <c r="MHS148" s="22"/>
      <c r="MHT148" s="22"/>
      <c r="MHU148" s="22"/>
      <c r="MHV148" s="22"/>
      <c r="MHW148" s="22"/>
      <c r="MHX148" s="22"/>
      <c r="MHY148" s="22"/>
      <c r="MHZ148" s="22"/>
      <c r="MIA148" s="22"/>
      <c r="MIB148" s="22"/>
      <c r="MIC148" s="22"/>
      <c r="MID148" s="22"/>
      <c r="MIE148" s="22"/>
      <c r="MIF148" s="22"/>
      <c r="MIG148" s="22"/>
      <c r="MIH148" s="22"/>
      <c r="MII148" s="22"/>
      <c r="MIJ148" s="22"/>
      <c r="MIK148" s="22"/>
      <c r="MIL148" s="22"/>
      <c r="MIM148" s="22"/>
      <c r="MIN148" s="22"/>
      <c r="MIO148" s="22"/>
      <c r="MIP148" s="22"/>
      <c r="MIQ148" s="22"/>
      <c r="MIR148" s="22"/>
      <c r="MIS148" s="22"/>
      <c r="MIT148" s="22"/>
      <c r="MIU148" s="22"/>
      <c r="MIV148" s="22"/>
      <c r="MIW148" s="22"/>
      <c r="MIX148" s="22"/>
      <c r="MIY148" s="22"/>
      <c r="MIZ148" s="22"/>
      <c r="MJA148" s="22"/>
      <c r="MJB148" s="22"/>
      <c r="MJC148" s="22"/>
      <c r="MJD148" s="22"/>
      <c r="MJE148" s="22"/>
      <c r="MJF148" s="22"/>
      <c r="MJG148" s="22"/>
      <c r="MJH148" s="22"/>
      <c r="MJI148" s="22"/>
      <c r="MJJ148" s="22"/>
      <c r="MJK148" s="22"/>
      <c r="MJL148" s="22"/>
      <c r="MJM148" s="22"/>
      <c r="MJN148" s="22"/>
      <c r="MJO148" s="22"/>
      <c r="MJP148" s="22"/>
      <c r="MJQ148" s="22"/>
      <c r="MJR148" s="22"/>
      <c r="MJS148" s="22"/>
      <c r="MJT148" s="22"/>
      <c r="MJU148" s="22"/>
      <c r="MJV148" s="22"/>
      <c r="MJW148" s="22"/>
      <c r="MJX148" s="22"/>
      <c r="MJY148" s="22"/>
      <c r="MJZ148" s="22"/>
      <c r="MKA148" s="22"/>
      <c r="MKB148" s="22"/>
      <c r="MKC148" s="22"/>
      <c r="MKD148" s="22"/>
      <c r="MKE148" s="22"/>
      <c r="MKF148" s="22"/>
      <c r="MKG148" s="22"/>
      <c r="MKH148" s="22"/>
      <c r="MKI148" s="22"/>
      <c r="MKJ148" s="22"/>
      <c r="MKK148" s="22"/>
      <c r="MKL148" s="22"/>
      <c r="MKM148" s="22"/>
      <c r="MKN148" s="22"/>
      <c r="MKO148" s="22"/>
      <c r="MKP148" s="22"/>
      <c r="MKQ148" s="22"/>
      <c r="MKR148" s="22"/>
      <c r="MKS148" s="22"/>
      <c r="MKT148" s="22"/>
      <c r="MKU148" s="22"/>
      <c r="MKV148" s="22"/>
      <c r="MKW148" s="22"/>
      <c r="MKX148" s="22"/>
      <c r="MKY148" s="22"/>
      <c r="MKZ148" s="22"/>
      <c r="MLA148" s="22"/>
      <c r="MLB148" s="22"/>
      <c r="MLC148" s="22"/>
      <c r="MLD148" s="22"/>
      <c r="MLE148" s="22"/>
      <c r="MLF148" s="22"/>
      <c r="MLG148" s="22"/>
      <c r="MLH148" s="22"/>
      <c r="MLI148" s="22"/>
      <c r="MLJ148" s="22"/>
      <c r="MLK148" s="22"/>
      <c r="MLL148" s="22"/>
      <c r="MLM148" s="22"/>
      <c r="MLN148" s="22"/>
      <c r="MLO148" s="22"/>
      <c r="MLP148" s="22"/>
      <c r="MLQ148" s="22"/>
      <c r="MLR148" s="22"/>
      <c r="MLS148" s="22"/>
      <c r="MLT148" s="22"/>
      <c r="MLU148" s="22"/>
      <c r="MLV148" s="22"/>
      <c r="MLW148" s="22"/>
      <c r="MLX148" s="22"/>
      <c r="MLY148" s="22"/>
      <c r="MLZ148" s="22"/>
      <c r="MMA148" s="22"/>
      <c r="MMB148" s="22"/>
      <c r="MMC148" s="22"/>
      <c r="MMD148" s="22"/>
      <c r="MME148" s="22"/>
      <c r="MMF148" s="22"/>
      <c r="MMG148" s="22"/>
      <c r="MMH148" s="22"/>
      <c r="MMI148" s="22"/>
      <c r="MMJ148" s="22"/>
      <c r="MMK148" s="22"/>
      <c r="MML148" s="22"/>
      <c r="MMM148" s="22"/>
      <c r="MMN148" s="22"/>
      <c r="MMO148" s="22"/>
      <c r="MMP148" s="22"/>
      <c r="MMQ148" s="22"/>
      <c r="MMR148" s="22"/>
      <c r="MMS148" s="22"/>
      <c r="MMT148" s="22"/>
      <c r="MMU148" s="22"/>
      <c r="MMV148" s="22"/>
      <c r="MMW148" s="22"/>
      <c r="MMX148" s="22"/>
      <c r="MMY148" s="22"/>
      <c r="MMZ148" s="22"/>
      <c r="MNA148" s="22"/>
      <c r="MNB148" s="22"/>
      <c r="MNC148" s="22"/>
      <c r="MND148" s="22"/>
      <c r="MNE148" s="22"/>
      <c r="MNF148" s="22"/>
      <c r="MNG148" s="22"/>
      <c r="MNH148" s="22"/>
      <c r="MNI148" s="22"/>
      <c r="MNJ148" s="22"/>
      <c r="MNK148" s="22"/>
      <c r="MNL148" s="22"/>
      <c r="MNM148" s="22"/>
      <c r="MNN148" s="22"/>
      <c r="MNO148" s="22"/>
      <c r="MNP148" s="22"/>
      <c r="MNQ148" s="22"/>
      <c r="MNR148" s="22"/>
      <c r="MNS148" s="22"/>
      <c r="MNT148" s="22"/>
      <c r="MNU148" s="22"/>
      <c r="MNV148" s="22"/>
      <c r="MNW148" s="22"/>
      <c r="MNX148" s="22"/>
      <c r="MNY148" s="22"/>
      <c r="MNZ148" s="22"/>
      <c r="MOA148" s="22"/>
      <c r="MOB148" s="22"/>
      <c r="MOC148" s="22"/>
      <c r="MOD148" s="22"/>
      <c r="MOE148" s="22"/>
      <c r="MOF148" s="22"/>
      <c r="MOG148" s="22"/>
      <c r="MOH148" s="22"/>
      <c r="MOI148" s="22"/>
      <c r="MOJ148" s="22"/>
      <c r="MOK148" s="22"/>
      <c r="MOL148" s="22"/>
      <c r="MOM148" s="22"/>
      <c r="MON148" s="22"/>
      <c r="MOO148" s="22"/>
      <c r="MOP148" s="22"/>
      <c r="MOQ148" s="22"/>
      <c r="MOR148" s="22"/>
      <c r="MOS148" s="22"/>
      <c r="MOT148" s="22"/>
      <c r="MOU148" s="22"/>
      <c r="MOV148" s="22"/>
      <c r="MOW148" s="22"/>
      <c r="MOX148" s="22"/>
      <c r="MOY148" s="22"/>
      <c r="MOZ148" s="22"/>
      <c r="MPA148" s="22"/>
      <c r="MPB148" s="22"/>
      <c r="MPC148" s="22"/>
      <c r="MPD148" s="22"/>
      <c r="MPE148" s="22"/>
      <c r="MPF148" s="22"/>
      <c r="MPG148" s="22"/>
      <c r="MPH148" s="22"/>
      <c r="MPI148" s="22"/>
      <c r="MPJ148" s="22"/>
      <c r="MPK148" s="22"/>
      <c r="MPL148" s="22"/>
      <c r="MPM148" s="22"/>
      <c r="MPN148" s="22"/>
      <c r="MPO148" s="22"/>
      <c r="MPP148" s="22"/>
      <c r="MPQ148" s="22"/>
      <c r="MPR148" s="22"/>
      <c r="MPS148" s="22"/>
      <c r="MPT148" s="22"/>
      <c r="MPU148" s="22"/>
      <c r="MPV148" s="22"/>
      <c r="MPW148" s="22"/>
      <c r="MPX148" s="22"/>
      <c r="MPY148" s="22"/>
      <c r="MPZ148" s="22"/>
      <c r="MQA148" s="22"/>
      <c r="MQB148" s="22"/>
      <c r="MQC148" s="22"/>
      <c r="MQD148" s="22"/>
      <c r="MQE148" s="22"/>
      <c r="MQF148" s="22"/>
      <c r="MQG148" s="22"/>
      <c r="MQH148" s="22"/>
      <c r="MQI148" s="22"/>
      <c r="MQJ148" s="22"/>
      <c r="MQK148" s="22"/>
      <c r="MQL148" s="22"/>
      <c r="MQM148" s="22"/>
      <c r="MQN148" s="22"/>
      <c r="MQO148" s="22"/>
      <c r="MQP148" s="22"/>
      <c r="MQQ148" s="22"/>
      <c r="MQR148" s="22"/>
      <c r="MQS148" s="22"/>
      <c r="MQT148" s="22"/>
      <c r="MQU148" s="22"/>
      <c r="MQV148" s="22"/>
      <c r="MQW148" s="22"/>
      <c r="MQX148" s="22"/>
      <c r="MQY148" s="22"/>
      <c r="MQZ148" s="22"/>
      <c r="MRA148" s="22"/>
      <c r="MRB148" s="22"/>
      <c r="MRC148" s="22"/>
      <c r="MRD148" s="22"/>
      <c r="MRE148" s="22"/>
      <c r="MRF148" s="22"/>
      <c r="MRG148" s="22"/>
      <c r="MRH148" s="22"/>
      <c r="MRI148" s="22"/>
      <c r="MRJ148" s="22"/>
      <c r="MRK148" s="22"/>
      <c r="MRL148" s="22"/>
      <c r="MRM148" s="22"/>
      <c r="MRN148" s="22"/>
      <c r="MRO148" s="22"/>
      <c r="MRP148" s="22"/>
      <c r="MRQ148" s="22"/>
      <c r="MRR148" s="22"/>
      <c r="MRS148" s="22"/>
      <c r="MRT148" s="22"/>
      <c r="MRU148" s="22"/>
      <c r="MRV148" s="22"/>
      <c r="MRW148" s="22"/>
      <c r="MRX148" s="22"/>
      <c r="MRY148" s="22"/>
      <c r="MRZ148" s="22"/>
      <c r="MSA148" s="22"/>
      <c r="MSB148" s="22"/>
      <c r="MSC148" s="22"/>
      <c r="MSD148" s="22"/>
      <c r="MSE148" s="22"/>
      <c r="MSF148" s="22"/>
      <c r="MSG148" s="22"/>
      <c r="MSH148" s="22"/>
      <c r="MSI148" s="22"/>
      <c r="MSJ148" s="22"/>
      <c r="MSK148" s="22"/>
      <c r="MSL148" s="22"/>
      <c r="MSM148" s="22"/>
      <c r="MSN148" s="22"/>
      <c r="MSO148" s="22"/>
      <c r="MSP148" s="22"/>
      <c r="MSQ148" s="22"/>
      <c r="MSR148" s="22"/>
      <c r="MSS148" s="22"/>
      <c r="MST148" s="22"/>
      <c r="MSU148" s="22"/>
      <c r="MSV148" s="22"/>
      <c r="MSW148" s="22"/>
      <c r="MSX148" s="22"/>
      <c r="MSY148" s="22"/>
      <c r="MSZ148" s="22"/>
      <c r="MTA148" s="22"/>
      <c r="MTB148" s="22"/>
      <c r="MTC148" s="22"/>
      <c r="MTD148" s="22"/>
      <c r="MTE148" s="22"/>
      <c r="MTF148" s="22"/>
      <c r="MTG148" s="22"/>
      <c r="MTH148" s="22"/>
      <c r="MTI148" s="22"/>
      <c r="MTJ148" s="22"/>
      <c r="MTK148" s="22"/>
      <c r="MTL148" s="22"/>
      <c r="MTM148" s="22"/>
      <c r="MTN148" s="22"/>
      <c r="MTO148" s="22"/>
      <c r="MTP148" s="22"/>
      <c r="MTQ148" s="22"/>
      <c r="MTR148" s="22"/>
      <c r="MTS148" s="22"/>
      <c r="MTT148" s="22"/>
      <c r="MTU148" s="22"/>
      <c r="MTV148" s="22"/>
      <c r="MTW148" s="22"/>
      <c r="MTX148" s="22"/>
      <c r="MTY148" s="22"/>
      <c r="MTZ148" s="22"/>
      <c r="MUA148" s="22"/>
      <c r="MUB148" s="22"/>
      <c r="MUC148" s="22"/>
      <c r="MUD148" s="22"/>
      <c r="MUE148" s="22"/>
      <c r="MUF148" s="22"/>
      <c r="MUG148" s="22"/>
      <c r="MUH148" s="22"/>
      <c r="MUI148" s="22"/>
      <c r="MUJ148" s="22"/>
      <c r="MUK148" s="22"/>
      <c r="MUL148" s="22"/>
      <c r="MUM148" s="22"/>
      <c r="MUN148" s="22"/>
      <c r="MUO148" s="22"/>
      <c r="MUP148" s="22"/>
      <c r="MUQ148" s="22"/>
      <c r="MUR148" s="22"/>
      <c r="MUS148" s="22"/>
      <c r="MUT148" s="22"/>
      <c r="MUU148" s="22"/>
      <c r="MUV148" s="22"/>
      <c r="MUW148" s="22"/>
      <c r="MUX148" s="22"/>
      <c r="MUY148" s="22"/>
      <c r="MUZ148" s="22"/>
      <c r="MVA148" s="22"/>
      <c r="MVB148" s="22"/>
      <c r="MVC148" s="22"/>
      <c r="MVD148" s="22"/>
      <c r="MVE148" s="22"/>
      <c r="MVF148" s="22"/>
      <c r="MVG148" s="22"/>
      <c r="MVH148" s="22"/>
      <c r="MVI148" s="22"/>
      <c r="MVJ148" s="22"/>
      <c r="MVK148" s="22"/>
      <c r="MVL148" s="22"/>
      <c r="MVM148" s="22"/>
      <c r="MVN148" s="22"/>
      <c r="MVO148" s="22"/>
      <c r="MVP148" s="22"/>
      <c r="MVQ148" s="22"/>
      <c r="MVR148" s="22"/>
      <c r="MVS148" s="22"/>
      <c r="MVT148" s="22"/>
      <c r="MVU148" s="22"/>
      <c r="MVV148" s="22"/>
      <c r="MVW148" s="22"/>
      <c r="MVX148" s="22"/>
      <c r="MVY148" s="22"/>
      <c r="MVZ148" s="22"/>
      <c r="MWA148" s="22"/>
      <c r="MWB148" s="22"/>
      <c r="MWC148" s="22"/>
      <c r="MWD148" s="22"/>
      <c r="MWE148" s="22"/>
      <c r="MWF148" s="22"/>
      <c r="MWG148" s="22"/>
      <c r="MWH148" s="22"/>
      <c r="MWI148" s="22"/>
      <c r="MWJ148" s="22"/>
      <c r="MWK148" s="22"/>
      <c r="MWL148" s="22"/>
      <c r="MWM148" s="22"/>
      <c r="MWN148" s="22"/>
      <c r="MWO148" s="22"/>
      <c r="MWP148" s="22"/>
      <c r="MWQ148" s="22"/>
      <c r="MWR148" s="22"/>
      <c r="MWS148" s="22"/>
      <c r="MWT148" s="22"/>
      <c r="MWU148" s="22"/>
      <c r="MWV148" s="22"/>
      <c r="MWW148" s="22"/>
      <c r="MWX148" s="22"/>
      <c r="MWY148" s="22"/>
      <c r="MWZ148" s="22"/>
      <c r="MXA148" s="22"/>
      <c r="MXB148" s="22"/>
      <c r="MXC148" s="22"/>
      <c r="MXD148" s="22"/>
      <c r="MXE148" s="22"/>
      <c r="MXF148" s="22"/>
      <c r="MXG148" s="22"/>
      <c r="MXH148" s="22"/>
      <c r="MXI148" s="22"/>
      <c r="MXJ148" s="22"/>
      <c r="MXK148" s="22"/>
      <c r="MXL148" s="22"/>
      <c r="MXM148" s="22"/>
      <c r="MXN148" s="22"/>
      <c r="MXO148" s="22"/>
      <c r="MXP148" s="22"/>
      <c r="MXQ148" s="22"/>
      <c r="MXR148" s="22"/>
      <c r="MXS148" s="22"/>
      <c r="MXT148" s="22"/>
      <c r="MXU148" s="22"/>
      <c r="MXV148" s="22"/>
      <c r="MXW148" s="22"/>
      <c r="MXX148" s="22"/>
      <c r="MXY148" s="22"/>
      <c r="MXZ148" s="22"/>
      <c r="MYA148" s="22"/>
      <c r="MYB148" s="22"/>
      <c r="MYC148" s="22"/>
      <c r="MYD148" s="22"/>
      <c r="MYE148" s="22"/>
      <c r="MYF148" s="22"/>
      <c r="MYG148" s="22"/>
      <c r="MYH148" s="22"/>
      <c r="MYI148" s="22"/>
      <c r="MYJ148" s="22"/>
      <c r="MYK148" s="22"/>
      <c r="MYL148" s="22"/>
      <c r="MYM148" s="22"/>
      <c r="MYN148" s="22"/>
      <c r="MYO148" s="22"/>
      <c r="MYP148" s="22"/>
      <c r="MYQ148" s="22"/>
      <c r="MYR148" s="22"/>
      <c r="MYS148" s="22"/>
      <c r="MYT148" s="22"/>
      <c r="MYU148" s="22"/>
      <c r="MYV148" s="22"/>
      <c r="MYW148" s="22"/>
      <c r="MYX148" s="22"/>
      <c r="MYY148" s="22"/>
      <c r="MYZ148" s="22"/>
      <c r="MZA148" s="22"/>
      <c r="MZB148" s="22"/>
      <c r="MZC148" s="22"/>
      <c r="MZD148" s="22"/>
      <c r="MZE148" s="22"/>
      <c r="MZF148" s="22"/>
      <c r="MZG148" s="22"/>
      <c r="MZH148" s="22"/>
      <c r="MZI148" s="22"/>
      <c r="MZJ148" s="22"/>
      <c r="MZK148" s="22"/>
      <c r="MZL148" s="22"/>
      <c r="MZM148" s="22"/>
      <c r="MZN148" s="22"/>
      <c r="MZO148" s="22"/>
      <c r="MZP148" s="22"/>
      <c r="MZQ148" s="22"/>
      <c r="MZR148" s="22"/>
      <c r="MZS148" s="22"/>
      <c r="MZT148" s="22"/>
      <c r="MZU148" s="22"/>
      <c r="MZV148" s="22"/>
      <c r="MZW148" s="22"/>
      <c r="MZX148" s="22"/>
      <c r="MZY148" s="22"/>
      <c r="MZZ148" s="22"/>
      <c r="NAA148" s="22"/>
      <c r="NAB148" s="22"/>
      <c r="NAC148" s="22"/>
      <c r="NAD148" s="22"/>
      <c r="NAE148" s="22"/>
      <c r="NAF148" s="22"/>
      <c r="NAG148" s="22"/>
      <c r="NAH148" s="22"/>
      <c r="NAI148" s="22"/>
      <c r="NAJ148" s="22"/>
      <c r="NAK148" s="22"/>
      <c r="NAL148" s="22"/>
      <c r="NAM148" s="22"/>
      <c r="NAN148" s="22"/>
      <c r="NAO148" s="22"/>
      <c r="NAP148" s="22"/>
      <c r="NAQ148" s="22"/>
      <c r="NAR148" s="22"/>
      <c r="NAS148" s="22"/>
      <c r="NAT148" s="22"/>
      <c r="NAU148" s="22"/>
      <c r="NAV148" s="22"/>
      <c r="NAW148" s="22"/>
      <c r="NAX148" s="22"/>
      <c r="NAY148" s="22"/>
      <c r="NAZ148" s="22"/>
      <c r="NBA148" s="22"/>
      <c r="NBB148" s="22"/>
      <c r="NBC148" s="22"/>
      <c r="NBD148" s="22"/>
      <c r="NBE148" s="22"/>
      <c r="NBF148" s="22"/>
      <c r="NBG148" s="22"/>
      <c r="NBH148" s="22"/>
      <c r="NBI148" s="22"/>
      <c r="NBJ148" s="22"/>
      <c r="NBK148" s="22"/>
      <c r="NBL148" s="22"/>
      <c r="NBM148" s="22"/>
      <c r="NBN148" s="22"/>
      <c r="NBO148" s="22"/>
      <c r="NBP148" s="22"/>
      <c r="NBQ148" s="22"/>
      <c r="NBR148" s="22"/>
      <c r="NBS148" s="22"/>
      <c r="NBT148" s="22"/>
      <c r="NBU148" s="22"/>
      <c r="NBV148" s="22"/>
      <c r="NBW148" s="22"/>
      <c r="NBX148" s="22"/>
      <c r="NBY148" s="22"/>
      <c r="NBZ148" s="22"/>
      <c r="NCA148" s="22"/>
      <c r="NCB148" s="22"/>
      <c r="NCC148" s="22"/>
      <c r="NCD148" s="22"/>
      <c r="NCE148" s="22"/>
      <c r="NCF148" s="22"/>
      <c r="NCG148" s="22"/>
      <c r="NCH148" s="22"/>
      <c r="NCI148" s="22"/>
      <c r="NCJ148" s="22"/>
      <c r="NCK148" s="22"/>
      <c r="NCL148" s="22"/>
      <c r="NCM148" s="22"/>
      <c r="NCN148" s="22"/>
      <c r="NCO148" s="22"/>
      <c r="NCP148" s="22"/>
      <c r="NCQ148" s="22"/>
      <c r="NCR148" s="22"/>
      <c r="NCS148" s="22"/>
      <c r="NCT148" s="22"/>
      <c r="NCU148" s="22"/>
      <c r="NCV148" s="22"/>
      <c r="NCW148" s="22"/>
      <c r="NCX148" s="22"/>
      <c r="NCY148" s="22"/>
      <c r="NCZ148" s="22"/>
      <c r="NDA148" s="22"/>
      <c r="NDB148" s="22"/>
      <c r="NDC148" s="22"/>
      <c r="NDD148" s="22"/>
      <c r="NDE148" s="22"/>
      <c r="NDF148" s="22"/>
      <c r="NDG148" s="22"/>
      <c r="NDH148" s="22"/>
      <c r="NDI148" s="22"/>
      <c r="NDJ148" s="22"/>
      <c r="NDK148" s="22"/>
      <c r="NDL148" s="22"/>
      <c r="NDM148" s="22"/>
      <c r="NDN148" s="22"/>
      <c r="NDO148" s="22"/>
      <c r="NDP148" s="22"/>
      <c r="NDQ148" s="22"/>
      <c r="NDR148" s="22"/>
      <c r="NDS148" s="22"/>
      <c r="NDT148" s="22"/>
      <c r="NDU148" s="22"/>
      <c r="NDV148" s="22"/>
      <c r="NDW148" s="22"/>
      <c r="NDX148" s="22"/>
      <c r="NDY148" s="22"/>
      <c r="NDZ148" s="22"/>
      <c r="NEA148" s="22"/>
      <c r="NEB148" s="22"/>
      <c r="NEC148" s="22"/>
      <c r="NED148" s="22"/>
      <c r="NEE148" s="22"/>
      <c r="NEF148" s="22"/>
      <c r="NEG148" s="22"/>
      <c r="NEH148" s="22"/>
      <c r="NEI148" s="22"/>
      <c r="NEJ148" s="22"/>
      <c r="NEK148" s="22"/>
      <c r="NEL148" s="22"/>
      <c r="NEM148" s="22"/>
      <c r="NEN148" s="22"/>
      <c r="NEO148" s="22"/>
      <c r="NEP148" s="22"/>
      <c r="NEQ148" s="22"/>
      <c r="NER148" s="22"/>
      <c r="NES148" s="22"/>
      <c r="NET148" s="22"/>
      <c r="NEU148" s="22"/>
      <c r="NEV148" s="22"/>
      <c r="NEW148" s="22"/>
      <c r="NEX148" s="22"/>
      <c r="NEY148" s="22"/>
      <c r="NEZ148" s="22"/>
      <c r="NFA148" s="22"/>
      <c r="NFB148" s="22"/>
      <c r="NFC148" s="22"/>
      <c r="NFD148" s="22"/>
      <c r="NFE148" s="22"/>
      <c r="NFF148" s="22"/>
      <c r="NFG148" s="22"/>
      <c r="NFH148" s="22"/>
      <c r="NFI148" s="22"/>
      <c r="NFJ148" s="22"/>
      <c r="NFK148" s="22"/>
      <c r="NFL148" s="22"/>
      <c r="NFM148" s="22"/>
      <c r="NFN148" s="22"/>
      <c r="NFO148" s="22"/>
      <c r="NFP148" s="22"/>
      <c r="NFQ148" s="22"/>
      <c r="NFR148" s="22"/>
      <c r="NFS148" s="22"/>
      <c r="NFT148" s="22"/>
      <c r="NFU148" s="22"/>
      <c r="NFV148" s="22"/>
      <c r="NFW148" s="22"/>
      <c r="NFX148" s="22"/>
      <c r="NFY148" s="22"/>
      <c r="NFZ148" s="22"/>
      <c r="NGA148" s="22"/>
      <c r="NGB148" s="22"/>
      <c r="NGC148" s="22"/>
      <c r="NGD148" s="22"/>
      <c r="NGE148" s="22"/>
      <c r="NGF148" s="22"/>
      <c r="NGG148" s="22"/>
      <c r="NGH148" s="22"/>
      <c r="NGI148" s="22"/>
      <c r="NGJ148" s="22"/>
      <c r="NGK148" s="22"/>
      <c r="NGL148" s="22"/>
      <c r="NGM148" s="22"/>
      <c r="NGN148" s="22"/>
      <c r="NGO148" s="22"/>
      <c r="NGP148" s="22"/>
      <c r="NGQ148" s="22"/>
      <c r="NGR148" s="22"/>
      <c r="NGS148" s="22"/>
      <c r="NGT148" s="22"/>
      <c r="NGU148" s="22"/>
      <c r="NGV148" s="22"/>
      <c r="NGW148" s="22"/>
      <c r="NGX148" s="22"/>
      <c r="NGY148" s="22"/>
      <c r="NGZ148" s="22"/>
      <c r="NHA148" s="22"/>
      <c r="NHB148" s="22"/>
      <c r="NHC148" s="22"/>
      <c r="NHD148" s="22"/>
      <c r="NHE148" s="22"/>
      <c r="NHF148" s="22"/>
      <c r="NHG148" s="22"/>
      <c r="NHH148" s="22"/>
      <c r="NHI148" s="22"/>
      <c r="NHJ148" s="22"/>
      <c r="NHK148" s="22"/>
      <c r="NHL148" s="22"/>
      <c r="NHM148" s="22"/>
      <c r="NHN148" s="22"/>
      <c r="NHO148" s="22"/>
      <c r="NHP148" s="22"/>
      <c r="NHQ148" s="22"/>
      <c r="NHR148" s="22"/>
      <c r="NHS148" s="22"/>
      <c r="NHT148" s="22"/>
      <c r="NHU148" s="22"/>
      <c r="NHV148" s="22"/>
      <c r="NHW148" s="22"/>
      <c r="NHX148" s="22"/>
      <c r="NHY148" s="22"/>
      <c r="NHZ148" s="22"/>
      <c r="NIA148" s="22"/>
      <c r="NIB148" s="22"/>
      <c r="NIC148" s="22"/>
      <c r="NID148" s="22"/>
      <c r="NIE148" s="22"/>
      <c r="NIF148" s="22"/>
      <c r="NIG148" s="22"/>
      <c r="NIH148" s="22"/>
      <c r="NII148" s="22"/>
      <c r="NIJ148" s="22"/>
      <c r="NIK148" s="22"/>
      <c r="NIL148" s="22"/>
      <c r="NIM148" s="22"/>
      <c r="NIN148" s="22"/>
      <c r="NIO148" s="22"/>
      <c r="NIP148" s="22"/>
      <c r="NIQ148" s="22"/>
      <c r="NIR148" s="22"/>
      <c r="NIS148" s="22"/>
      <c r="NIT148" s="22"/>
      <c r="NIU148" s="22"/>
      <c r="NIV148" s="22"/>
      <c r="NIW148" s="22"/>
      <c r="NIX148" s="22"/>
      <c r="NIY148" s="22"/>
      <c r="NIZ148" s="22"/>
      <c r="NJA148" s="22"/>
      <c r="NJB148" s="22"/>
      <c r="NJC148" s="22"/>
      <c r="NJD148" s="22"/>
      <c r="NJE148" s="22"/>
      <c r="NJF148" s="22"/>
      <c r="NJG148" s="22"/>
      <c r="NJH148" s="22"/>
      <c r="NJI148" s="22"/>
      <c r="NJJ148" s="22"/>
      <c r="NJK148" s="22"/>
      <c r="NJL148" s="22"/>
      <c r="NJM148" s="22"/>
      <c r="NJN148" s="22"/>
      <c r="NJO148" s="22"/>
      <c r="NJP148" s="22"/>
      <c r="NJQ148" s="22"/>
      <c r="NJR148" s="22"/>
      <c r="NJS148" s="22"/>
      <c r="NJT148" s="22"/>
      <c r="NJU148" s="22"/>
      <c r="NJV148" s="22"/>
      <c r="NJW148" s="22"/>
      <c r="NJX148" s="22"/>
      <c r="NJY148" s="22"/>
      <c r="NJZ148" s="22"/>
      <c r="NKA148" s="22"/>
      <c r="NKB148" s="22"/>
      <c r="NKC148" s="22"/>
      <c r="NKD148" s="22"/>
      <c r="NKE148" s="22"/>
      <c r="NKF148" s="22"/>
      <c r="NKG148" s="22"/>
      <c r="NKH148" s="22"/>
      <c r="NKI148" s="22"/>
      <c r="NKJ148" s="22"/>
      <c r="NKK148" s="22"/>
      <c r="NKL148" s="22"/>
      <c r="NKM148" s="22"/>
      <c r="NKN148" s="22"/>
      <c r="NKO148" s="22"/>
      <c r="NKP148" s="22"/>
      <c r="NKQ148" s="22"/>
      <c r="NKR148" s="22"/>
      <c r="NKS148" s="22"/>
      <c r="NKT148" s="22"/>
      <c r="NKU148" s="22"/>
      <c r="NKV148" s="22"/>
      <c r="NKW148" s="22"/>
      <c r="NKX148" s="22"/>
      <c r="NKY148" s="22"/>
      <c r="NKZ148" s="22"/>
      <c r="NLA148" s="22"/>
      <c r="NLB148" s="22"/>
      <c r="NLC148" s="22"/>
      <c r="NLD148" s="22"/>
      <c r="NLE148" s="22"/>
      <c r="NLF148" s="22"/>
      <c r="NLG148" s="22"/>
      <c r="NLH148" s="22"/>
      <c r="NLI148" s="22"/>
      <c r="NLJ148" s="22"/>
      <c r="NLK148" s="22"/>
      <c r="NLL148" s="22"/>
      <c r="NLM148" s="22"/>
      <c r="NLN148" s="22"/>
      <c r="NLO148" s="22"/>
      <c r="NLP148" s="22"/>
      <c r="NLQ148" s="22"/>
      <c r="NLR148" s="22"/>
      <c r="NLS148" s="22"/>
      <c r="NLT148" s="22"/>
      <c r="NLU148" s="22"/>
      <c r="NLV148" s="22"/>
      <c r="NLW148" s="22"/>
      <c r="NLX148" s="22"/>
      <c r="NLY148" s="22"/>
      <c r="NLZ148" s="22"/>
      <c r="NMA148" s="22"/>
      <c r="NMB148" s="22"/>
      <c r="NMC148" s="22"/>
      <c r="NMD148" s="22"/>
      <c r="NME148" s="22"/>
      <c r="NMF148" s="22"/>
      <c r="NMG148" s="22"/>
      <c r="NMH148" s="22"/>
      <c r="NMI148" s="22"/>
      <c r="NMJ148" s="22"/>
      <c r="NMK148" s="22"/>
      <c r="NML148" s="22"/>
      <c r="NMM148" s="22"/>
      <c r="NMN148" s="22"/>
      <c r="NMO148" s="22"/>
      <c r="NMP148" s="22"/>
      <c r="NMQ148" s="22"/>
      <c r="NMR148" s="22"/>
      <c r="NMS148" s="22"/>
      <c r="NMT148" s="22"/>
      <c r="NMU148" s="22"/>
      <c r="NMV148" s="22"/>
      <c r="NMW148" s="22"/>
      <c r="NMX148" s="22"/>
      <c r="NMY148" s="22"/>
      <c r="NMZ148" s="22"/>
      <c r="NNA148" s="22"/>
      <c r="NNB148" s="22"/>
      <c r="NNC148" s="22"/>
      <c r="NND148" s="22"/>
      <c r="NNE148" s="22"/>
      <c r="NNF148" s="22"/>
      <c r="NNG148" s="22"/>
      <c r="NNH148" s="22"/>
      <c r="NNI148" s="22"/>
      <c r="NNJ148" s="22"/>
      <c r="NNK148" s="22"/>
      <c r="NNL148" s="22"/>
      <c r="NNM148" s="22"/>
      <c r="NNN148" s="22"/>
      <c r="NNO148" s="22"/>
      <c r="NNP148" s="22"/>
      <c r="NNQ148" s="22"/>
      <c r="NNR148" s="22"/>
      <c r="NNS148" s="22"/>
      <c r="NNT148" s="22"/>
      <c r="NNU148" s="22"/>
      <c r="NNV148" s="22"/>
      <c r="NNW148" s="22"/>
      <c r="NNX148" s="22"/>
      <c r="NNY148" s="22"/>
      <c r="NNZ148" s="22"/>
      <c r="NOA148" s="22"/>
      <c r="NOB148" s="22"/>
      <c r="NOC148" s="22"/>
      <c r="NOD148" s="22"/>
      <c r="NOE148" s="22"/>
      <c r="NOF148" s="22"/>
      <c r="NOG148" s="22"/>
      <c r="NOH148" s="22"/>
      <c r="NOI148" s="22"/>
      <c r="NOJ148" s="22"/>
      <c r="NOK148" s="22"/>
      <c r="NOL148" s="22"/>
      <c r="NOM148" s="22"/>
      <c r="NON148" s="22"/>
      <c r="NOO148" s="22"/>
      <c r="NOP148" s="22"/>
      <c r="NOQ148" s="22"/>
      <c r="NOR148" s="22"/>
      <c r="NOS148" s="22"/>
      <c r="NOT148" s="22"/>
      <c r="NOU148" s="22"/>
      <c r="NOV148" s="22"/>
      <c r="NOW148" s="22"/>
      <c r="NOX148" s="22"/>
      <c r="NOY148" s="22"/>
      <c r="NOZ148" s="22"/>
      <c r="NPA148" s="22"/>
      <c r="NPB148" s="22"/>
      <c r="NPC148" s="22"/>
      <c r="NPD148" s="22"/>
      <c r="NPE148" s="22"/>
      <c r="NPF148" s="22"/>
      <c r="NPG148" s="22"/>
      <c r="NPH148" s="22"/>
      <c r="NPI148" s="22"/>
      <c r="NPJ148" s="22"/>
      <c r="NPK148" s="22"/>
      <c r="NPL148" s="22"/>
      <c r="NPM148" s="22"/>
      <c r="NPN148" s="22"/>
      <c r="NPO148" s="22"/>
      <c r="NPP148" s="22"/>
      <c r="NPQ148" s="22"/>
      <c r="NPR148" s="22"/>
      <c r="NPS148" s="22"/>
      <c r="NPT148" s="22"/>
      <c r="NPU148" s="22"/>
      <c r="NPV148" s="22"/>
      <c r="NPW148" s="22"/>
      <c r="NPX148" s="22"/>
      <c r="NPY148" s="22"/>
      <c r="NPZ148" s="22"/>
      <c r="NQA148" s="22"/>
      <c r="NQB148" s="22"/>
      <c r="NQC148" s="22"/>
      <c r="NQD148" s="22"/>
      <c r="NQE148" s="22"/>
      <c r="NQF148" s="22"/>
      <c r="NQG148" s="22"/>
      <c r="NQH148" s="22"/>
      <c r="NQI148" s="22"/>
      <c r="NQJ148" s="22"/>
      <c r="NQK148" s="22"/>
      <c r="NQL148" s="22"/>
      <c r="NQM148" s="22"/>
      <c r="NQN148" s="22"/>
      <c r="NQO148" s="22"/>
      <c r="NQP148" s="22"/>
      <c r="NQQ148" s="22"/>
      <c r="NQR148" s="22"/>
      <c r="NQS148" s="22"/>
      <c r="NQT148" s="22"/>
      <c r="NQU148" s="22"/>
      <c r="NQV148" s="22"/>
      <c r="NQW148" s="22"/>
      <c r="NQX148" s="22"/>
      <c r="NQY148" s="22"/>
      <c r="NQZ148" s="22"/>
      <c r="NRA148" s="22"/>
      <c r="NRB148" s="22"/>
      <c r="NRC148" s="22"/>
      <c r="NRD148" s="22"/>
      <c r="NRE148" s="22"/>
      <c r="NRF148" s="22"/>
      <c r="NRG148" s="22"/>
      <c r="NRH148" s="22"/>
      <c r="NRI148" s="22"/>
      <c r="NRJ148" s="22"/>
      <c r="NRK148" s="22"/>
      <c r="NRL148" s="22"/>
      <c r="NRM148" s="22"/>
      <c r="NRN148" s="22"/>
      <c r="NRO148" s="22"/>
      <c r="NRP148" s="22"/>
      <c r="NRQ148" s="22"/>
      <c r="NRR148" s="22"/>
      <c r="NRS148" s="22"/>
      <c r="NRT148" s="22"/>
      <c r="NRU148" s="22"/>
      <c r="NRV148" s="22"/>
      <c r="NRW148" s="22"/>
      <c r="NRX148" s="22"/>
      <c r="NRY148" s="22"/>
      <c r="NRZ148" s="22"/>
      <c r="NSA148" s="22"/>
      <c r="NSB148" s="22"/>
      <c r="NSC148" s="22"/>
      <c r="NSD148" s="22"/>
      <c r="NSE148" s="22"/>
      <c r="NSF148" s="22"/>
      <c r="NSG148" s="22"/>
      <c r="NSH148" s="22"/>
      <c r="NSI148" s="22"/>
      <c r="NSJ148" s="22"/>
      <c r="NSK148" s="22"/>
      <c r="NSL148" s="22"/>
      <c r="NSM148" s="22"/>
      <c r="NSN148" s="22"/>
      <c r="NSO148" s="22"/>
      <c r="NSP148" s="22"/>
      <c r="NSQ148" s="22"/>
      <c r="NSR148" s="22"/>
      <c r="NSS148" s="22"/>
      <c r="NST148" s="22"/>
      <c r="NSU148" s="22"/>
      <c r="NSV148" s="22"/>
      <c r="NSW148" s="22"/>
      <c r="NSX148" s="22"/>
      <c r="NSY148" s="22"/>
      <c r="NSZ148" s="22"/>
      <c r="NTA148" s="22"/>
      <c r="NTB148" s="22"/>
      <c r="NTC148" s="22"/>
      <c r="NTD148" s="22"/>
      <c r="NTE148" s="22"/>
      <c r="NTF148" s="22"/>
      <c r="NTG148" s="22"/>
      <c r="NTH148" s="22"/>
      <c r="NTI148" s="22"/>
      <c r="NTJ148" s="22"/>
      <c r="NTK148" s="22"/>
      <c r="NTL148" s="22"/>
      <c r="NTM148" s="22"/>
      <c r="NTN148" s="22"/>
      <c r="NTO148" s="22"/>
      <c r="NTP148" s="22"/>
      <c r="NTQ148" s="22"/>
      <c r="NTR148" s="22"/>
      <c r="NTS148" s="22"/>
      <c r="NTT148" s="22"/>
      <c r="NTU148" s="22"/>
      <c r="NTV148" s="22"/>
      <c r="NTW148" s="22"/>
      <c r="NTX148" s="22"/>
      <c r="NTY148" s="22"/>
      <c r="NTZ148" s="22"/>
      <c r="NUA148" s="22"/>
      <c r="NUB148" s="22"/>
      <c r="NUC148" s="22"/>
      <c r="NUD148" s="22"/>
      <c r="NUE148" s="22"/>
      <c r="NUF148" s="22"/>
      <c r="NUG148" s="22"/>
      <c r="NUH148" s="22"/>
      <c r="NUI148" s="22"/>
      <c r="NUJ148" s="22"/>
      <c r="NUK148" s="22"/>
      <c r="NUL148" s="22"/>
      <c r="NUM148" s="22"/>
      <c r="NUN148" s="22"/>
      <c r="NUO148" s="22"/>
      <c r="NUP148" s="22"/>
      <c r="NUQ148" s="22"/>
      <c r="NUR148" s="22"/>
      <c r="NUS148" s="22"/>
      <c r="NUT148" s="22"/>
      <c r="NUU148" s="22"/>
      <c r="NUV148" s="22"/>
      <c r="NUW148" s="22"/>
      <c r="NUX148" s="22"/>
      <c r="NUY148" s="22"/>
      <c r="NUZ148" s="22"/>
      <c r="NVA148" s="22"/>
      <c r="NVB148" s="22"/>
      <c r="NVC148" s="22"/>
      <c r="NVD148" s="22"/>
      <c r="NVE148" s="22"/>
      <c r="NVF148" s="22"/>
      <c r="NVG148" s="22"/>
      <c r="NVH148" s="22"/>
      <c r="NVI148" s="22"/>
      <c r="NVJ148" s="22"/>
      <c r="NVK148" s="22"/>
      <c r="NVL148" s="22"/>
      <c r="NVM148" s="22"/>
      <c r="NVN148" s="22"/>
      <c r="NVO148" s="22"/>
      <c r="NVP148" s="22"/>
      <c r="NVQ148" s="22"/>
      <c r="NVR148" s="22"/>
      <c r="NVS148" s="22"/>
      <c r="NVT148" s="22"/>
      <c r="NVU148" s="22"/>
      <c r="NVV148" s="22"/>
      <c r="NVW148" s="22"/>
      <c r="NVX148" s="22"/>
      <c r="NVY148" s="22"/>
      <c r="NVZ148" s="22"/>
      <c r="NWA148" s="22"/>
      <c r="NWB148" s="22"/>
      <c r="NWC148" s="22"/>
      <c r="NWD148" s="22"/>
      <c r="NWE148" s="22"/>
      <c r="NWF148" s="22"/>
      <c r="NWG148" s="22"/>
      <c r="NWH148" s="22"/>
      <c r="NWI148" s="22"/>
      <c r="NWJ148" s="22"/>
      <c r="NWK148" s="22"/>
      <c r="NWL148" s="22"/>
      <c r="NWM148" s="22"/>
      <c r="NWN148" s="22"/>
      <c r="NWO148" s="22"/>
      <c r="NWP148" s="22"/>
      <c r="NWQ148" s="22"/>
      <c r="NWR148" s="22"/>
      <c r="NWS148" s="22"/>
      <c r="NWT148" s="22"/>
      <c r="NWU148" s="22"/>
      <c r="NWV148" s="22"/>
      <c r="NWW148" s="22"/>
      <c r="NWX148" s="22"/>
      <c r="NWY148" s="22"/>
      <c r="NWZ148" s="22"/>
      <c r="NXA148" s="22"/>
      <c r="NXB148" s="22"/>
      <c r="NXC148" s="22"/>
      <c r="NXD148" s="22"/>
      <c r="NXE148" s="22"/>
      <c r="NXF148" s="22"/>
      <c r="NXG148" s="22"/>
      <c r="NXH148" s="22"/>
      <c r="NXI148" s="22"/>
      <c r="NXJ148" s="22"/>
      <c r="NXK148" s="22"/>
      <c r="NXL148" s="22"/>
      <c r="NXM148" s="22"/>
      <c r="NXN148" s="22"/>
      <c r="NXO148" s="22"/>
      <c r="NXP148" s="22"/>
      <c r="NXQ148" s="22"/>
      <c r="NXR148" s="22"/>
      <c r="NXS148" s="22"/>
      <c r="NXT148" s="22"/>
      <c r="NXU148" s="22"/>
      <c r="NXV148" s="22"/>
      <c r="NXW148" s="22"/>
      <c r="NXX148" s="22"/>
      <c r="NXY148" s="22"/>
      <c r="NXZ148" s="22"/>
      <c r="NYA148" s="22"/>
      <c r="NYB148" s="22"/>
      <c r="NYC148" s="22"/>
      <c r="NYD148" s="22"/>
      <c r="NYE148" s="22"/>
      <c r="NYF148" s="22"/>
      <c r="NYG148" s="22"/>
      <c r="NYH148" s="22"/>
      <c r="NYI148" s="22"/>
      <c r="NYJ148" s="22"/>
      <c r="NYK148" s="22"/>
      <c r="NYL148" s="22"/>
      <c r="NYM148" s="22"/>
      <c r="NYN148" s="22"/>
      <c r="NYO148" s="22"/>
      <c r="NYP148" s="22"/>
      <c r="NYQ148" s="22"/>
      <c r="NYR148" s="22"/>
      <c r="NYS148" s="22"/>
      <c r="NYT148" s="22"/>
      <c r="NYU148" s="22"/>
      <c r="NYV148" s="22"/>
      <c r="NYW148" s="22"/>
      <c r="NYX148" s="22"/>
      <c r="NYY148" s="22"/>
      <c r="NYZ148" s="22"/>
      <c r="NZA148" s="22"/>
      <c r="NZB148" s="22"/>
      <c r="NZC148" s="22"/>
      <c r="NZD148" s="22"/>
      <c r="NZE148" s="22"/>
      <c r="NZF148" s="22"/>
      <c r="NZG148" s="22"/>
      <c r="NZH148" s="22"/>
      <c r="NZI148" s="22"/>
      <c r="NZJ148" s="22"/>
      <c r="NZK148" s="22"/>
      <c r="NZL148" s="22"/>
      <c r="NZM148" s="22"/>
      <c r="NZN148" s="22"/>
      <c r="NZO148" s="22"/>
      <c r="NZP148" s="22"/>
      <c r="NZQ148" s="22"/>
      <c r="NZR148" s="22"/>
      <c r="NZS148" s="22"/>
      <c r="NZT148" s="22"/>
      <c r="NZU148" s="22"/>
      <c r="NZV148" s="22"/>
      <c r="NZW148" s="22"/>
      <c r="NZX148" s="22"/>
      <c r="NZY148" s="22"/>
      <c r="NZZ148" s="22"/>
      <c r="OAA148" s="22"/>
      <c r="OAB148" s="22"/>
      <c r="OAC148" s="22"/>
      <c r="OAD148" s="22"/>
      <c r="OAE148" s="22"/>
      <c r="OAF148" s="22"/>
      <c r="OAG148" s="22"/>
      <c r="OAH148" s="22"/>
      <c r="OAI148" s="22"/>
      <c r="OAJ148" s="22"/>
      <c r="OAK148" s="22"/>
      <c r="OAL148" s="22"/>
      <c r="OAM148" s="22"/>
      <c r="OAN148" s="22"/>
      <c r="OAO148" s="22"/>
      <c r="OAP148" s="22"/>
      <c r="OAQ148" s="22"/>
      <c r="OAR148" s="22"/>
      <c r="OAS148" s="22"/>
      <c r="OAT148" s="22"/>
      <c r="OAU148" s="22"/>
      <c r="OAV148" s="22"/>
      <c r="OAW148" s="22"/>
      <c r="OAX148" s="22"/>
      <c r="OAY148" s="22"/>
      <c r="OAZ148" s="22"/>
      <c r="OBA148" s="22"/>
      <c r="OBB148" s="22"/>
      <c r="OBC148" s="22"/>
      <c r="OBD148" s="22"/>
      <c r="OBE148" s="22"/>
      <c r="OBF148" s="22"/>
      <c r="OBG148" s="22"/>
      <c r="OBH148" s="22"/>
      <c r="OBI148" s="22"/>
      <c r="OBJ148" s="22"/>
      <c r="OBK148" s="22"/>
      <c r="OBL148" s="22"/>
      <c r="OBM148" s="22"/>
      <c r="OBN148" s="22"/>
      <c r="OBO148" s="22"/>
      <c r="OBP148" s="22"/>
      <c r="OBQ148" s="22"/>
      <c r="OBR148" s="22"/>
      <c r="OBS148" s="22"/>
      <c r="OBT148" s="22"/>
      <c r="OBU148" s="22"/>
      <c r="OBV148" s="22"/>
      <c r="OBW148" s="22"/>
      <c r="OBX148" s="22"/>
      <c r="OBY148" s="22"/>
      <c r="OBZ148" s="22"/>
      <c r="OCA148" s="22"/>
      <c r="OCB148" s="22"/>
      <c r="OCC148" s="22"/>
      <c r="OCD148" s="22"/>
      <c r="OCE148" s="22"/>
      <c r="OCF148" s="22"/>
      <c r="OCG148" s="22"/>
      <c r="OCH148" s="22"/>
      <c r="OCI148" s="22"/>
      <c r="OCJ148" s="22"/>
      <c r="OCK148" s="22"/>
      <c r="OCL148" s="22"/>
      <c r="OCM148" s="22"/>
      <c r="OCN148" s="22"/>
      <c r="OCO148" s="22"/>
      <c r="OCP148" s="22"/>
      <c r="OCQ148" s="22"/>
      <c r="OCR148" s="22"/>
      <c r="OCS148" s="22"/>
      <c r="OCT148" s="22"/>
      <c r="OCU148" s="22"/>
      <c r="OCV148" s="22"/>
      <c r="OCW148" s="22"/>
      <c r="OCX148" s="22"/>
      <c r="OCY148" s="22"/>
      <c r="OCZ148" s="22"/>
      <c r="ODA148" s="22"/>
      <c r="ODB148" s="22"/>
      <c r="ODC148" s="22"/>
      <c r="ODD148" s="22"/>
      <c r="ODE148" s="22"/>
      <c r="ODF148" s="22"/>
      <c r="ODG148" s="22"/>
      <c r="ODH148" s="22"/>
      <c r="ODI148" s="22"/>
      <c r="ODJ148" s="22"/>
      <c r="ODK148" s="22"/>
      <c r="ODL148" s="22"/>
      <c r="ODM148" s="22"/>
      <c r="ODN148" s="22"/>
      <c r="ODO148" s="22"/>
      <c r="ODP148" s="22"/>
      <c r="ODQ148" s="22"/>
      <c r="ODR148" s="22"/>
      <c r="ODS148" s="22"/>
      <c r="ODT148" s="22"/>
      <c r="ODU148" s="22"/>
      <c r="ODV148" s="22"/>
      <c r="ODW148" s="22"/>
      <c r="ODX148" s="22"/>
      <c r="ODY148" s="22"/>
      <c r="ODZ148" s="22"/>
      <c r="OEA148" s="22"/>
      <c r="OEB148" s="22"/>
      <c r="OEC148" s="22"/>
      <c r="OED148" s="22"/>
      <c r="OEE148" s="22"/>
      <c r="OEF148" s="22"/>
      <c r="OEG148" s="22"/>
      <c r="OEH148" s="22"/>
      <c r="OEI148" s="22"/>
      <c r="OEJ148" s="22"/>
      <c r="OEK148" s="22"/>
      <c r="OEL148" s="22"/>
      <c r="OEM148" s="22"/>
      <c r="OEN148" s="22"/>
      <c r="OEO148" s="22"/>
      <c r="OEP148" s="22"/>
      <c r="OEQ148" s="22"/>
      <c r="OER148" s="22"/>
      <c r="OES148" s="22"/>
      <c r="OET148" s="22"/>
      <c r="OEU148" s="22"/>
      <c r="OEV148" s="22"/>
      <c r="OEW148" s="22"/>
      <c r="OEX148" s="22"/>
      <c r="OEY148" s="22"/>
      <c r="OEZ148" s="22"/>
      <c r="OFA148" s="22"/>
      <c r="OFB148" s="22"/>
      <c r="OFC148" s="22"/>
      <c r="OFD148" s="22"/>
      <c r="OFE148" s="22"/>
      <c r="OFF148" s="22"/>
      <c r="OFG148" s="22"/>
      <c r="OFH148" s="22"/>
      <c r="OFI148" s="22"/>
      <c r="OFJ148" s="22"/>
      <c r="OFK148" s="22"/>
      <c r="OFL148" s="22"/>
      <c r="OFM148" s="22"/>
      <c r="OFN148" s="22"/>
      <c r="OFO148" s="22"/>
      <c r="OFP148" s="22"/>
      <c r="OFQ148" s="22"/>
      <c r="OFR148" s="22"/>
      <c r="OFS148" s="22"/>
      <c r="OFT148" s="22"/>
      <c r="OFU148" s="22"/>
      <c r="OFV148" s="22"/>
      <c r="OFW148" s="22"/>
      <c r="OFX148" s="22"/>
      <c r="OFY148" s="22"/>
      <c r="OFZ148" s="22"/>
      <c r="OGA148" s="22"/>
      <c r="OGB148" s="22"/>
      <c r="OGC148" s="22"/>
      <c r="OGD148" s="22"/>
      <c r="OGE148" s="22"/>
      <c r="OGF148" s="22"/>
      <c r="OGG148" s="22"/>
      <c r="OGH148" s="22"/>
      <c r="OGI148" s="22"/>
      <c r="OGJ148" s="22"/>
      <c r="OGK148" s="22"/>
      <c r="OGL148" s="22"/>
      <c r="OGM148" s="22"/>
      <c r="OGN148" s="22"/>
      <c r="OGO148" s="22"/>
      <c r="OGP148" s="22"/>
      <c r="OGQ148" s="22"/>
      <c r="OGR148" s="22"/>
      <c r="OGS148" s="22"/>
      <c r="OGT148" s="22"/>
      <c r="OGU148" s="22"/>
      <c r="OGV148" s="22"/>
      <c r="OGW148" s="22"/>
      <c r="OGX148" s="22"/>
      <c r="OGY148" s="22"/>
      <c r="OGZ148" s="22"/>
      <c r="OHA148" s="22"/>
      <c r="OHB148" s="22"/>
      <c r="OHC148" s="22"/>
      <c r="OHD148" s="22"/>
      <c r="OHE148" s="22"/>
      <c r="OHF148" s="22"/>
      <c r="OHG148" s="22"/>
      <c r="OHH148" s="22"/>
      <c r="OHI148" s="22"/>
      <c r="OHJ148" s="22"/>
      <c r="OHK148" s="22"/>
      <c r="OHL148" s="22"/>
      <c r="OHM148" s="22"/>
      <c r="OHN148" s="22"/>
      <c r="OHO148" s="22"/>
      <c r="OHP148" s="22"/>
      <c r="OHQ148" s="22"/>
      <c r="OHR148" s="22"/>
      <c r="OHS148" s="22"/>
      <c r="OHT148" s="22"/>
      <c r="OHU148" s="22"/>
      <c r="OHV148" s="22"/>
      <c r="OHW148" s="22"/>
      <c r="OHX148" s="22"/>
      <c r="OHY148" s="22"/>
      <c r="OHZ148" s="22"/>
      <c r="OIA148" s="22"/>
      <c r="OIB148" s="22"/>
      <c r="OIC148" s="22"/>
      <c r="OID148" s="22"/>
      <c r="OIE148" s="22"/>
      <c r="OIF148" s="22"/>
      <c r="OIG148" s="22"/>
      <c r="OIH148" s="22"/>
      <c r="OII148" s="22"/>
      <c r="OIJ148" s="22"/>
      <c r="OIK148" s="22"/>
      <c r="OIL148" s="22"/>
      <c r="OIM148" s="22"/>
      <c r="OIN148" s="22"/>
      <c r="OIO148" s="22"/>
      <c r="OIP148" s="22"/>
      <c r="OIQ148" s="22"/>
      <c r="OIR148" s="22"/>
      <c r="OIS148" s="22"/>
      <c r="OIT148" s="22"/>
      <c r="OIU148" s="22"/>
      <c r="OIV148" s="22"/>
      <c r="OIW148" s="22"/>
      <c r="OIX148" s="22"/>
      <c r="OIY148" s="22"/>
      <c r="OIZ148" s="22"/>
      <c r="OJA148" s="22"/>
      <c r="OJB148" s="22"/>
      <c r="OJC148" s="22"/>
      <c r="OJD148" s="22"/>
      <c r="OJE148" s="22"/>
      <c r="OJF148" s="22"/>
      <c r="OJG148" s="22"/>
      <c r="OJH148" s="22"/>
      <c r="OJI148" s="22"/>
      <c r="OJJ148" s="22"/>
      <c r="OJK148" s="22"/>
      <c r="OJL148" s="22"/>
      <c r="OJM148" s="22"/>
      <c r="OJN148" s="22"/>
      <c r="OJO148" s="22"/>
      <c r="OJP148" s="22"/>
      <c r="OJQ148" s="22"/>
      <c r="OJR148" s="22"/>
      <c r="OJS148" s="22"/>
      <c r="OJT148" s="22"/>
      <c r="OJU148" s="22"/>
      <c r="OJV148" s="22"/>
      <c r="OJW148" s="22"/>
      <c r="OJX148" s="22"/>
      <c r="OJY148" s="22"/>
      <c r="OJZ148" s="22"/>
      <c r="OKA148" s="22"/>
      <c r="OKB148" s="22"/>
      <c r="OKC148" s="22"/>
      <c r="OKD148" s="22"/>
      <c r="OKE148" s="22"/>
      <c r="OKF148" s="22"/>
      <c r="OKG148" s="22"/>
      <c r="OKH148" s="22"/>
      <c r="OKI148" s="22"/>
      <c r="OKJ148" s="22"/>
      <c r="OKK148" s="22"/>
      <c r="OKL148" s="22"/>
      <c r="OKM148" s="22"/>
      <c r="OKN148" s="22"/>
      <c r="OKO148" s="22"/>
      <c r="OKP148" s="22"/>
      <c r="OKQ148" s="22"/>
      <c r="OKR148" s="22"/>
      <c r="OKS148" s="22"/>
      <c r="OKT148" s="22"/>
      <c r="OKU148" s="22"/>
      <c r="OKV148" s="22"/>
      <c r="OKW148" s="22"/>
      <c r="OKX148" s="22"/>
      <c r="OKY148" s="22"/>
      <c r="OKZ148" s="22"/>
      <c r="OLA148" s="22"/>
      <c r="OLB148" s="22"/>
      <c r="OLC148" s="22"/>
      <c r="OLD148" s="22"/>
      <c r="OLE148" s="22"/>
      <c r="OLF148" s="22"/>
      <c r="OLG148" s="22"/>
      <c r="OLH148" s="22"/>
      <c r="OLI148" s="22"/>
      <c r="OLJ148" s="22"/>
      <c r="OLK148" s="22"/>
      <c r="OLL148" s="22"/>
      <c r="OLM148" s="22"/>
      <c r="OLN148" s="22"/>
      <c r="OLO148" s="22"/>
      <c r="OLP148" s="22"/>
      <c r="OLQ148" s="22"/>
      <c r="OLR148" s="22"/>
      <c r="OLS148" s="22"/>
      <c r="OLT148" s="22"/>
      <c r="OLU148" s="22"/>
      <c r="OLV148" s="22"/>
      <c r="OLW148" s="22"/>
      <c r="OLX148" s="22"/>
      <c r="OLY148" s="22"/>
      <c r="OLZ148" s="22"/>
      <c r="OMA148" s="22"/>
      <c r="OMB148" s="22"/>
      <c r="OMC148" s="22"/>
      <c r="OMD148" s="22"/>
      <c r="OME148" s="22"/>
      <c r="OMF148" s="22"/>
      <c r="OMG148" s="22"/>
      <c r="OMH148" s="22"/>
      <c r="OMI148" s="22"/>
      <c r="OMJ148" s="22"/>
      <c r="OMK148" s="22"/>
      <c r="OML148" s="22"/>
      <c r="OMM148" s="22"/>
      <c r="OMN148" s="22"/>
      <c r="OMO148" s="22"/>
      <c r="OMP148" s="22"/>
      <c r="OMQ148" s="22"/>
      <c r="OMR148" s="22"/>
      <c r="OMS148" s="22"/>
      <c r="OMT148" s="22"/>
      <c r="OMU148" s="22"/>
      <c r="OMV148" s="22"/>
      <c r="OMW148" s="22"/>
      <c r="OMX148" s="22"/>
      <c r="OMY148" s="22"/>
      <c r="OMZ148" s="22"/>
      <c r="ONA148" s="22"/>
      <c r="ONB148" s="22"/>
      <c r="ONC148" s="22"/>
      <c r="OND148" s="22"/>
      <c r="ONE148" s="22"/>
      <c r="ONF148" s="22"/>
      <c r="ONG148" s="22"/>
      <c r="ONH148" s="22"/>
      <c r="ONI148" s="22"/>
      <c r="ONJ148" s="22"/>
      <c r="ONK148" s="22"/>
      <c r="ONL148" s="22"/>
      <c r="ONM148" s="22"/>
      <c r="ONN148" s="22"/>
      <c r="ONO148" s="22"/>
      <c r="ONP148" s="22"/>
      <c r="ONQ148" s="22"/>
      <c r="ONR148" s="22"/>
      <c r="ONS148" s="22"/>
      <c r="ONT148" s="22"/>
      <c r="ONU148" s="22"/>
      <c r="ONV148" s="22"/>
      <c r="ONW148" s="22"/>
      <c r="ONX148" s="22"/>
      <c r="ONY148" s="22"/>
      <c r="ONZ148" s="22"/>
      <c r="OOA148" s="22"/>
      <c r="OOB148" s="22"/>
      <c r="OOC148" s="22"/>
      <c r="OOD148" s="22"/>
      <c r="OOE148" s="22"/>
      <c r="OOF148" s="22"/>
      <c r="OOG148" s="22"/>
      <c r="OOH148" s="22"/>
      <c r="OOI148" s="22"/>
      <c r="OOJ148" s="22"/>
      <c r="OOK148" s="22"/>
      <c r="OOL148" s="22"/>
      <c r="OOM148" s="22"/>
      <c r="OON148" s="22"/>
      <c r="OOO148" s="22"/>
      <c r="OOP148" s="22"/>
      <c r="OOQ148" s="22"/>
      <c r="OOR148" s="22"/>
      <c r="OOS148" s="22"/>
      <c r="OOT148" s="22"/>
      <c r="OOU148" s="22"/>
      <c r="OOV148" s="22"/>
      <c r="OOW148" s="22"/>
      <c r="OOX148" s="22"/>
      <c r="OOY148" s="22"/>
      <c r="OOZ148" s="22"/>
      <c r="OPA148" s="22"/>
      <c r="OPB148" s="22"/>
      <c r="OPC148" s="22"/>
      <c r="OPD148" s="22"/>
      <c r="OPE148" s="22"/>
      <c r="OPF148" s="22"/>
      <c r="OPG148" s="22"/>
      <c r="OPH148" s="22"/>
      <c r="OPI148" s="22"/>
      <c r="OPJ148" s="22"/>
      <c r="OPK148" s="22"/>
      <c r="OPL148" s="22"/>
      <c r="OPM148" s="22"/>
      <c r="OPN148" s="22"/>
      <c r="OPO148" s="22"/>
      <c r="OPP148" s="22"/>
      <c r="OPQ148" s="22"/>
      <c r="OPR148" s="22"/>
      <c r="OPS148" s="22"/>
      <c r="OPT148" s="22"/>
      <c r="OPU148" s="22"/>
      <c r="OPV148" s="22"/>
      <c r="OPW148" s="22"/>
      <c r="OPX148" s="22"/>
      <c r="OPY148" s="22"/>
      <c r="OPZ148" s="22"/>
      <c r="OQA148" s="22"/>
      <c r="OQB148" s="22"/>
      <c r="OQC148" s="22"/>
      <c r="OQD148" s="22"/>
      <c r="OQE148" s="22"/>
      <c r="OQF148" s="22"/>
      <c r="OQG148" s="22"/>
      <c r="OQH148" s="22"/>
      <c r="OQI148" s="22"/>
      <c r="OQJ148" s="22"/>
      <c r="OQK148" s="22"/>
      <c r="OQL148" s="22"/>
      <c r="OQM148" s="22"/>
      <c r="OQN148" s="22"/>
      <c r="OQO148" s="22"/>
      <c r="OQP148" s="22"/>
      <c r="OQQ148" s="22"/>
      <c r="OQR148" s="22"/>
      <c r="OQS148" s="22"/>
      <c r="OQT148" s="22"/>
      <c r="OQU148" s="22"/>
      <c r="OQV148" s="22"/>
      <c r="OQW148" s="22"/>
      <c r="OQX148" s="22"/>
      <c r="OQY148" s="22"/>
      <c r="OQZ148" s="22"/>
      <c r="ORA148" s="22"/>
      <c r="ORB148" s="22"/>
      <c r="ORC148" s="22"/>
      <c r="ORD148" s="22"/>
      <c r="ORE148" s="22"/>
      <c r="ORF148" s="22"/>
      <c r="ORG148" s="22"/>
      <c r="ORH148" s="22"/>
      <c r="ORI148" s="22"/>
      <c r="ORJ148" s="22"/>
      <c r="ORK148" s="22"/>
      <c r="ORL148" s="22"/>
      <c r="ORM148" s="22"/>
      <c r="ORN148" s="22"/>
      <c r="ORO148" s="22"/>
      <c r="ORP148" s="22"/>
      <c r="ORQ148" s="22"/>
      <c r="ORR148" s="22"/>
      <c r="ORS148" s="22"/>
      <c r="ORT148" s="22"/>
      <c r="ORU148" s="22"/>
      <c r="ORV148" s="22"/>
      <c r="ORW148" s="22"/>
      <c r="ORX148" s="22"/>
      <c r="ORY148" s="22"/>
      <c r="ORZ148" s="22"/>
      <c r="OSA148" s="22"/>
      <c r="OSB148" s="22"/>
      <c r="OSC148" s="22"/>
      <c r="OSD148" s="22"/>
      <c r="OSE148" s="22"/>
      <c r="OSF148" s="22"/>
      <c r="OSG148" s="22"/>
      <c r="OSH148" s="22"/>
      <c r="OSI148" s="22"/>
      <c r="OSJ148" s="22"/>
      <c r="OSK148" s="22"/>
      <c r="OSL148" s="22"/>
      <c r="OSM148" s="22"/>
      <c r="OSN148" s="22"/>
      <c r="OSO148" s="22"/>
      <c r="OSP148" s="22"/>
      <c r="OSQ148" s="22"/>
      <c r="OSR148" s="22"/>
      <c r="OSS148" s="22"/>
      <c r="OST148" s="22"/>
      <c r="OSU148" s="22"/>
      <c r="OSV148" s="22"/>
      <c r="OSW148" s="22"/>
      <c r="OSX148" s="22"/>
      <c r="OSY148" s="22"/>
      <c r="OSZ148" s="22"/>
      <c r="OTA148" s="22"/>
      <c r="OTB148" s="22"/>
      <c r="OTC148" s="22"/>
      <c r="OTD148" s="22"/>
      <c r="OTE148" s="22"/>
      <c r="OTF148" s="22"/>
      <c r="OTG148" s="22"/>
      <c r="OTH148" s="22"/>
      <c r="OTI148" s="22"/>
      <c r="OTJ148" s="22"/>
      <c r="OTK148" s="22"/>
      <c r="OTL148" s="22"/>
      <c r="OTM148" s="22"/>
      <c r="OTN148" s="22"/>
      <c r="OTO148" s="22"/>
      <c r="OTP148" s="22"/>
      <c r="OTQ148" s="22"/>
      <c r="OTR148" s="22"/>
      <c r="OTS148" s="22"/>
      <c r="OTT148" s="22"/>
      <c r="OTU148" s="22"/>
      <c r="OTV148" s="22"/>
      <c r="OTW148" s="22"/>
      <c r="OTX148" s="22"/>
      <c r="OTY148" s="22"/>
      <c r="OTZ148" s="22"/>
      <c r="OUA148" s="22"/>
      <c r="OUB148" s="22"/>
      <c r="OUC148" s="22"/>
      <c r="OUD148" s="22"/>
      <c r="OUE148" s="22"/>
      <c r="OUF148" s="22"/>
      <c r="OUG148" s="22"/>
      <c r="OUH148" s="22"/>
      <c r="OUI148" s="22"/>
      <c r="OUJ148" s="22"/>
      <c r="OUK148" s="22"/>
      <c r="OUL148" s="22"/>
      <c r="OUM148" s="22"/>
      <c r="OUN148" s="22"/>
      <c r="OUO148" s="22"/>
      <c r="OUP148" s="22"/>
      <c r="OUQ148" s="22"/>
      <c r="OUR148" s="22"/>
      <c r="OUS148" s="22"/>
      <c r="OUT148" s="22"/>
      <c r="OUU148" s="22"/>
      <c r="OUV148" s="22"/>
      <c r="OUW148" s="22"/>
      <c r="OUX148" s="22"/>
      <c r="OUY148" s="22"/>
      <c r="OUZ148" s="22"/>
      <c r="OVA148" s="22"/>
      <c r="OVB148" s="22"/>
      <c r="OVC148" s="22"/>
      <c r="OVD148" s="22"/>
      <c r="OVE148" s="22"/>
      <c r="OVF148" s="22"/>
      <c r="OVG148" s="22"/>
      <c r="OVH148" s="22"/>
      <c r="OVI148" s="22"/>
      <c r="OVJ148" s="22"/>
      <c r="OVK148" s="22"/>
      <c r="OVL148" s="22"/>
      <c r="OVM148" s="22"/>
      <c r="OVN148" s="22"/>
      <c r="OVO148" s="22"/>
      <c r="OVP148" s="22"/>
      <c r="OVQ148" s="22"/>
      <c r="OVR148" s="22"/>
      <c r="OVS148" s="22"/>
      <c r="OVT148" s="22"/>
      <c r="OVU148" s="22"/>
      <c r="OVV148" s="22"/>
      <c r="OVW148" s="22"/>
      <c r="OVX148" s="22"/>
      <c r="OVY148" s="22"/>
      <c r="OVZ148" s="22"/>
      <c r="OWA148" s="22"/>
      <c r="OWB148" s="22"/>
      <c r="OWC148" s="22"/>
      <c r="OWD148" s="22"/>
      <c r="OWE148" s="22"/>
      <c r="OWF148" s="22"/>
      <c r="OWG148" s="22"/>
      <c r="OWH148" s="22"/>
      <c r="OWI148" s="22"/>
      <c r="OWJ148" s="22"/>
      <c r="OWK148" s="22"/>
      <c r="OWL148" s="22"/>
      <c r="OWM148" s="22"/>
      <c r="OWN148" s="22"/>
      <c r="OWO148" s="22"/>
      <c r="OWP148" s="22"/>
      <c r="OWQ148" s="22"/>
      <c r="OWR148" s="22"/>
      <c r="OWS148" s="22"/>
      <c r="OWT148" s="22"/>
      <c r="OWU148" s="22"/>
      <c r="OWV148" s="22"/>
      <c r="OWW148" s="22"/>
      <c r="OWX148" s="22"/>
      <c r="OWY148" s="22"/>
      <c r="OWZ148" s="22"/>
      <c r="OXA148" s="22"/>
      <c r="OXB148" s="22"/>
      <c r="OXC148" s="22"/>
      <c r="OXD148" s="22"/>
      <c r="OXE148" s="22"/>
      <c r="OXF148" s="22"/>
      <c r="OXG148" s="22"/>
      <c r="OXH148" s="22"/>
      <c r="OXI148" s="22"/>
      <c r="OXJ148" s="22"/>
      <c r="OXK148" s="22"/>
      <c r="OXL148" s="22"/>
      <c r="OXM148" s="22"/>
      <c r="OXN148" s="22"/>
      <c r="OXO148" s="22"/>
      <c r="OXP148" s="22"/>
      <c r="OXQ148" s="22"/>
      <c r="OXR148" s="22"/>
      <c r="OXS148" s="22"/>
      <c r="OXT148" s="22"/>
      <c r="OXU148" s="22"/>
      <c r="OXV148" s="22"/>
      <c r="OXW148" s="22"/>
      <c r="OXX148" s="22"/>
      <c r="OXY148" s="22"/>
      <c r="OXZ148" s="22"/>
      <c r="OYA148" s="22"/>
      <c r="OYB148" s="22"/>
      <c r="OYC148" s="22"/>
      <c r="OYD148" s="22"/>
      <c r="OYE148" s="22"/>
      <c r="OYF148" s="22"/>
      <c r="OYG148" s="22"/>
      <c r="OYH148" s="22"/>
      <c r="OYI148" s="22"/>
      <c r="OYJ148" s="22"/>
      <c r="OYK148" s="22"/>
      <c r="OYL148" s="22"/>
      <c r="OYM148" s="22"/>
      <c r="OYN148" s="22"/>
      <c r="OYO148" s="22"/>
      <c r="OYP148" s="22"/>
      <c r="OYQ148" s="22"/>
      <c r="OYR148" s="22"/>
      <c r="OYS148" s="22"/>
      <c r="OYT148" s="22"/>
      <c r="OYU148" s="22"/>
      <c r="OYV148" s="22"/>
      <c r="OYW148" s="22"/>
      <c r="OYX148" s="22"/>
      <c r="OYY148" s="22"/>
      <c r="OYZ148" s="22"/>
      <c r="OZA148" s="22"/>
      <c r="OZB148" s="22"/>
      <c r="OZC148" s="22"/>
      <c r="OZD148" s="22"/>
      <c r="OZE148" s="22"/>
      <c r="OZF148" s="22"/>
      <c r="OZG148" s="22"/>
      <c r="OZH148" s="22"/>
      <c r="OZI148" s="22"/>
      <c r="OZJ148" s="22"/>
      <c r="OZK148" s="22"/>
      <c r="OZL148" s="22"/>
      <c r="OZM148" s="22"/>
      <c r="OZN148" s="22"/>
      <c r="OZO148" s="22"/>
      <c r="OZP148" s="22"/>
      <c r="OZQ148" s="22"/>
      <c r="OZR148" s="22"/>
      <c r="OZS148" s="22"/>
      <c r="OZT148" s="22"/>
      <c r="OZU148" s="22"/>
      <c r="OZV148" s="22"/>
      <c r="OZW148" s="22"/>
      <c r="OZX148" s="22"/>
      <c r="OZY148" s="22"/>
      <c r="OZZ148" s="22"/>
      <c r="PAA148" s="22"/>
      <c r="PAB148" s="22"/>
      <c r="PAC148" s="22"/>
      <c r="PAD148" s="22"/>
      <c r="PAE148" s="22"/>
      <c r="PAF148" s="22"/>
      <c r="PAG148" s="22"/>
      <c r="PAH148" s="22"/>
      <c r="PAI148" s="22"/>
      <c r="PAJ148" s="22"/>
      <c r="PAK148" s="22"/>
      <c r="PAL148" s="22"/>
      <c r="PAM148" s="22"/>
      <c r="PAN148" s="22"/>
      <c r="PAO148" s="22"/>
      <c r="PAP148" s="22"/>
      <c r="PAQ148" s="22"/>
      <c r="PAR148" s="22"/>
      <c r="PAS148" s="22"/>
      <c r="PAT148" s="22"/>
      <c r="PAU148" s="22"/>
      <c r="PAV148" s="22"/>
      <c r="PAW148" s="22"/>
      <c r="PAX148" s="22"/>
      <c r="PAY148" s="22"/>
      <c r="PAZ148" s="22"/>
      <c r="PBA148" s="22"/>
      <c r="PBB148" s="22"/>
      <c r="PBC148" s="22"/>
      <c r="PBD148" s="22"/>
      <c r="PBE148" s="22"/>
      <c r="PBF148" s="22"/>
      <c r="PBG148" s="22"/>
      <c r="PBH148" s="22"/>
      <c r="PBI148" s="22"/>
      <c r="PBJ148" s="22"/>
      <c r="PBK148" s="22"/>
      <c r="PBL148" s="22"/>
      <c r="PBM148" s="22"/>
      <c r="PBN148" s="22"/>
      <c r="PBO148" s="22"/>
      <c r="PBP148" s="22"/>
      <c r="PBQ148" s="22"/>
      <c r="PBR148" s="22"/>
      <c r="PBS148" s="22"/>
      <c r="PBT148" s="22"/>
      <c r="PBU148" s="22"/>
      <c r="PBV148" s="22"/>
      <c r="PBW148" s="22"/>
      <c r="PBX148" s="22"/>
      <c r="PBY148" s="22"/>
      <c r="PBZ148" s="22"/>
      <c r="PCA148" s="22"/>
      <c r="PCB148" s="22"/>
      <c r="PCC148" s="22"/>
      <c r="PCD148" s="22"/>
      <c r="PCE148" s="22"/>
      <c r="PCF148" s="22"/>
      <c r="PCG148" s="22"/>
      <c r="PCH148" s="22"/>
      <c r="PCI148" s="22"/>
      <c r="PCJ148" s="22"/>
      <c r="PCK148" s="22"/>
      <c r="PCL148" s="22"/>
      <c r="PCM148" s="22"/>
      <c r="PCN148" s="22"/>
      <c r="PCO148" s="22"/>
      <c r="PCP148" s="22"/>
      <c r="PCQ148" s="22"/>
      <c r="PCR148" s="22"/>
      <c r="PCS148" s="22"/>
      <c r="PCT148" s="22"/>
      <c r="PCU148" s="22"/>
      <c r="PCV148" s="22"/>
      <c r="PCW148" s="22"/>
      <c r="PCX148" s="22"/>
      <c r="PCY148" s="22"/>
      <c r="PCZ148" s="22"/>
      <c r="PDA148" s="22"/>
      <c r="PDB148" s="22"/>
      <c r="PDC148" s="22"/>
      <c r="PDD148" s="22"/>
      <c r="PDE148" s="22"/>
      <c r="PDF148" s="22"/>
      <c r="PDG148" s="22"/>
      <c r="PDH148" s="22"/>
      <c r="PDI148" s="22"/>
      <c r="PDJ148" s="22"/>
      <c r="PDK148" s="22"/>
      <c r="PDL148" s="22"/>
      <c r="PDM148" s="22"/>
      <c r="PDN148" s="22"/>
      <c r="PDO148" s="22"/>
      <c r="PDP148" s="22"/>
      <c r="PDQ148" s="22"/>
      <c r="PDR148" s="22"/>
      <c r="PDS148" s="22"/>
      <c r="PDT148" s="22"/>
      <c r="PDU148" s="22"/>
      <c r="PDV148" s="22"/>
      <c r="PDW148" s="22"/>
      <c r="PDX148" s="22"/>
      <c r="PDY148" s="22"/>
      <c r="PDZ148" s="22"/>
      <c r="PEA148" s="22"/>
      <c r="PEB148" s="22"/>
      <c r="PEC148" s="22"/>
      <c r="PED148" s="22"/>
      <c r="PEE148" s="22"/>
      <c r="PEF148" s="22"/>
      <c r="PEG148" s="22"/>
      <c r="PEH148" s="22"/>
      <c r="PEI148" s="22"/>
      <c r="PEJ148" s="22"/>
      <c r="PEK148" s="22"/>
      <c r="PEL148" s="22"/>
      <c r="PEM148" s="22"/>
      <c r="PEN148" s="22"/>
      <c r="PEO148" s="22"/>
      <c r="PEP148" s="22"/>
      <c r="PEQ148" s="22"/>
      <c r="PER148" s="22"/>
      <c r="PES148" s="22"/>
      <c r="PET148" s="22"/>
      <c r="PEU148" s="22"/>
      <c r="PEV148" s="22"/>
      <c r="PEW148" s="22"/>
      <c r="PEX148" s="22"/>
      <c r="PEY148" s="22"/>
      <c r="PEZ148" s="22"/>
      <c r="PFA148" s="22"/>
      <c r="PFB148" s="22"/>
      <c r="PFC148" s="22"/>
      <c r="PFD148" s="22"/>
      <c r="PFE148" s="22"/>
      <c r="PFF148" s="22"/>
      <c r="PFG148" s="22"/>
      <c r="PFH148" s="22"/>
      <c r="PFI148" s="22"/>
      <c r="PFJ148" s="22"/>
      <c r="PFK148" s="22"/>
      <c r="PFL148" s="22"/>
      <c r="PFM148" s="22"/>
      <c r="PFN148" s="22"/>
      <c r="PFO148" s="22"/>
      <c r="PFP148" s="22"/>
      <c r="PFQ148" s="22"/>
      <c r="PFR148" s="22"/>
      <c r="PFS148" s="22"/>
      <c r="PFT148" s="22"/>
      <c r="PFU148" s="22"/>
      <c r="PFV148" s="22"/>
      <c r="PFW148" s="22"/>
      <c r="PFX148" s="22"/>
      <c r="PFY148" s="22"/>
      <c r="PFZ148" s="22"/>
      <c r="PGA148" s="22"/>
      <c r="PGB148" s="22"/>
      <c r="PGC148" s="22"/>
      <c r="PGD148" s="22"/>
      <c r="PGE148" s="22"/>
      <c r="PGF148" s="22"/>
      <c r="PGG148" s="22"/>
      <c r="PGH148" s="22"/>
      <c r="PGI148" s="22"/>
      <c r="PGJ148" s="22"/>
      <c r="PGK148" s="22"/>
      <c r="PGL148" s="22"/>
      <c r="PGM148" s="22"/>
      <c r="PGN148" s="22"/>
      <c r="PGO148" s="22"/>
      <c r="PGP148" s="22"/>
      <c r="PGQ148" s="22"/>
      <c r="PGR148" s="22"/>
      <c r="PGS148" s="22"/>
      <c r="PGT148" s="22"/>
      <c r="PGU148" s="22"/>
      <c r="PGV148" s="22"/>
      <c r="PGW148" s="22"/>
      <c r="PGX148" s="22"/>
      <c r="PGY148" s="22"/>
      <c r="PGZ148" s="22"/>
      <c r="PHA148" s="22"/>
      <c r="PHB148" s="22"/>
      <c r="PHC148" s="22"/>
      <c r="PHD148" s="22"/>
      <c r="PHE148" s="22"/>
      <c r="PHF148" s="22"/>
      <c r="PHG148" s="22"/>
      <c r="PHH148" s="22"/>
      <c r="PHI148" s="22"/>
      <c r="PHJ148" s="22"/>
      <c r="PHK148" s="22"/>
      <c r="PHL148" s="22"/>
      <c r="PHM148" s="22"/>
      <c r="PHN148" s="22"/>
      <c r="PHO148" s="22"/>
      <c r="PHP148" s="22"/>
      <c r="PHQ148" s="22"/>
      <c r="PHR148" s="22"/>
      <c r="PHS148" s="22"/>
      <c r="PHT148" s="22"/>
      <c r="PHU148" s="22"/>
      <c r="PHV148" s="22"/>
      <c r="PHW148" s="22"/>
      <c r="PHX148" s="22"/>
      <c r="PHY148" s="22"/>
      <c r="PHZ148" s="22"/>
      <c r="PIA148" s="22"/>
      <c r="PIB148" s="22"/>
      <c r="PIC148" s="22"/>
      <c r="PID148" s="22"/>
      <c r="PIE148" s="22"/>
      <c r="PIF148" s="22"/>
      <c r="PIG148" s="22"/>
      <c r="PIH148" s="22"/>
      <c r="PII148" s="22"/>
      <c r="PIJ148" s="22"/>
      <c r="PIK148" s="22"/>
      <c r="PIL148" s="22"/>
      <c r="PIM148" s="22"/>
      <c r="PIN148" s="22"/>
      <c r="PIO148" s="22"/>
      <c r="PIP148" s="22"/>
      <c r="PIQ148" s="22"/>
      <c r="PIR148" s="22"/>
      <c r="PIS148" s="22"/>
      <c r="PIT148" s="22"/>
      <c r="PIU148" s="22"/>
      <c r="PIV148" s="22"/>
      <c r="PIW148" s="22"/>
      <c r="PIX148" s="22"/>
      <c r="PIY148" s="22"/>
      <c r="PIZ148" s="22"/>
      <c r="PJA148" s="22"/>
      <c r="PJB148" s="22"/>
      <c r="PJC148" s="22"/>
      <c r="PJD148" s="22"/>
      <c r="PJE148" s="22"/>
      <c r="PJF148" s="22"/>
      <c r="PJG148" s="22"/>
      <c r="PJH148" s="22"/>
      <c r="PJI148" s="22"/>
      <c r="PJJ148" s="22"/>
      <c r="PJK148" s="22"/>
      <c r="PJL148" s="22"/>
      <c r="PJM148" s="22"/>
      <c r="PJN148" s="22"/>
      <c r="PJO148" s="22"/>
      <c r="PJP148" s="22"/>
      <c r="PJQ148" s="22"/>
      <c r="PJR148" s="22"/>
      <c r="PJS148" s="22"/>
      <c r="PJT148" s="22"/>
      <c r="PJU148" s="22"/>
      <c r="PJV148" s="22"/>
      <c r="PJW148" s="22"/>
      <c r="PJX148" s="22"/>
      <c r="PJY148" s="22"/>
      <c r="PJZ148" s="22"/>
      <c r="PKA148" s="22"/>
      <c r="PKB148" s="22"/>
      <c r="PKC148" s="22"/>
      <c r="PKD148" s="22"/>
      <c r="PKE148" s="22"/>
      <c r="PKF148" s="22"/>
      <c r="PKG148" s="22"/>
      <c r="PKH148" s="22"/>
      <c r="PKI148" s="22"/>
      <c r="PKJ148" s="22"/>
      <c r="PKK148" s="22"/>
      <c r="PKL148" s="22"/>
      <c r="PKM148" s="22"/>
      <c r="PKN148" s="22"/>
      <c r="PKO148" s="22"/>
      <c r="PKP148" s="22"/>
      <c r="PKQ148" s="22"/>
      <c r="PKR148" s="22"/>
      <c r="PKS148" s="22"/>
      <c r="PKT148" s="22"/>
      <c r="PKU148" s="22"/>
      <c r="PKV148" s="22"/>
      <c r="PKW148" s="22"/>
      <c r="PKX148" s="22"/>
      <c r="PKY148" s="22"/>
      <c r="PKZ148" s="22"/>
      <c r="PLA148" s="22"/>
      <c r="PLB148" s="22"/>
      <c r="PLC148" s="22"/>
      <c r="PLD148" s="22"/>
      <c r="PLE148" s="22"/>
      <c r="PLF148" s="22"/>
      <c r="PLG148" s="22"/>
      <c r="PLH148" s="22"/>
      <c r="PLI148" s="22"/>
      <c r="PLJ148" s="22"/>
      <c r="PLK148" s="22"/>
      <c r="PLL148" s="22"/>
      <c r="PLM148" s="22"/>
      <c r="PLN148" s="22"/>
      <c r="PLO148" s="22"/>
      <c r="PLP148" s="22"/>
      <c r="PLQ148" s="22"/>
      <c r="PLR148" s="22"/>
      <c r="PLS148" s="22"/>
      <c r="PLT148" s="22"/>
      <c r="PLU148" s="22"/>
      <c r="PLV148" s="22"/>
      <c r="PLW148" s="22"/>
      <c r="PLX148" s="22"/>
      <c r="PLY148" s="22"/>
      <c r="PLZ148" s="22"/>
      <c r="PMA148" s="22"/>
      <c r="PMB148" s="22"/>
      <c r="PMC148" s="22"/>
      <c r="PMD148" s="22"/>
      <c r="PME148" s="22"/>
      <c r="PMF148" s="22"/>
      <c r="PMG148" s="22"/>
      <c r="PMH148" s="22"/>
      <c r="PMI148" s="22"/>
      <c r="PMJ148" s="22"/>
      <c r="PMK148" s="22"/>
      <c r="PML148" s="22"/>
      <c r="PMM148" s="22"/>
      <c r="PMN148" s="22"/>
      <c r="PMO148" s="22"/>
      <c r="PMP148" s="22"/>
      <c r="PMQ148" s="22"/>
      <c r="PMR148" s="22"/>
      <c r="PMS148" s="22"/>
      <c r="PMT148" s="22"/>
      <c r="PMU148" s="22"/>
      <c r="PMV148" s="22"/>
      <c r="PMW148" s="22"/>
      <c r="PMX148" s="22"/>
      <c r="PMY148" s="22"/>
      <c r="PMZ148" s="22"/>
      <c r="PNA148" s="22"/>
      <c r="PNB148" s="22"/>
      <c r="PNC148" s="22"/>
      <c r="PND148" s="22"/>
      <c r="PNE148" s="22"/>
      <c r="PNF148" s="22"/>
      <c r="PNG148" s="22"/>
      <c r="PNH148" s="22"/>
      <c r="PNI148" s="22"/>
      <c r="PNJ148" s="22"/>
      <c r="PNK148" s="22"/>
      <c r="PNL148" s="22"/>
      <c r="PNM148" s="22"/>
      <c r="PNN148" s="22"/>
      <c r="PNO148" s="22"/>
      <c r="PNP148" s="22"/>
      <c r="PNQ148" s="22"/>
      <c r="PNR148" s="22"/>
      <c r="PNS148" s="22"/>
      <c r="PNT148" s="22"/>
      <c r="PNU148" s="22"/>
      <c r="PNV148" s="22"/>
      <c r="PNW148" s="22"/>
      <c r="PNX148" s="22"/>
      <c r="PNY148" s="22"/>
      <c r="PNZ148" s="22"/>
      <c r="POA148" s="22"/>
      <c r="POB148" s="22"/>
      <c r="POC148" s="22"/>
      <c r="POD148" s="22"/>
      <c r="POE148" s="22"/>
      <c r="POF148" s="22"/>
      <c r="POG148" s="22"/>
      <c r="POH148" s="22"/>
      <c r="POI148" s="22"/>
      <c r="POJ148" s="22"/>
      <c r="POK148" s="22"/>
      <c r="POL148" s="22"/>
      <c r="POM148" s="22"/>
      <c r="PON148" s="22"/>
      <c r="POO148" s="22"/>
      <c r="POP148" s="22"/>
      <c r="POQ148" s="22"/>
      <c r="POR148" s="22"/>
      <c r="POS148" s="22"/>
      <c r="POT148" s="22"/>
      <c r="POU148" s="22"/>
      <c r="POV148" s="22"/>
      <c r="POW148" s="22"/>
      <c r="POX148" s="22"/>
      <c r="POY148" s="22"/>
      <c r="POZ148" s="22"/>
      <c r="PPA148" s="22"/>
      <c r="PPB148" s="22"/>
      <c r="PPC148" s="22"/>
      <c r="PPD148" s="22"/>
      <c r="PPE148" s="22"/>
      <c r="PPF148" s="22"/>
      <c r="PPG148" s="22"/>
      <c r="PPH148" s="22"/>
      <c r="PPI148" s="22"/>
      <c r="PPJ148" s="22"/>
      <c r="PPK148" s="22"/>
      <c r="PPL148" s="22"/>
      <c r="PPM148" s="22"/>
      <c r="PPN148" s="22"/>
      <c r="PPO148" s="22"/>
      <c r="PPP148" s="22"/>
      <c r="PPQ148" s="22"/>
      <c r="PPR148" s="22"/>
      <c r="PPS148" s="22"/>
      <c r="PPT148" s="22"/>
      <c r="PPU148" s="22"/>
      <c r="PPV148" s="22"/>
      <c r="PPW148" s="22"/>
      <c r="PPX148" s="22"/>
      <c r="PPY148" s="22"/>
      <c r="PPZ148" s="22"/>
      <c r="PQA148" s="22"/>
      <c r="PQB148" s="22"/>
      <c r="PQC148" s="22"/>
      <c r="PQD148" s="22"/>
      <c r="PQE148" s="22"/>
      <c r="PQF148" s="22"/>
      <c r="PQG148" s="22"/>
      <c r="PQH148" s="22"/>
      <c r="PQI148" s="22"/>
      <c r="PQJ148" s="22"/>
      <c r="PQK148" s="22"/>
      <c r="PQL148" s="22"/>
      <c r="PQM148" s="22"/>
      <c r="PQN148" s="22"/>
      <c r="PQO148" s="22"/>
      <c r="PQP148" s="22"/>
      <c r="PQQ148" s="22"/>
      <c r="PQR148" s="22"/>
      <c r="PQS148" s="22"/>
      <c r="PQT148" s="22"/>
      <c r="PQU148" s="22"/>
      <c r="PQV148" s="22"/>
      <c r="PQW148" s="22"/>
      <c r="PQX148" s="22"/>
      <c r="PQY148" s="22"/>
      <c r="PQZ148" s="22"/>
      <c r="PRA148" s="22"/>
      <c r="PRB148" s="22"/>
      <c r="PRC148" s="22"/>
      <c r="PRD148" s="22"/>
      <c r="PRE148" s="22"/>
      <c r="PRF148" s="22"/>
      <c r="PRG148" s="22"/>
      <c r="PRH148" s="22"/>
      <c r="PRI148" s="22"/>
      <c r="PRJ148" s="22"/>
      <c r="PRK148" s="22"/>
      <c r="PRL148" s="22"/>
      <c r="PRM148" s="22"/>
      <c r="PRN148" s="22"/>
      <c r="PRO148" s="22"/>
      <c r="PRP148" s="22"/>
      <c r="PRQ148" s="22"/>
      <c r="PRR148" s="22"/>
      <c r="PRS148" s="22"/>
      <c r="PRT148" s="22"/>
      <c r="PRU148" s="22"/>
      <c r="PRV148" s="22"/>
      <c r="PRW148" s="22"/>
      <c r="PRX148" s="22"/>
      <c r="PRY148" s="22"/>
      <c r="PRZ148" s="22"/>
      <c r="PSA148" s="22"/>
      <c r="PSB148" s="22"/>
      <c r="PSC148" s="22"/>
      <c r="PSD148" s="22"/>
      <c r="PSE148" s="22"/>
      <c r="PSF148" s="22"/>
      <c r="PSG148" s="22"/>
      <c r="PSH148" s="22"/>
      <c r="PSI148" s="22"/>
      <c r="PSJ148" s="22"/>
      <c r="PSK148" s="22"/>
      <c r="PSL148" s="22"/>
      <c r="PSM148" s="22"/>
      <c r="PSN148" s="22"/>
      <c r="PSO148" s="22"/>
      <c r="PSP148" s="22"/>
      <c r="PSQ148" s="22"/>
      <c r="PSR148" s="22"/>
      <c r="PSS148" s="22"/>
      <c r="PST148" s="22"/>
      <c r="PSU148" s="22"/>
      <c r="PSV148" s="22"/>
      <c r="PSW148" s="22"/>
      <c r="PSX148" s="22"/>
      <c r="PSY148" s="22"/>
      <c r="PSZ148" s="22"/>
      <c r="PTA148" s="22"/>
      <c r="PTB148" s="22"/>
      <c r="PTC148" s="22"/>
      <c r="PTD148" s="22"/>
      <c r="PTE148" s="22"/>
      <c r="PTF148" s="22"/>
      <c r="PTG148" s="22"/>
      <c r="PTH148" s="22"/>
      <c r="PTI148" s="22"/>
      <c r="PTJ148" s="22"/>
      <c r="PTK148" s="22"/>
      <c r="PTL148" s="22"/>
      <c r="PTM148" s="22"/>
      <c r="PTN148" s="22"/>
      <c r="PTO148" s="22"/>
      <c r="PTP148" s="22"/>
      <c r="PTQ148" s="22"/>
      <c r="PTR148" s="22"/>
      <c r="PTS148" s="22"/>
      <c r="PTT148" s="22"/>
      <c r="PTU148" s="22"/>
      <c r="PTV148" s="22"/>
      <c r="PTW148" s="22"/>
      <c r="PTX148" s="22"/>
      <c r="PTY148" s="22"/>
      <c r="PTZ148" s="22"/>
      <c r="PUA148" s="22"/>
      <c r="PUB148" s="22"/>
      <c r="PUC148" s="22"/>
      <c r="PUD148" s="22"/>
      <c r="PUE148" s="22"/>
      <c r="PUF148" s="22"/>
      <c r="PUG148" s="22"/>
      <c r="PUH148" s="22"/>
      <c r="PUI148" s="22"/>
      <c r="PUJ148" s="22"/>
      <c r="PUK148" s="22"/>
      <c r="PUL148" s="22"/>
      <c r="PUM148" s="22"/>
      <c r="PUN148" s="22"/>
      <c r="PUO148" s="22"/>
      <c r="PUP148" s="22"/>
      <c r="PUQ148" s="22"/>
      <c r="PUR148" s="22"/>
      <c r="PUS148" s="22"/>
      <c r="PUT148" s="22"/>
      <c r="PUU148" s="22"/>
      <c r="PUV148" s="22"/>
      <c r="PUW148" s="22"/>
      <c r="PUX148" s="22"/>
      <c r="PUY148" s="22"/>
      <c r="PUZ148" s="22"/>
      <c r="PVA148" s="22"/>
      <c r="PVB148" s="22"/>
      <c r="PVC148" s="22"/>
      <c r="PVD148" s="22"/>
      <c r="PVE148" s="22"/>
      <c r="PVF148" s="22"/>
      <c r="PVG148" s="22"/>
      <c r="PVH148" s="22"/>
      <c r="PVI148" s="22"/>
      <c r="PVJ148" s="22"/>
      <c r="PVK148" s="22"/>
      <c r="PVL148" s="22"/>
      <c r="PVM148" s="22"/>
      <c r="PVN148" s="22"/>
      <c r="PVO148" s="22"/>
      <c r="PVP148" s="22"/>
      <c r="PVQ148" s="22"/>
      <c r="PVR148" s="22"/>
      <c r="PVS148" s="22"/>
      <c r="PVT148" s="22"/>
      <c r="PVU148" s="22"/>
      <c r="PVV148" s="22"/>
      <c r="PVW148" s="22"/>
      <c r="PVX148" s="22"/>
      <c r="PVY148" s="22"/>
      <c r="PVZ148" s="22"/>
      <c r="PWA148" s="22"/>
      <c r="PWB148" s="22"/>
      <c r="PWC148" s="22"/>
      <c r="PWD148" s="22"/>
      <c r="PWE148" s="22"/>
      <c r="PWF148" s="22"/>
      <c r="PWG148" s="22"/>
      <c r="PWH148" s="22"/>
      <c r="PWI148" s="22"/>
      <c r="PWJ148" s="22"/>
      <c r="PWK148" s="22"/>
      <c r="PWL148" s="22"/>
      <c r="PWM148" s="22"/>
      <c r="PWN148" s="22"/>
      <c r="PWO148" s="22"/>
      <c r="PWP148" s="22"/>
      <c r="PWQ148" s="22"/>
      <c r="PWR148" s="22"/>
      <c r="PWS148" s="22"/>
      <c r="PWT148" s="22"/>
      <c r="PWU148" s="22"/>
      <c r="PWV148" s="22"/>
      <c r="PWW148" s="22"/>
      <c r="PWX148" s="22"/>
      <c r="PWY148" s="22"/>
      <c r="PWZ148" s="22"/>
      <c r="PXA148" s="22"/>
      <c r="PXB148" s="22"/>
      <c r="PXC148" s="22"/>
      <c r="PXD148" s="22"/>
      <c r="PXE148" s="22"/>
      <c r="PXF148" s="22"/>
      <c r="PXG148" s="22"/>
      <c r="PXH148" s="22"/>
      <c r="PXI148" s="22"/>
      <c r="PXJ148" s="22"/>
      <c r="PXK148" s="22"/>
      <c r="PXL148" s="22"/>
      <c r="PXM148" s="22"/>
      <c r="PXN148" s="22"/>
      <c r="PXO148" s="22"/>
      <c r="PXP148" s="22"/>
      <c r="PXQ148" s="22"/>
      <c r="PXR148" s="22"/>
      <c r="PXS148" s="22"/>
      <c r="PXT148" s="22"/>
      <c r="PXU148" s="22"/>
      <c r="PXV148" s="22"/>
      <c r="PXW148" s="22"/>
      <c r="PXX148" s="22"/>
      <c r="PXY148" s="22"/>
      <c r="PXZ148" s="22"/>
      <c r="PYA148" s="22"/>
      <c r="PYB148" s="22"/>
      <c r="PYC148" s="22"/>
      <c r="PYD148" s="22"/>
      <c r="PYE148" s="22"/>
      <c r="PYF148" s="22"/>
      <c r="PYG148" s="22"/>
      <c r="PYH148" s="22"/>
      <c r="PYI148" s="22"/>
      <c r="PYJ148" s="22"/>
      <c r="PYK148" s="22"/>
      <c r="PYL148" s="22"/>
      <c r="PYM148" s="22"/>
      <c r="PYN148" s="22"/>
      <c r="PYO148" s="22"/>
      <c r="PYP148" s="22"/>
      <c r="PYQ148" s="22"/>
      <c r="PYR148" s="22"/>
      <c r="PYS148" s="22"/>
      <c r="PYT148" s="22"/>
      <c r="PYU148" s="22"/>
      <c r="PYV148" s="22"/>
      <c r="PYW148" s="22"/>
      <c r="PYX148" s="22"/>
      <c r="PYY148" s="22"/>
      <c r="PYZ148" s="22"/>
      <c r="PZA148" s="22"/>
      <c r="PZB148" s="22"/>
      <c r="PZC148" s="22"/>
      <c r="PZD148" s="22"/>
      <c r="PZE148" s="22"/>
      <c r="PZF148" s="22"/>
      <c r="PZG148" s="22"/>
      <c r="PZH148" s="22"/>
      <c r="PZI148" s="22"/>
      <c r="PZJ148" s="22"/>
      <c r="PZK148" s="22"/>
      <c r="PZL148" s="22"/>
      <c r="PZM148" s="22"/>
      <c r="PZN148" s="22"/>
      <c r="PZO148" s="22"/>
      <c r="PZP148" s="22"/>
      <c r="PZQ148" s="22"/>
      <c r="PZR148" s="22"/>
      <c r="PZS148" s="22"/>
      <c r="PZT148" s="22"/>
      <c r="PZU148" s="22"/>
      <c r="PZV148" s="22"/>
      <c r="PZW148" s="22"/>
      <c r="PZX148" s="22"/>
      <c r="PZY148" s="22"/>
      <c r="PZZ148" s="22"/>
      <c r="QAA148" s="22"/>
      <c r="QAB148" s="22"/>
      <c r="QAC148" s="22"/>
      <c r="QAD148" s="22"/>
      <c r="QAE148" s="22"/>
      <c r="QAF148" s="22"/>
      <c r="QAG148" s="22"/>
      <c r="QAH148" s="22"/>
      <c r="QAI148" s="22"/>
      <c r="QAJ148" s="22"/>
      <c r="QAK148" s="22"/>
      <c r="QAL148" s="22"/>
      <c r="QAM148" s="22"/>
      <c r="QAN148" s="22"/>
      <c r="QAO148" s="22"/>
      <c r="QAP148" s="22"/>
      <c r="QAQ148" s="22"/>
      <c r="QAR148" s="22"/>
      <c r="QAS148" s="22"/>
      <c r="QAT148" s="22"/>
      <c r="QAU148" s="22"/>
      <c r="QAV148" s="22"/>
      <c r="QAW148" s="22"/>
      <c r="QAX148" s="22"/>
      <c r="QAY148" s="22"/>
      <c r="QAZ148" s="22"/>
      <c r="QBA148" s="22"/>
      <c r="QBB148" s="22"/>
      <c r="QBC148" s="22"/>
      <c r="QBD148" s="22"/>
      <c r="QBE148" s="22"/>
      <c r="QBF148" s="22"/>
      <c r="QBG148" s="22"/>
      <c r="QBH148" s="22"/>
      <c r="QBI148" s="22"/>
      <c r="QBJ148" s="22"/>
      <c r="QBK148" s="22"/>
      <c r="QBL148" s="22"/>
      <c r="QBM148" s="22"/>
      <c r="QBN148" s="22"/>
      <c r="QBO148" s="22"/>
      <c r="QBP148" s="22"/>
      <c r="QBQ148" s="22"/>
      <c r="QBR148" s="22"/>
      <c r="QBS148" s="22"/>
      <c r="QBT148" s="22"/>
      <c r="QBU148" s="22"/>
      <c r="QBV148" s="22"/>
      <c r="QBW148" s="22"/>
      <c r="QBX148" s="22"/>
      <c r="QBY148" s="22"/>
      <c r="QBZ148" s="22"/>
      <c r="QCA148" s="22"/>
      <c r="QCB148" s="22"/>
      <c r="QCC148" s="22"/>
      <c r="QCD148" s="22"/>
      <c r="QCE148" s="22"/>
      <c r="QCF148" s="22"/>
      <c r="QCG148" s="22"/>
      <c r="QCH148" s="22"/>
      <c r="QCI148" s="22"/>
      <c r="QCJ148" s="22"/>
      <c r="QCK148" s="22"/>
      <c r="QCL148" s="22"/>
      <c r="QCM148" s="22"/>
      <c r="QCN148" s="22"/>
      <c r="QCO148" s="22"/>
      <c r="QCP148" s="22"/>
      <c r="QCQ148" s="22"/>
      <c r="QCR148" s="22"/>
      <c r="QCS148" s="22"/>
      <c r="QCT148" s="22"/>
      <c r="QCU148" s="22"/>
      <c r="QCV148" s="22"/>
      <c r="QCW148" s="22"/>
      <c r="QCX148" s="22"/>
      <c r="QCY148" s="22"/>
      <c r="QCZ148" s="22"/>
      <c r="QDA148" s="22"/>
      <c r="QDB148" s="22"/>
      <c r="QDC148" s="22"/>
      <c r="QDD148" s="22"/>
      <c r="QDE148" s="22"/>
      <c r="QDF148" s="22"/>
      <c r="QDG148" s="22"/>
      <c r="QDH148" s="22"/>
      <c r="QDI148" s="22"/>
      <c r="QDJ148" s="22"/>
      <c r="QDK148" s="22"/>
      <c r="QDL148" s="22"/>
      <c r="QDM148" s="22"/>
      <c r="QDN148" s="22"/>
      <c r="QDO148" s="22"/>
      <c r="QDP148" s="22"/>
      <c r="QDQ148" s="22"/>
      <c r="QDR148" s="22"/>
      <c r="QDS148" s="22"/>
      <c r="QDT148" s="22"/>
      <c r="QDU148" s="22"/>
      <c r="QDV148" s="22"/>
      <c r="QDW148" s="22"/>
      <c r="QDX148" s="22"/>
      <c r="QDY148" s="22"/>
      <c r="QDZ148" s="22"/>
      <c r="QEA148" s="22"/>
      <c r="QEB148" s="22"/>
      <c r="QEC148" s="22"/>
      <c r="QED148" s="22"/>
      <c r="QEE148" s="22"/>
      <c r="QEF148" s="22"/>
      <c r="QEG148" s="22"/>
      <c r="QEH148" s="22"/>
      <c r="QEI148" s="22"/>
      <c r="QEJ148" s="22"/>
      <c r="QEK148" s="22"/>
      <c r="QEL148" s="22"/>
      <c r="QEM148" s="22"/>
      <c r="QEN148" s="22"/>
      <c r="QEO148" s="22"/>
      <c r="QEP148" s="22"/>
      <c r="QEQ148" s="22"/>
      <c r="QER148" s="22"/>
      <c r="QES148" s="22"/>
      <c r="QET148" s="22"/>
      <c r="QEU148" s="22"/>
      <c r="QEV148" s="22"/>
      <c r="QEW148" s="22"/>
      <c r="QEX148" s="22"/>
      <c r="QEY148" s="22"/>
      <c r="QEZ148" s="22"/>
      <c r="QFA148" s="22"/>
      <c r="QFB148" s="22"/>
      <c r="QFC148" s="22"/>
      <c r="QFD148" s="22"/>
      <c r="QFE148" s="22"/>
      <c r="QFF148" s="22"/>
      <c r="QFG148" s="22"/>
      <c r="QFH148" s="22"/>
      <c r="QFI148" s="22"/>
      <c r="QFJ148" s="22"/>
      <c r="QFK148" s="22"/>
      <c r="QFL148" s="22"/>
      <c r="QFM148" s="22"/>
      <c r="QFN148" s="22"/>
      <c r="QFO148" s="22"/>
      <c r="QFP148" s="22"/>
      <c r="QFQ148" s="22"/>
      <c r="QFR148" s="22"/>
      <c r="QFS148" s="22"/>
      <c r="QFT148" s="22"/>
      <c r="QFU148" s="22"/>
      <c r="QFV148" s="22"/>
      <c r="QFW148" s="22"/>
      <c r="QFX148" s="22"/>
      <c r="QFY148" s="22"/>
      <c r="QFZ148" s="22"/>
      <c r="QGA148" s="22"/>
      <c r="QGB148" s="22"/>
      <c r="QGC148" s="22"/>
      <c r="QGD148" s="22"/>
      <c r="QGE148" s="22"/>
      <c r="QGF148" s="22"/>
      <c r="QGG148" s="22"/>
      <c r="QGH148" s="22"/>
      <c r="QGI148" s="22"/>
      <c r="QGJ148" s="22"/>
      <c r="QGK148" s="22"/>
      <c r="QGL148" s="22"/>
      <c r="QGM148" s="22"/>
      <c r="QGN148" s="22"/>
      <c r="QGO148" s="22"/>
      <c r="QGP148" s="22"/>
      <c r="QGQ148" s="22"/>
      <c r="QGR148" s="22"/>
      <c r="QGS148" s="22"/>
      <c r="QGT148" s="22"/>
      <c r="QGU148" s="22"/>
      <c r="QGV148" s="22"/>
      <c r="QGW148" s="22"/>
      <c r="QGX148" s="22"/>
      <c r="QGY148" s="22"/>
      <c r="QGZ148" s="22"/>
      <c r="QHA148" s="22"/>
      <c r="QHB148" s="22"/>
      <c r="QHC148" s="22"/>
      <c r="QHD148" s="22"/>
      <c r="QHE148" s="22"/>
      <c r="QHF148" s="22"/>
      <c r="QHG148" s="22"/>
      <c r="QHH148" s="22"/>
      <c r="QHI148" s="22"/>
      <c r="QHJ148" s="22"/>
      <c r="QHK148" s="22"/>
      <c r="QHL148" s="22"/>
      <c r="QHM148" s="22"/>
      <c r="QHN148" s="22"/>
      <c r="QHO148" s="22"/>
      <c r="QHP148" s="22"/>
      <c r="QHQ148" s="22"/>
      <c r="QHR148" s="22"/>
      <c r="QHS148" s="22"/>
      <c r="QHT148" s="22"/>
      <c r="QHU148" s="22"/>
      <c r="QHV148" s="22"/>
      <c r="QHW148" s="22"/>
      <c r="QHX148" s="22"/>
      <c r="QHY148" s="22"/>
      <c r="QHZ148" s="22"/>
      <c r="QIA148" s="22"/>
      <c r="QIB148" s="22"/>
      <c r="QIC148" s="22"/>
      <c r="QID148" s="22"/>
      <c r="QIE148" s="22"/>
      <c r="QIF148" s="22"/>
      <c r="QIG148" s="22"/>
      <c r="QIH148" s="22"/>
      <c r="QII148" s="22"/>
      <c r="QIJ148" s="22"/>
      <c r="QIK148" s="22"/>
      <c r="QIL148" s="22"/>
      <c r="QIM148" s="22"/>
      <c r="QIN148" s="22"/>
      <c r="QIO148" s="22"/>
      <c r="QIP148" s="22"/>
      <c r="QIQ148" s="22"/>
      <c r="QIR148" s="22"/>
      <c r="QIS148" s="22"/>
      <c r="QIT148" s="22"/>
      <c r="QIU148" s="22"/>
      <c r="QIV148" s="22"/>
      <c r="QIW148" s="22"/>
      <c r="QIX148" s="22"/>
      <c r="QIY148" s="22"/>
      <c r="QIZ148" s="22"/>
      <c r="QJA148" s="22"/>
      <c r="QJB148" s="22"/>
      <c r="QJC148" s="22"/>
      <c r="QJD148" s="22"/>
      <c r="QJE148" s="22"/>
      <c r="QJF148" s="22"/>
      <c r="QJG148" s="22"/>
      <c r="QJH148" s="22"/>
      <c r="QJI148" s="22"/>
      <c r="QJJ148" s="22"/>
      <c r="QJK148" s="22"/>
      <c r="QJL148" s="22"/>
      <c r="QJM148" s="22"/>
      <c r="QJN148" s="22"/>
      <c r="QJO148" s="22"/>
      <c r="QJP148" s="22"/>
      <c r="QJQ148" s="22"/>
      <c r="QJR148" s="22"/>
      <c r="QJS148" s="22"/>
      <c r="QJT148" s="22"/>
      <c r="QJU148" s="22"/>
      <c r="QJV148" s="22"/>
      <c r="QJW148" s="22"/>
      <c r="QJX148" s="22"/>
      <c r="QJY148" s="22"/>
      <c r="QJZ148" s="22"/>
      <c r="QKA148" s="22"/>
      <c r="QKB148" s="22"/>
      <c r="QKC148" s="22"/>
      <c r="QKD148" s="22"/>
      <c r="QKE148" s="22"/>
      <c r="QKF148" s="22"/>
      <c r="QKG148" s="22"/>
      <c r="QKH148" s="22"/>
      <c r="QKI148" s="22"/>
      <c r="QKJ148" s="22"/>
      <c r="QKK148" s="22"/>
      <c r="QKL148" s="22"/>
      <c r="QKM148" s="22"/>
      <c r="QKN148" s="22"/>
      <c r="QKO148" s="22"/>
      <c r="QKP148" s="22"/>
      <c r="QKQ148" s="22"/>
      <c r="QKR148" s="22"/>
      <c r="QKS148" s="22"/>
      <c r="QKT148" s="22"/>
      <c r="QKU148" s="22"/>
      <c r="QKV148" s="22"/>
      <c r="QKW148" s="22"/>
      <c r="QKX148" s="22"/>
      <c r="QKY148" s="22"/>
      <c r="QKZ148" s="22"/>
      <c r="QLA148" s="22"/>
      <c r="QLB148" s="22"/>
      <c r="QLC148" s="22"/>
      <c r="QLD148" s="22"/>
      <c r="QLE148" s="22"/>
      <c r="QLF148" s="22"/>
      <c r="QLG148" s="22"/>
      <c r="QLH148" s="22"/>
      <c r="QLI148" s="22"/>
      <c r="QLJ148" s="22"/>
      <c r="QLK148" s="22"/>
      <c r="QLL148" s="22"/>
      <c r="QLM148" s="22"/>
      <c r="QLN148" s="22"/>
      <c r="QLO148" s="22"/>
      <c r="QLP148" s="22"/>
      <c r="QLQ148" s="22"/>
      <c r="QLR148" s="22"/>
      <c r="QLS148" s="22"/>
      <c r="QLT148" s="22"/>
      <c r="QLU148" s="22"/>
      <c r="QLV148" s="22"/>
      <c r="QLW148" s="22"/>
      <c r="QLX148" s="22"/>
      <c r="QLY148" s="22"/>
      <c r="QLZ148" s="22"/>
      <c r="QMA148" s="22"/>
      <c r="QMB148" s="22"/>
      <c r="QMC148" s="22"/>
      <c r="QMD148" s="22"/>
      <c r="QME148" s="22"/>
      <c r="QMF148" s="22"/>
      <c r="QMG148" s="22"/>
      <c r="QMH148" s="22"/>
      <c r="QMI148" s="22"/>
      <c r="QMJ148" s="22"/>
      <c r="QMK148" s="22"/>
      <c r="QML148" s="22"/>
      <c r="QMM148" s="22"/>
      <c r="QMN148" s="22"/>
      <c r="QMO148" s="22"/>
      <c r="QMP148" s="22"/>
      <c r="QMQ148" s="22"/>
      <c r="QMR148" s="22"/>
      <c r="QMS148" s="22"/>
      <c r="QMT148" s="22"/>
      <c r="QMU148" s="22"/>
      <c r="QMV148" s="22"/>
      <c r="QMW148" s="22"/>
      <c r="QMX148" s="22"/>
      <c r="QMY148" s="22"/>
      <c r="QMZ148" s="22"/>
      <c r="QNA148" s="22"/>
      <c r="QNB148" s="22"/>
      <c r="QNC148" s="22"/>
      <c r="QND148" s="22"/>
      <c r="QNE148" s="22"/>
      <c r="QNF148" s="22"/>
      <c r="QNG148" s="22"/>
      <c r="QNH148" s="22"/>
      <c r="QNI148" s="22"/>
      <c r="QNJ148" s="22"/>
      <c r="QNK148" s="22"/>
      <c r="QNL148" s="22"/>
      <c r="QNM148" s="22"/>
      <c r="QNN148" s="22"/>
      <c r="QNO148" s="22"/>
      <c r="QNP148" s="22"/>
      <c r="QNQ148" s="22"/>
      <c r="QNR148" s="22"/>
      <c r="QNS148" s="22"/>
      <c r="QNT148" s="22"/>
      <c r="QNU148" s="22"/>
      <c r="QNV148" s="22"/>
      <c r="QNW148" s="22"/>
      <c r="QNX148" s="22"/>
      <c r="QNY148" s="22"/>
      <c r="QNZ148" s="22"/>
      <c r="QOA148" s="22"/>
      <c r="QOB148" s="22"/>
      <c r="QOC148" s="22"/>
      <c r="QOD148" s="22"/>
      <c r="QOE148" s="22"/>
      <c r="QOF148" s="22"/>
      <c r="QOG148" s="22"/>
      <c r="QOH148" s="22"/>
      <c r="QOI148" s="22"/>
      <c r="QOJ148" s="22"/>
      <c r="QOK148" s="22"/>
      <c r="QOL148" s="22"/>
      <c r="QOM148" s="22"/>
      <c r="QON148" s="22"/>
      <c r="QOO148" s="22"/>
      <c r="QOP148" s="22"/>
      <c r="QOQ148" s="22"/>
      <c r="QOR148" s="22"/>
      <c r="QOS148" s="22"/>
      <c r="QOT148" s="22"/>
      <c r="QOU148" s="22"/>
      <c r="QOV148" s="22"/>
      <c r="QOW148" s="22"/>
      <c r="QOX148" s="22"/>
      <c r="QOY148" s="22"/>
      <c r="QOZ148" s="22"/>
      <c r="QPA148" s="22"/>
      <c r="QPB148" s="22"/>
      <c r="QPC148" s="22"/>
      <c r="QPD148" s="22"/>
      <c r="QPE148" s="22"/>
      <c r="QPF148" s="22"/>
      <c r="QPG148" s="22"/>
      <c r="QPH148" s="22"/>
      <c r="QPI148" s="22"/>
      <c r="QPJ148" s="22"/>
      <c r="QPK148" s="22"/>
      <c r="QPL148" s="22"/>
      <c r="QPM148" s="22"/>
      <c r="QPN148" s="22"/>
      <c r="QPO148" s="22"/>
      <c r="QPP148" s="22"/>
      <c r="QPQ148" s="22"/>
      <c r="QPR148" s="22"/>
      <c r="QPS148" s="22"/>
      <c r="QPT148" s="22"/>
      <c r="QPU148" s="22"/>
      <c r="QPV148" s="22"/>
      <c r="QPW148" s="22"/>
      <c r="QPX148" s="22"/>
      <c r="QPY148" s="22"/>
      <c r="QPZ148" s="22"/>
      <c r="QQA148" s="22"/>
      <c r="QQB148" s="22"/>
      <c r="QQC148" s="22"/>
      <c r="QQD148" s="22"/>
      <c r="QQE148" s="22"/>
      <c r="QQF148" s="22"/>
      <c r="QQG148" s="22"/>
      <c r="QQH148" s="22"/>
      <c r="QQI148" s="22"/>
      <c r="QQJ148" s="22"/>
      <c r="QQK148" s="22"/>
      <c r="QQL148" s="22"/>
      <c r="QQM148" s="22"/>
      <c r="QQN148" s="22"/>
      <c r="QQO148" s="22"/>
      <c r="QQP148" s="22"/>
      <c r="QQQ148" s="22"/>
      <c r="QQR148" s="22"/>
      <c r="QQS148" s="22"/>
      <c r="QQT148" s="22"/>
      <c r="QQU148" s="22"/>
      <c r="QQV148" s="22"/>
      <c r="QQW148" s="22"/>
      <c r="QQX148" s="22"/>
      <c r="QQY148" s="22"/>
      <c r="QQZ148" s="22"/>
      <c r="QRA148" s="22"/>
      <c r="QRB148" s="22"/>
      <c r="QRC148" s="22"/>
      <c r="QRD148" s="22"/>
      <c r="QRE148" s="22"/>
      <c r="QRF148" s="22"/>
      <c r="QRG148" s="22"/>
      <c r="QRH148" s="22"/>
      <c r="QRI148" s="22"/>
      <c r="QRJ148" s="22"/>
      <c r="QRK148" s="22"/>
      <c r="QRL148" s="22"/>
      <c r="QRM148" s="22"/>
      <c r="QRN148" s="22"/>
      <c r="QRO148" s="22"/>
      <c r="QRP148" s="22"/>
      <c r="QRQ148" s="22"/>
      <c r="QRR148" s="22"/>
      <c r="QRS148" s="22"/>
      <c r="QRT148" s="22"/>
      <c r="QRU148" s="22"/>
      <c r="QRV148" s="22"/>
      <c r="QRW148" s="22"/>
      <c r="QRX148" s="22"/>
      <c r="QRY148" s="22"/>
      <c r="QRZ148" s="22"/>
      <c r="QSA148" s="22"/>
      <c r="QSB148" s="22"/>
      <c r="QSC148" s="22"/>
      <c r="QSD148" s="22"/>
      <c r="QSE148" s="22"/>
      <c r="QSF148" s="22"/>
      <c r="QSG148" s="22"/>
      <c r="QSH148" s="22"/>
      <c r="QSI148" s="22"/>
      <c r="QSJ148" s="22"/>
      <c r="QSK148" s="22"/>
      <c r="QSL148" s="22"/>
      <c r="QSM148" s="22"/>
      <c r="QSN148" s="22"/>
      <c r="QSO148" s="22"/>
      <c r="QSP148" s="22"/>
      <c r="QSQ148" s="22"/>
      <c r="QSR148" s="22"/>
      <c r="QSS148" s="22"/>
      <c r="QST148" s="22"/>
      <c r="QSU148" s="22"/>
      <c r="QSV148" s="22"/>
      <c r="QSW148" s="22"/>
      <c r="QSX148" s="22"/>
      <c r="QSY148" s="22"/>
      <c r="QSZ148" s="22"/>
      <c r="QTA148" s="22"/>
      <c r="QTB148" s="22"/>
      <c r="QTC148" s="22"/>
      <c r="QTD148" s="22"/>
      <c r="QTE148" s="22"/>
      <c r="QTF148" s="22"/>
      <c r="QTG148" s="22"/>
      <c r="QTH148" s="22"/>
      <c r="QTI148" s="22"/>
      <c r="QTJ148" s="22"/>
      <c r="QTK148" s="22"/>
      <c r="QTL148" s="22"/>
      <c r="QTM148" s="22"/>
      <c r="QTN148" s="22"/>
      <c r="QTO148" s="22"/>
      <c r="QTP148" s="22"/>
      <c r="QTQ148" s="22"/>
      <c r="QTR148" s="22"/>
      <c r="QTS148" s="22"/>
      <c r="QTT148" s="22"/>
      <c r="QTU148" s="22"/>
      <c r="QTV148" s="22"/>
      <c r="QTW148" s="22"/>
      <c r="QTX148" s="22"/>
      <c r="QTY148" s="22"/>
      <c r="QTZ148" s="22"/>
      <c r="QUA148" s="22"/>
      <c r="QUB148" s="22"/>
      <c r="QUC148" s="22"/>
      <c r="QUD148" s="22"/>
      <c r="QUE148" s="22"/>
      <c r="QUF148" s="22"/>
      <c r="QUG148" s="22"/>
      <c r="QUH148" s="22"/>
      <c r="QUI148" s="22"/>
      <c r="QUJ148" s="22"/>
      <c r="QUK148" s="22"/>
      <c r="QUL148" s="22"/>
      <c r="QUM148" s="22"/>
      <c r="QUN148" s="22"/>
      <c r="QUO148" s="22"/>
      <c r="QUP148" s="22"/>
      <c r="QUQ148" s="22"/>
      <c r="QUR148" s="22"/>
      <c r="QUS148" s="22"/>
      <c r="QUT148" s="22"/>
      <c r="QUU148" s="22"/>
      <c r="QUV148" s="22"/>
      <c r="QUW148" s="22"/>
      <c r="QUX148" s="22"/>
      <c r="QUY148" s="22"/>
      <c r="QUZ148" s="22"/>
      <c r="QVA148" s="22"/>
      <c r="QVB148" s="22"/>
      <c r="QVC148" s="22"/>
      <c r="QVD148" s="22"/>
      <c r="QVE148" s="22"/>
      <c r="QVF148" s="22"/>
      <c r="QVG148" s="22"/>
      <c r="QVH148" s="22"/>
      <c r="QVI148" s="22"/>
      <c r="QVJ148" s="22"/>
      <c r="QVK148" s="22"/>
      <c r="QVL148" s="22"/>
      <c r="QVM148" s="22"/>
      <c r="QVN148" s="22"/>
      <c r="QVO148" s="22"/>
      <c r="QVP148" s="22"/>
      <c r="QVQ148" s="22"/>
      <c r="QVR148" s="22"/>
      <c r="QVS148" s="22"/>
      <c r="QVT148" s="22"/>
      <c r="QVU148" s="22"/>
      <c r="QVV148" s="22"/>
      <c r="QVW148" s="22"/>
      <c r="QVX148" s="22"/>
      <c r="QVY148" s="22"/>
      <c r="QVZ148" s="22"/>
      <c r="QWA148" s="22"/>
      <c r="QWB148" s="22"/>
      <c r="QWC148" s="22"/>
      <c r="QWD148" s="22"/>
      <c r="QWE148" s="22"/>
      <c r="QWF148" s="22"/>
      <c r="QWG148" s="22"/>
      <c r="QWH148" s="22"/>
      <c r="QWI148" s="22"/>
      <c r="QWJ148" s="22"/>
      <c r="QWK148" s="22"/>
      <c r="QWL148" s="22"/>
      <c r="QWM148" s="22"/>
      <c r="QWN148" s="22"/>
      <c r="QWO148" s="22"/>
      <c r="QWP148" s="22"/>
      <c r="QWQ148" s="22"/>
      <c r="QWR148" s="22"/>
      <c r="QWS148" s="22"/>
      <c r="QWT148" s="22"/>
      <c r="QWU148" s="22"/>
      <c r="QWV148" s="22"/>
      <c r="QWW148" s="22"/>
      <c r="QWX148" s="22"/>
      <c r="QWY148" s="22"/>
      <c r="QWZ148" s="22"/>
      <c r="QXA148" s="22"/>
      <c r="QXB148" s="22"/>
      <c r="QXC148" s="22"/>
      <c r="QXD148" s="22"/>
      <c r="QXE148" s="22"/>
      <c r="QXF148" s="22"/>
      <c r="QXG148" s="22"/>
      <c r="QXH148" s="22"/>
      <c r="QXI148" s="22"/>
      <c r="QXJ148" s="22"/>
      <c r="QXK148" s="22"/>
      <c r="QXL148" s="22"/>
      <c r="QXM148" s="22"/>
      <c r="QXN148" s="22"/>
      <c r="QXO148" s="22"/>
      <c r="QXP148" s="22"/>
      <c r="QXQ148" s="22"/>
      <c r="QXR148" s="22"/>
      <c r="QXS148" s="22"/>
      <c r="QXT148" s="22"/>
      <c r="QXU148" s="22"/>
      <c r="QXV148" s="22"/>
      <c r="QXW148" s="22"/>
      <c r="QXX148" s="22"/>
      <c r="QXY148" s="22"/>
      <c r="QXZ148" s="22"/>
      <c r="QYA148" s="22"/>
      <c r="QYB148" s="22"/>
      <c r="QYC148" s="22"/>
      <c r="QYD148" s="22"/>
      <c r="QYE148" s="22"/>
      <c r="QYF148" s="22"/>
      <c r="QYG148" s="22"/>
      <c r="QYH148" s="22"/>
      <c r="QYI148" s="22"/>
      <c r="QYJ148" s="22"/>
      <c r="QYK148" s="22"/>
      <c r="QYL148" s="22"/>
      <c r="QYM148" s="22"/>
      <c r="QYN148" s="22"/>
      <c r="QYO148" s="22"/>
      <c r="QYP148" s="22"/>
      <c r="QYQ148" s="22"/>
      <c r="QYR148" s="22"/>
      <c r="QYS148" s="22"/>
      <c r="QYT148" s="22"/>
      <c r="QYU148" s="22"/>
      <c r="QYV148" s="22"/>
      <c r="QYW148" s="22"/>
      <c r="QYX148" s="22"/>
      <c r="QYY148" s="22"/>
      <c r="QYZ148" s="22"/>
      <c r="QZA148" s="22"/>
      <c r="QZB148" s="22"/>
      <c r="QZC148" s="22"/>
      <c r="QZD148" s="22"/>
      <c r="QZE148" s="22"/>
      <c r="QZF148" s="22"/>
      <c r="QZG148" s="22"/>
      <c r="QZH148" s="22"/>
      <c r="QZI148" s="22"/>
      <c r="QZJ148" s="22"/>
      <c r="QZK148" s="22"/>
      <c r="QZL148" s="22"/>
      <c r="QZM148" s="22"/>
      <c r="QZN148" s="22"/>
      <c r="QZO148" s="22"/>
      <c r="QZP148" s="22"/>
      <c r="QZQ148" s="22"/>
      <c r="QZR148" s="22"/>
      <c r="QZS148" s="22"/>
      <c r="QZT148" s="22"/>
      <c r="QZU148" s="22"/>
      <c r="QZV148" s="22"/>
      <c r="QZW148" s="22"/>
      <c r="QZX148" s="22"/>
      <c r="QZY148" s="22"/>
      <c r="QZZ148" s="22"/>
      <c r="RAA148" s="22"/>
      <c r="RAB148" s="22"/>
      <c r="RAC148" s="22"/>
      <c r="RAD148" s="22"/>
      <c r="RAE148" s="22"/>
      <c r="RAF148" s="22"/>
      <c r="RAG148" s="22"/>
      <c r="RAH148" s="22"/>
      <c r="RAI148" s="22"/>
      <c r="RAJ148" s="22"/>
      <c r="RAK148" s="22"/>
      <c r="RAL148" s="22"/>
      <c r="RAM148" s="22"/>
      <c r="RAN148" s="22"/>
      <c r="RAO148" s="22"/>
      <c r="RAP148" s="22"/>
      <c r="RAQ148" s="22"/>
      <c r="RAR148" s="22"/>
      <c r="RAS148" s="22"/>
      <c r="RAT148" s="22"/>
      <c r="RAU148" s="22"/>
      <c r="RAV148" s="22"/>
      <c r="RAW148" s="22"/>
      <c r="RAX148" s="22"/>
      <c r="RAY148" s="22"/>
      <c r="RAZ148" s="22"/>
      <c r="RBA148" s="22"/>
      <c r="RBB148" s="22"/>
      <c r="RBC148" s="22"/>
      <c r="RBD148" s="22"/>
      <c r="RBE148" s="22"/>
      <c r="RBF148" s="22"/>
      <c r="RBG148" s="22"/>
      <c r="RBH148" s="22"/>
      <c r="RBI148" s="22"/>
      <c r="RBJ148" s="22"/>
      <c r="RBK148" s="22"/>
      <c r="RBL148" s="22"/>
      <c r="RBM148" s="22"/>
      <c r="RBN148" s="22"/>
      <c r="RBO148" s="22"/>
      <c r="RBP148" s="22"/>
      <c r="RBQ148" s="22"/>
      <c r="RBR148" s="22"/>
      <c r="RBS148" s="22"/>
      <c r="RBT148" s="22"/>
      <c r="RBU148" s="22"/>
      <c r="RBV148" s="22"/>
      <c r="RBW148" s="22"/>
      <c r="RBX148" s="22"/>
      <c r="RBY148" s="22"/>
      <c r="RBZ148" s="22"/>
      <c r="RCA148" s="22"/>
      <c r="RCB148" s="22"/>
      <c r="RCC148" s="22"/>
      <c r="RCD148" s="22"/>
      <c r="RCE148" s="22"/>
      <c r="RCF148" s="22"/>
      <c r="RCG148" s="22"/>
      <c r="RCH148" s="22"/>
      <c r="RCI148" s="22"/>
      <c r="RCJ148" s="22"/>
      <c r="RCK148" s="22"/>
      <c r="RCL148" s="22"/>
      <c r="RCM148" s="22"/>
      <c r="RCN148" s="22"/>
      <c r="RCO148" s="22"/>
      <c r="RCP148" s="22"/>
      <c r="RCQ148" s="22"/>
      <c r="RCR148" s="22"/>
      <c r="RCS148" s="22"/>
      <c r="RCT148" s="22"/>
      <c r="RCU148" s="22"/>
      <c r="RCV148" s="22"/>
      <c r="RCW148" s="22"/>
      <c r="RCX148" s="22"/>
      <c r="RCY148" s="22"/>
      <c r="RCZ148" s="22"/>
      <c r="RDA148" s="22"/>
      <c r="RDB148" s="22"/>
      <c r="RDC148" s="22"/>
      <c r="RDD148" s="22"/>
      <c r="RDE148" s="22"/>
      <c r="RDF148" s="22"/>
      <c r="RDG148" s="22"/>
      <c r="RDH148" s="22"/>
      <c r="RDI148" s="22"/>
      <c r="RDJ148" s="22"/>
      <c r="RDK148" s="22"/>
      <c r="RDL148" s="22"/>
      <c r="RDM148" s="22"/>
      <c r="RDN148" s="22"/>
      <c r="RDO148" s="22"/>
      <c r="RDP148" s="22"/>
      <c r="RDQ148" s="22"/>
      <c r="RDR148" s="22"/>
      <c r="RDS148" s="22"/>
      <c r="RDT148" s="22"/>
      <c r="RDU148" s="22"/>
      <c r="RDV148" s="22"/>
      <c r="RDW148" s="22"/>
      <c r="RDX148" s="22"/>
      <c r="RDY148" s="22"/>
      <c r="RDZ148" s="22"/>
      <c r="REA148" s="22"/>
      <c r="REB148" s="22"/>
      <c r="REC148" s="22"/>
      <c r="RED148" s="22"/>
      <c r="REE148" s="22"/>
      <c r="REF148" s="22"/>
      <c r="REG148" s="22"/>
      <c r="REH148" s="22"/>
      <c r="REI148" s="22"/>
      <c r="REJ148" s="22"/>
      <c r="REK148" s="22"/>
      <c r="REL148" s="22"/>
      <c r="REM148" s="22"/>
      <c r="REN148" s="22"/>
      <c r="REO148" s="22"/>
      <c r="REP148" s="22"/>
      <c r="REQ148" s="22"/>
      <c r="RER148" s="22"/>
      <c r="RES148" s="22"/>
      <c r="RET148" s="22"/>
      <c r="REU148" s="22"/>
      <c r="REV148" s="22"/>
      <c r="REW148" s="22"/>
      <c r="REX148" s="22"/>
      <c r="REY148" s="22"/>
      <c r="REZ148" s="22"/>
      <c r="RFA148" s="22"/>
      <c r="RFB148" s="22"/>
      <c r="RFC148" s="22"/>
      <c r="RFD148" s="22"/>
      <c r="RFE148" s="22"/>
      <c r="RFF148" s="22"/>
      <c r="RFG148" s="22"/>
      <c r="RFH148" s="22"/>
      <c r="RFI148" s="22"/>
      <c r="RFJ148" s="22"/>
      <c r="RFK148" s="22"/>
      <c r="RFL148" s="22"/>
      <c r="RFM148" s="22"/>
      <c r="RFN148" s="22"/>
      <c r="RFO148" s="22"/>
      <c r="RFP148" s="22"/>
      <c r="RFQ148" s="22"/>
      <c r="RFR148" s="22"/>
      <c r="RFS148" s="22"/>
      <c r="RFT148" s="22"/>
      <c r="RFU148" s="22"/>
      <c r="RFV148" s="22"/>
      <c r="RFW148" s="22"/>
      <c r="RFX148" s="22"/>
      <c r="RFY148" s="22"/>
      <c r="RFZ148" s="22"/>
      <c r="RGA148" s="22"/>
      <c r="RGB148" s="22"/>
      <c r="RGC148" s="22"/>
      <c r="RGD148" s="22"/>
      <c r="RGE148" s="22"/>
      <c r="RGF148" s="22"/>
      <c r="RGG148" s="22"/>
      <c r="RGH148" s="22"/>
      <c r="RGI148" s="22"/>
      <c r="RGJ148" s="22"/>
      <c r="RGK148" s="22"/>
      <c r="RGL148" s="22"/>
      <c r="RGM148" s="22"/>
      <c r="RGN148" s="22"/>
      <c r="RGO148" s="22"/>
      <c r="RGP148" s="22"/>
      <c r="RGQ148" s="22"/>
      <c r="RGR148" s="22"/>
      <c r="RGS148" s="22"/>
      <c r="RGT148" s="22"/>
      <c r="RGU148" s="22"/>
      <c r="RGV148" s="22"/>
      <c r="RGW148" s="22"/>
      <c r="RGX148" s="22"/>
      <c r="RGY148" s="22"/>
      <c r="RGZ148" s="22"/>
      <c r="RHA148" s="22"/>
      <c r="RHB148" s="22"/>
      <c r="RHC148" s="22"/>
      <c r="RHD148" s="22"/>
      <c r="RHE148" s="22"/>
      <c r="RHF148" s="22"/>
      <c r="RHG148" s="22"/>
      <c r="RHH148" s="22"/>
      <c r="RHI148" s="22"/>
      <c r="RHJ148" s="22"/>
      <c r="RHK148" s="22"/>
      <c r="RHL148" s="22"/>
      <c r="RHM148" s="22"/>
      <c r="RHN148" s="22"/>
      <c r="RHO148" s="22"/>
      <c r="RHP148" s="22"/>
      <c r="RHQ148" s="22"/>
      <c r="RHR148" s="22"/>
      <c r="RHS148" s="22"/>
      <c r="RHT148" s="22"/>
      <c r="RHU148" s="22"/>
      <c r="RHV148" s="22"/>
      <c r="RHW148" s="22"/>
      <c r="RHX148" s="22"/>
      <c r="RHY148" s="22"/>
      <c r="RHZ148" s="22"/>
      <c r="RIA148" s="22"/>
      <c r="RIB148" s="22"/>
      <c r="RIC148" s="22"/>
      <c r="RID148" s="22"/>
      <c r="RIE148" s="22"/>
      <c r="RIF148" s="22"/>
      <c r="RIG148" s="22"/>
      <c r="RIH148" s="22"/>
      <c r="RII148" s="22"/>
      <c r="RIJ148" s="22"/>
      <c r="RIK148" s="22"/>
      <c r="RIL148" s="22"/>
      <c r="RIM148" s="22"/>
      <c r="RIN148" s="22"/>
      <c r="RIO148" s="22"/>
      <c r="RIP148" s="22"/>
      <c r="RIQ148" s="22"/>
      <c r="RIR148" s="22"/>
      <c r="RIS148" s="22"/>
      <c r="RIT148" s="22"/>
      <c r="RIU148" s="22"/>
      <c r="RIV148" s="22"/>
      <c r="RIW148" s="22"/>
      <c r="RIX148" s="22"/>
      <c r="RIY148" s="22"/>
      <c r="RIZ148" s="22"/>
      <c r="RJA148" s="22"/>
      <c r="RJB148" s="22"/>
      <c r="RJC148" s="22"/>
      <c r="RJD148" s="22"/>
      <c r="RJE148" s="22"/>
      <c r="RJF148" s="22"/>
      <c r="RJG148" s="22"/>
      <c r="RJH148" s="22"/>
      <c r="RJI148" s="22"/>
      <c r="RJJ148" s="22"/>
      <c r="RJK148" s="22"/>
      <c r="RJL148" s="22"/>
      <c r="RJM148" s="22"/>
      <c r="RJN148" s="22"/>
      <c r="RJO148" s="22"/>
      <c r="RJP148" s="22"/>
      <c r="RJQ148" s="22"/>
      <c r="RJR148" s="22"/>
      <c r="RJS148" s="22"/>
      <c r="RJT148" s="22"/>
      <c r="RJU148" s="22"/>
      <c r="RJV148" s="22"/>
      <c r="RJW148" s="22"/>
      <c r="RJX148" s="22"/>
      <c r="RJY148" s="22"/>
      <c r="RJZ148" s="22"/>
      <c r="RKA148" s="22"/>
      <c r="RKB148" s="22"/>
      <c r="RKC148" s="22"/>
      <c r="RKD148" s="22"/>
      <c r="RKE148" s="22"/>
      <c r="RKF148" s="22"/>
      <c r="RKG148" s="22"/>
      <c r="RKH148" s="22"/>
      <c r="RKI148" s="22"/>
      <c r="RKJ148" s="22"/>
      <c r="RKK148" s="22"/>
      <c r="RKL148" s="22"/>
      <c r="RKM148" s="22"/>
      <c r="RKN148" s="22"/>
      <c r="RKO148" s="22"/>
      <c r="RKP148" s="22"/>
      <c r="RKQ148" s="22"/>
      <c r="RKR148" s="22"/>
      <c r="RKS148" s="22"/>
      <c r="RKT148" s="22"/>
      <c r="RKU148" s="22"/>
      <c r="RKV148" s="22"/>
      <c r="RKW148" s="22"/>
      <c r="RKX148" s="22"/>
      <c r="RKY148" s="22"/>
      <c r="RKZ148" s="22"/>
      <c r="RLA148" s="22"/>
      <c r="RLB148" s="22"/>
      <c r="RLC148" s="22"/>
      <c r="RLD148" s="22"/>
      <c r="RLE148" s="22"/>
      <c r="RLF148" s="22"/>
      <c r="RLG148" s="22"/>
      <c r="RLH148" s="22"/>
      <c r="RLI148" s="22"/>
      <c r="RLJ148" s="22"/>
      <c r="RLK148" s="22"/>
      <c r="RLL148" s="22"/>
      <c r="RLM148" s="22"/>
      <c r="RLN148" s="22"/>
      <c r="RLO148" s="22"/>
      <c r="RLP148" s="22"/>
      <c r="RLQ148" s="22"/>
      <c r="RLR148" s="22"/>
      <c r="RLS148" s="22"/>
      <c r="RLT148" s="22"/>
      <c r="RLU148" s="22"/>
      <c r="RLV148" s="22"/>
      <c r="RLW148" s="22"/>
      <c r="RLX148" s="22"/>
      <c r="RLY148" s="22"/>
      <c r="RLZ148" s="22"/>
      <c r="RMA148" s="22"/>
      <c r="RMB148" s="22"/>
      <c r="RMC148" s="22"/>
      <c r="RMD148" s="22"/>
      <c r="RME148" s="22"/>
      <c r="RMF148" s="22"/>
      <c r="RMG148" s="22"/>
      <c r="RMH148" s="22"/>
      <c r="RMI148" s="22"/>
      <c r="RMJ148" s="22"/>
      <c r="RMK148" s="22"/>
      <c r="RML148" s="22"/>
      <c r="RMM148" s="22"/>
      <c r="RMN148" s="22"/>
      <c r="RMO148" s="22"/>
      <c r="RMP148" s="22"/>
      <c r="RMQ148" s="22"/>
      <c r="RMR148" s="22"/>
      <c r="RMS148" s="22"/>
      <c r="RMT148" s="22"/>
      <c r="RMU148" s="22"/>
      <c r="RMV148" s="22"/>
      <c r="RMW148" s="22"/>
      <c r="RMX148" s="22"/>
      <c r="RMY148" s="22"/>
      <c r="RMZ148" s="22"/>
      <c r="RNA148" s="22"/>
      <c r="RNB148" s="22"/>
      <c r="RNC148" s="22"/>
      <c r="RND148" s="22"/>
      <c r="RNE148" s="22"/>
      <c r="RNF148" s="22"/>
      <c r="RNG148" s="22"/>
      <c r="RNH148" s="22"/>
      <c r="RNI148" s="22"/>
      <c r="RNJ148" s="22"/>
      <c r="RNK148" s="22"/>
      <c r="RNL148" s="22"/>
      <c r="RNM148" s="22"/>
      <c r="RNN148" s="22"/>
      <c r="RNO148" s="22"/>
      <c r="RNP148" s="22"/>
      <c r="RNQ148" s="22"/>
      <c r="RNR148" s="22"/>
      <c r="RNS148" s="22"/>
      <c r="RNT148" s="22"/>
      <c r="RNU148" s="22"/>
      <c r="RNV148" s="22"/>
      <c r="RNW148" s="22"/>
      <c r="RNX148" s="22"/>
      <c r="RNY148" s="22"/>
      <c r="RNZ148" s="22"/>
      <c r="ROA148" s="22"/>
      <c r="ROB148" s="22"/>
      <c r="ROC148" s="22"/>
      <c r="ROD148" s="22"/>
      <c r="ROE148" s="22"/>
      <c r="ROF148" s="22"/>
      <c r="ROG148" s="22"/>
      <c r="ROH148" s="22"/>
      <c r="ROI148" s="22"/>
      <c r="ROJ148" s="22"/>
      <c r="ROK148" s="22"/>
      <c r="ROL148" s="22"/>
      <c r="ROM148" s="22"/>
      <c r="RON148" s="22"/>
      <c r="ROO148" s="22"/>
      <c r="ROP148" s="22"/>
      <c r="ROQ148" s="22"/>
      <c r="ROR148" s="22"/>
      <c r="ROS148" s="22"/>
      <c r="ROT148" s="22"/>
      <c r="ROU148" s="22"/>
      <c r="ROV148" s="22"/>
      <c r="ROW148" s="22"/>
      <c r="ROX148" s="22"/>
      <c r="ROY148" s="22"/>
      <c r="ROZ148" s="22"/>
      <c r="RPA148" s="22"/>
      <c r="RPB148" s="22"/>
      <c r="RPC148" s="22"/>
      <c r="RPD148" s="22"/>
      <c r="RPE148" s="22"/>
      <c r="RPF148" s="22"/>
      <c r="RPG148" s="22"/>
      <c r="RPH148" s="22"/>
      <c r="RPI148" s="22"/>
      <c r="RPJ148" s="22"/>
      <c r="RPK148" s="22"/>
      <c r="RPL148" s="22"/>
      <c r="RPM148" s="22"/>
      <c r="RPN148" s="22"/>
      <c r="RPO148" s="22"/>
      <c r="RPP148" s="22"/>
      <c r="RPQ148" s="22"/>
      <c r="RPR148" s="22"/>
      <c r="RPS148" s="22"/>
      <c r="RPT148" s="22"/>
      <c r="RPU148" s="22"/>
      <c r="RPV148" s="22"/>
      <c r="RPW148" s="22"/>
      <c r="RPX148" s="22"/>
      <c r="RPY148" s="22"/>
      <c r="RPZ148" s="22"/>
      <c r="RQA148" s="22"/>
      <c r="RQB148" s="22"/>
      <c r="RQC148" s="22"/>
      <c r="RQD148" s="22"/>
      <c r="RQE148" s="22"/>
      <c r="RQF148" s="22"/>
      <c r="RQG148" s="22"/>
      <c r="RQH148" s="22"/>
      <c r="RQI148" s="22"/>
      <c r="RQJ148" s="22"/>
      <c r="RQK148" s="22"/>
      <c r="RQL148" s="22"/>
      <c r="RQM148" s="22"/>
      <c r="RQN148" s="22"/>
      <c r="RQO148" s="22"/>
      <c r="RQP148" s="22"/>
      <c r="RQQ148" s="22"/>
      <c r="RQR148" s="22"/>
      <c r="RQS148" s="22"/>
      <c r="RQT148" s="22"/>
      <c r="RQU148" s="22"/>
      <c r="RQV148" s="22"/>
      <c r="RQW148" s="22"/>
      <c r="RQX148" s="22"/>
      <c r="RQY148" s="22"/>
      <c r="RQZ148" s="22"/>
      <c r="RRA148" s="22"/>
      <c r="RRB148" s="22"/>
      <c r="RRC148" s="22"/>
      <c r="RRD148" s="22"/>
      <c r="RRE148" s="22"/>
      <c r="RRF148" s="22"/>
      <c r="RRG148" s="22"/>
      <c r="RRH148" s="22"/>
      <c r="RRI148" s="22"/>
      <c r="RRJ148" s="22"/>
      <c r="RRK148" s="22"/>
      <c r="RRL148" s="22"/>
      <c r="RRM148" s="22"/>
      <c r="RRN148" s="22"/>
      <c r="RRO148" s="22"/>
      <c r="RRP148" s="22"/>
      <c r="RRQ148" s="22"/>
      <c r="RRR148" s="22"/>
      <c r="RRS148" s="22"/>
      <c r="RRT148" s="22"/>
      <c r="RRU148" s="22"/>
      <c r="RRV148" s="22"/>
      <c r="RRW148" s="22"/>
      <c r="RRX148" s="22"/>
      <c r="RRY148" s="22"/>
      <c r="RRZ148" s="22"/>
      <c r="RSA148" s="22"/>
      <c r="RSB148" s="22"/>
      <c r="RSC148" s="22"/>
      <c r="RSD148" s="22"/>
      <c r="RSE148" s="22"/>
      <c r="RSF148" s="22"/>
      <c r="RSG148" s="22"/>
      <c r="RSH148" s="22"/>
      <c r="RSI148" s="22"/>
      <c r="RSJ148" s="22"/>
      <c r="RSK148" s="22"/>
      <c r="RSL148" s="22"/>
      <c r="RSM148" s="22"/>
      <c r="RSN148" s="22"/>
      <c r="RSO148" s="22"/>
      <c r="RSP148" s="22"/>
      <c r="RSQ148" s="22"/>
      <c r="RSR148" s="22"/>
      <c r="RSS148" s="22"/>
      <c r="RST148" s="22"/>
      <c r="RSU148" s="22"/>
      <c r="RSV148" s="22"/>
      <c r="RSW148" s="22"/>
      <c r="RSX148" s="22"/>
      <c r="RSY148" s="22"/>
      <c r="RSZ148" s="22"/>
      <c r="RTA148" s="22"/>
      <c r="RTB148" s="22"/>
      <c r="RTC148" s="22"/>
      <c r="RTD148" s="22"/>
      <c r="RTE148" s="22"/>
      <c r="RTF148" s="22"/>
      <c r="RTG148" s="22"/>
      <c r="RTH148" s="22"/>
      <c r="RTI148" s="22"/>
      <c r="RTJ148" s="22"/>
      <c r="RTK148" s="22"/>
      <c r="RTL148" s="22"/>
      <c r="RTM148" s="22"/>
      <c r="RTN148" s="22"/>
      <c r="RTO148" s="22"/>
      <c r="RTP148" s="22"/>
      <c r="RTQ148" s="22"/>
      <c r="RTR148" s="22"/>
      <c r="RTS148" s="22"/>
      <c r="RTT148" s="22"/>
      <c r="RTU148" s="22"/>
      <c r="RTV148" s="22"/>
      <c r="RTW148" s="22"/>
      <c r="RTX148" s="22"/>
      <c r="RTY148" s="22"/>
      <c r="RTZ148" s="22"/>
      <c r="RUA148" s="22"/>
      <c r="RUB148" s="22"/>
      <c r="RUC148" s="22"/>
      <c r="RUD148" s="22"/>
      <c r="RUE148" s="22"/>
      <c r="RUF148" s="22"/>
      <c r="RUG148" s="22"/>
      <c r="RUH148" s="22"/>
      <c r="RUI148" s="22"/>
      <c r="RUJ148" s="22"/>
      <c r="RUK148" s="22"/>
      <c r="RUL148" s="22"/>
      <c r="RUM148" s="22"/>
      <c r="RUN148" s="22"/>
      <c r="RUO148" s="22"/>
      <c r="RUP148" s="22"/>
      <c r="RUQ148" s="22"/>
      <c r="RUR148" s="22"/>
      <c r="RUS148" s="22"/>
      <c r="RUT148" s="22"/>
      <c r="RUU148" s="22"/>
      <c r="RUV148" s="22"/>
      <c r="RUW148" s="22"/>
      <c r="RUX148" s="22"/>
      <c r="RUY148" s="22"/>
      <c r="RUZ148" s="22"/>
      <c r="RVA148" s="22"/>
      <c r="RVB148" s="22"/>
      <c r="RVC148" s="22"/>
      <c r="RVD148" s="22"/>
      <c r="RVE148" s="22"/>
      <c r="RVF148" s="22"/>
      <c r="RVG148" s="22"/>
      <c r="RVH148" s="22"/>
      <c r="RVI148" s="22"/>
      <c r="RVJ148" s="22"/>
      <c r="RVK148" s="22"/>
      <c r="RVL148" s="22"/>
      <c r="RVM148" s="22"/>
      <c r="RVN148" s="22"/>
      <c r="RVO148" s="22"/>
      <c r="RVP148" s="22"/>
      <c r="RVQ148" s="22"/>
      <c r="RVR148" s="22"/>
      <c r="RVS148" s="22"/>
      <c r="RVT148" s="22"/>
      <c r="RVU148" s="22"/>
      <c r="RVV148" s="22"/>
      <c r="RVW148" s="22"/>
      <c r="RVX148" s="22"/>
      <c r="RVY148" s="22"/>
      <c r="RVZ148" s="22"/>
      <c r="RWA148" s="22"/>
      <c r="RWB148" s="22"/>
      <c r="RWC148" s="22"/>
      <c r="RWD148" s="22"/>
      <c r="RWE148" s="22"/>
      <c r="RWF148" s="22"/>
      <c r="RWG148" s="22"/>
      <c r="RWH148" s="22"/>
      <c r="RWI148" s="22"/>
      <c r="RWJ148" s="22"/>
      <c r="RWK148" s="22"/>
      <c r="RWL148" s="22"/>
      <c r="RWM148" s="22"/>
      <c r="RWN148" s="22"/>
      <c r="RWO148" s="22"/>
      <c r="RWP148" s="22"/>
      <c r="RWQ148" s="22"/>
      <c r="RWR148" s="22"/>
      <c r="RWS148" s="22"/>
      <c r="RWT148" s="22"/>
      <c r="RWU148" s="22"/>
      <c r="RWV148" s="22"/>
      <c r="RWW148" s="22"/>
      <c r="RWX148" s="22"/>
      <c r="RWY148" s="22"/>
      <c r="RWZ148" s="22"/>
      <c r="RXA148" s="22"/>
      <c r="RXB148" s="22"/>
      <c r="RXC148" s="22"/>
      <c r="RXD148" s="22"/>
      <c r="RXE148" s="22"/>
      <c r="RXF148" s="22"/>
      <c r="RXG148" s="22"/>
      <c r="RXH148" s="22"/>
      <c r="RXI148" s="22"/>
      <c r="RXJ148" s="22"/>
      <c r="RXK148" s="22"/>
      <c r="RXL148" s="22"/>
      <c r="RXM148" s="22"/>
      <c r="RXN148" s="22"/>
      <c r="RXO148" s="22"/>
      <c r="RXP148" s="22"/>
      <c r="RXQ148" s="22"/>
      <c r="RXR148" s="22"/>
      <c r="RXS148" s="22"/>
      <c r="RXT148" s="22"/>
      <c r="RXU148" s="22"/>
      <c r="RXV148" s="22"/>
      <c r="RXW148" s="22"/>
      <c r="RXX148" s="22"/>
      <c r="RXY148" s="22"/>
      <c r="RXZ148" s="22"/>
      <c r="RYA148" s="22"/>
      <c r="RYB148" s="22"/>
      <c r="RYC148" s="22"/>
      <c r="RYD148" s="22"/>
      <c r="RYE148" s="22"/>
      <c r="RYF148" s="22"/>
      <c r="RYG148" s="22"/>
      <c r="RYH148" s="22"/>
      <c r="RYI148" s="22"/>
      <c r="RYJ148" s="22"/>
      <c r="RYK148" s="22"/>
      <c r="RYL148" s="22"/>
      <c r="RYM148" s="22"/>
      <c r="RYN148" s="22"/>
      <c r="RYO148" s="22"/>
      <c r="RYP148" s="22"/>
      <c r="RYQ148" s="22"/>
      <c r="RYR148" s="22"/>
      <c r="RYS148" s="22"/>
      <c r="RYT148" s="22"/>
      <c r="RYU148" s="22"/>
      <c r="RYV148" s="22"/>
      <c r="RYW148" s="22"/>
      <c r="RYX148" s="22"/>
      <c r="RYY148" s="22"/>
      <c r="RYZ148" s="22"/>
      <c r="RZA148" s="22"/>
      <c r="RZB148" s="22"/>
      <c r="RZC148" s="22"/>
      <c r="RZD148" s="22"/>
      <c r="RZE148" s="22"/>
      <c r="RZF148" s="22"/>
      <c r="RZG148" s="22"/>
      <c r="RZH148" s="22"/>
      <c r="RZI148" s="22"/>
      <c r="RZJ148" s="22"/>
      <c r="RZK148" s="22"/>
      <c r="RZL148" s="22"/>
      <c r="RZM148" s="22"/>
      <c r="RZN148" s="22"/>
      <c r="RZO148" s="22"/>
      <c r="RZP148" s="22"/>
      <c r="RZQ148" s="22"/>
      <c r="RZR148" s="22"/>
      <c r="RZS148" s="22"/>
      <c r="RZT148" s="22"/>
      <c r="RZU148" s="22"/>
      <c r="RZV148" s="22"/>
      <c r="RZW148" s="22"/>
      <c r="RZX148" s="22"/>
      <c r="RZY148" s="22"/>
      <c r="RZZ148" s="22"/>
      <c r="SAA148" s="22"/>
      <c r="SAB148" s="22"/>
      <c r="SAC148" s="22"/>
      <c r="SAD148" s="22"/>
      <c r="SAE148" s="22"/>
      <c r="SAF148" s="22"/>
      <c r="SAG148" s="22"/>
      <c r="SAH148" s="22"/>
      <c r="SAI148" s="22"/>
      <c r="SAJ148" s="22"/>
      <c r="SAK148" s="22"/>
      <c r="SAL148" s="22"/>
      <c r="SAM148" s="22"/>
      <c r="SAN148" s="22"/>
      <c r="SAO148" s="22"/>
      <c r="SAP148" s="22"/>
      <c r="SAQ148" s="22"/>
      <c r="SAR148" s="22"/>
      <c r="SAS148" s="22"/>
      <c r="SAT148" s="22"/>
      <c r="SAU148" s="22"/>
      <c r="SAV148" s="22"/>
      <c r="SAW148" s="22"/>
      <c r="SAX148" s="22"/>
      <c r="SAY148" s="22"/>
      <c r="SAZ148" s="22"/>
      <c r="SBA148" s="22"/>
      <c r="SBB148" s="22"/>
      <c r="SBC148" s="22"/>
      <c r="SBD148" s="22"/>
      <c r="SBE148" s="22"/>
      <c r="SBF148" s="22"/>
      <c r="SBG148" s="22"/>
      <c r="SBH148" s="22"/>
      <c r="SBI148" s="22"/>
      <c r="SBJ148" s="22"/>
      <c r="SBK148" s="22"/>
      <c r="SBL148" s="22"/>
      <c r="SBM148" s="22"/>
      <c r="SBN148" s="22"/>
      <c r="SBO148" s="22"/>
      <c r="SBP148" s="22"/>
      <c r="SBQ148" s="22"/>
      <c r="SBR148" s="22"/>
      <c r="SBS148" s="22"/>
      <c r="SBT148" s="22"/>
      <c r="SBU148" s="22"/>
      <c r="SBV148" s="22"/>
      <c r="SBW148" s="22"/>
      <c r="SBX148" s="22"/>
      <c r="SBY148" s="22"/>
      <c r="SBZ148" s="22"/>
      <c r="SCA148" s="22"/>
      <c r="SCB148" s="22"/>
      <c r="SCC148" s="22"/>
      <c r="SCD148" s="22"/>
      <c r="SCE148" s="22"/>
      <c r="SCF148" s="22"/>
      <c r="SCG148" s="22"/>
      <c r="SCH148" s="22"/>
      <c r="SCI148" s="22"/>
      <c r="SCJ148" s="22"/>
      <c r="SCK148" s="22"/>
      <c r="SCL148" s="22"/>
      <c r="SCM148" s="22"/>
      <c r="SCN148" s="22"/>
      <c r="SCO148" s="22"/>
      <c r="SCP148" s="22"/>
      <c r="SCQ148" s="22"/>
      <c r="SCR148" s="22"/>
      <c r="SCS148" s="22"/>
      <c r="SCT148" s="22"/>
      <c r="SCU148" s="22"/>
      <c r="SCV148" s="22"/>
      <c r="SCW148" s="22"/>
      <c r="SCX148" s="22"/>
      <c r="SCY148" s="22"/>
      <c r="SCZ148" s="22"/>
      <c r="SDA148" s="22"/>
      <c r="SDB148" s="22"/>
      <c r="SDC148" s="22"/>
      <c r="SDD148" s="22"/>
      <c r="SDE148" s="22"/>
      <c r="SDF148" s="22"/>
      <c r="SDG148" s="22"/>
      <c r="SDH148" s="22"/>
      <c r="SDI148" s="22"/>
      <c r="SDJ148" s="22"/>
      <c r="SDK148" s="22"/>
      <c r="SDL148" s="22"/>
      <c r="SDM148" s="22"/>
      <c r="SDN148" s="22"/>
      <c r="SDO148" s="22"/>
      <c r="SDP148" s="22"/>
      <c r="SDQ148" s="22"/>
      <c r="SDR148" s="22"/>
      <c r="SDS148" s="22"/>
      <c r="SDT148" s="22"/>
      <c r="SDU148" s="22"/>
      <c r="SDV148" s="22"/>
      <c r="SDW148" s="22"/>
      <c r="SDX148" s="22"/>
      <c r="SDY148" s="22"/>
      <c r="SDZ148" s="22"/>
      <c r="SEA148" s="22"/>
      <c r="SEB148" s="22"/>
      <c r="SEC148" s="22"/>
      <c r="SED148" s="22"/>
      <c r="SEE148" s="22"/>
      <c r="SEF148" s="22"/>
      <c r="SEG148" s="22"/>
      <c r="SEH148" s="22"/>
      <c r="SEI148" s="22"/>
      <c r="SEJ148" s="22"/>
      <c r="SEK148" s="22"/>
      <c r="SEL148" s="22"/>
      <c r="SEM148" s="22"/>
      <c r="SEN148" s="22"/>
      <c r="SEO148" s="22"/>
      <c r="SEP148" s="22"/>
      <c r="SEQ148" s="22"/>
      <c r="SER148" s="22"/>
      <c r="SES148" s="22"/>
      <c r="SET148" s="22"/>
      <c r="SEU148" s="22"/>
      <c r="SEV148" s="22"/>
      <c r="SEW148" s="22"/>
      <c r="SEX148" s="22"/>
      <c r="SEY148" s="22"/>
      <c r="SEZ148" s="22"/>
      <c r="SFA148" s="22"/>
      <c r="SFB148" s="22"/>
      <c r="SFC148" s="22"/>
      <c r="SFD148" s="22"/>
      <c r="SFE148" s="22"/>
      <c r="SFF148" s="22"/>
      <c r="SFG148" s="22"/>
      <c r="SFH148" s="22"/>
      <c r="SFI148" s="22"/>
      <c r="SFJ148" s="22"/>
      <c r="SFK148" s="22"/>
      <c r="SFL148" s="22"/>
      <c r="SFM148" s="22"/>
      <c r="SFN148" s="22"/>
      <c r="SFO148" s="22"/>
      <c r="SFP148" s="22"/>
      <c r="SFQ148" s="22"/>
      <c r="SFR148" s="22"/>
      <c r="SFS148" s="22"/>
      <c r="SFT148" s="22"/>
      <c r="SFU148" s="22"/>
      <c r="SFV148" s="22"/>
      <c r="SFW148" s="22"/>
      <c r="SFX148" s="22"/>
      <c r="SFY148" s="22"/>
      <c r="SFZ148" s="22"/>
      <c r="SGA148" s="22"/>
      <c r="SGB148" s="22"/>
      <c r="SGC148" s="22"/>
      <c r="SGD148" s="22"/>
      <c r="SGE148" s="22"/>
      <c r="SGF148" s="22"/>
      <c r="SGG148" s="22"/>
      <c r="SGH148" s="22"/>
      <c r="SGI148" s="22"/>
      <c r="SGJ148" s="22"/>
      <c r="SGK148" s="22"/>
      <c r="SGL148" s="22"/>
      <c r="SGM148" s="22"/>
      <c r="SGN148" s="22"/>
      <c r="SGO148" s="22"/>
      <c r="SGP148" s="22"/>
      <c r="SGQ148" s="22"/>
      <c r="SGR148" s="22"/>
      <c r="SGS148" s="22"/>
      <c r="SGT148" s="22"/>
      <c r="SGU148" s="22"/>
      <c r="SGV148" s="22"/>
      <c r="SGW148" s="22"/>
      <c r="SGX148" s="22"/>
      <c r="SGY148" s="22"/>
      <c r="SGZ148" s="22"/>
      <c r="SHA148" s="22"/>
      <c r="SHB148" s="22"/>
      <c r="SHC148" s="22"/>
      <c r="SHD148" s="22"/>
      <c r="SHE148" s="22"/>
      <c r="SHF148" s="22"/>
      <c r="SHG148" s="22"/>
      <c r="SHH148" s="22"/>
      <c r="SHI148" s="22"/>
      <c r="SHJ148" s="22"/>
      <c r="SHK148" s="22"/>
      <c r="SHL148" s="22"/>
      <c r="SHM148" s="22"/>
      <c r="SHN148" s="22"/>
      <c r="SHO148" s="22"/>
      <c r="SHP148" s="22"/>
      <c r="SHQ148" s="22"/>
      <c r="SHR148" s="22"/>
      <c r="SHS148" s="22"/>
      <c r="SHT148" s="22"/>
      <c r="SHU148" s="22"/>
      <c r="SHV148" s="22"/>
      <c r="SHW148" s="22"/>
      <c r="SHX148" s="22"/>
      <c r="SHY148" s="22"/>
      <c r="SHZ148" s="22"/>
      <c r="SIA148" s="22"/>
      <c r="SIB148" s="22"/>
      <c r="SIC148" s="22"/>
      <c r="SID148" s="22"/>
      <c r="SIE148" s="22"/>
      <c r="SIF148" s="22"/>
      <c r="SIG148" s="22"/>
      <c r="SIH148" s="22"/>
      <c r="SII148" s="22"/>
      <c r="SIJ148" s="22"/>
      <c r="SIK148" s="22"/>
      <c r="SIL148" s="22"/>
      <c r="SIM148" s="22"/>
      <c r="SIN148" s="22"/>
      <c r="SIO148" s="22"/>
      <c r="SIP148" s="22"/>
      <c r="SIQ148" s="22"/>
      <c r="SIR148" s="22"/>
      <c r="SIS148" s="22"/>
      <c r="SIT148" s="22"/>
      <c r="SIU148" s="22"/>
      <c r="SIV148" s="22"/>
      <c r="SIW148" s="22"/>
      <c r="SIX148" s="22"/>
      <c r="SIY148" s="22"/>
      <c r="SIZ148" s="22"/>
      <c r="SJA148" s="22"/>
      <c r="SJB148" s="22"/>
      <c r="SJC148" s="22"/>
      <c r="SJD148" s="22"/>
      <c r="SJE148" s="22"/>
      <c r="SJF148" s="22"/>
      <c r="SJG148" s="22"/>
      <c r="SJH148" s="22"/>
      <c r="SJI148" s="22"/>
      <c r="SJJ148" s="22"/>
      <c r="SJK148" s="22"/>
      <c r="SJL148" s="22"/>
      <c r="SJM148" s="22"/>
      <c r="SJN148" s="22"/>
      <c r="SJO148" s="22"/>
      <c r="SJP148" s="22"/>
      <c r="SJQ148" s="22"/>
      <c r="SJR148" s="22"/>
      <c r="SJS148" s="22"/>
      <c r="SJT148" s="22"/>
      <c r="SJU148" s="22"/>
      <c r="SJV148" s="22"/>
      <c r="SJW148" s="22"/>
      <c r="SJX148" s="22"/>
      <c r="SJY148" s="22"/>
      <c r="SJZ148" s="22"/>
      <c r="SKA148" s="22"/>
      <c r="SKB148" s="22"/>
      <c r="SKC148" s="22"/>
      <c r="SKD148" s="22"/>
      <c r="SKE148" s="22"/>
      <c r="SKF148" s="22"/>
      <c r="SKG148" s="22"/>
      <c r="SKH148" s="22"/>
      <c r="SKI148" s="22"/>
      <c r="SKJ148" s="22"/>
      <c r="SKK148" s="22"/>
      <c r="SKL148" s="22"/>
      <c r="SKM148" s="22"/>
      <c r="SKN148" s="22"/>
      <c r="SKO148" s="22"/>
      <c r="SKP148" s="22"/>
      <c r="SKQ148" s="22"/>
      <c r="SKR148" s="22"/>
      <c r="SKS148" s="22"/>
      <c r="SKT148" s="22"/>
      <c r="SKU148" s="22"/>
      <c r="SKV148" s="22"/>
      <c r="SKW148" s="22"/>
      <c r="SKX148" s="22"/>
      <c r="SKY148" s="22"/>
      <c r="SKZ148" s="22"/>
      <c r="SLA148" s="22"/>
      <c r="SLB148" s="22"/>
      <c r="SLC148" s="22"/>
      <c r="SLD148" s="22"/>
      <c r="SLE148" s="22"/>
      <c r="SLF148" s="22"/>
      <c r="SLG148" s="22"/>
      <c r="SLH148" s="22"/>
      <c r="SLI148" s="22"/>
      <c r="SLJ148" s="22"/>
      <c r="SLK148" s="22"/>
      <c r="SLL148" s="22"/>
      <c r="SLM148" s="22"/>
      <c r="SLN148" s="22"/>
      <c r="SLO148" s="22"/>
      <c r="SLP148" s="22"/>
      <c r="SLQ148" s="22"/>
      <c r="SLR148" s="22"/>
      <c r="SLS148" s="22"/>
      <c r="SLT148" s="22"/>
      <c r="SLU148" s="22"/>
      <c r="SLV148" s="22"/>
      <c r="SLW148" s="22"/>
      <c r="SLX148" s="22"/>
      <c r="SLY148" s="22"/>
      <c r="SLZ148" s="22"/>
      <c r="SMA148" s="22"/>
      <c r="SMB148" s="22"/>
      <c r="SMC148" s="22"/>
      <c r="SMD148" s="22"/>
      <c r="SME148" s="22"/>
      <c r="SMF148" s="22"/>
      <c r="SMG148" s="22"/>
      <c r="SMH148" s="22"/>
      <c r="SMI148" s="22"/>
      <c r="SMJ148" s="22"/>
      <c r="SMK148" s="22"/>
      <c r="SML148" s="22"/>
      <c r="SMM148" s="22"/>
      <c r="SMN148" s="22"/>
      <c r="SMO148" s="22"/>
      <c r="SMP148" s="22"/>
      <c r="SMQ148" s="22"/>
      <c r="SMR148" s="22"/>
      <c r="SMS148" s="22"/>
      <c r="SMT148" s="22"/>
      <c r="SMU148" s="22"/>
      <c r="SMV148" s="22"/>
      <c r="SMW148" s="22"/>
      <c r="SMX148" s="22"/>
      <c r="SMY148" s="22"/>
      <c r="SMZ148" s="22"/>
      <c r="SNA148" s="22"/>
      <c r="SNB148" s="22"/>
      <c r="SNC148" s="22"/>
      <c r="SND148" s="22"/>
      <c r="SNE148" s="22"/>
      <c r="SNF148" s="22"/>
      <c r="SNG148" s="22"/>
      <c r="SNH148" s="22"/>
      <c r="SNI148" s="22"/>
      <c r="SNJ148" s="22"/>
      <c r="SNK148" s="22"/>
      <c r="SNL148" s="22"/>
      <c r="SNM148" s="22"/>
      <c r="SNN148" s="22"/>
      <c r="SNO148" s="22"/>
      <c r="SNP148" s="22"/>
      <c r="SNQ148" s="22"/>
      <c r="SNR148" s="22"/>
      <c r="SNS148" s="22"/>
      <c r="SNT148" s="22"/>
      <c r="SNU148" s="22"/>
      <c r="SNV148" s="22"/>
      <c r="SNW148" s="22"/>
      <c r="SNX148" s="22"/>
      <c r="SNY148" s="22"/>
      <c r="SNZ148" s="22"/>
      <c r="SOA148" s="22"/>
      <c r="SOB148" s="22"/>
      <c r="SOC148" s="22"/>
      <c r="SOD148" s="22"/>
      <c r="SOE148" s="22"/>
      <c r="SOF148" s="22"/>
      <c r="SOG148" s="22"/>
      <c r="SOH148" s="22"/>
      <c r="SOI148" s="22"/>
      <c r="SOJ148" s="22"/>
      <c r="SOK148" s="22"/>
      <c r="SOL148" s="22"/>
      <c r="SOM148" s="22"/>
      <c r="SON148" s="22"/>
      <c r="SOO148" s="22"/>
      <c r="SOP148" s="22"/>
      <c r="SOQ148" s="22"/>
      <c r="SOR148" s="22"/>
      <c r="SOS148" s="22"/>
      <c r="SOT148" s="22"/>
      <c r="SOU148" s="22"/>
      <c r="SOV148" s="22"/>
      <c r="SOW148" s="22"/>
      <c r="SOX148" s="22"/>
      <c r="SOY148" s="22"/>
      <c r="SOZ148" s="22"/>
      <c r="SPA148" s="22"/>
      <c r="SPB148" s="22"/>
      <c r="SPC148" s="22"/>
      <c r="SPD148" s="22"/>
      <c r="SPE148" s="22"/>
      <c r="SPF148" s="22"/>
      <c r="SPG148" s="22"/>
      <c r="SPH148" s="22"/>
      <c r="SPI148" s="22"/>
      <c r="SPJ148" s="22"/>
      <c r="SPK148" s="22"/>
      <c r="SPL148" s="22"/>
      <c r="SPM148" s="22"/>
      <c r="SPN148" s="22"/>
      <c r="SPO148" s="22"/>
      <c r="SPP148" s="22"/>
      <c r="SPQ148" s="22"/>
      <c r="SPR148" s="22"/>
      <c r="SPS148" s="22"/>
      <c r="SPT148" s="22"/>
      <c r="SPU148" s="22"/>
      <c r="SPV148" s="22"/>
      <c r="SPW148" s="22"/>
      <c r="SPX148" s="22"/>
      <c r="SPY148" s="22"/>
      <c r="SPZ148" s="22"/>
      <c r="SQA148" s="22"/>
      <c r="SQB148" s="22"/>
      <c r="SQC148" s="22"/>
      <c r="SQD148" s="22"/>
      <c r="SQE148" s="22"/>
      <c r="SQF148" s="22"/>
      <c r="SQG148" s="22"/>
      <c r="SQH148" s="22"/>
      <c r="SQI148" s="22"/>
      <c r="SQJ148" s="22"/>
      <c r="SQK148" s="22"/>
      <c r="SQL148" s="22"/>
      <c r="SQM148" s="22"/>
      <c r="SQN148" s="22"/>
      <c r="SQO148" s="22"/>
      <c r="SQP148" s="22"/>
      <c r="SQQ148" s="22"/>
      <c r="SQR148" s="22"/>
      <c r="SQS148" s="22"/>
      <c r="SQT148" s="22"/>
      <c r="SQU148" s="22"/>
      <c r="SQV148" s="22"/>
      <c r="SQW148" s="22"/>
      <c r="SQX148" s="22"/>
      <c r="SQY148" s="22"/>
      <c r="SQZ148" s="22"/>
      <c r="SRA148" s="22"/>
      <c r="SRB148" s="22"/>
      <c r="SRC148" s="22"/>
      <c r="SRD148" s="22"/>
      <c r="SRE148" s="22"/>
      <c r="SRF148" s="22"/>
      <c r="SRG148" s="22"/>
      <c r="SRH148" s="22"/>
      <c r="SRI148" s="22"/>
      <c r="SRJ148" s="22"/>
      <c r="SRK148" s="22"/>
      <c r="SRL148" s="22"/>
      <c r="SRM148" s="22"/>
      <c r="SRN148" s="22"/>
      <c r="SRO148" s="22"/>
      <c r="SRP148" s="22"/>
      <c r="SRQ148" s="22"/>
      <c r="SRR148" s="22"/>
      <c r="SRS148" s="22"/>
      <c r="SRT148" s="22"/>
      <c r="SRU148" s="22"/>
      <c r="SRV148" s="22"/>
      <c r="SRW148" s="22"/>
      <c r="SRX148" s="22"/>
      <c r="SRY148" s="22"/>
      <c r="SRZ148" s="22"/>
      <c r="SSA148" s="22"/>
      <c r="SSB148" s="22"/>
      <c r="SSC148" s="22"/>
      <c r="SSD148" s="22"/>
      <c r="SSE148" s="22"/>
      <c r="SSF148" s="22"/>
      <c r="SSG148" s="22"/>
      <c r="SSH148" s="22"/>
      <c r="SSI148" s="22"/>
      <c r="SSJ148" s="22"/>
      <c r="SSK148" s="22"/>
      <c r="SSL148" s="22"/>
      <c r="SSM148" s="22"/>
      <c r="SSN148" s="22"/>
      <c r="SSO148" s="22"/>
      <c r="SSP148" s="22"/>
      <c r="SSQ148" s="22"/>
      <c r="SSR148" s="22"/>
      <c r="SSS148" s="22"/>
      <c r="SST148" s="22"/>
      <c r="SSU148" s="22"/>
      <c r="SSV148" s="22"/>
      <c r="SSW148" s="22"/>
      <c r="SSX148" s="22"/>
      <c r="SSY148" s="22"/>
      <c r="SSZ148" s="22"/>
      <c r="STA148" s="22"/>
      <c r="STB148" s="22"/>
      <c r="STC148" s="22"/>
      <c r="STD148" s="22"/>
      <c r="STE148" s="22"/>
      <c r="STF148" s="22"/>
      <c r="STG148" s="22"/>
      <c r="STH148" s="22"/>
      <c r="STI148" s="22"/>
      <c r="STJ148" s="22"/>
      <c r="STK148" s="22"/>
      <c r="STL148" s="22"/>
      <c r="STM148" s="22"/>
      <c r="STN148" s="22"/>
      <c r="STO148" s="22"/>
      <c r="STP148" s="22"/>
      <c r="STQ148" s="22"/>
      <c r="STR148" s="22"/>
      <c r="STS148" s="22"/>
      <c r="STT148" s="22"/>
      <c r="STU148" s="22"/>
      <c r="STV148" s="22"/>
      <c r="STW148" s="22"/>
      <c r="STX148" s="22"/>
      <c r="STY148" s="22"/>
      <c r="STZ148" s="22"/>
      <c r="SUA148" s="22"/>
      <c r="SUB148" s="22"/>
      <c r="SUC148" s="22"/>
      <c r="SUD148" s="22"/>
      <c r="SUE148" s="22"/>
      <c r="SUF148" s="22"/>
      <c r="SUG148" s="22"/>
      <c r="SUH148" s="22"/>
      <c r="SUI148" s="22"/>
      <c r="SUJ148" s="22"/>
      <c r="SUK148" s="22"/>
      <c r="SUL148" s="22"/>
      <c r="SUM148" s="22"/>
      <c r="SUN148" s="22"/>
      <c r="SUO148" s="22"/>
      <c r="SUP148" s="22"/>
      <c r="SUQ148" s="22"/>
      <c r="SUR148" s="22"/>
      <c r="SUS148" s="22"/>
      <c r="SUT148" s="22"/>
      <c r="SUU148" s="22"/>
      <c r="SUV148" s="22"/>
      <c r="SUW148" s="22"/>
      <c r="SUX148" s="22"/>
      <c r="SUY148" s="22"/>
      <c r="SUZ148" s="22"/>
      <c r="SVA148" s="22"/>
      <c r="SVB148" s="22"/>
      <c r="SVC148" s="22"/>
      <c r="SVD148" s="22"/>
      <c r="SVE148" s="22"/>
      <c r="SVF148" s="22"/>
      <c r="SVG148" s="22"/>
      <c r="SVH148" s="22"/>
      <c r="SVI148" s="22"/>
      <c r="SVJ148" s="22"/>
      <c r="SVK148" s="22"/>
      <c r="SVL148" s="22"/>
      <c r="SVM148" s="22"/>
      <c r="SVN148" s="22"/>
      <c r="SVO148" s="22"/>
      <c r="SVP148" s="22"/>
      <c r="SVQ148" s="22"/>
      <c r="SVR148" s="22"/>
      <c r="SVS148" s="22"/>
      <c r="SVT148" s="22"/>
      <c r="SVU148" s="22"/>
      <c r="SVV148" s="22"/>
      <c r="SVW148" s="22"/>
      <c r="SVX148" s="22"/>
      <c r="SVY148" s="22"/>
      <c r="SVZ148" s="22"/>
      <c r="SWA148" s="22"/>
      <c r="SWB148" s="22"/>
      <c r="SWC148" s="22"/>
      <c r="SWD148" s="22"/>
      <c r="SWE148" s="22"/>
      <c r="SWF148" s="22"/>
      <c r="SWG148" s="22"/>
      <c r="SWH148" s="22"/>
      <c r="SWI148" s="22"/>
      <c r="SWJ148" s="22"/>
      <c r="SWK148" s="22"/>
      <c r="SWL148" s="22"/>
      <c r="SWM148" s="22"/>
      <c r="SWN148" s="22"/>
      <c r="SWO148" s="22"/>
      <c r="SWP148" s="22"/>
      <c r="SWQ148" s="22"/>
      <c r="SWR148" s="22"/>
      <c r="SWS148" s="22"/>
      <c r="SWT148" s="22"/>
      <c r="SWU148" s="22"/>
      <c r="SWV148" s="22"/>
      <c r="SWW148" s="22"/>
      <c r="SWX148" s="22"/>
      <c r="SWY148" s="22"/>
      <c r="SWZ148" s="22"/>
      <c r="SXA148" s="22"/>
      <c r="SXB148" s="22"/>
      <c r="SXC148" s="22"/>
      <c r="SXD148" s="22"/>
      <c r="SXE148" s="22"/>
      <c r="SXF148" s="22"/>
      <c r="SXG148" s="22"/>
      <c r="SXH148" s="22"/>
      <c r="SXI148" s="22"/>
      <c r="SXJ148" s="22"/>
      <c r="SXK148" s="22"/>
      <c r="SXL148" s="22"/>
      <c r="SXM148" s="22"/>
      <c r="SXN148" s="22"/>
      <c r="SXO148" s="22"/>
      <c r="SXP148" s="22"/>
      <c r="SXQ148" s="22"/>
      <c r="SXR148" s="22"/>
      <c r="SXS148" s="22"/>
      <c r="SXT148" s="22"/>
      <c r="SXU148" s="22"/>
      <c r="SXV148" s="22"/>
      <c r="SXW148" s="22"/>
      <c r="SXX148" s="22"/>
      <c r="SXY148" s="22"/>
      <c r="SXZ148" s="22"/>
      <c r="SYA148" s="22"/>
      <c r="SYB148" s="22"/>
      <c r="SYC148" s="22"/>
      <c r="SYD148" s="22"/>
      <c r="SYE148" s="22"/>
      <c r="SYF148" s="22"/>
      <c r="SYG148" s="22"/>
      <c r="SYH148" s="22"/>
      <c r="SYI148" s="22"/>
      <c r="SYJ148" s="22"/>
      <c r="SYK148" s="22"/>
      <c r="SYL148" s="22"/>
      <c r="SYM148" s="22"/>
      <c r="SYN148" s="22"/>
      <c r="SYO148" s="22"/>
      <c r="SYP148" s="22"/>
      <c r="SYQ148" s="22"/>
      <c r="SYR148" s="22"/>
      <c r="SYS148" s="22"/>
      <c r="SYT148" s="22"/>
      <c r="SYU148" s="22"/>
      <c r="SYV148" s="22"/>
      <c r="SYW148" s="22"/>
      <c r="SYX148" s="22"/>
      <c r="SYY148" s="22"/>
      <c r="SYZ148" s="22"/>
      <c r="SZA148" s="22"/>
      <c r="SZB148" s="22"/>
      <c r="SZC148" s="22"/>
      <c r="SZD148" s="22"/>
      <c r="SZE148" s="22"/>
      <c r="SZF148" s="22"/>
      <c r="SZG148" s="22"/>
      <c r="SZH148" s="22"/>
      <c r="SZI148" s="22"/>
      <c r="SZJ148" s="22"/>
      <c r="SZK148" s="22"/>
      <c r="SZL148" s="22"/>
      <c r="SZM148" s="22"/>
      <c r="SZN148" s="22"/>
      <c r="SZO148" s="22"/>
      <c r="SZP148" s="22"/>
      <c r="SZQ148" s="22"/>
      <c r="SZR148" s="22"/>
      <c r="SZS148" s="22"/>
      <c r="SZT148" s="22"/>
      <c r="SZU148" s="22"/>
      <c r="SZV148" s="22"/>
      <c r="SZW148" s="22"/>
      <c r="SZX148" s="22"/>
      <c r="SZY148" s="22"/>
      <c r="SZZ148" s="22"/>
      <c r="TAA148" s="22"/>
      <c r="TAB148" s="22"/>
      <c r="TAC148" s="22"/>
      <c r="TAD148" s="22"/>
      <c r="TAE148" s="22"/>
      <c r="TAF148" s="22"/>
      <c r="TAG148" s="22"/>
      <c r="TAH148" s="22"/>
      <c r="TAI148" s="22"/>
      <c r="TAJ148" s="22"/>
      <c r="TAK148" s="22"/>
      <c r="TAL148" s="22"/>
      <c r="TAM148" s="22"/>
      <c r="TAN148" s="22"/>
      <c r="TAO148" s="22"/>
      <c r="TAP148" s="22"/>
      <c r="TAQ148" s="22"/>
      <c r="TAR148" s="22"/>
      <c r="TAS148" s="22"/>
      <c r="TAT148" s="22"/>
      <c r="TAU148" s="22"/>
      <c r="TAV148" s="22"/>
      <c r="TAW148" s="22"/>
      <c r="TAX148" s="22"/>
      <c r="TAY148" s="22"/>
      <c r="TAZ148" s="22"/>
      <c r="TBA148" s="22"/>
      <c r="TBB148" s="22"/>
      <c r="TBC148" s="22"/>
      <c r="TBD148" s="22"/>
      <c r="TBE148" s="22"/>
      <c r="TBF148" s="22"/>
      <c r="TBG148" s="22"/>
      <c r="TBH148" s="22"/>
      <c r="TBI148" s="22"/>
      <c r="TBJ148" s="22"/>
      <c r="TBK148" s="22"/>
      <c r="TBL148" s="22"/>
      <c r="TBM148" s="22"/>
      <c r="TBN148" s="22"/>
      <c r="TBO148" s="22"/>
      <c r="TBP148" s="22"/>
      <c r="TBQ148" s="22"/>
      <c r="TBR148" s="22"/>
      <c r="TBS148" s="22"/>
      <c r="TBT148" s="22"/>
      <c r="TBU148" s="22"/>
      <c r="TBV148" s="22"/>
      <c r="TBW148" s="22"/>
      <c r="TBX148" s="22"/>
      <c r="TBY148" s="22"/>
      <c r="TBZ148" s="22"/>
      <c r="TCA148" s="22"/>
      <c r="TCB148" s="22"/>
      <c r="TCC148" s="22"/>
      <c r="TCD148" s="22"/>
      <c r="TCE148" s="22"/>
      <c r="TCF148" s="22"/>
      <c r="TCG148" s="22"/>
      <c r="TCH148" s="22"/>
      <c r="TCI148" s="22"/>
      <c r="TCJ148" s="22"/>
      <c r="TCK148" s="22"/>
      <c r="TCL148" s="22"/>
      <c r="TCM148" s="22"/>
      <c r="TCN148" s="22"/>
      <c r="TCO148" s="22"/>
      <c r="TCP148" s="22"/>
      <c r="TCQ148" s="22"/>
      <c r="TCR148" s="22"/>
      <c r="TCS148" s="22"/>
      <c r="TCT148" s="22"/>
      <c r="TCU148" s="22"/>
      <c r="TCV148" s="22"/>
      <c r="TCW148" s="22"/>
      <c r="TCX148" s="22"/>
      <c r="TCY148" s="22"/>
      <c r="TCZ148" s="22"/>
      <c r="TDA148" s="22"/>
      <c r="TDB148" s="22"/>
      <c r="TDC148" s="22"/>
      <c r="TDD148" s="22"/>
      <c r="TDE148" s="22"/>
      <c r="TDF148" s="22"/>
      <c r="TDG148" s="22"/>
      <c r="TDH148" s="22"/>
      <c r="TDI148" s="22"/>
      <c r="TDJ148" s="22"/>
      <c r="TDK148" s="22"/>
      <c r="TDL148" s="22"/>
      <c r="TDM148" s="22"/>
      <c r="TDN148" s="22"/>
      <c r="TDO148" s="22"/>
      <c r="TDP148" s="22"/>
      <c r="TDQ148" s="22"/>
      <c r="TDR148" s="22"/>
      <c r="TDS148" s="22"/>
      <c r="TDT148" s="22"/>
      <c r="TDU148" s="22"/>
      <c r="TDV148" s="22"/>
      <c r="TDW148" s="22"/>
      <c r="TDX148" s="22"/>
      <c r="TDY148" s="22"/>
      <c r="TDZ148" s="22"/>
      <c r="TEA148" s="22"/>
      <c r="TEB148" s="22"/>
      <c r="TEC148" s="22"/>
      <c r="TED148" s="22"/>
      <c r="TEE148" s="22"/>
      <c r="TEF148" s="22"/>
      <c r="TEG148" s="22"/>
      <c r="TEH148" s="22"/>
      <c r="TEI148" s="22"/>
      <c r="TEJ148" s="22"/>
      <c r="TEK148" s="22"/>
      <c r="TEL148" s="22"/>
      <c r="TEM148" s="22"/>
      <c r="TEN148" s="22"/>
      <c r="TEO148" s="22"/>
      <c r="TEP148" s="22"/>
      <c r="TEQ148" s="22"/>
      <c r="TER148" s="22"/>
      <c r="TES148" s="22"/>
      <c r="TET148" s="22"/>
      <c r="TEU148" s="22"/>
      <c r="TEV148" s="22"/>
      <c r="TEW148" s="22"/>
      <c r="TEX148" s="22"/>
      <c r="TEY148" s="22"/>
      <c r="TEZ148" s="22"/>
      <c r="TFA148" s="22"/>
      <c r="TFB148" s="22"/>
      <c r="TFC148" s="22"/>
      <c r="TFD148" s="22"/>
      <c r="TFE148" s="22"/>
      <c r="TFF148" s="22"/>
      <c r="TFG148" s="22"/>
      <c r="TFH148" s="22"/>
      <c r="TFI148" s="22"/>
      <c r="TFJ148" s="22"/>
      <c r="TFK148" s="22"/>
      <c r="TFL148" s="22"/>
      <c r="TFM148" s="22"/>
      <c r="TFN148" s="22"/>
      <c r="TFO148" s="22"/>
      <c r="TFP148" s="22"/>
      <c r="TFQ148" s="22"/>
      <c r="TFR148" s="22"/>
      <c r="TFS148" s="22"/>
      <c r="TFT148" s="22"/>
      <c r="TFU148" s="22"/>
      <c r="TFV148" s="22"/>
      <c r="TFW148" s="22"/>
      <c r="TFX148" s="22"/>
      <c r="TFY148" s="22"/>
      <c r="TFZ148" s="22"/>
      <c r="TGA148" s="22"/>
      <c r="TGB148" s="22"/>
      <c r="TGC148" s="22"/>
      <c r="TGD148" s="22"/>
      <c r="TGE148" s="22"/>
      <c r="TGF148" s="22"/>
      <c r="TGG148" s="22"/>
      <c r="TGH148" s="22"/>
      <c r="TGI148" s="22"/>
      <c r="TGJ148" s="22"/>
      <c r="TGK148" s="22"/>
      <c r="TGL148" s="22"/>
      <c r="TGM148" s="22"/>
      <c r="TGN148" s="22"/>
      <c r="TGO148" s="22"/>
      <c r="TGP148" s="22"/>
      <c r="TGQ148" s="22"/>
      <c r="TGR148" s="22"/>
      <c r="TGS148" s="22"/>
      <c r="TGT148" s="22"/>
      <c r="TGU148" s="22"/>
      <c r="TGV148" s="22"/>
      <c r="TGW148" s="22"/>
      <c r="TGX148" s="22"/>
      <c r="TGY148" s="22"/>
      <c r="TGZ148" s="22"/>
      <c r="THA148" s="22"/>
      <c r="THB148" s="22"/>
      <c r="THC148" s="22"/>
      <c r="THD148" s="22"/>
      <c r="THE148" s="22"/>
      <c r="THF148" s="22"/>
      <c r="THG148" s="22"/>
      <c r="THH148" s="22"/>
      <c r="THI148" s="22"/>
      <c r="THJ148" s="22"/>
      <c r="THK148" s="22"/>
      <c r="THL148" s="22"/>
      <c r="THM148" s="22"/>
      <c r="THN148" s="22"/>
      <c r="THO148" s="22"/>
      <c r="THP148" s="22"/>
      <c r="THQ148" s="22"/>
      <c r="THR148" s="22"/>
      <c r="THS148" s="22"/>
      <c r="THT148" s="22"/>
      <c r="THU148" s="22"/>
      <c r="THV148" s="22"/>
      <c r="THW148" s="22"/>
      <c r="THX148" s="22"/>
      <c r="THY148" s="22"/>
      <c r="THZ148" s="22"/>
      <c r="TIA148" s="22"/>
      <c r="TIB148" s="22"/>
      <c r="TIC148" s="22"/>
      <c r="TID148" s="22"/>
      <c r="TIE148" s="22"/>
      <c r="TIF148" s="22"/>
      <c r="TIG148" s="22"/>
      <c r="TIH148" s="22"/>
      <c r="TII148" s="22"/>
      <c r="TIJ148" s="22"/>
      <c r="TIK148" s="22"/>
      <c r="TIL148" s="22"/>
      <c r="TIM148" s="22"/>
      <c r="TIN148" s="22"/>
      <c r="TIO148" s="22"/>
      <c r="TIP148" s="22"/>
      <c r="TIQ148" s="22"/>
      <c r="TIR148" s="22"/>
      <c r="TIS148" s="22"/>
      <c r="TIT148" s="22"/>
      <c r="TIU148" s="22"/>
      <c r="TIV148" s="22"/>
      <c r="TIW148" s="22"/>
      <c r="TIX148" s="22"/>
      <c r="TIY148" s="22"/>
      <c r="TIZ148" s="22"/>
      <c r="TJA148" s="22"/>
      <c r="TJB148" s="22"/>
      <c r="TJC148" s="22"/>
      <c r="TJD148" s="22"/>
      <c r="TJE148" s="22"/>
      <c r="TJF148" s="22"/>
      <c r="TJG148" s="22"/>
      <c r="TJH148" s="22"/>
      <c r="TJI148" s="22"/>
      <c r="TJJ148" s="22"/>
      <c r="TJK148" s="22"/>
      <c r="TJL148" s="22"/>
      <c r="TJM148" s="22"/>
      <c r="TJN148" s="22"/>
      <c r="TJO148" s="22"/>
      <c r="TJP148" s="22"/>
      <c r="TJQ148" s="22"/>
      <c r="TJR148" s="22"/>
      <c r="TJS148" s="22"/>
      <c r="TJT148" s="22"/>
      <c r="TJU148" s="22"/>
      <c r="TJV148" s="22"/>
      <c r="TJW148" s="22"/>
      <c r="TJX148" s="22"/>
      <c r="TJY148" s="22"/>
      <c r="TJZ148" s="22"/>
      <c r="TKA148" s="22"/>
      <c r="TKB148" s="22"/>
      <c r="TKC148" s="22"/>
      <c r="TKD148" s="22"/>
      <c r="TKE148" s="22"/>
      <c r="TKF148" s="22"/>
      <c r="TKG148" s="22"/>
      <c r="TKH148" s="22"/>
      <c r="TKI148" s="22"/>
      <c r="TKJ148" s="22"/>
      <c r="TKK148" s="22"/>
      <c r="TKL148" s="22"/>
      <c r="TKM148" s="22"/>
      <c r="TKN148" s="22"/>
      <c r="TKO148" s="22"/>
      <c r="TKP148" s="22"/>
      <c r="TKQ148" s="22"/>
      <c r="TKR148" s="22"/>
      <c r="TKS148" s="22"/>
      <c r="TKT148" s="22"/>
      <c r="TKU148" s="22"/>
      <c r="TKV148" s="22"/>
      <c r="TKW148" s="22"/>
      <c r="TKX148" s="22"/>
      <c r="TKY148" s="22"/>
      <c r="TKZ148" s="22"/>
      <c r="TLA148" s="22"/>
      <c r="TLB148" s="22"/>
      <c r="TLC148" s="22"/>
      <c r="TLD148" s="22"/>
      <c r="TLE148" s="22"/>
      <c r="TLF148" s="22"/>
      <c r="TLG148" s="22"/>
      <c r="TLH148" s="22"/>
      <c r="TLI148" s="22"/>
      <c r="TLJ148" s="22"/>
      <c r="TLK148" s="22"/>
      <c r="TLL148" s="22"/>
      <c r="TLM148" s="22"/>
      <c r="TLN148" s="22"/>
      <c r="TLO148" s="22"/>
      <c r="TLP148" s="22"/>
      <c r="TLQ148" s="22"/>
      <c r="TLR148" s="22"/>
      <c r="TLS148" s="22"/>
      <c r="TLT148" s="22"/>
      <c r="TLU148" s="22"/>
      <c r="TLV148" s="22"/>
      <c r="TLW148" s="22"/>
      <c r="TLX148" s="22"/>
      <c r="TLY148" s="22"/>
      <c r="TLZ148" s="22"/>
      <c r="TMA148" s="22"/>
      <c r="TMB148" s="22"/>
      <c r="TMC148" s="22"/>
      <c r="TMD148" s="22"/>
      <c r="TME148" s="22"/>
      <c r="TMF148" s="22"/>
      <c r="TMG148" s="22"/>
      <c r="TMH148" s="22"/>
      <c r="TMI148" s="22"/>
      <c r="TMJ148" s="22"/>
      <c r="TMK148" s="22"/>
      <c r="TML148" s="22"/>
      <c r="TMM148" s="22"/>
      <c r="TMN148" s="22"/>
      <c r="TMO148" s="22"/>
      <c r="TMP148" s="22"/>
      <c r="TMQ148" s="22"/>
      <c r="TMR148" s="22"/>
      <c r="TMS148" s="22"/>
      <c r="TMT148" s="22"/>
      <c r="TMU148" s="22"/>
      <c r="TMV148" s="22"/>
      <c r="TMW148" s="22"/>
      <c r="TMX148" s="22"/>
      <c r="TMY148" s="22"/>
      <c r="TMZ148" s="22"/>
      <c r="TNA148" s="22"/>
      <c r="TNB148" s="22"/>
      <c r="TNC148" s="22"/>
      <c r="TND148" s="22"/>
      <c r="TNE148" s="22"/>
      <c r="TNF148" s="22"/>
      <c r="TNG148" s="22"/>
      <c r="TNH148" s="22"/>
      <c r="TNI148" s="22"/>
      <c r="TNJ148" s="22"/>
      <c r="TNK148" s="22"/>
      <c r="TNL148" s="22"/>
      <c r="TNM148" s="22"/>
      <c r="TNN148" s="22"/>
      <c r="TNO148" s="22"/>
      <c r="TNP148" s="22"/>
      <c r="TNQ148" s="22"/>
      <c r="TNR148" s="22"/>
      <c r="TNS148" s="22"/>
      <c r="TNT148" s="22"/>
      <c r="TNU148" s="22"/>
      <c r="TNV148" s="22"/>
      <c r="TNW148" s="22"/>
      <c r="TNX148" s="22"/>
      <c r="TNY148" s="22"/>
      <c r="TNZ148" s="22"/>
      <c r="TOA148" s="22"/>
      <c r="TOB148" s="22"/>
      <c r="TOC148" s="22"/>
      <c r="TOD148" s="22"/>
      <c r="TOE148" s="22"/>
      <c r="TOF148" s="22"/>
      <c r="TOG148" s="22"/>
      <c r="TOH148" s="22"/>
      <c r="TOI148" s="22"/>
      <c r="TOJ148" s="22"/>
      <c r="TOK148" s="22"/>
      <c r="TOL148" s="22"/>
      <c r="TOM148" s="22"/>
      <c r="TON148" s="22"/>
      <c r="TOO148" s="22"/>
      <c r="TOP148" s="22"/>
      <c r="TOQ148" s="22"/>
      <c r="TOR148" s="22"/>
      <c r="TOS148" s="22"/>
      <c r="TOT148" s="22"/>
      <c r="TOU148" s="22"/>
      <c r="TOV148" s="22"/>
      <c r="TOW148" s="22"/>
      <c r="TOX148" s="22"/>
      <c r="TOY148" s="22"/>
      <c r="TOZ148" s="22"/>
      <c r="TPA148" s="22"/>
      <c r="TPB148" s="22"/>
      <c r="TPC148" s="22"/>
      <c r="TPD148" s="22"/>
      <c r="TPE148" s="22"/>
      <c r="TPF148" s="22"/>
      <c r="TPG148" s="22"/>
      <c r="TPH148" s="22"/>
      <c r="TPI148" s="22"/>
      <c r="TPJ148" s="22"/>
      <c r="TPK148" s="22"/>
      <c r="TPL148" s="22"/>
      <c r="TPM148" s="22"/>
      <c r="TPN148" s="22"/>
      <c r="TPO148" s="22"/>
      <c r="TPP148" s="22"/>
      <c r="TPQ148" s="22"/>
      <c r="TPR148" s="22"/>
      <c r="TPS148" s="22"/>
      <c r="TPT148" s="22"/>
      <c r="TPU148" s="22"/>
      <c r="TPV148" s="22"/>
      <c r="TPW148" s="22"/>
      <c r="TPX148" s="22"/>
      <c r="TPY148" s="22"/>
      <c r="TPZ148" s="22"/>
      <c r="TQA148" s="22"/>
      <c r="TQB148" s="22"/>
      <c r="TQC148" s="22"/>
      <c r="TQD148" s="22"/>
      <c r="TQE148" s="22"/>
      <c r="TQF148" s="22"/>
      <c r="TQG148" s="22"/>
      <c r="TQH148" s="22"/>
      <c r="TQI148" s="22"/>
      <c r="TQJ148" s="22"/>
      <c r="TQK148" s="22"/>
      <c r="TQL148" s="22"/>
      <c r="TQM148" s="22"/>
      <c r="TQN148" s="22"/>
      <c r="TQO148" s="22"/>
      <c r="TQP148" s="22"/>
      <c r="TQQ148" s="22"/>
      <c r="TQR148" s="22"/>
      <c r="TQS148" s="22"/>
      <c r="TQT148" s="22"/>
      <c r="TQU148" s="22"/>
      <c r="TQV148" s="22"/>
      <c r="TQW148" s="22"/>
      <c r="TQX148" s="22"/>
      <c r="TQY148" s="22"/>
      <c r="TQZ148" s="22"/>
      <c r="TRA148" s="22"/>
      <c r="TRB148" s="22"/>
      <c r="TRC148" s="22"/>
      <c r="TRD148" s="22"/>
      <c r="TRE148" s="22"/>
      <c r="TRF148" s="22"/>
      <c r="TRG148" s="22"/>
      <c r="TRH148" s="22"/>
      <c r="TRI148" s="22"/>
      <c r="TRJ148" s="22"/>
      <c r="TRK148" s="22"/>
      <c r="TRL148" s="22"/>
      <c r="TRM148" s="22"/>
      <c r="TRN148" s="22"/>
      <c r="TRO148" s="22"/>
      <c r="TRP148" s="22"/>
      <c r="TRQ148" s="22"/>
      <c r="TRR148" s="22"/>
      <c r="TRS148" s="22"/>
      <c r="TRT148" s="22"/>
      <c r="TRU148" s="22"/>
      <c r="TRV148" s="22"/>
      <c r="TRW148" s="22"/>
      <c r="TRX148" s="22"/>
      <c r="TRY148" s="22"/>
      <c r="TRZ148" s="22"/>
      <c r="TSA148" s="22"/>
      <c r="TSB148" s="22"/>
      <c r="TSC148" s="22"/>
      <c r="TSD148" s="22"/>
      <c r="TSE148" s="22"/>
      <c r="TSF148" s="22"/>
      <c r="TSG148" s="22"/>
      <c r="TSH148" s="22"/>
      <c r="TSI148" s="22"/>
      <c r="TSJ148" s="22"/>
      <c r="TSK148" s="22"/>
      <c r="TSL148" s="22"/>
      <c r="TSM148" s="22"/>
      <c r="TSN148" s="22"/>
      <c r="TSO148" s="22"/>
      <c r="TSP148" s="22"/>
      <c r="TSQ148" s="22"/>
      <c r="TSR148" s="22"/>
      <c r="TSS148" s="22"/>
      <c r="TST148" s="22"/>
      <c r="TSU148" s="22"/>
      <c r="TSV148" s="22"/>
      <c r="TSW148" s="22"/>
      <c r="TSX148" s="22"/>
      <c r="TSY148" s="22"/>
      <c r="TSZ148" s="22"/>
      <c r="TTA148" s="22"/>
      <c r="TTB148" s="22"/>
      <c r="TTC148" s="22"/>
      <c r="TTD148" s="22"/>
      <c r="TTE148" s="22"/>
      <c r="TTF148" s="22"/>
      <c r="TTG148" s="22"/>
      <c r="TTH148" s="22"/>
      <c r="TTI148" s="22"/>
      <c r="TTJ148" s="22"/>
      <c r="TTK148" s="22"/>
      <c r="TTL148" s="22"/>
      <c r="TTM148" s="22"/>
      <c r="TTN148" s="22"/>
      <c r="TTO148" s="22"/>
      <c r="TTP148" s="22"/>
      <c r="TTQ148" s="22"/>
      <c r="TTR148" s="22"/>
      <c r="TTS148" s="22"/>
      <c r="TTT148" s="22"/>
      <c r="TTU148" s="22"/>
      <c r="TTV148" s="22"/>
      <c r="TTW148" s="22"/>
      <c r="TTX148" s="22"/>
      <c r="TTY148" s="22"/>
      <c r="TTZ148" s="22"/>
      <c r="TUA148" s="22"/>
      <c r="TUB148" s="22"/>
      <c r="TUC148" s="22"/>
      <c r="TUD148" s="22"/>
      <c r="TUE148" s="22"/>
      <c r="TUF148" s="22"/>
      <c r="TUG148" s="22"/>
      <c r="TUH148" s="22"/>
      <c r="TUI148" s="22"/>
      <c r="TUJ148" s="22"/>
      <c r="TUK148" s="22"/>
      <c r="TUL148" s="22"/>
      <c r="TUM148" s="22"/>
      <c r="TUN148" s="22"/>
      <c r="TUO148" s="22"/>
      <c r="TUP148" s="22"/>
      <c r="TUQ148" s="22"/>
      <c r="TUR148" s="22"/>
      <c r="TUS148" s="22"/>
      <c r="TUT148" s="22"/>
      <c r="TUU148" s="22"/>
      <c r="TUV148" s="22"/>
      <c r="TUW148" s="22"/>
      <c r="TUX148" s="22"/>
      <c r="TUY148" s="22"/>
      <c r="TUZ148" s="22"/>
      <c r="TVA148" s="22"/>
      <c r="TVB148" s="22"/>
      <c r="TVC148" s="22"/>
      <c r="TVD148" s="22"/>
      <c r="TVE148" s="22"/>
      <c r="TVF148" s="22"/>
      <c r="TVG148" s="22"/>
      <c r="TVH148" s="22"/>
      <c r="TVI148" s="22"/>
      <c r="TVJ148" s="22"/>
      <c r="TVK148" s="22"/>
      <c r="TVL148" s="22"/>
      <c r="TVM148" s="22"/>
      <c r="TVN148" s="22"/>
      <c r="TVO148" s="22"/>
      <c r="TVP148" s="22"/>
      <c r="TVQ148" s="22"/>
      <c r="TVR148" s="22"/>
      <c r="TVS148" s="22"/>
      <c r="TVT148" s="22"/>
      <c r="TVU148" s="22"/>
      <c r="TVV148" s="22"/>
      <c r="TVW148" s="22"/>
      <c r="TVX148" s="22"/>
      <c r="TVY148" s="22"/>
      <c r="TVZ148" s="22"/>
      <c r="TWA148" s="22"/>
      <c r="TWB148" s="22"/>
      <c r="TWC148" s="22"/>
      <c r="TWD148" s="22"/>
      <c r="TWE148" s="22"/>
      <c r="TWF148" s="22"/>
      <c r="TWG148" s="22"/>
      <c r="TWH148" s="22"/>
      <c r="TWI148" s="22"/>
      <c r="TWJ148" s="22"/>
      <c r="TWK148" s="22"/>
      <c r="TWL148" s="22"/>
      <c r="TWM148" s="22"/>
      <c r="TWN148" s="22"/>
      <c r="TWO148" s="22"/>
      <c r="TWP148" s="22"/>
      <c r="TWQ148" s="22"/>
      <c r="TWR148" s="22"/>
      <c r="TWS148" s="22"/>
      <c r="TWT148" s="22"/>
      <c r="TWU148" s="22"/>
      <c r="TWV148" s="22"/>
      <c r="TWW148" s="22"/>
      <c r="TWX148" s="22"/>
      <c r="TWY148" s="22"/>
      <c r="TWZ148" s="22"/>
      <c r="TXA148" s="22"/>
      <c r="TXB148" s="22"/>
      <c r="TXC148" s="22"/>
      <c r="TXD148" s="22"/>
      <c r="TXE148" s="22"/>
      <c r="TXF148" s="22"/>
      <c r="TXG148" s="22"/>
      <c r="TXH148" s="22"/>
      <c r="TXI148" s="22"/>
      <c r="TXJ148" s="22"/>
      <c r="TXK148" s="22"/>
      <c r="TXL148" s="22"/>
      <c r="TXM148" s="22"/>
      <c r="TXN148" s="22"/>
      <c r="TXO148" s="22"/>
      <c r="TXP148" s="22"/>
      <c r="TXQ148" s="22"/>
      <c r="TXR148" s="22"/>
      <c r="TXS148" s="22"/>
      <c r="TXT148" s="22"/>
      <c r="TXU148" s="22"/>
      <c r="TXV148" s="22"/>
      <c r="TXW148" s="22"/>
      <c r="TXX148" s="22"/>
      <c r="TXY148" s="22"/>
      <c r="TXZ148" s="22"/>
      <c r="TYA148" s="22"/>
      <c r="TYB148" s="22"/>
      <c r="TYC148" s="22"/>
      <c r="TYD148" s="22"/>
      <c r="TYE148" s="22"/>
      <c r="TYF148" s="22"/>
      <c r="TYG148" s="22"/>
      <c r="TYH148" s="22"/>
      <c r="TYI148" s="22"/>
      <c r="TYJ148" s="22"/>
      <c r="TYK148" s="22"/>
      <c r="TYL148" s="22"/>
      <c r="TYM148" s="22"/>
      <c r="TYN148" s="22"/>
      <c r="TYO148" s="22"/>
      <c r="TYP148" s="22"/>
      <c r="TYQ148" s="22"/>
      <c r="TYR148" s="22"/>
      <c r="TYS148" s="22"/>
      <c r="TYT148" s="22"/>
      <c r="TYU148" s="22"/>
      <c r="TYV148" s="22"/>
      <c r="TYW148" s="22"/>
      <c r="TYX148" s="22"/>
      <c r="TYY148" s="22"/>
      <c r="TYZ148" s="22"/>
      <c r="TZA148" s="22"/>
      <c r="TZB148" s="22"/>
      <c r="TZC148" s="22"/>
      <c r="TZD148" s="22"/>
      <c r="TZE148" s="22"/>
      <c r="TZF148" s="22"/>
      <c r="TZG148" s="22"/>
      <c r="TZH148" s="22"/>
      <c r="TZI148" s="22"/>
      <c r="TZJ148" s="22"/>
      <c r="TZK148" s="22"/>
      <c r="TZL148" s="22"/>
      <c r="TZM148" s="22"/>
      <c r="TZN148" s="22"/>
      <c r="TZO148" s="22"/>
      <c r="TZP148" s="22"/>
      <c r="TZQ148" s="22"/>
      <c r="TZR148" s="22"/>
      <c r="TZS148" s="22"/>
      <c r="TZT148" s="22"/>
      <c r="TZU148" s="22"/>
      <c r="TZV148" s="22"/>
      <c r="TZW148" s="22"/>
      <c r="TZX148" s="22"/>
      <c r="TZY148" s="22"/>
      <c r="TZZ148" s="22"/>
      <c r="UAA148" s="22"/>
      <c r="UAB148" s="22"/>
      <c r="UAC148" s="22"/>
      <c r="UAD148" s="22"/>
      <c r="UAE148" s="22"/>
      <c r="UAF148" s="22"/>
      <c r="UAG148" s="22"/>
      <c r="UAH148" s="22"/>
      <c r="UAI148" s="22"/>
      <c r="UAJ148" s="22"/>
      <c r="UAK148" s="22"/>
      <c r="UAL148" s="22"/>
      <c r="UAM148" s="22"/>
      <c r="UAN148" s="22"/>
      <c r="UAO148" s="22"/>
      <c r="UAP148" s="22"/>
      <c r="UAQ148" s="22"/>
      <c r="UAR148" s="22"/>
      <c r="UAS148" s="22"/>
      <c r="UAT148" s="22"/>
      <c r="UAU148" s="22"/>
      <c r="UAV148" s="22"/>
      <c r="UAW148" s="22"/>
      <c r="UAX148" s="22"/>
      <c r="UAY148" s="22"/>
      <c r="UAZ148" s="22"/>
      <c r="UBA148" s="22"/>
      <c r="UBB148" s="22"/>
      <c r="UBC148" s="22"/>
      <c r="UBD148" s="22"/>
      <c r="UBE148" s="22"/>
      <c r="UBF148" s="22"/>
      <c r="UBG148" s="22"/>
      <c r="UBH148" s="22"/>
      <c r="UBI148" s="22"/>
      <c r="UBJ148" s="22"/>
      <c r="UBK148" s="22"/>
      <c r="UBL148" s="22"/>
      <c r="UBM148" s="22"/>
      <c r="UBN148" s="22"/>
      <c r="UBO148" s="22"/>
      <c r="UBP148" s="22"/>
      <c r="UBQ148" s="22"/>
      <c r="UBR148" s="22"/>
      <c r="UBS148" s="22"/>
      <c r="UBT148" s="22"/>
      <c r="UBU148" s="22"/>
      <c r="UBV148" s="22"/>
      <c r="UBW148" s="22"/>
      <c r="UBX148" s="22"/>
      <c r="UBY148" s="22"/>
      <c r="UBZ148" s="22"/>
      <c r="UCA148" s="22"/>
      <c r="UCB148" s="22"/>
      <c r="UCC148" s="22"/>
      <c r="UCD148" s="22"/>
      <c r="UCE148" s="22"/>
      <c r="UCF148" s="22"/>
      <c r="UCG148" s="22"/>
      <c r="UCH148" s="22"/>
      <c r="UCI148" s="22"/>
      <c r="UCJ148" s="22"/>
      <c r="UCK148" s="22"/>
      <c r="UCL148" s="22"/>
      <c r="UCM148" s="22"/>
      <c r="UCN148" s="22"/>
      <c r="UCO148" s="22"/>
      <c r="UCP148" s="22"/>
      <c r="UCQ148" s="22"/>
      <c r="UCR148" s="22"/>
      <c r="UCS148" s="22"/>
      <c r="UCT148" s="22"/>
      <c r="UCU148" s="22"/>
      <c r="UCV148" s="22"/>
      <c r="UCW148" s="22"/>
      <c r="UCX148" s="22"/>
      <c r="UCY148" s="22"/>
      <c r="UCZ148" s="22"/>
      <c r="UDA148" s="22"/>
      <c r="UDB148" s="22"/>
      <c r="UDC148" s="22"/>
      <c r="UDD148" s="22"/>
      <c r="UDE148" s="22"/>
      <c r="UDF148" s="22"/>
      <c r="UDG148" s="22"/>
      <c r="UDH148" s="22"/>
      <c r="UDI148" s="22"/>
      <c r="UDJ148" s="22"/>
      <c r="UDK148" s="22"/>
      <c r="UDL148" s="22"/>
      <c r="UDM148" s="22"/>
      <c r="UDN148" s="22"/>
      <c r="UDO148" s="22"/>
      <c r="UDP148" s="22"/>
      <c r="UDQ148" s="22"/>
      <c r="UDR148" s="22"/>
      <c r="UDS148" s="22"/>
      <c r="UDT148" s="22"/>
      <c r="UDU148" s="22"/>
      <c r="UDV148" s="22"/>
      <c r="UDW148" s="22"/>
      <c r="UDX148" s="22"/>
      <c r="UDY148" s="22"/>
      <c r="UDZ148" s="22"/>
      <c r="UEA148" s="22"/>
      <c r="UEB148" s="22"/>
      <c r="UEC148" s="22"/>
      <c r="UED148" s="22"/>
      <c r="UEE148" s="22"/>
      <c r="UEF148" s="22"/>
      <c r="UEG148" s="22"/>
      <c r="UEH148" s="22"/>
      <c r="UEI148" s="22"/>
      <c r="UEJ148" s="22"/>
      <c r="UEK148" s="22"/>
      <c r="UEL148" s="22"/>
      <c r="UEM148" s="22"/>
      <c r="UEN148" s="22"/>
      <c r="UEO148" s="22"/>
      <c r="UEP148" s="22"/>
      <c r="UEQ148" s="22"/>
      <c r="UER148" s="22"/>
      <c r="UES148" s="22"/>
      <c r="UET148" s="22"/>
      <c r="UEU148" s="22"/>
      <c r="UEV148" s="22"/>
      <c r="UEW148" s="22"/>
      <c r="UEX148" s="22"/>
      <c r="UEY148" s="22"/>
      <c r="UEZ148" s="22"/>
      <c r="UFA148" s="22"/>
      <c r="UFB148" s="22"/>
      <c r="UFC148" s="22"/>
      <c r="UFD148" s="22"/>
      <c r="UFE148" s="22"/>
      <c r="UFF148" s="22"/>
      <c r="UFG148" s="22"/>
      <c r="UFH148" s="22"/>
      <c r="UFI148" s="22"/>
      <c r="UFJ148" s="22"/>
      <c r="UFK148" s="22"/>
      <c r="UFL148" s="22"/>
      <c r="UFM148" s="22"/>
      <c r="UFN148" s="22"/>
      <c r="UFO148" s="22"/>
      <c r="UFP148" s="22"/>
      <c r="UFQ148" s="22"/>
      <c r="UFR148" s="22"/>
      <c r="UFS148" s="22"/>
      <c r="UFT148" s="22"/>
      <c r="UFU148" s="22"/>
      <c r="UFV148" s="22"/>
      <c r="UFW148" s="22"/>
      <c r="UFX148" s="22"/>
      <c r="UFY148" s="22"/>
      <c r="UFZ148" s="22"/>
      <c r="UGA148" s="22"/>
      <c r="UGB148" s="22"/>
      <c r="UGC148" s="22"/>
      <c r="UGD148" s="22"/>
      <c r="UGE148" s="22"/>
      <c r="UGF148" s="22"/>
      <c r="UGG148" s="22"/>
      <c r="UGH148" s="22"/>
      <c r="UGI148" s="22"/>
      <c r="UGJ148" s="22"/>
      <c r="UGK148" s="22"/>
      <c r="UGL148" s="22"/>
      <c r="UGM148" s="22"/>
      <c r="UGN148" s="22"/>
      <c r="UGO148" s="22"/>
      <c r="UGP148" s="22"/>
      <c r="UGQ148" s="22"/>
      <c r="UGR148" s="22"/>
      <c r="UGS148" s="22"/>
      <c r="UGT148" s="22"/>
      <c r="UGU148" s="22"/>
      <c r="UGV148" s="22"/>
      <c r="UGW148" s="22"/>
      <c r="UGX148" s="22"/>
      <c r="UGY148" s="22"/>
      <c r="UGZ148" s="22"/>
      <c r="UHA148" s="22"/>
      <c r="UHB148" s="22"/>
      <c r="UHC148" s="22"/>
      <c r="UHD148" s="22"/>
      <c r="UHE148" s="22"/>
      <c r="UHF148" s="22"/>
      <c r="UHG148" s="22"/>
      <c r="UHH148" s="22"/>
      <c r="UHI148" s="22"/>
      <c r="UHJ148" s="22"/>
      <c r="UHK148" s="22"/>
      <c r="UHL148" s="22"/>
      <c r="UHM148" s="22"/>
      <c r="UHN148" s="22"/>
      <c r="UHO148" s="22"/>
      <c r="UHP148" s="22"/>
      <c r="UHQ148" s="22"/>
      <c r="UHR148" s="22"/>
      <c r="UHS148" s="22"/>
      <c r="UHT148" s="22"/>
      <c r="UHU148" s="22"/>
      <c r="UHV148" s="22"/>
      <c r="UHW148" s="22"/>
      <c r="UHX148" s="22"/>
      <c r="UHY148" s="22"/>
      <c r="UHZ148" s="22"/>
      <c r="UIA148" s="22"/>
      <c r="UIB148" s="22"/>
      <c r="UIC148" s="22"/>
      <c r="UID148" s="22"/>
      <c r="UIE148" s="22"/>
      <c r="UIF148" s="22"/>
      <c r="UIG148" s="22"/>
      <c r="UIH148" s="22"/>
      <c r="UII148" s="22"/>
      <c r="UIJ148" s="22"/>
      <c r="UIK148" s="22"/>
      <c r="UIL148" s="22"/>
      <c r="UIM148" s="22"/>
      <c r="UIN148" s="22"/>
      <c r="UIO148" s="22"/>
      <c r="UIP148" s="22"/>
      <c r="UIQ148" s="22"/>
      <c r="UIR148" s="22"/>
      <c r="UIS148" s="22"/>
      <c r="UIT148" s="22"/>
      <c r="UIU148" s="22"/>
      <c r="UIV148" s="22"/>
      <c r="UIW148" s="22"/>
      <c r="UIX148" s="22"/>
      <c r="UIY148" s="22"/>
      <c r="UIZ148" s="22"/>
      <c r="UJA148" s="22"/>
      <c r="UJB148" s="22"/>
      <c r="UJC148" s="22"/>
      <c r="UJD148" s="22"/>
      <c r="UJE148" s="22"/>
      <c r="UJF148" s="22"/>
      <c r="UJG148" s="22"/>
      <c r="UJH148" s="22"/>
      <c r="UJI148" s="22"/>
      <c r="UJJ148" s="22"/>
      <c r="UJK148" s="22"/>
      <c r="UJL148" s="22"/>
      <c r="UJM148" s="22"/>
      <c r="UJN148" s="22"/>
      <c r="UJO148" s="22"/>
      <c r="UJP148" s="22"/>
      <c r="UJQ148" s="22"/>
      <c r="UJR148" s="22"/>
      <c r="UJS148" s="22"/>
      <c r="UJT148" s="22"/>
      <c r="UJU148" s="22"/>
      <c r="UJV148" s="22"/>
      <c r="UJW148" s="22"/>
      <c r="UJX148" s="22"/>
      <c r="UJY148" s="22"/>
      <c r="UJZ148" s="22"/>
      <c r="UKA148" s="22"/>
      <c r="UKB148" s="22"/>
      <c r="UKC148" s="22"/>
      <c r="UKD148" s="22"/>
      <c r="UKE148" s="22"/>
      <c r="UKF148" s="22"/>
      <c r="UKG148" s="22"/>
      <c r="UKH148" s="22"/>
      <c r="UKI148" s="22"/>
      <c r="UKJ148" s="22"/>
      <c r="UKK148" s="22"/>
      <c r="UKL148" s="22"/>
      <c r="UKM148" s="22"/>
      <c r="UKN148" s="22"/>
      <c r="UKO148" s="22"/>
      <c r="UKP148" s="22"/>
      <c r="UKQ148" s="22"/>
      <c r="UKR148" s="22"/>
      <c r="UKS148" s="22"/>
      <c r="UKT148" s="22"/>
      <c r="UKU148" s="22"/>
      <c r="UKV148" s="22"/>
      <c r="UKW148" s="22"/>
      <c r="UKX148" s="22"/>
      <c r="UKY148" s="22"/>
      <c r="UKZ148" s="22"/>
      <c r="ULA148" s="22"/>
      <c r="ULB148" s="22"/>
      <c r="ULC148" s="22"/>
      <c r="ULD148" s="22"/>
      <c r="ULE148" s="22"/>
      <c r="ULF148" s="22"/>
      <c r="ULG148" s="22"/>
      <c r="ULH148" s="22"/>
      <c r="ULI148" s="22"/>
      <c r="ULJ148" s="22"/>
      <c r="ULK148" s="22"/>
      <c r="ULL148" s="22"/>
      <c r="ULM148" s="22"/>
      <c r="ULN148" s="22"/>
      <c r="ULO148" s="22"/>
      <c r="ULP148" s="22"/>
      <c r="ULQ148" s="22"/>
      <c r="ULR148" s="22"/>
      <c r="ULS148" s="22"/>
      <c r="ULT148" s="22"/>
      <c r="ULU148" s="22"/>
      <c r="ULV148" s="22"/>
      <c r="ULW148" s="22"/>
      <c r="ULX148" s="22"/>
      <c r="ULY148" s="22"/>
      <c r="ULZ148" s="22"/>
      <c r="UMA148" s="22"/>
      <c r="UMB148" s="22"/>
      <c r="UMC148" s="22"/>
      <c r="UMD148" s="22"/>
      <c r="UME148" s="22"/>
      <c r="UMF148" s="22"/>
      <c r="UMG148" s="22"/>
      <c r="UMH148" s="22"/>
      <c r="UMI148" s="22"/>
      <c r="UMJ148" s="22"/>
      <c r="UMK148" s="22"/>
      <c r="UML148" s="22"/>
      <c r="UMM148" s="22"/>
      <c r="UMN148" s="22"/>
      <c r="UMO148" s="22"/>
      <c r="UMP148" s="22"/>
      <c r="UMQ148" s="22"/>
      <c r="UMR148" s="22"/>
      <c r="UMS148" s="22"/>
      <c r="UMT148" s="22"/>
      <c r="UMU148" s="22"/>
      <c r="UMV148" s="22"/>
      <c r="UMW148" s="22"/>
      <c r="UMX148" s="22"/>
      <c r="UMY148" s="22"/>
      <c r="UMZ148" s="22"/>
      <c r="UNA148" s="22"/>
      <c r="UNB148" s="22"/>
      <c r="UNC148" s="22"/>
      <c r="UND148" s="22"/>
      <c r="UNE148" s="22"/>
      <c r="UNF148" s="22"/>
      <c r="UNG148" s="22"/>
      <c r="UNH148" s="22"/>
      <c r="UNI148" s="22"/>
      <c r="UNJ148" s="22"/>
      <c r="UNK148" s="22"/>
      <c r="UNL148" s="22"/>
      <c r="UNM148" s="22"/>
      <c r="UNN148" s="22"/>
      <c r="UNO148" s="22"/>
      <c r="UNP148" s="22"/>
      <c r="UNQ148" s="22"/>
      <c r="UNR148" s="22"/>
      <c r="UNS148" s="22"/>
      <c r="UNT148" s="22"/>
      <c r="UNU148" s="22"/>
      <c r="UNV148" s="22"/>
      <c r="UNW148" s="22"/>
      <c r="UNX148" s="22"/>
      <c r="UNY148" s="22"/>
      <c r="UNZ148" s="22"/>
      <c r="UOA148" s="22"/>
      <c r="UOB148" s="22"/>
      <c r="UOC148" s="22"/>
      <c r="UOD148" s="22"/>
      <c r="UOE148" s="22"/>
      <c r="UOF148" s="22"/>
      <c r="UOG148" s="22"/>
      <c r="UOH148" s="22"/>
      <c r="UOI148" s="22"/>
      <c r="UOJ148" s="22"/>
      <c r="UOK148" s="22"/>
      <c r="UOL148" s="22"/>
      <c r="UOM148" s="22"/>
      <c r="UON148" s="22"/>
      <c r="UOO148" s="22"/>
      <c r="UOP148" s="22"/>
      <c r="UOQ148" s="22"/>
      <c r="UOR148" s="22"/>
      <c r="UOS148" s="22"/>
      <c r="UOT148" s="22"/>
      <c r="UOU148" s="22"/>
      <c r="UOV148" s="22"/>
      <c r="UOW148" s="22"/>
      <c r="UOX148" s="22"/>
      <c r="UOY148" s="22"/>
      <c r="UOZ148" s="22"/>
      <c r="UPA148" s="22"/>
      <c r="UPB148" s="22"/>
      <c r="UPC148" s="22"/>
      <c r="UPD148" s="22"/>
      <c r="UPE148" s="22"/>
      <c r="UPF148" s="22"/>
      <c r="UPG148" s="22"/>
      <c r="UPH148" s="22"/>
      <c r="UPI148" s="22"/>
      <c r="UPJ148" s="22"/>
      <c r="UPK148" s="22"/>
      <c r="UPL148" s="22"/>
      <c r="UPM148" s="22"/>
      <c r="UPN148" s="22"/>
      <c r="UPO148" s="22"/>
      <c r="UPP148" s="22"/>
      <c r="UPQ148" s="22"/>
      <c r="UPR148" s="22"/>
      <c r="UPS148" s="22"/>
      <c r="UPT148" s="22"/>
      <c r="UPU148" s="22"/>
      <c r="UPV148" s="22"/>
      <c r="UPW148" s="22"/>
      <c r="UPX148" s="22"/>
      <c r="UPY148" s="22"/>
      <c r="UPZ148" s="22"/>
      <c r="UQA148" s="22"/>
      <c r="UQB148" s="22"/>
      <c r="UQC148" s="22"/>
      <c r="UQD148" s="22"/>
      <c r="UQE148" s="22"/>
      <c r="UQF148" s="22"/>
      <c r="UQG148" s="22"/>
      <c r="UQH148" s="22"/>
      <c r="UQI148" s="22"/>
      <c r="UQJ148" s="22"/>
      <c r="UQK148" s="22"/>
      <c r="UQL148" s="22"/>
      <c r="UQM148" s="22"/>
      <c r="UQN148" s="22"/>
      <c r="UQO148" s="22"/>
      <c r="UQP148" s="22"/>
      <c r="UQQ148" s="22"/>
      <c r="UQR148" s="22"/>
      <c r="UQS148" s="22"/>
      <c r="UQT148" s="22"/>
      <c r="UQU148" s="22"/>
      <c r="UQV148" s="22"/>
      <c r="UQW148" s="22"/>
      <c r="UQX148" s="22"/>
      <c r="UQY148" s="22"/>
      <c r="UQZ148" s="22"/>
      <c r="URA148" s="22"/>
      <c r="URB148" s="22"/>
      <c r="URC148" s="22"/>
      <c r="URD148" s="22"/>
      <c r="URE148" s="22"/>
      <c r="URF148" s="22"/>
      <c r="URG148" s="22"/>
      <c r="URH148" s="22"/>
      <c r="URI148" s="22"/>
      <c r="URJ148" s="22"/>
      <c r="URK148" s="22"/>
      <c r="URL148" s="22"/>
      <c r="URM148" s="22"/>
      <c r="URN148" s="22"/>
      <c r="URO148" s="22"/>
      <c r="URP148" s="22"/>
      <c r="URQ148" s="22"/>
      <c r="URR148" s="22"/>
      <c r="URS148" s="22"/>
      <c r="URT148" s="22"/>
      <c r="URU148" s="22"/>
      <c r="URV148" s="22"/>
      <c r="URW148" s="22"/>
      <c r="URX148" s="22"/>
      <c r="URY148" s="22"/>
      <c r="URZ148" s="22"/>
      <c r="USA148" s="22"/>
      <c r="USB148" s="22"/>
      <c r="USC148" s="22"/>
      <c r="USD148" s="22"/>
      <c r="USE148" s="22"/>
      <c r="USF148" s="22"/>
      <c r="USG148" s="22"/>
      <c r="USH148" s="22"/>
      <c r="USI148" s="22"/>
      <c r="USJ148" s="22"/>
      <c r="USK148" s="22"/>
      <c r="USL148" s="22"/>
      <c r="USM148" s="22"/>
      <c r="USN148" s="22"/>
      <c r="USO148" s="22"/>
      <c r="USP148" s="22"/>
      <c r="USQ148" s="22"/>
      <c r="USR148" s="22"/>
      <c r="USS148" s="22"/>
      <c r="UST148" s="22"/>
      <c r="USU148" s="22"/>
      <c r="USV148" s="22"/>
      <c r="USW148" s="22"/>
      <c r="USX148" s="22"/>
      <c r="USY148" s="22"/>
      <c r="USZ148" s="22"/>
      <c r="UTA148" s="22"/>
      <c r="UTB148" s="22"/>
      <c r="UTC148" s="22"/>
      <c r="UTD148" s="22"/>
      <c r="UTE148" s="22"/>
      <c r="UTF148" s="22"/>
      <c r="UTG148" s="22"/>
      <c r="UTH148" s="22"/>
      <c r="UTI148" s="22"/>
      <c r="UTJ148" s="22"/>
      <c r="UTK148" s="22"/>
      <c r="UTL148" s="22"/>
      <c r="UTM148" s="22"/>
      <c r="UTN148" s="22"/>
      <c r="UTO148" s="22"/>
      <c r="UTP148" s="22"/>
      <c r="UTQ148" s="22"/>
      <c r="UTR148" s="22"/>
      <c r="UTS148" s="22"/>
      <c r="UTT148" s="22"/>
      <c r="UTU148" s="22"/>
      <c r="UTV148" s="22"/>
      <c r="UTW148" s="22"/>
      <c r="UTX148" s="22"/>
      <c r="UTY148" s="22"/>
      <c r="UTZ148" s="22"/>
      <c r="UUA148" s="22"/>
      <c r="UUB148" s="22"/>
      <c r="UUC148" s="22"/>
      <c r="UUD148" s="22"/>
      <c r="UUE148" s="22"/>
      <c r="UUF148" s="22"/>
      <c r="UUG148" s="22"/>
      <c r="UUH148" s="22"/>
      <c r="UUI148" s="22"/>
      <c r="UUJ148" s="22"/>
      <c r="UUK148" s="22"/>
      <c r="UUL148" s="22"/>
      <c r="UUM148" s="22"/>
      <c r="UUN148" s="22"/>
      <c r="UUO148" s="22"/>
      <c r="UUP148" s="22"/>
      <c r="UUQ148" s="22"/>
      <c r="UUR148" s="22"/>
      <c r="UUS148" s="22"/>
      <c r="UUT148" s="22"/>
      <c r="UUU148" s="22"/>
      <c r="UUV148" s="22"/>
      <c r="UUW148" s="22"/>
      <c r="UUX148" s="22"/>
      <c r="UUY148" s="22"/>
      <c r="UUZ148" s="22"/>
      <c r="UVA148" s="22"/>
      <c r="UVB148" s="22"/>
      <c r="UVC148" s="22"/>
      <c r="UVD148" s="22"/>
      <c r="UVE148" s="22"/>
      <c r="UVF148" s="22"/>
      <c r="UVG148" s="22"/>
      <c r="UVH148" s="22"/>
      <c r="UVI148" s="22"/>
      <c r="UVJ148" s="22"/>
      <c r="UVK148" s="22"/>
      <c r="UVL148" s="22"/>
      <c r="UVM148" s="22"/>
      <c r="UVN148" s="22"/>
      <c r="UVO148" s="22"/>
      <c r="UVP148" s="22"/>
      <c r="UVQ148" s="22"/>
      <c r="UVR148" s="22"/>
      <c r="UVS148" s="22"/>
      <c r="UVT148" s="22"/>
      <c r="UVU148" s="22"/>
      <c r="UVV148" s="22"/>
      <c r="UVW148" s="22"/>
      <c r="UVX148" s="22"/>
      <c r="UVY148" s="22"/>
      <c r="UVZ148" s="22"/>
      <c r="UWA148" s="22"/>
      <c r="UWB148" s="22"/>
      <c r="UWC148" s="22"/>
      <c r="UWD148" s="22"/>
      <c r="UWE148" s="22"/>
      <c r="UWF148" s="22"/>
      <c r="UWG148" s="22"/>
      <c r="UWH148" s="22"/>
      <c r="UWI148" s="22"/>
      <c r="UWJ148" s="22"/>
      <c r="UWK148" s="22"/>
      <c r="UWL148" s="22"/>
      <c r="UWM148" s="22"/>
      <c r="UWN148" s="22"/>
      <c r="UWO148" s="22"/>
      <c r="UWP148" s="22"/>
      <c r="UWQ148" s="22"/>
      <c r="UWR148" s="22"/>
      <c r="UWS148" s="22"/>
      <c r="UWT148" s="22"/>
      <c r="UWU148" s="22"/>
      <c r="UWV148" s="22"/>
      <c r="UWW148" s="22"/>
      <c r="UWX148" s="22"/>
      <c r="UWY148" s="22"/>
      <c r="UWZ148" s="22"/>
      <c r="UXA148" s="22"/>
      <c r="UXB148" s="22"/>
      <c r="UXC148" s="22"/>
      <c r="UXD148" s="22"/>
      <c r="UXE148" s="22"/>
      <c r="UXF148" s="22"/>
      <c r="UXG148" s="22"/>
      <c r="UXH148" s="22"/>
      <c r="UXI148" s="22"/>
      <c r="UXJ148" s="22"/>
      <c r="UXK148" s="22"/>
      <c r="UXL148" s="22"/>
      <c r="UXM148" s="22"/>
      <c r="UXN148" s="22"/>
      <c r="UXO148" s="22"/>
      <c r="UXP148" s="22"/>
      <c r="UXQ148" s="22"/>
      <c r="UXR148" s="22"/>
      <c r="UXS148" s="22"/>
      <c r="UXT148" s="22"/>
      <c r="UXU148" s="22"/>
      <c r="UXV148" s="22"/>
      <c r="UXW148" s="22"/>
      <c r="UXX148" s="22"/>
      <c r="UXY148" s="22"/>
      <c r="UXZ148" s="22"/>
      <c r="UYA148" s="22"/>
      <c r="UYB148" s="22"/>
      <c r="UYC148" s="22"/>
      <c r="UYD148" s="22"/>
      <c r="UYE148" s="22"/>
      <c r="UYF148" s="22"/>
      <c r="UYG148" s="22"/>
      <c r="UYH148" s="22"/>
      <c r="UYI148" s="22"/>
      <c r="UYJ148" s="22"/>
      <c r="UYK148" s="22"/>
      <c r="UYL148" s="22"/>
      <c r="UYM148" s="22"/>
      <c r="UYN148" s="22"/>
      <c r="UYO148" s="22"/>
      <c r="UYP148" s="22"/>
      <c r="UYQ148" s="22"/>
      <c r="UYR148" s="22"/>
      <c r="UYS148" s="22"/>
      <c r="UYT148" s="22"/>
      <c r="UYU148" s="22"/>
      <c r="UYV148" s="22"/>
      <c r="UYW148" s="22"/>
      <c r="UYX148" s="22"/>
      <c r="UYY148" s="22"/>
      <c r="UYZ148" s="22"/>
      <c r="UZA148" s="22"/>
      <c r="UZB148" s="22"/>
      <c r="UZC148" s="22"/>
      <c r="UZD148" s="22"/>
      <c r="UZE148" s="22"/>
      <c r="UZF148" s="22"/>
      <c r="UZG148" s="22"/>
      <c r="UZH148" s="22"/>
      <c r="UZI148" s="22"/>
      <c r="UZJ148" s="22"/>
      <c r="UZK148" s="22"/>
      <c r="UZL148" s="22"/>
      <c r="UZM148" s="22"/>
      <c r="UZN148" s="22"/>
      <c r="UZO148" s="22"/>
      <c r="UZP148" s="22"/>
      <c r="UZQ148" s="22"/>
      <c r="UZR148" s="22"/>
      <c r="UZS148" s="22"/>
      <c r="UZT148" s="22"/>
      <c r="UZU148" s="22"/>
      <c r="UZV148" s="22"/>
      <c r="UZW148" s="22"/>
      <c r="UZX148" s="22"/>
      <c r="UZY148" s="22"/>
      <c r="UZZ148" s="22"/>
      <c r="VAA148" s="22"/>
      <c r="VAB148" s="22"/>
      <c r="VAC148" s="22"/>
      <c r="VAD148" s="22"/>
      <c r="VAE148" s="22"/>
      <c r="VAF148" s="22"/>
      <c r="VAG148" s="22"/>
      <c r="VAH148" s="22"/>
      <c r="VAI148" s="22"/>
      <c r="VAJ148" s="22"/>
      <c r="VAK148" s="22"/>
      <c r="VAL148" s="22"/>
      <c r="VAM148" s="22"/>
      <c r="VAN148" s="22"/>
      <c r="VAO148" s="22"/>
      <c r="VAP148" s="22"/>
      <c r="VAQ148" s="22"/>
      <c r="VAR148" s="22"/>
      <c r="VAS148" s="22"/>
      <c r="VAT148" s="22"/>
      <c r="VAU148" s="22"/>
      <c r="VAV148" s="22"/>
      <c r="VAW148" s="22"/>
      <c r="VAX148" s="22"/>
      <c r="VAY148" s="22"/>
      <c r="VAZ148" s="22"/>
      <c r="VBA148" s="22"/>
      <c r="VBB148" s="22"/>
      <c r="VBC148" s="22"/>
      <c r="VBD148" s="22"/>
      <c r="VBE148" s="22"/>
      <c r="VBF148" s="22"/>
      <c r="VBG148" s="22"/>
      <c r="VBH148" s="22"/>
      <c r="VBI148" s="22"/>
      <c r="VBJ148" s="22"/>
      <c r="VBK148" s="22"/>
      <c r="VBL148" s="22"/>
      <c r="VBM148" s="22"/>
      <c r="VBN148" s="22"/>
      <c r="VBO148" s="22"/>
      <c r="VBP148" s="22"/>
      <c r="VBQ148" s="22"/>
      <c r="VBR148" s="22"/>
      <c r="VBS148" s="22"/>
      <c r="VBT148" s="22"/>
      <c r="VBU148" s="22"/>
      <c r="VBV148" s="22"/>
      <c r="VBW148" s="22"/>
      <c r="VBX148" s="22"/>
      <c r="VBY148" s="22"/>
      <c r="VBZ148" s="22"/>
      <c r="VCA148" s="22"/>
      <c r="VCB148" s="22"/>
      <c r="VCC148" s="22"/>
      <c r="VCD148" s="22"/>
      <c r="VCE148" s="22"/>
      <c r="VCF148" s="22"/>
      <c r="VCG148" s="22"/>
      <c r="VCH148" s="22"/>
      <c r="VCI148" s="22"/>
      <c r="VCJ148" s="22"/>
      <c r="VCK148" s="22"/>
      <c r="VCL148" s="22"/>
      <c r="VCM148" s="22"/>
      <c r="VCN148" s="22"/>
      <c r="VCO148" s="22"/>
      <c r="VCP148" s="22"/>
      <c r="VCQ148" s="22"/>
      <c r="VCR148" s="22"/>
      <c r="VCS148" s="22"/>
      <c r="VCT148" s="22"/>
      <c r="VCU148" s="22"/>
      <c r="VCV148" s="22"/>
      <c r="VCW148" s="22"/>
      <c r="VCX148" s="22"/>
      <c r="VCY148" s="22"/>
      <c r="VCZ148" s="22"/>
      <c r="VDA148" s="22"/>
      <c r="VDB148" s="22"/>
      <c r="VDC148" s="22"/>
      <c r="VDD148" s="22"/>
      <c r="VDE148" s="22"/>
      <c r="VDF148" s="22"/>
      <c r="VDG148" s="22"/>
      <c r="VDH148" s="22"/>
      <c r="VDI148" s="22"/>
      <c r="VDJ148" s="22"/>
      <c r="VDK148" s="22"/>
      <c r="VDL148" s="22"/>
      <c r="VDM148" s="22"/>
      <c r="VDN148" s="22"/>
      <c r="VDO148" s="22"/>
      <c r="VDP148" s="22"/>
      <c r="VDQ148" s="22"/>
      <c r="VDR148" s="22"/>
      <c r="VDS148" s="22"/>
      <c r="VDT148" s="22"/>
      <c r="VDU148" s="22"/>
      <c r="VDV148" s="22"/>
      <c r="VDW148" s="22"/>
      <c r="VDX148" s="22"/>
      <c r="VDY148" s="22"/>
      <c r="VDZ148" s="22"/>
      <c r="VEA148" s="22"/>
      <c r="VEB148" s="22"/>
      <c r="VEC148" s="22"/>
      <c r="VED148" s="22"/>
      <c r="VEE148" s="22"/>
      <c r="VEF148" s="22"/>
      <c r="VEG148" s="22"/>
      <c r="VEH148" s="22"/>
      <c r="VEI148" s="22"/>
      <c r="VEJ148" s="22"/>
      <c r="VEK148" s="22"/>
      <c r="VEL148" s="22"/>
      <c r="VEM148" s="22"/>
      <c r="VEN148" s="22"/>
      <c r="VEO148" s="22"/>
      <c r="VEP148" s="22"/>
      <c r="VEQ148" s="22"/>
      <c r="VER148" s="22"/>
      <c r="VES148" s="22"/>
      <c r="VET148" s="22"/>
      <c r="VEU148" s="22"/>
      <c r="VEV148" s="22"/>
      <c r="VEW148" s="22"/>
      <c r="VEX148" s="22"/>
      <c r="VEY148" s="22"/>
      <c r="VEZ148" s="22"/>
      <c r="VFA148" s="22"/>
      <c r="VFB148" s="22"/>
      <c r="VFC148" s="22"/>
      <c r="VFD148" s="22"/>
      <c r="VFE148" s="22"/>
      <c r="VFF148" s="22"/>
      <c r="VFG148" s="22"/>
      <c r="VFH148" s="22"/>
      <c r="VFI148" s="22"/>
      <c r="VFJ148" s="22"/>
      <c r="VFK148" s="22"/>
      <c r="VFL148" s="22"/>
      <c r="VFM148" s="22"/>
      <c r="VFN148" s="22"/>
      <c r="VFO148" s="22"/>
      <c r="VFP148" s="22"/>
      <c r="VFQ148" s="22"/>
      <c r="VFR148" s="22"/>
      <c r="VFS148" s="22"/>
      <c r="VFT148" s="22"/>
      <c r="VFU148" s="22"/>
      <c r="VFV148" s="22"/>
      <c r="VFW148" s="22"/>
      <c r="VFX148" s="22"/>
      <c r="VFY148" s="22"/>
      <c r="VFZ148" s="22"/>
      <c r="VGA148" s="22"/>
      <c r="VGB148" s="22"/>
      <c r="VGC148" s="22"/>
      <c r="VGD148" s="22"/>
      <c r="VGE148" s="22"/>
      <c r="VGF148" s="22"/>
      <c r="VGG148" s="22"/>
      <c r="VGH148" s="22"/>
      <c r="VGI148" s="22"/>
      <c r="VGJ148" s="22"/>
      <c r="VGK148" s="22"/>
      <c r="VGL148" s="22"/>
      <c r="VGM148" s="22"/>
      <c r="VGN148" s="22"/>
      <c r="VGO148" s="22"/>
      <c r="VGP148" s="22"/>
      <c r="VGQ148" s="22"/>
      <c r="VGR148" s="22"/>
      <c r="VGS148" s="22"/>
      <c r="VGT148" s="22"/>
      <c r="VGU148" s="22"/>
      <c r="VGV148" s="22"/>
      <c r="VGW148" s="22"/>
      <c r="VGX148" s="22"/>
      <c r="VGY148" s="22"/>
      <c r="VGZ148" s="22"/>
      <c r="VHA148" s="22"/>
      <c r="VHB148" s="22"/>
      <c r="VHC148" s="22"/>
      <c r="VHD148" s="22"/>
      <c r="VHE148" s="22"/>
      <c r="VHF148" s="22"/>
      <c r="VHG148" s="22"/>
      <c r="VHH148" s="22"/>
      <c r="VHI148" s="22"/>
      <c r="VHJ148" s="22"/>
      <c r="VHK148" s="22"/>
      <c r="VHL148" s="22"/>
      <c r="VHM148" s="22"/>
      <c r="VHN148" s="22"/>
      <c r="VHO148" s="22"/>
      <c r="VHP148" s="22"/>
      <c r="VHQ148" s="22"/>
      <c r="VHR148" s="22"/>
      <c r="VHS148" s="22"/>
      <c r="VHT148" s="22"/>
      <c r="VHU148" s="22"/>
      <c r="VHV148" s="22"/>
      <c r="VHW148" s="22"/>
      <c r="VHX148" s="22"/>
      <c r="VHY148" s="22"/>
      <c r="VHZ148" s="22"/>
      <c r="VIA148" s="22"/>
      <c r="VIB148" s="22"/>
      <c r="VIC148" s="22"/>
      <c r="VID148" s="22"/>
      <c r="VIE148" s="22"/>
      <c r="VIF148" s="22"/>
      <c r="VIG148" s="22"/>
      <c r="VIH148" s="22"/>
      <c r="VII148" s="22"/>
      <c r="VIJ148" s="22"/>
      <c r="VIK148" s="22"/>
      <c r="VIL148" s="22"/>
      <c r="VIM148" s="22"/>
      <c r="VIN148" s="22"/>
      <c r="VIO148" s="22"/>
      <c r="VIP148" s="22"/>
      <c r="VIQ148" s="22"/>
      <c r="VIR148" s="22"/>
      <c r="VIS148" s="22"/>
      <c r="VIT148" s="22"/>
      <c r="VIU148" s="22"/>
      <c r="VIV148" s="22"/>
      <c r="VIW148" s="22"/>
      <c r="VIX148" s="22"/>
      <c r="VIY148" s="22"/>
      <c r="VIZ148" s="22"/>
      <c r="VJA148" s="22"/>
      <c r="VJB148" s="22"/>
      <c r="VJC148" s="22"/>
      <c r="VJD148" s="22"/>
      <c r="VJE148" s="22"/>
      <c r="VJF148" s="22"/>
      <c r="VJG148" s="22"/>
      <c r="VJH148" s="22"/>
      <c r="VJI148" s="22"/>
      <c r="VJJ148" s="22"/>
      <c r="VJK148" s="22"/>
      <c r="VJL148" s="22"/>
      <c r="VJM148" s="22"/>
      <c r="VJN148" s="22"/>
      <c r="VJO148" s="22"/>
      <c r="VJP148" s="22"/>
      <c r="VJQ148" s="22"/>
      <c r="VJR148" s="22"/>
      <c r="VJS148" s="22"/>
      <c r="VJT148" s="22"/>
      <c r="VJU148" s="22"/>
      <c r="VJV148" s="22"/>
      <c r="VJW148" s="22"/>
      <c r="VJX148" s="22"/>
      <c r="VJY148" s="22"/>
      <c r="VJZ148" s="22"/>
      <c r="VKA148" s="22"/>
      <c r="VKB148" s="22"/>
      <c r="VKC148" s="22"/>
      <c r="VKD148" s="22"/>
      <c r="VKE148" s="22"/>
      <c r="VKF148" s="22"/>
      <c r="VKG148" s="22"/>
      <c r="VKH148" s="22"/>
      <c r="VKI148" s="22"/>
      <c r="VKJ148" s="22"/>
      <c r="VKK148" s="22"/>
      <c r="VKL148" s="22"/>
      <c r="VKM148" s="22"/>
      <c r="VKN148" s="22"/>
      <c r="VKO148" s="22"/>
      <c r="VKP148" s="22"/>
      <c r="VKQ148" s="22"/>
      <c r="VKR148" s="22"/>
      <c r="VKS148" s="22"/>
      <c r="VKT148" s="22"/>
      <c r="VKU148" s="22"/>
      <c r="VKV148" s="22"/>
      <c r="VKW148" s="22"/>
      <c r="VKX148" s="22"/>
      <c r="VKY148" s="22"/>
      <c r="VKZ148" s="22"/>
      <c r="VLA148" s="22"/>
      <c r="VLB148" s="22"/>
      <c r="VLC148" s="22"/>
      <c r="VLD148" s="22"/>
      <c r="VLE148" s="22"/>
      <c r="VLF148" s="22"/>
      <c r="VLG148" s="22"/>
      <c r="VLH148" s="22"/>
      <c r="VLI148" s="22"/>
      <c r="VLJ148" s="22"/>
      <c r="VLK148" s="22"/>
      <c r="VLL148" s="22"/>
      <c r="VLM148" s="22"/>
      <c r="VLN148" s="22"/>
      <c r="VLO148" s="22"/>
      <c r="VLP148" s="22"/>
      <c r="VLQ148" s="22"/>
      <c r="VLR148" s="22"/>
      <c r="VLS148" s="22"/>
      <c r="VLT148" s="22"/>
      <c r="VLU148" s="22"/>
      <c r="VLV148" s="22"/>
      <c r="VLW148" s="22"/>
      <c r="VLX148" s="22"/>
      <c r="VLY148" s="22"/>
      <c r="VLZ148" s="22"/>
      <c r="VMA148" s="22"/>
      <c r="VMB148" s="22"/>
      <c r="VMC148" s="22"/>
      <c r="VMD148" s="22"/>
      <c r="VME148" s="22"/>
      <c r="VMF148" s="22"/>
      <c r="VMG148" s="22"/>
      <c r="VMH148" s="22"/>
      <c r="VMI148" s="22"/>
      <c r="VMJ148" s="22"/>
      <c r="VMK148" s="22"/>
      <c r="VML148" s="22"/>
      <c r="VMM148" s="22"/>
      <c r="VMN148" s="22"/>
      <c r="VMO148" s="22"/>
      <c r="VMP148" s="22"/>
      <c r="VMQ148" s="22"/>
      <c r="VMR148" s="22"/>
      <c r="VMS148" s="22"/>
      <c r="VMT148" s="22"/>
      <c r="VMU148" s="22"/>
      <c r="VMV148" s="22"/>
      <c r="VMW148" s="22"/>
      <c r="VMX148" s="22"/>
      <c r="VMY148" s="22"/>
      <c r="VMZ148" s="22"/>
      <c r="VNA148" s="22"/>
      <c r="VNB148" s="22"/>
      <c r="VNC148" s="22"/>
      <c r="VND148" s="22"/>
      <c r="VNE148" s="22"/>
      <c r="VNF148" s="22"/>
      <c r="VNG148" s="22"/>
      <c r="VNH148" s="22"/>
      <c r="VNI148" s="22"/>
      <c r="VNJ148" s="22"/>
      <c r="VNK148" s="22"/>
      <c r="VNL148" s="22"/>
      <c r="VNM148" s="22"/>
      <c r="VNN148" s="22"/>
      <c r="VNO148" s="22"/>
      <c r="VNP148" s="22"/>
      <c r="VNQ148" s="22"/>
      <c r="VNR148" s="22"/>
      <c r="VNS148" s="22"/>
      <c r="VNT148" s="22"/>
      <c r="VNU148" s="22"/>
      <c r="VNV148" s="22"/>
      <c r="VNW148" s="22"/>
      <c r="VNX148" s="22"/>
      <c r="VNY148" s="22"/>
      <c r="VNZ148" s="22"/>
      <c r="VOA148" s="22"/>
      <c r="VOB148" s="22"/>
      <c r="VOC148" s="22"/>
      <c r="VOD148" s="22"/>
      <c r="VOE148" s="22"/>
      <c r="VOF148" s="22"/>
      <c r="VOG148" s="22"/>
      <c r="VOH148" s="22"/>
      <c r="VOI148" s="22"/>
      <c r="VOJ148" s="22"/>
      <c r="VOK148" s="22"/>
      <c r="VOL148" s="22"/>
      <c r="VOM148" s="22"/>
      <c r="VON148" s="22"/>
      <c r="VOO148" s="22"/>
      <c r="VOP148" s="22"/>
      <c r="VOQ148" s="22"/>
      <c r="VOR148" s="22"/>
      <c r="VOS148" s="22"/>
      <c r="VOT148" s="22"/>
      <c r="VOU148" s="22"/>
      <c r="VOV148" s="22"/>
      <c r="VOW148" s="22"/>
      <c r="VOX148" s="22"/>
      <c r="VOY148" s="22"/>
      <c r="VOZ148" s="22"/>
      <c r="VPA148" s="22"/>
      <c r="VPB148" s="22"/>
      <c r="VPC148" s="22"/>
      <c r="VPD148" s="22"/>
      <c r="VPE148" s="22"/>
      <c r="VPF148" s="22"/>
      <c r="VPG148" s="22"/>
      <c r="VPH148" s="22"/>
      <c r="VPI148" s="22"/>
      <c r="VPJ148" s="22"/>
      <c r="VPK148" s="22"/>
      <c r="VPL148" s="22"/>
      <c r="VPM148" s="22"/>
      <c r="VPN148" s="22"/>
      <c r="VPO148" s="22"/>
      <c r="VPP148" s="22"/>
      <c r="VPQ148" s="22"/>
      <c r="VPR148" s="22"/>
      <c r="VPS148" s="22"/>
      <c r="VPT148" s="22"/>
      <c r="VPU148" s="22"/>
      <c r="VPV148" s="22"/>
      <c r="VPW148" s="22"/>
      <c r="VPX148" s="22"/>
      <c r="VPY148" s="22"/>
      <c r="VPZ148" s="22"/>
      <c r="VQA148" s="22"/>
      <c r="VQB148" s="22"/>
      <c r="VQC148" s="22"/>
      <c r="VQD148" s="22"/>
      <c r="VQE148" s="22"/>
      <c r="VQF148" s="22"/>
      <c r="VQG148" s="22"/>
      <c r="VQH148" s="22"/>
      <c r="VQI148" s="22"/>
      <c r="VQJ148" s="22"/>
      <c r="VQK148" s="22"/>
      <c r="VQL148" s="22"/>
      <c r="VQM148" s="22"/>
      <c r="VQN148" s="22"/>
      <c r="VQO148" s="22"/>
      <c r="VQP148" s="22"/>
      <c r="VQQ148" s="22"/>
      <c r="VQR148" s="22"/>
      <c r="VQS148" s="22"/>
      <c r="VQT148" s="22"/>
      <c r="VQU148" s="22"/>
      <c r="VQV148" s="22"/>
      <c r="VQW148" s="22"/>
      <c r="VQX148" s="22"/>
      <c r="VQY148" s="22"/>
      <c r="VQZ148" s="22"/>
      <c r="VRA148" s="22"/>
      <c r="VRB148" s="22"/>
      <c r="VRC148" s="22"/>
      <c r="VRD148" s="22"/>
      <c r="VRE148" s="22"/>
      <c r="VRF148" s="22"/>
      <c r="VRG148" s="22"/>
      <c r="VRH148" s="22"/>
      <c r="VRI148" s="22"/>
      <c r="VRJ148" s="22"/>
      <c r="VRK148" s="22"/>
      <c r="VRL148" s="22"/>
      <c r="VRM148" s="22"/>
      <c r="VRN148" s="22"/>
      <c r="VRO148" s="22"/>
      <c r="VRP148" s="22"/>
      <c r="VRQ148" s="22"/>
      <c r="VRR148" s="22"/>
      <c r="VRS148" s="22"/>
      <c r="VRT148" s="22"/>
      <c r="VRU148" s="22"/>
      <c r="VRV148" s="22"/>
      <c r="VRW148" s="22"/>
      <c r="VRX148" s="22"/>
      <c r="VRY148" s="22"/>
      <c r="VRZ148" s="22"/>
      <c r="VSA148" s="22"/>
      <c r="VSB148" s="22"/>
      <c r="VSC148" s="22"/>
      <c r="VSD148" s="22"/>
      <c r="VSE148" s="22"/>
      <c r="VSF148" s="22"/>
      <c r="VSG148" s="22"/>
      <c r="VSH148" s="22"/>
      <c r="VSI148" s="22"/>
      <c r="VSJ148" s="22"/>
      <c r="VSK148" s="22"/>
      <c r="VSL148" s="22"/>
      <c r="VSM148" s="22"/>
      <c r="VSN148" s="22"/>
      <c r="VSO148" s="22"/>
      <c r="VSP148" s="22"/>
      <c r="VSQ148" s="22"/>
      <c r="VSR148" s="22"/>
      <c r="VSS148" s="22"/>
      <c r="VST148" s="22"/>
      <c r="VSU148" s="22"/>
      <c r="VSV148" s="22"/>
      <c r="VSW148" s="22"/>
      <c r="VSX148" s="22"/>
      <c r="VSY148" s="22"/>
      <c r="VSZ148" s="22"/>
      <c r="VTA148" s="22"/>
      <c r="VTB148" s="22"/>
      <c r="VTC148" s="22"/>
      <c r="VTD148" s="22"/>
      <c r="VTE148" s="22"/>
      <c r="VTF148" s="22"/>
      <c r="VTG148" s="22"/>
      <c r="VTH148" s="22"/>
      <c r="VTI148" s="22"/>
      <c r="VTJ148" s="22"/>
      <c r="VTK148" s="22"/>
      <c r="VTL148" s="22"/>
      <c r="VTM148" s="22"/>
      <c r="VTN148" s="22"/>
      <c r="VTO148" s="22"/>
      <c r="VTP148" s="22"/>
      <c r="VTQ148" s="22"/>
      <c r="VTR148" s="22"/>
      <c r="VTS148" s="22"/>
      <c r="VTT148" s="22"/>
      <c r="VTU148" s="22"/>
      <c r="VTV148" s="22"/>
      <c r="VTW148" s="22"/>
      <c r="VTX148" s="22"/>
      <c r="VTY148" s="22"/>
      <c r="VTZ148" s="22"/>
      <c r="VUA148" s="22"/>
      <c r="VUB148" s="22"/>
      <c r="VUC148" s="22"/>
      <c r="VUD148" s="22"/>
      <c r="VUE148" s="22"/>
      <c r="VUF148" s="22"/>
      <c r="VUG148" s="22"/>
      <c r="VUH148" s="22"/>
      <c r="VUI148" s="22"/>
      <c r="VUJ148" s="22"/>
      <c r="VUK148" s="22"/>
      <c r="VUL148" s="22"/>
      <c r="VUM148" s="22"/>
      <c r="VUN148" s="22"/>
      <c r="VUO148" s="22"/>
      <c r="VUP148" s="22"/>
      <c r="VUQ148" s="22"/>
      <c r="VUR148" s="22"/>
      <c r="VUS148" s="22"/>
      <c r="VUT148" s="22"/>
      <c r="VUU148" s="22"/>
      <c r="VUV148" s="22"/>
      <c r="VUW148" s="22"/>
      <c r="VUX148" s="22"/>
      <c r="VUY148" s="22"/>
      <c r="VUZ148" s="22"/>
      <c r="VVA148" s="22"/>
      <c r="VVB148" s="22"/>
      <c r="VVC148" s="22"/>
      <c r="VVD148" s="22"/>
      <c r="VVE148" s="22"/>
      <c r="VVF148" s="22"/>
      <c r="VVG148" s="22"/>
      <c r="VVH148" s="22"/>
      <c r="VVI148" s="22"/>
      <c r="VVJ148" s="22"/>
      <c r="VVK148" s="22"/>
      <c r="VVL148" s="22"/>
      <c r="VVM148" s="22"/>
      <c r="VVN148" s="22"/>
      <c r="VVO148" s="22"/>
      <c r="VVP148" s="22"/>
      <c r="VVQ148" s="22"/>
      <c r="VVR148" s="22"/>
      <c r="VVS148" s="22"/>
      <c r="VVT148" s="22"/>
      <c r="VVU148" s="22"/>
      <c r="VVV148" s="22"/>
      <c r="VVW148" s="22"/>
      <c r="VVX148" s="22"/>
      <c r="VVY148" s="22"/>
      <c r="VVZ148" s="22"/>
      <c r="VWA148" s="22"/>
      <c r="VWB148" s="22"/>
      <c r="VWC148" s="22"/>
      <c r="VWD148" s="22"/>
      <c r="VWE148" s="22"/>
      <c r="VWF148" s="22"/>
      <c r="VWG148" s="22"/>
      <c r="VWH148" s="22"/>
      <c r="VWI148" s="22"/>
      <c r="VWJ148" s="22"/>
      <c r="VWK148" s="22"/>
      <c r="VWL148" s="22"/>
      <c r="VWM148" s="22"/>
      <c r="VWN148" s="22"/>
      <c r="VWO148" s="22"/>
      <c r="VWP148" s="22"/>
      <c r="VWQ148" s="22"/>
      <c r="VWR148" s="22"/>
      <c r="VWS148" s="22"/>
      <c r="VWT148" s="22"/>
      <c r="VWU148" s="22"/>
      <c r="VWV148" s="22"/>
      <c r="VWW148" s="22"/>
      <c r="VWX148" s="22"/>
      <c r="VWY148" s="22"/>
      <c r="VWZ148" s="22"/>
      <c r="VXA148" s="22"/>
      <c r="VXB148" s="22"/>
      <c r="VXC148" s="22"/>
      <c r="VXD148" s="22"/>
      <c r="VXE148" s="22"/>
      <c r="VXF148" s="22"/>
      <c r="VXG148" s="22"/>
      <c r="VXH148" s="22"/>
      <c r="VXI148" s="22"/>
      <c r="VXJ148" s="22"/>
      <c r="VXK148" s="22"/>
      <c r="VXL148" s="22"/>
      <c r="VXM148" s="22"/>
      <c r="VXN148" s="22"/>
      <c r="VXO148" s="22"/>
      <c r="VXP148" s="22"/>
      <c r="VXQ148" s="22"/>
      <c r="VXR148" s="22"/>
      <c r="VXS148" s="22"/>
      <c r="VXT148" s="22"/>
      <c r="VXU148" s="22"/>
      <c r="VXV148" s="22"/>
      <c r="VXW148" s="22"/>
      <c r="VXX148" s="22"/>
      <c r="VXY148" s="22"/>
      <c r="VXZ148" s="22"/>
      <c r="VYA148" s="22"/>
      <c r="VYB148" s="22"/>
      <c r="VYC148" s="22"/>
      <c r="VYD148" s="22"/>
      <c r="VYE148" s="22"/>
      <c r="VYF148" s="22"/>
      <c r="VYG148" s="22"/>
      <c r="VYH148" s="22"/>
      <c r="VYI148" s="22"/>
      <c r="VYJ148" s="22"/>
      <c r="VYK148" s="22"/>
      <c r="VYL148" s="22"/>
      <c r="VYM148" s="22"/>
      <c r="VYN148" s="22"/>
      <c r="VYO148" s="22"/>
      <c r="VYP148" s="22"/>
      <c r="VYQ148" s="22"/>
      <c r="VYR148" s="22"/>
      <c r="VYS148" s="22"/>
      <c r="VYT148" s="22"/>
      <c r="VYU148" s="22"/>
      <c r="VYV148" s="22"/>
      <c r="VYW148" s="22"/>
      <c r="VYX148" s="22"/>
      <c r="VYY148" s="22"/>
      <c r="VYZ148" s="22"/>
      <c r="VZA148" s="22"/>
      <c r="VZB148" s="22"/>
      <c r="VZC148" s="22"/>
      <c r="VZD148" s="22"/>
      <c r="VZE148" s="22"/>
      <c r="VZF148" s="22"/>
      <c r="VZG148" s="22"/>
      <c r="VZH148" s="22"/>
      <c r="VZI148" s="22"/>
      <c r="VZJ148" s="22"/>
      <c r="VZK148" s="22"/>
      <c r="VZL148" s="22"/>
      <c r="VZM148" s="22"/>
      <c r="VZN148" s="22"/>
      <c r="VZO148" s="22"/>
      <c r="VZP148" s="22"/>
      <c r="VZQ148" s="22"/>
      <c r="VZR148" s="22"/>
      <c r="VZS148" s="22"/>
      <c r="VZT148" s="22"/>
      <c r="VZU148" s="22"/>
      <c r="VZV148" s="22"/>
      <c r="VZW148" s="22"/>
      <c r="VZX148" s="22"/>
      <c r="VZY148" s="22"/>
      <c r="VZZ148" s="22"/>
      <c r="WAA148" s="22"/>
      <c r="WAB148" s="22"/>
      <c r="WAC148" s="22"/>
      <c r="WAD148" s="22"/>
      <c r="WAE148" s="22"/>
      <c r="WAF148" s="22"/>
      <c r="WAG148" s="22"/>
      <c r="WAH148" s="22"/>
      <c r="WAI148" s="22"/>
      <c r="WAJ148" s="22"/>
      <c r="WAK148" s="22"/>
      <c r="WAL148" s="22"/>
      <c r="WAM148" s="22"/>
      <c r="WAN148" s="22"/>
      <c r="WAO148" s="22"/>
      <c r="WAP148" s="22"/>
      <c r="WAQ148" s="22"/>
      <c r="WAR148" s="22"/>
      <c r="WAS148" s="22"/>
      <c r="WAT148" s="22"/>
      <c r="WAU148" s="22"/>
      <c r="WAV148" s="22"/>
      <c r="WAW148" s="22"/>
      <c r="WAX148" s="22"/>
      <c r="WAY148" s="22"/>
      <c r="WAZ148" s="22"/>
      <c r="WBA148" s="22"/>
      <c r="WBB148" s="22"/>
      <c r="WBC148" s="22"/>
      <c r="WBD148" s="22"/>
      <c r="WBE148" s="22"/>
      <c r="WBF148" s="22"/>
      <c r="WBG148" s="22"/>
      <c r="WBH148" s="22"/>
      <c r="WBI148" s="22"/>
      <c r="WBJ148" s="22"/>
      <c r="WBK148" s="22"/>
      <c r="WBL148" s="22"/>
      <c r="WBM148" s="22"/>
      <c r="WBN148" s="22"/>
      <c r="WBO148" s="22"/>
      <c r="WBP148" s="22"/>
      <c r="WBQ148" s="22"/>
      <c r="WBR148" s="22"/>
      <c r="WBS148" s="22"/>
      <c r="WBT148" s="22"/>
      <c r="WBU148" s="22"/>
      <c r="WBV148" s="22"/>
      <c r="WBW148" s="22"/>
      <c r="WBX148" s="22"/>
      <c r="WBY148" s="22"/>
      <c r="WBZ148" s="22"/>
      <c r="WCA148" s="22"/>
      <c r="WCB148" s="22"/>
      <c r="WCC148" s="22"/>
      <c r="WCD148" s="22"/>
      <c r="WCE148" s="22"/>
      <c r="WCF148" s="22"/>
      <c r="WCG148" s="22"/>
      <c r="WCH148" s="22"/>
      <c r="WCI148" s="22"/>
      <c r="WCJ148" s="22"/>
      <c r="WCK148" s="22"/>
      <c r="WCL148" s="22"/>
      <c r="WCM148" s="22"/>
      <c r="WCN148" s="22"/>
      <c r="WCO148" s="22"/>
      <c r="WCP148" s="22"/>
      <c r="WCQ148" s="22"/>
      <c r="WCR148" s="22"/>
      <c r="WCS148" s="22"/>
      <c r="WCT148" s="22"/>
      <c r="WCU148" s="22"/>
      <c r="WCV148" s="22"/>
      <c r="WCW148" s="22"/>
      <c r="WCX148" s="22"/>
      <c r="WCY148" s="22"/>
      <c r="WCZ148" s="22"/>
      <c r="WDA148" s="22"/>
      <c r="WDB148" s="22"/>
      <c r="WDC148" s="22"/>
      <c r="WDD148" s="22"/>
      <c r="WDE148" s="22"/>
      <c r="WDF148" s="22"/>
      <c r="WDG148" s="22"/>
      <c r="WDH148" s="22"/>
      <c r="WDI148" s="22"/>
      <c r="WDJ148" s="22"/>
      <c r="WDK148" s="22"/>
      <c r="WDL148" s="22"/>
      <c r="WDM148" s="22"/>
      <c r="WDN148" s="22"/>
      <c r="WDO148" s="22"/>
      <c r="WDP148" s="22"/>
      <c r="WDQ148" s="22"/>
      <c r="WDR148" s="22"/>
      <c r="WDS148" s="22"/>
      <c r="WDT148" s="22"/>
      <c r="WDU148" s="22"/>
      <c r="WDV148" s="22"/>
      <c r="WDW148" s="22"/>
      <c r="WDX148" s="22"/>
      <c r="WDY148" s="22"/>
      <c r="WDZ148" s="22"/>
      <c r="WEA148" s="22"/>
      <c r="WEB148" s="22"/>
      <c r="WEC148" s="22"/>
      <c r="WED148" s="22"/>
      <c r="WEE148" s="22"/>
      <c r="WEF148" s="22"/>
      <c r="WEG148" s="22"/>
      <c r="WEH148" s="22"/>
      <c r="WEI148" s="22"/>
      <c r="WEJ148" s="22"/>
      <c r="WEK148" s="22"/>
      <c r="WEL148" s="22"/>
      <c r="WEM148" s="22"/>
      <c r="WEN148" s="22"/>
      <c r="WEO148" s="22"/>
      <c r="WEP148" s="22"/>
      <c r="WEQ148" s="22"/>
      <c r="WER148" s="22"/>
      <c r="WES148" s="22"/>
      <c r="WET148" s="22"/>
      <c r="WEU148" s="22"/>
      <c r="WEV148" s="22"/>
      <c r="WEW148" s="22"/>
      <c r="WEX148" s="22"/>
      <c r="WEY148" s="22"/>
      <c r="WEZ148" s="22"/>
      <c r="WFA148" s="22"/>
      <c r="WFB148" s="22"/>
      <c r="WFC148" s="22"/>
      <c r="WFD148" s="22"/>
      <c r="WFE148" s="22"/>
      <c r="WFF148" s="22"/>
      <c r="WFG148" s="22"/>
      <c r="WFH148" s="22"/>
      <c r="WFI148" s="22"/>
      <c r="WFJ148" s="22"/>
      <c r="WFK148" s="22"/>
      <c r="WFL148" s="22"/>
      <c r="WFM148" s="22"/>
      <c r="WFN148" s="22"/>
      <c r="WFO148" s="22"/>
      <c r="WFP148" s="22"/>
      <c r="WFQ148" s="22"/>
      <c r="WFR148" s="22"/>
      <c r="WFS148" s="22"/>
      <c r="WFT148" s="22"/>
      <c r="WFU148" s="22"/>
      <c r="WFV148" s="22"/>
      <c r="WFW148" s="22"/>
      <c r="WFX148" s="22"/>
      <c r="WFY148" s="22"/>
      <c r="WFZ148" s="22"/>
      <c r="WGA148" s="22"/>
      <c r="WGB148" s="22"/>
      <c r="WGC148" s="22"/>
      <c r="WGD148" s="22"/>
      <c r="WGE148" s="22"/>
      <c r="WGF148" s="22"/>
      <c r="WGG148" s="22"/>
      <c r="WGH148" s="22"/>
      <c r="WGI148" s="22"/>
      <c r="WGJ148" s="22"/>
      <c r="WGK148" s="22"/>
      <c r="WGL148" s="22"/>
      <c r="WGM148" s="22"/>
      <c r="WGN148" s="22"/>
      <c r="WGO148" s="22"/>
      <c r="WGP148" s="22"/>
      <c r="WGQ148" s="22"/>
      <c r="WGR148" s="22"/>
      <c r="WGS148" s="22"/>
      <c r="WGT148" s="22"/>
      <c r="WGU148" s="22"/>
      <c r="WGV148" s="22"/>
      <c r="WGW148" s="22"/>
      <c r="WGX148" s="22"/>
      <c r="WGY148" s="22"/>
      <c r="WGZ148" s="22"/>
      <c r="WHA148" s="22"/>
      <c r="WHB148" s="22"/>
      <c r="WHC148" s="22"/>
      <c r="WHD148" s="22"/>
      <c r="WHE148" s="22"/>
      <c r="WHF148" s="22"/>
      <c r="WHG148" s="22"/>
      <c r="WHH148" s="22"/>
      <c r="WHI148" s="22"/>
      <c r="WHJ148" s="22"/>
      <c r="WHK148" s="22"/>
      <c r="WHL148" s="22"/>
      <c r="WHM148" s="22"/>
      <c r="WHN148" s="22"/>
      <c r="WHO148" s="22"/>
      <c r="WHP148" s="22"/>
      <c r="WHQ148" s="22"/>
      <c r="WHR148" s="22"/>
      <c r="WHS148" s="22"/>
      <c r="WHT148" s="22"/>
      <c r="WHU148" s="22"/>
      <c r="WHV148" s="22"/>
      <c r="WHW148" s="22"/>
      <c r="WHX148" s="22"/>
      <c r="WHY148" s="22"/>
      <c r="WHZ148" s="22"/>
      <c r="WIA148" s="22"/>
      <c r="WIB148" s="22"/>
      <c r="WIC148" s="22"/>
      <c r="WID148" s="22"/>
      <c r="WIE148" s="22"/>
      <c r="WIF148" s="22"/>
      <c r="WIG148" s="22"/>
      <c r="WIH148" s="22"/>
      <c r="WII148" s="22"/>
      <c r="WIJ148" s="22"/>
      <c r="WIK148" s="22"/>
      <c r="WIL148" s="22"/>
      <c r="WIM148" s="22"/>
      <c r="WIN148" s="22"/>
      <c r="WIO148" s="22"/>
      <c r="WIP148" s="22"/>
      <c r="WIQ148" s="22"/>
      <c r="WIR148" s="22"/>
      <c r="WIS148" s="22"/>
      <c r="WIT148" s="22"/>
      <c r="WIU148" s="22"/>
      <c r="WIV148" s="22"/>
      <c r="WIW148" s="22"/>
      <c r="WIX148" s="22"/>
      <c r="WIY148" s="22"/>
      <c r="WIZ148" s="22"/>
      <c r="WJA148" s="22"/>
      <c r="WJB148" s="22"/>
      <c r="WJC148" s="22"/>
      <c r="WJD148" s="22"/>
      <c r="WJE148" s="22"/>
      <c r="WJF148" s="22"/>
      <c r="WJG148" s="22"/>
      <c r="WJH148" s="22"/>
      <c r="WJI148" s="22"/>
      <c r="WJJ148" s="22"/>
      <c r="WJK148" s="22"/>
      <c r="WJL148" s="22"/>
      <c r="WJM148" s="22"/>
      <c r="WJN148" s="22"/>
      <c r="WJO148" s="22"/>
      <c r="WJP148" s="22"/>
      <c r="WJQ148" s="22"/>
      <c r="WJR148" s="22"/>
      <c r="WJS148" s="22"/>
      <c r="WJT148" s="22"/>
      <c r="WJU148" s="22"/>
      <c r="WJV148" s="22"/>
      <c r="WJW148" s="22"/>
      <c r="WJX148" s="22"/>
      <c r="WJY148" s="22"/>
      <c r="WJZ148" s="22"/>
      <c r="WKA148" s="22"/>
      <c r="WKB148" s="22"/>
      <c r="WKC148" s="22"/>
      <c r="WKD148" s="22"/>
      <c r="WKE148" s="22"/>
      <c r="WKF148" s="22"/>
      <c r="WKG148" s="22"/>
      <c r="WKH148" s="22"/>
      <c r="WKI148" s="22"/>
      <c r="WKJ148" s="22"/>
      <c r="WKK148" s="22"/>
      <c r="WKL148" s="22"/>
      <c r="WKM148" s="22"/>
      <c r="WKN148" s="22"/>
      <c r="WKO148" s="22"/>
      <c r="WKP148" s="22"/>
      <c r="WKQ148" s="22"/>
      <c r="WKR148" s="22"/>
      <c r="WKS148" s="22"/>
      <c r="WKT148" s="22"/>
      <c r="WKU148" s="22"/>
      <c r="WKV148" s="22"/>
      <c r="WKW148" s="22"/>
      <c r="WKX148" s="22"/>
      <c r="WKY148" s="22"/>
      <c r="WKZ148" s="22"/>
      <c r="WLA148" s="22"/>
      <c r="WLB148" s="22"/>
      <c r="WLC148" s="22"/>
      <c r="WLD148" s="22"/>
      <c r="WLE148" s="22"/>
      <c r="WLF148" s="22"/>
      <c r="WLG148" s="22"/>
      <c r="WLH148" s="22"/>
      <c r="WLI148" s="22"/>
      <c r="WLJ148" s="22"/>
      <c r="WLK148" s="22"/>
      <c r="WLL148" s="22"/>
      <c r="WLM148" s="22"/>
      <c r="WLN148" s="22"/>
      <c r="WLO148" s="22"/>
      <c r="WLP148" s="22"/>
      <c r="WLQ148" s="22"/>
      <c r="WLR148" s="22"/>
      <c r="WLS148" s="22"/>
      <c r="WLT148" s="22"/>
      <c r="WLU148" s="22"/>
      <c r="WLV148" s="22"/>
      <c r="WLW148" s="22"/>
      <c r="WLX148" s="22"/>
      <c r="WLY148" s="22"/>
      <c r="WLZ148" s="22"/>
      <c r="WMA148" s="22"/>
      <c r="WMB148" s="22"/>
      <c r="WMC148" s="22"/>
      <c r="WMD148" s="22"/>
      <c r="WME148" s="22"/>
      <c r="WMF148" s="22"/>
      <c r="WMG148" s="22"/>
      <c r="WMH148" s="22"/>
      <c r="WMI148" s="22"/>
      <c r="WMJ148" s="22"/>
      <c r="WMK148" s="22"/>
      <c r="WML148" s="22"/>
      <c r="WMM148" s="22"/>
      <c r="WMN148" s="22"/>
      <c r="WMO148" s="22"/>
      <c r="WMP148" s="22"/>
      <c r="WMQ148" s="22"/>
      <c r="WMR148" s="22"/>
      <c r="WMS148" s="22"/>
      <c r="WMT148" s="22"/>
      <c r="WMU148" s="22"/>
      <c r="WMV148" s="22"/>
      <c r="WMW148" s="22"/>
      <c r="WMX148" s="22"/>
      <c r="WMY148" s="22"/>
      <c r="WMZ148" s="22"/>
      <c r="WNA148" s="22"/>
      <c r="WNB148" s="22"/>
      <c r="WNC148" s="22"/>
      <c r="WND148" s="22"/>
      <c r="WNE148" s="22"/>
      <c r="WNF148" s="22"/>
      <c r="WNG148" s="22"/>
      <c r="WNH148" s="22"/>
      <c r="WNI148" s="22"/>
      <c r="WNJ148" s="22"/>
      <c r="WNK148" s="22"/>
      <c r="WNL148" s="22"/>
      <c r="WNM148" s="22"/>
      <c r="WNN148" s="22"/>
      <c r="WNO148" s="22"/>
      <c r="WNP148" s="22"/>
      <c r="WNQ148" s="22"/>
      <c r="WNR148" s="22"/>
      <c r="WNS148" s="22"/>
      <c r="WNT148" s="22"/>
      <c r="WNU148" s="22"/>
      <c r="WNV148" s="22"/>
      <c r="WNW148" s="22"/>
      <c r="WNX148" s="22"/>
      <c r="WNY148" s="22"/>
      <c r="WNZ148" s="22"/>
      <c r="WOA148" s="22"/>
      <c r="WOB148" s="22"/>
      <c r="WOC148" s="22"/>
      <c r="WOD148" s="22"/>
      <c r="WOE148" s="22"/>
      <c r="WOF148" s="22"/>
      <c r="WOG148" s="22"/>
      <c r="WOH148" s="22"/>
      <c r="WOI148" s="22"/>
      <c r="WOJ148" s="22"/>
      <c r="WOK148" s="22"/>
      <c r="WOL148" s="22"/>
      <c r="WOM148" s="22"/>
      <c r="WON148" s="22"/>
      <c r="WOO148" s="22"/>
      <c r="WOP148" s="22"/>
      <c r="WOQ148" s="22"/>
      <c r="WOR148" s="22"/>
      <c r="WOS148" s="22"/>
      <c r="WOT148" s="22"/>
      <c r="WOU148" s="22"/>
      <c r="WOV148" s="22"/>
      <c r="WOW148" s="22"/>
      <c r="WOX148" s="22"/>
      <c r="WOY148" s="22"/>
      <c r="WOZ148" s="22"/>
      <c r="WPA148" s="22"/>
      <c r="WPB148" s="22"/>
      <c r="WPC148" s="22"/>
      <c r="WPD148" s="22"/>
      <c r="WPE148" s="22"/>
      <c r="WPF148" s="22"/>
      <c r="WPG148" s="22"/>
      <c r="WPH148" s="22"/>
      <c r="WPI148" s="22"/>
      <c r="WPJ148" s="22"/>
      <c r="WPK148" s="22"/>
      <c r="WPL148" s="22"/>
      <c r="WPM148" s="22"/>
      <c r="WPN148" s="22"/>
      <c r="WPO148" s="22"/>
      <c r="WPP148" s="22"/>
      <c r="WPQ148" s="22"/>
      <c r="WPR148" s="22"/>
      <c r="WPS148" s="22"/>
      <c r="WPT148" s="22"/>
      <c r="WPU148" s="22"/>
      <c r="WPV148" s="22"/>
      <c r="WPW148" s="22"/>
      <c r="WPX148" s="22"/>
      <c r="WPY148" s="22"/>
      <c r="WPZ148" s="22"/>
      <c r="WQA148" s="22"/>
      <c r="WQB148" s="22"/>
      <c r="WQC148" s="22"/>
      <c r="WQD148" s="22"/>
      <c r="WQE148" s="22"/>
      <c r="WQF148" s="22"/>
      <c r="WQG148" s="22"/>
      <c r="WQH148" s="22"/>
      <c r="WQI148" s="22"/>
      <c r="WQJ148" s="22"/>
      <c r="WQK148" s="22"/>
      <c r="WQL148" s="22"/>
      <c r="WQM148" s="22"/>
      <c r="WQN148" s="22"/>
      <c r="WQO148" s="22"/>
      <c r="WQP148" s="22"/>
      <c r="WQQ148" s="22"/>
      <c r="WQR148" s="22"/>
      <c r="WQS148" s="22"/>
      <c r="WQT148" s="22"/>
      <c r="WQU148" s="22"/>
      <c r="WQV148" s="22"/>
      <c r="WQW148" s="22"/>
      <c r="WQX148" s="22"/>
      <c r="WQY148" s="22"/>
      <c r="WQZ148" s="22"/>
      <c r="WRA148" s="22"/>
      <c r="WRB148" s="22"/>
      <c r="WRC148" s="22"/>
      <c r="WRD148" s="22"/>
      <c r="WRE148" s="22"/>
      <c r="WRF148" s="22"/>
      <c r="WRG148" s="22"/>
      <c r="WRH148" s="22"/>
      <c r="WRI148" s="22"/>
      <c r="WRJ148" s="22"/>
      <c r="WRK148" s="22"/>
      <c r="WRL148" s="22"/>
      <c r="WRM148" s="22"/>
      <c r="WRN148" s="22"/>
      <c r="WRO148" s="22"/>
      <c r="WRP148" s="22"/>
      <c r="WRQ148" s="22"/>
      <c r="WRR148" s="22"/>
      <c r="WRS148" s="22"/>
      <c r="WRT148" s="22"/>
      <c r="WRU148" s="22"/>
      <c r="WRV148" s="22"/>
      <c r="WRW148" s="22"/>
      <c r="WRX148" s="22"/>
      <c r="WRY148" s="22"/>
      <c r="WRZ148" s="22"/>
      <c r="WSA148" s="22"/>
      <c r="WSB148" s="22"/>
      <c r="WSC148" s="22"/>
      <c r="WSD148" s="22"/>
      <c r="WSE148" s="22"/>
      <c r="WSF148" s="22"/>
      <c r="WSG148" s="22"/>
      <c r="WSH148" s="22"/>
      <c r="WSI148" s="22"/>
      <c r="WSJ148" s="22"/>
      <c r="WSK148" s="22"/>
      <c r="WSL148" s="22"/>
      <c r="WSM148" s="22"/>
      <c r="WSN148" s="22"/>
      <c r="WSO148" s="22"/>
      <c r="WSP148" s="22"/>
      <c r="WSQ148" s="22"/>
      <c r="WSR148" s="22"/>
      <c r="WSS148" s="22"/>
      <c r="WST148" s="22"/>
      <c r="WSU148" s="22"/>
      <c r="WSV148" s="22"/>
      <c r="WSW148" s="22"/>
      <c r="WSX148" s="22"/>
      <c r="WSY148" s="22"/>
      <c r="WSZ148" s="22"/>
      <c r="WTA148" s="22"/>
      <c r="WTB148" s="22"/>
      <c r="WTC148" s="22"/>
      <c r="WTD148" s="22"/>
      <c r="WTE148" s="22"/>
      <c r="WTF148" s="22"/>
      <c r="WTG148" s="22"/>
      <c r="WTH148" s="22"/>
      <c r="WTI148" s="22"/>
      <c r="WTJ148" s="22"/>
      <c r="WTK148" s="22"/>
      <c r="WTL148" s="22"/>
      <c r="WTM148" s="22"/>
      <c r="WTN148" s="22"/>
      <c r="WTO148" s="22"/>
      <c r="WTP148" s="22"/>
      <c r="WTQ148" s="22"/>
      <c r="WTR148" s="22"/>
      <c r="WTS148" s="22"/>
      <c r="WTT148" s="22"/>
      <c r="WTU148" s="22"/>
      <c r="WTV148" s="22"/>
      <c r="WTW148" s="22"/>
      <c r="WTX148" s="22"/>
      <c r="WTY148" s="22"/>
      <c r="WTZ148" s="22"/>
      <c r="WUA148" s="22"/>
      <c r="WUB148" s="22"/>
      <c r="WUC148" s="22"/>
      <c r="WUD148" s="22"/>
      <c r="WUE148" s="22"/>
      <c r="WUF148" s="22"/>
      <c r="WUG148" s="22"/>
      <c r="WUH148" s="22"/>
      <c r="WUI148" s="22"/>
      <c r="WUJ148" s="22"/>
      <c r="WUK148" s="22"/>
      <c r="WUL148" s="22"/>
      <c r="WUM148" s="22"/>
      <c r="WUN148" s="22"/>
      <c r="WUO148" s="22"/>
      <c r="WUP148" s="22"/>
      <c r="WUQ148" s="22"/>
      <c r="WUR148" s="22"/>
      <c r="WUS148" s="22"/>
      <c r="WUT148" s="22"/>
      <c r="WUU148" s="22"/>
      <c r="WUV148" s="22"/>
      <c r="WUW148" s="22"/>
      <c r="WUX148" s="22"/>
      <c r="WUY148" s="22"/>
      <c r="WUZ148" s="22"/>
      <c r="WVA148" s="22"/>
      <c r="WVB148" s="22"/>
      <c r="WVC148" s="22"/>
      <c r="WVD148" s="22"/>
      <c r="WVE148" s="22"/>
      <c r="WVF148" s="22"/>
      <c r="WVG148" s="22"/>
      <c r="WVH148" s="22"/>
      <c r="WVI148" s="22"/>
      <c r="WVJ148" s="22"/>
      <c r="WVK148" s="22"/>
      <c r="WVL148" s="22"/>
      <c r="WVM148" s="22"/>
      <c r="WVN148" s="22"/>
      <c r="WVO148" s="22"/>
      <c r="WVP148" s="22"/>
      <c r="WVQ148" s="22"/>
      <c r="WVR148" s="22"/>
      <c r="WVS148" s="22"/>
      <c r="WVT148" s="22"/>
      <c r="WVU148" s="22"/>
      <c r="WVV148" s="22"/>
      <c r="WVW148" s="22"/>
      <c r="WVX148" s="22"/>
      <c r="WVY148" s="22"/>
      <c r="WVZ148" s="22"/>
      <c r="WWA148" s="22"/>
      <c r="WWB148" s="22"/>
      <c r="WWC148" s="22"/>
      <c r="WWD148" s="22"/>
      <c r="WWE148" s="22"/>
      <c r="WWF148" s="22"/>
      <c r="WWG148" s="22"/>
      <c r="WWH148" s="22"/>
      <c r="WWI148" s="22"/>
      <c r="WWJ148" s="22"/>
      <c r="WWK148" s="22"/>
      <c r="WWL148" s="22"/>
      <c r="WWM148" s="22"/>
      <c r="WWN148" s="22"/>
      <c r="WWO148" s="22"/>
      <c r="WWP148" s="22"/>
      <c r="WWQ148" s="22"/>
      <c r="WWR148" s="22"/>
      <c r="WWS148" s="22"/>
      <c r="WWT148" s="22"/>
      <c r="WWU148" s="22"/>
      <c r="WWV148" s="22"/>
      <c r="WWW148" s="22"/>
      <c r="WWX148" s="22"/>
      <c r="WWY148" s="22"/>
      <c r="WWZ148" s="22"/>
      <c r="WXA148" s="22"/>
      <c r="WXB148" s="22"/>
      <c r="WXC148" s="22"/>
      <c r="WXD148" s="22"/>
      <c r="WXE148" s="22"/>
      <c r="WXF148" s="22"/>
      <c r="WXG148" s="22"/>
      <c r="WXH148" s="22"/>
      <c r="WXI148" s="22"/>
      <c r="WXJ148" s="22"/>
      <c r="WXK148" s="22"/>
      <c r="WXL148" s="22"/>
      <c r="WXM148" s="22"/>
      <c r="WXN148" s="22"/>
      <c r="WXO148" s="22"/>
      <c r="WXP148" s="22"/>
      <c r="WXQ148" s="22"/>
      <c r="WXR148" s="22"/>
      <c r="WXS148" s="22"/>
      <c r="WXT148" s="22"/>
      <c r="WXU148" s="22"/>
      <c r="WXV148" s="22"/>
      <c r="WXW148" s="22"/>
      <c r="WXX148" s="22"/>
      <c r="WXY148" s="22"/>
      <c r="WXZ148" s="22"/>
      <c r="WYA148" s="22"/>
      <c r="WYB148" s="22"/>
      <c r="WYC148" s="22"/>
      <c r="WYD148" s="22"/>
      <c r="WYE148" s="22"/>
      <c r="WYF148" s="22"/>
      <c r="WYG148" s="22"/>
      <c r="WYH148" s="22"/>
      <c r="WYI148" s="22"/>
      <c r="WYJ148" s="22"/>
      <c r="WYK148" s="22"/>
      <c r="WYL148" s="22"/>
      <c r="WYM148" s="22"/>
      <c r="WYN148" s="22"/>
      <c r="WYO148" s="22"/>
      <c r="WYP148" s="22"/>
      <c r="WYQ148" s="22"/>
      <c r="WYR148" s="22"/>
      <c r="WYS148" s="22"/>
      <c r="WYT148" s="22"/>
      <c r="WYU148" s="22"/>
      <c r="WYV148" s="22"/>
      <c r="WYW148" s="22"/>
      <c r="WYX148" s="22"/>
      <c r="WYY148" s="22"/>
      <c r="WYZ148" s="22"/>
      <c r="WZA148" s="22"/>
      <c r="WZB148" s="22"/>
      <c r="WZC148" s="22"/>
      <c r="WZD148" s="22"/>
      <c r="WZE148" s="22"/>
      <c r="WZF148" s="22"/>
      <c r="WZG148" s="22"/>
      <c r="WZH148" s="22"/>
      <c r="WZI148" s="22"/>
      <c r="WZJ148" s="22"/>
      <c r="WZK148" s="22"/>
      <c r="WZL148" s="22"/>
      <c r="WZM148" s="22"/>
      <c r="WZN148" s="22"/>
      <c r="WZO148" s="22"/>
      <c r="WZP148" s="22"/>
      <c r="WZQ148" s="22"/>
      <c r="WZR148" s="22"/>
      <c r="WZS148" s="22"/>
      <c r="WZT148" s="22"/>
      <c r="WZU148" s="22"/>
      <c r="WZV148" s="22"/>
      <c r="WZW148" s="22"/>
      <c r="WZX148" s="22"/>
      <c r="WZY148" s="22"/>
      <c r="WZZ148" s="22"/>
      <c r="XAA148" s="22"/>
      <c r="XAB148" s="22"/>
      <c r="XAC148" s="22"/>
      <c r="XAD148" s="22"/>
      <c r="XAE148" s="22"/>
      <c r="XAF148" s="22"/>
      <c r="XAG148" s="22"/>
      <c r="XAH148" s="22"/>
      <c r="XAI148" s="22"/>
      <c r="XAJ148" s="22"/>
      <c r="XAK148" s="22"/>
      <c r="XAL148" s="22"/>
      <c r="XAM148" s="22"/>
      <c r="XAN148" s="22"/>
      <c r="XAO148" s="22"/>
      <c r="XAP148" s="22"/>
      <c r="XAQ148" s="22"/>
      <c r="XAR148" s="22"/>
      <c r="XAS148" s="22"/>
      <c r="XAT148" s="22"/>
      <c r="XAU148" s="22"/>
      <c r="XAV148" s="22"/>
      <c r="XAW148" s="22"/>
      <c r="XAX148" s="22"/>
      <c r="XAY148" s="22"/>
      <c r="XAZ148" s="22"/>
      <c r="XBA148" s="22"/>
      <c r="XBB148" s="22"/>
      <c r="XBC148" s="22"/>
      <c r="XBD148" s="22"/>
      <c r="XBE148" s="22"/>
      <c r="XBF148" s="22"/>
      <c r="XBG148" s="22"/>
      <c r="XBH148" s="22"/>
      <c r="XBI148" s="22"/>
      <c r="XBJ148" s="22"/>
      <c r="XBK148" s="22"/>
      <c r="XBL148" s="22"/>
      <c r="XBM148" s="22"/>
      <c r="XBN148" s="22"/>
      <c r="XBO148" s="22"/>
      <c r="XBP148" s="22"/>
      <c r="XBQ148" s="22"/>
      <c r="XBR148" s="22"/>
      <c r="XBS148" s="22"/>
      <c r="XBT148" s="22"/>
      <c r="XBU148" s="22"/>
      <c r="XBV148" s="22"/>
      <c r="XBW148" s="22"/>
      <c r="XBX148" s="22"/>
      <c r="XBY148" s="22"/>
      <c r="XBZ148" s="22"/>
      <c r="XCA148" s="22"/>
      <c r="XCB148" s="22"/>
      <c r="XCC148" s="22"/>
      <c r="XCD148" s="22"/>
      <c r="XCE148" s="22"/>
      <c r="XCF148" s="22"/>
      <c r="XCG148" s="22"/>
      <c r="XCH148" s="22"/>
      <c r="XCI148" s="22"/>
      <c r="XCJ148" s="22"/>
      <c r="XCK148" s="22"/>
      <c r="XCL148" s="22"/>
      <c r="XCM148" s="22"/>
      <c r="XCN148" s="22"/>
      <c r="XCO148" s="22"/>
      <c r="XCP148" s="22"/>
      <c r="XCQ148" s="22"/>
      <c r="XCR148" s="22"/>
      <c r="XCS148" s="22"/>
      <c r="XCT148" s="22"/>
      <c r="XCU148" s="22"/>
      <c r="XCV148" s="22"/>
      <c r="XCW148" s="22"/>
      <c r="XCX148" s="22"/>
      <c r="XCY148" s="22"/>
      <c r="XCZ148" s="22"/>
      <c r="XDA148" s="22"/>
      <c r="XDB148" s="22"/>
      <c r="XDC148" s="22"/>
      <c r="XDD148" s="22"/>
      <c r="XDE148" s="22"/>
      <c r="XDF148" s="22"/>
      <c r="XDG148" s="22"/>
      <c r="XDH148" s="22"/>
      <c r="XDI148" s="22"/>
      <c r="XDJ148" s="22"/>
      <c r="XDK148" s="22"/>
      <c r="XDL148" s="22"/>
      <c r="XDM148" s="22"/>
      <c r="XDN148" s="22"/>
      <c r="XDO148" s="22"/>
      <c r="XDP148" s="22"/>
      <c r="XDQ148" s="22"/>
      <c r="XDR148" s="22"/>
      <c r="XDS148" s="22"/>
      <c r="XDT148" s="22"/>
      <c r="XDU148" s="22"/>
      <c r="XDV148" s="22"/>
      <c r="XDW148" s="22"/>
      <c r="XDX148" s="22"/>
      <c r="XDY148" s="22"/>
      <c r="XDZ148" s="22"/>
      <c r="XEA148" s="22"/>
      <c r="XEB148" s="22"/>
      <c r="XEC148" s="22"/>
      <c r="XED148" s="22"/>
      <c r="XEE148" s="22"/>
      <c r="XEF148" s="22"/>
      <c r="XEG148" s="22"/>
      <c r="XEH148" s="22"/>
      <c r="XEI148" s="22"/>
      <c r="XEJ148" s="22"/>
      <c r="XEK148" s="22"/>
      <c r="XEL148" s="22"/>
      <c r="XEM148" s="22"/>
      <c r="XEN148" s="22"/>
      <c r="XEO148" s="22"/>
      <c r="XEP148" s="22"/>
      <c r="XEQ148" s="22"/>
      <c r="XER148" s="22"/>
      <c r="XES148" s="22"/>
      <c r="XET148" s="22"/>
      <c r="XEU148" s="22"/>
      <c r="XEV148" s="22"/>
      <c r="XEW148" s="22"/>
      <c r="XEX148" s="22"/>
      <c r="XEY148" s="22"/>
      <c r="XEZ148" s="22"/>
      <c r="XFA148" s="22"/>
      <c r="XFB148" s="22"/>
      <c r="XFC148" s="22"/>
      <c r="XFD148" s="22"/>
    </row>
    <row r="149" spans="1:16384" s="54" customFormat="1" hidden="1" outlineLevel="1" x14ac:dyDescent="0.25">
      <c r="A149" s="14"/>
      <c r="B149" s="15"/>
      <c r="C149" s="16" t="str">
        <f t="shared" si="186"/>
        <v xml:space="preserve"> </v>
      </c>
      <c r="D149" s="16" t="str">
        <f t="shared" si="187"/>
        <v xml:space="preserve"> </v>
      </c>
      <c r="E149" s="18"/>
      <c r="F149" s="18"/>
      <c r="G149" s="47">
        <f t="shared" si="188"/>
        <v>0</v>
      </c>
      <c r="H149" s="20">
        <f t="shared" si="189"/>
        <v>0</v>
      </c>
      <c r="I149" s="18"/>
      <c r="J149" s="21">
        <f t="shared" si="190"/>
        <v>0</v>
      </c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2"/>
      <c r="AP149" s="22"/>
      <c r="AQ149" s="22"/>
      <c r="AR149" s="22"/>
      <c r="AS149" s="22"/>
      <c r="AT149" s="22"/>
      <c r="AU149" s="22"/>
      <c r="AV149" s="22"/>
      <c r="AW149" s="22"/>
      <c r="AX149" s="22"/>
      <c r="AY149" s="22"/>
      <c r="AZ149" s="22"/>
      <c r="BA149" s="22"/>
      <c r="BB149" s="22"/>
      <c r="BC149" s="22"/>
      <c r="BD149" s="22"/>
      <c r="BE149" s="22"/>
      <c r="BF149" s="22"/>
      <c r="BG149" s="22"/>
      <c r="BH149" s="22"/>
      <c r="BI149" s="22"/>
      <c r="BJ149" s="22"/>
      <c r="BK149" s="22"/>
      <c r="BL149" s="22"/>
      <c r="BM149" s="22"/>
      <c r="BN149" s="22"/>
      <c r="BO149" s="22"/>
      <c r="BP149" s="22"/>
      <c r="BQ149" s="22"/>
      <c r="BR149" s="22"/>
      <c r="BS149" s="22"/>
      <c r="BT149" s="22"/>
      <c r="BU149" s="22"/>
      <c r="BV149" s="22"/>
      <c r="BW149" s="22"/>
      <c r="BX149" s="22"/>
      <c r="BY149" s="22"/>
      <c r="BZ149" s="22"/>
      <c r="CA149" s="22"/>
      <c r="CB149" s="22"/>
      <c r="CC149" s="22"/>
      <c r="CD149" s="22"/>
      <c r="CE149" s="22"/>
      <c r="CF149" s="22"/>
      <c r="CG149" s="22"/>
      <c r="CH149" s="22"/>
      <c r="CI149" s="22"/>
      <c r="CJ149" s="22"/>
      <c r="CK149" s="22"/>
      <c r="CL149" s="22"/>
      <c r="CM149" s="22"/>
      <c r="CN149" s="22"/>
      <c r="CO149" s="22"/>
      <c r="CP149" s="22"/>
      <c r="CQ149" s="22"/>
      <c r="CR149" s="22"/>
      <c r="CS149" s="22"/>
      <c r="CT149" s="22"/>
      <c r="CU149" s="22"/>
      <c r="CV149" s="22"/>
      <c r="CW149" s="22"/>
      <c r="CX149" s="22"/>
      <c r="CY149" s="22"/>
      <c r="CZ149" s="22"/>
      <c r="DA149" s="22"/>
      <c r="DB149" s="22"/>
      <c r="DC149" s="22"/>
      <c r="DD149" s="22"/>
      <c r="DE149" s="22"/>
      <c r="DF149" s="22"/>
      <c r="DG149" s="22"/>
      <c r="DH149" s="22"/>
      <c r="DI149" s="22"/>
      <c r="DJ149" s="22"/>
      <c r="DK149" s="22"/>
      <c r="DL149" s="22"/>
      <c r="DM149" s="22"/>
      <c r="DN149" s="22"/>
      <c r="DO149" s="22"/>
      <c r="DP149" s="22"/>
      <c r="DQ149" s="22"/>
      <c r="DR149" s="22"/>
      <c r="DS149" s="22"/>
      <c r="DT149" s="22"/>
      <c r="DU149" s="22"/>
      <c r="DV149" s="22"/>
      <c r="DW149" s="22"/>
      <c r="DX149" s="22"/>
      <c r="DY149" s="22"/>
      <c r="DZ149" s="22"/>
      <c r="EA149" s="22"/>
      <c r="EB149" s="22"/>
      <c r="EC149" s="22"/>
      <c r="ED149" s="22"/>
      <c r="EE149" s="22"/>
      <c r="EF149" s="22"/>
      <c r="EG149" s="22"/>
      <c r="EH149" s="22"/>
      <c r="EI149" s="22"/>
      <c r="EJ149" s="22"/>
      <c r="EK149" s="22"/>
      <c r="EL149" s="22"/>
      <c r="EM149" s="22"/>
      <c r="EN149" s="22"/>
      <c r="EO149" s="22"/>
      <c r="EP149" s="22"/>
      <c r="EQ149" s="22"/>
      <c r="ER149" s="22"/>
      <c r="ES149" s="22"/>
      <c r="ET149" s="22"/>
      <c r="EU149" s="22"/>
      <c r="EV149" s="22"/>
      <c r="EW149" s="22"/>
      <c r="EX149" s="22"/>
      <c r="EY149" s="22"/>
      <c r="EZ149" s="22"/>
      <c r="FA149" s="22"/>
      <c r="FB149" s="22"/>
      <c r="FC149" s="22"/>
      <c r="FD149" s="22"/>
      <c r="FE149" s="22"/>
      <c r="FF149" s="22"/>
      <c r="FG149" s="22"/>
      <c r="FH149" s="22"/>
      <c r="FI149" s="22"/>
      <c r="FJ149" s="22"/>
      <c r="FK149" s="22"/>
      <c r="FL149" s="22"/>
      <c r="FM149" s="22"/>
      <c r="FN149" s="22"/>
      <c r="FO149" s="22"/>
      <c r="FP149" s="22"/>
      <c r="FQ149" s="22"/>
      <c r="FR149" s="22"/>
      <c r="FS149" s="22"/>
      <c r="FT149" s="22"/>
      <c r="FU149" s="22"/>
      <c r="FV149" s="22"/>
      <c r="FW149" s="22"/>
      <c r="FX149" s="22"/>
      <c r="FY149" s="22"/>
      <c r="FZ149" s="22"/>
      <c r="GA149" s="22"/>
      <c r="GB149" s="22"/>
      <c r="GC149" s="22"/>
      <c r="GD149" s="22"/>
      <c r="GE149" s="22"/>
      <c r="GF149" s="22"/>
      <c r="GG149" s="22"/>
      <c r="GH149" s="22"/>
      <c r="GI149" s="22"/>
      <c r="GJ149" s="22"/>
      <c r="GK149" s="22"/>
      <c r="GL149" s="22"/>
      <c r="GM149" s="22"/>
      <c r="GN149" s="22"/>
      <c r="GO149" s="22"/>
      <c r="GP149" s="22"/>
      <c r="GQ149" s="22"/>
      <c r="GR149" s="22"/>
      <c r="GS149" s="22"/>
      <c r="GT149" s="22"/>
      <c r="GU149" s="22"/>
      <c r="GV149" s="22"/>
      <c r="GW149" s="22"/>
      <c r="GX149" s="22"/>
      <c r="GY149" s="22"/>
      <c r="GZ149" s="22"/>
      <c r="HA149" s="22"/>
      <c r="HB149" s="22"/>
      <c r="HC149" s="22"/>
      <c r="HD149" s="22"/>
      <c r="HE149" s="22"/>
      <c r="HF149" s="22"/>
      <c r="HG149" s="22"/>
      <c r="HH149" s="22"/>
      <c r="HI149" s="22"/>
      <c r="HJ149" s="22"/>
      <c r="HK149" s="22"/>
      <c r="HL149" s="22"/>
      <c r="HM149" s="22"/>
      <c r="HN149" s="22"/>
      <c r="HO149" s="22"/>
      <c r="HP149" s="22"/>
      <c r="HQ149" s="22"/>
      <c r="HR149" s="22"/>
      <c r="HS149" s="22"/>
      <c r="HT149" s="22"/>
      <c r="HU149" s="22"/>
      <c r="HV149" s="22"/>
      <c r="HW149" s="22"/>
      <c r="HX149" s="22"/>
      <c r="HY149" s="22"/>
      <c r="HZ149" s="22"/>
      <c r="IA149" s="22"/>
      <c r="IB149" s="22"/>
      <c r="IC149" s="22"/>
      <c r="ID149" s="22"/>
      <c r="IE149" s="22"/>
      <c r="IF149" s="22"/>
      <c r="IG149" s="22"/>
      <c r="IH149" s="22"/>
      <c r="II149" s="22"/>
      <c r="IJ149" s="22"/>
      <c r="IK149" s="22"/>
      <c r="IL149" s="22"/>
      <c r="IM149" s="22"/>
      <c r="IN149" s="22"/>
      <c r="IO149" s="22"/>
      <c r="IP149" s="22"/>
      <c r="IQ149" s="22"/>
      <c r="IR149" s="22"/>
      <c r="IS149" s="22"/>
      <c r="IT149" s="22"/>
      <c r="IU149" s="22"/>
      <c r="IV149" s="22"/>
      <c r="IW149" s="22"/>
      <c r="IX149" s="22"/>
      <c r="IY149" s="22"/>
      <c r="IZ149" s="22"/>
      <c r="JA149" s="22"/>
      <c r="JB149" s="22"/>
      <c r="JC149" s="22"/>
      <c r="JD149" s="22"/>
      <c r="JE149" s="22"/>
      <c r="JF149" s="22"/>
      <c r="JG149" s="22"/>
      <c r="JH149" s="22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2"/>
      <c r="LK149" s="22"/>
      <c r="LL149" s="22"/>
      <c r="LM149" s="22"/>
      <c r="LN149" s="22"/>
      <c r="LO149" s="22"/>
      <c r="LP149" s="22"/>
      <c r="LQ149" s="22"/>
      <c r="LR149" s="22"/>
      <c r="LS149" s="22"/>
      <c r="LT149" s="22"/>
      <c r="LU149" s="22"/>
      <c r="LV149" s="22"/>
      <c r="LW149" s="22"/>
      <c r="LX149" s="22"/>
      <c r="LY149" s="22"/>
      <c r="LZ149" s="22"/>
      <c r="MA149" s="22"/>
      <c r="MB149" s="22"/>
      <c r="MC149" s="22"/>
      <c r="MD149" s="22"/>
      <c r="ME149" s="22"/>
      <c r="MF149" s="22"/>
      <c r="MG149" s="22"/>
      <c r="MH149" s="22"/>
      <c r="MI149" s="22"/>
      <c r="MJ149" s="22"/>
      <c r="MK149" s="22"/>
      <c r="ML149" s="22"/>
      <c r="MM149" s="22"/>
      <c r="MN149" s="22"/>
      <c r="MO149" s="22"/>
      <c r="MP149" s="22"/>
      <c r="MQ149" s="22"/>
      <c r="MR149" s="22"/>
      <c r="MS149" s="22"/>
      <c r="MT149" s="22"/>
      <c r="MU149" s="22"/>
      <c r="MV149" s="22"/>
      <c r="MW149" s="22"/>
      <c r="MX149" s="22"/>
      <c r="MY149" s="22"/>
      <c r="MZ149" s="22"/>
      <c r="NA149" s="22"/>
      <c r="NB149" s="22"/>
      <c r="NC149" s="22"/>
      <c r="ND149" s="22"/>
      <c r="NE149" s="22"/>
      <c r="NF149" s="22"/>
      <c r="NG149" s="22"/>
      <c r="NH149" s="22"/>
      <c r="NI149" s="22"/>
      <c r="NJ149" s="22"/>
      <c r="NK149" s="22"/>
      <c r="NL149" s="22"/>
      <c r="NM149" s="22"/>
      <c r="NN149" s="22"/>
      <c r="NO149" s="22"/>
      <c r="NP149" s="22"/>
      <c r="NQ149" s="22"/>
      <c r="NR149" s="22"/>
      <c r="NS149" s="22"/>
      <c r="NT149" s="22"/>
      <c r="NU149" s="22"/>
      <c r="NV149" s="22"/>
      <c r="NW149" s="22"/>
      <c r="NX149" s="22"/>
      <c r="NY149" s="22"/>
      <c r="NZ149" s="22"/>
      <c r="OA149" s="22"/>
      <c r="OB149" s="22"/>
      <c r="OC149" s="22"/>
      <c r="OD149" s="22"/>
      <c r="OE149" s="22"/>
      <c r="OF149" s="22"/>
      <c r="OG149" s="22"/>
      <c r="OH149" s="22"/>
      <c r="OI149" s="22"/>
      <c r="OJ149" s="22"/>
      <c r="OK149" s="22"/>
      <c r="OL149" s="22"/>
      <c r="OM149" s="22"/>
      <c r="ON149" s="22"/>
      <c r="OO149" s="22"/>
      <c r="OP149" s="22"/>
      <c r="OQ149" s="22"/>
      <c r="OR149" s="22"/>
      <c r="OS149" s="22"/>
      <c r="OT149" s="22"/>
      <c r="OU149" s="22"/>
      <c r="OV149" s="22"/>
      <c r="OW149" s="22"/>
      <c r="OX149" s="22"/>
      <c r="OY149" s="22"/>
      <c r="OZ149" s="22"/>
      <c r="PA149" s="22"/>
      <c r="PB149" s="22"/>
      <c r="PC149" s="22"/>
      <c r="PD149" s="22"/>
      <c r="PE149" s="22"/>
      <c r="PF149" s="22"/>
      <c r="PG149" s="22"/>
      <c r="PH149" s="22"/>
      <c r="PI149" s="22"/>
      <c r="PJ149" s="22"/>
      <c r="PK149" s="22"/>
      <c r="PL149" s="22"/>
      <c r="PM149" s="22"/>
      <c r="PN149" s="22"/>
      <c r="PO149" s="22"/>
      <c r="PP149" s="22"/>
      <c r="PQ149" s="22"/>
      <c r="PR149" s="22"/>
      <c r="PS149" s="22"/>
      <c r="PT149" s="22"/>
      <c r="PU149" s="22"/>
      <c r="PV149" s="22"/>
      <c r="PW149" s="22"/>
      <c r="PX149" s="22"/>
      <c r="PY149" s="22"/>
      <c r="PZ149" s="22"/>
      <c r="QA149" s="22"/>
      <c r="QB149" s="22"/>
      <c r="QC149" s="22"/>
      <c r="QD149" s="22"/>
      <c r="QE149" s="22"/>
      <c r="QF149" s="22"/>
      <c r="QG149" s="22"/>
      <c r="QH149" s="22"/>
      <c r="QI149" s="22"/>
      <c r="QJ149" s="22"/>
      <c r="QK149" s="22"/>
      <c r="QL149" s="22"/>
      <c r="QM149" s="22"/>
      <c r="QN149" s="22"/>
      <c r="QO149" s="22"/>
      <c r="QP149" s="22"/>
      <c r="QQ149" s="22"/>
      <c r="QR149" s="22"/>
      <c r="QS149" s="22"/>
      <c r="QT149" s="22"/>
      <c r="QU149" s="22"/>
      <c r="QV149" s="22"/>
      <c r="QW149" s="22"/>
      <c r="QX149" s="22"/>
      <c r="QY149" s="22"/>
      <c r="QZ149" s="22"/>
      <c r="RA149" s="22"/>
      <c r="RB149" s="22"/>
      <c r="RC149" s="22"/>
      <c r="RD149" s="22"/>
      <c r="RE149" s="22"/>
      <c r="RF149" s="22"/>
      <c r="RG149" s="22"/>
      <c r="RH149" s="22"/>
      <c r="RI149" s="22"/>
      <c r="RJ149" s="22"/>
      <c r="RK149" s="22"/>
      <c r="RL149" s="22"/>
      <c r="RM149" s="22"/>
      <c r="RN149" s="22"/>
      <c r="RO149" s="22"/>
      <c r="RP149" s="22"/>
      <c r="RQ149" s="22"/>
      <c r="RR149" s="22"/>
      <c r="RS149" s="22"/>
      <c r="RT149" s="22"/>
      <c r="RU149" s="22"/>
      <c r="RV149" s="22"/>
      <c r="RW149" s="22"/>
      <c r="RX149" s="22"/>
      <c r="RY149" s="22"/>
      <c r="RZ149" s="22"/>
      <c r="SA149" s="22"/>
      <c r="SB149" s="22"/>
      <c r="SC149" s="22"/>
      <c r="SD149" s="22"/>
      <c r="SE149" s="22"/>
      <c r="SF149" s="22"/>
      <c r="SG149" s="22"/>
      <c r="SH149" s="22"/>
      <c r="SI149" s="22"/>
      <c r="SJ149" s="22"/>
      <c r="SK149" s="22"/>
      <c r="SL149" s="22"/>
      <c r="SM149" s="22"/>
      <c r="SN149" s="22"/>
      <c r="SO149" s="22"/>
      <c r="SP149" s="22"/>
      <c r="SQ149" s="22"/>
      <c r="SR149" s="22"/>
      <c r="SS149" s="22"/>
      <c r="ST149" s="22"/>
      <c r="SU149" s="22"/>
      <c r="SV149" s="22"/>
      <c r="SW149" s="22"/>
      <c r="SX149" s="22"/>
      <c r="SY149" s="22"/>
      <c r="SZ149" s="22"/>
      <c r="TA149" s="22"/>
      <c r="TB149" s="22"/>
      <c r="TC149" s="22"/>
      <c r="TD149" s="22"/>
      <c r="TE149" s="22"/>
      <c r="TF149" s="22"/>
      <c r="TG149" s="22"/>
      <c r="TH149" s="22"/>
      <c r="TI149" s="22"/>
      <c r="TJ149" s="22"/>
      <c r="TK149" s="22"/>
      <c r="TL149" s="22"/>
      <c r="TM149" s="22"/>
      <c r="TN149" s="22"/>
      <c r="TO149" s="22"/>
      <c r="TP149" s="22"/>
      <c r="TQ149" s="22"/>
      <c r="TR149" s="22"/>
      <c r="TS149" s="22"/>
      <c r="TT149" s="22"/>
      <c r="TU149" s="22"/>
      <c r="TV149" s="22"/>
      <c r="TW149" s="22"/>
      <c r="TX149" s="22"/>
      <c r="TY149" s="22"/>
      <c r="TZ149" s="22"/>
      <c r="UA149" s="22"/>
      <c r="UB149" s="22"/>
      <c r="UC149" s="22"/>
      <c r="UD149" s="22"/>
      <c r="UE149" s="22"/>
      <c r="UF149" s="22"/>
      <c r="UG149" s="22"/>
      <c r="UH149" s="22"/>
      <c r="UI149" s="22"/>
      <c r="UJ149" s="22"/>
      <c r="UK149" s="22"/>
      <c r="UL149" s="22"/>
      <c r="UM149" s="22"/>
      <c r="UN149" s="22"/>
      <c r="UO149" s="22"/>
      <c r="UP149" s="22"/>
      <c r="UQ149" s="22"/>
      <c r="UR149" s="22"/>
      <c r="US149" s="22"/>
      <c r="UT149" s="22"/>
      <c r="UU149" s="22"/>
      <c r="UV149" s="22"/>
      <c r="UW149" s="22"/>
      <c r="UX149" s="22"/>
      <c r="UY149" s="22"/>
      <c r="UZ149" s="22"/>
      <c r="VA149" s="22"/>
      <c r="VB149" s="22"/>
      <c r="VC149" s="22"/>
      <c r="VD149" s="22"/>
      <c r="VE149" s="22"/>
      <c r="VF149" s="22"/>
      <c r="VG149" s="22"/>
      <c r="VH149" s="22"/>
      <c r="VI149" s="22"/>
      <c r="VJ149" s="22"/>
      <c r="VK149" s="22"/>
      <c r="VL149" s="22"/>
      <c r="VM149" s="22"/>
      <c r="VN149" s="22"/>
      <c r="VO149" s="22"/>
      <c r="VP149" s="22"/>
      <c r="VQ149" s="22"/>
      <c r="VR149" s="22"/>
      <c r="VS149" s="22"/>
      <c r="VT149" s="22"/>
      <c r="VU149" s="22"/>
      <c r="VV149" s="22"/>
      <c r="VW149" s="22"/>
      <c r="VX149" s="22"/>
      <c r="VY149" s="22"/>
      <c r="VZ149" s="22"/>
      <c r="WA149" s="22"/>
      <c r="WB149" s="22"/>
      <c r="WC149" s="22"/>
      <c r="WD149" s="22"/>
      <c r="WE149" s="22"/>
      <c r="WF149" s="22"/>
      <c r="WG149" s="22"/>
      <c r="WH149" s="22"/>
      <c r="WI149" s="22"/>
      <c r="WJ149" s="22"/>
      <c r="WK149" s="22"/>
      <c r="WL149" s="22"/>
      <c r="WM149" s="22"/>
      <c r="WN149" s="22"/>
      <c r="WO149" s="22"/>
      <c r="WP149" s="22"/>
      <c r="WQ149" s="22"/>
      <c r="WR149" s="22"/>
      <c r="WS149" s="22"/>
      <c r="WT149" s="22"/>
      <c r="WU149" s="22"/>
      <c r="WV149" s="22"/>
      <c r="WW149" s="22"/>
      <c r="WX149" s="22"/>
      <c r="WY149" s="22"/>
      <c r="WZ149" s="22"/>
      <c r="XA149" s="22"/>
      <c r="XB149" s="22"/>
      <c r="XC149" s="22"/>
      <c r="XD149" s="22"/>
      <c r="XE149" s="22"/>
      <c r="XF149" s="22"/>
      <c r="XG149" s="22"/>
      <c r="XH149" s="22"/>
      <c r="XI149" s="22"/>
      <c r="XJ149" s="22"/>
      <c r="XK149" s="22"/>
      <c r="XL149" s="22"/>
      <c r="XM149" s="22"/>
      <c r="XN149" s="22"/>
      <c r="XO149" s="22"/>
      <c r="XP149" s="22"/>
      <c r="XQ149" s="22"/>
      <c r="XR149" s="22"/>
      <c r="XS149" s="22"/>
      <c r="XT149" s="22"/>
      <c r="XU149" s="22"/>
      <c r="XV149" s="22"/>
      <c r="XW149" s="22"/>
      <c r="XX149" s="22"/>
      <c r="XY149" s="22"/>
      <c r="XZ149" s="22"/>
      <c r="YA149" s="22"/>
      <c r="YB149" s="22"/>
      <c r="YC149" s="22"/>
      <c r="YD149" s="22"/>
      <c r="YE149" s="22"/>
      <c r="YF149" s="22"/>
      <c r="YG149" s="22"/>
      <c r="YH149" s="22"/>
      <c r="YI149" s="22"/>
      <c r="YJ149" s="22"/>
      <c r="YK149" s="22"/>
      <c r="YL149" s="22"/>
      <c r="YM149" s="22"/>
      <c r="YN149" s="22"/>
      <c r="YO149" s="22"/>
      <c r="YP149" s="22"/>
      <c r="YQ149" s="22"/>
      <c r="YR149" s="22"/>
      <c r="YS149" s="22"/>
      <c r="YT149" s="22"/>
      <c r="YU149" s="22"/>
      <c r="YV149" s="22"/>
      <c r="YW149" s="22"/>
      <c r="YX149" s="22"/>
      <c r="YY149" s="22"/>
      <c r="YZ149" s="22"/>
      <c r="ZA149" s="22"/>
      <c r="ZB149" s="22"/>
      <c r="ZC149" s="22"/>
      <c r="ZD149" s="22"/>
      <c r="ZE149" s="22"/>
      <c r="ZF149" s="22"/>
      <c r="ZG149" s="22"/>
      <c r="ZH149" s="22"/>
      <c r="ZI149" s="22"/>
      <c r="ZJ149" s="22"/>
      <c r="ZK149" s="22"/>
      <c r="ZL149" s="22"/>
      <c r="ZM149" s="22"/>
      <c r="ZN149" s="22"/>
      <c r="ZO149" s="22"/>
      <c r="ZP149" s="22"/>
      <c r="ZQ149" s="22"/>
      <c r="ZR149" s="22"/>
      <c r="ZS149" s="22"/>
      <c r="ZT149" s="22"/>
      <c r="ZU149" s="22"/>
      <c r="ZV149" s="22"/>
      <c r="ZW149" s="22"/>
      <c r="ZX149" s="22"/>
      <c r="ZY149" s="22"/>
      <c r="ZZ149" s="22"/>
      <c r="AAA149" s="22"/>
      <c r="AAB149" s="22"/>
      <c r="AAC149" s="22"/>
      <c r="AAD149" s="22"/>
      <c r="AAE149" s="22"/>
      <c r="AAF149" s="22"/>
      <c r="AAG149" s="22"/>
      <c r="AAH149" s="22"/>
      <c r="AAI149" s="22"/>
      <c r="AAJ149" s="22"/>
      <c r="AAK149" s="22"/>
      <c r="AAL149" s="22"/>
      <c r="AAM149" s="22"/>
      <c r="AAN149" s="22"/>
      <c r="AAO149" s="22"/>
      <c r="AAP149" s="22"/>
      <c r="AAQ149" s="22"/>
      <c r="AAR149" s="22"/>
      <c r="AAS149" s="22"/>
      <c r="AAT149" s="22"/>
      <c r="AAU149" s="22"/>
      <c r="AAV149" s="22"/>
      <c r="AAW149" s="22"/>
      <c r="AAX149" s="22"/>
      <c r="AAY149" s="22"/>
      <c r="AAZ149" s="22"/>
      <c r="ABA149" s="22"/>
      <c r="ABB149" s="22"/>
      <c r="ABC149" s="22"/>
      <c r="ABD149" s="22"/>
      <c r="ABE149" s="22"/>
      <c r="ABF149" s="22"/>
      <c r="ABG149" s="22"/>
      <c r="ABH149" s="22"/>
      <c r="ABI149" s="22"/>
      <c r="ABJ149" s="22"/>
      <c r="ABK149" s="22"/>
      <c r="ABL149" s="22"/>
      <c r="ABM149" s="22"/>
      <c r="ABN149" s="22"/>
      <c r="ABO149" s="22"/>
      <c r="ABP149" s="22"/>
      <c r="ABQ149" s="22"/>
      <c r="ABR149" s="22"/>
      <c r="ABS149" s="22"/>
      <c r="ABT149" s="22"/>
      <c r="ABU149" s="22"/>
      <c r="ABV149" s="22"/>
      <c r="ABW149" s="22"/>
      <c r="ABX149" s="22"/>
      <c r="ABY149" s="22"/>
      <c r="ABZ149" s="22"/>
      <c r="ACA149" s="22"/>
      <c r="ACB149" s="22"/>
      <c r="ACC149" s="22"/>
      <c r="ACD149" s="22"/>
      <c r="ACE149" s="22"/>
      <c r="ACF149" s="22"/>
      <c r="ACG149" s="22"/>
      <c r="ACH149" s="22"/>
      <c r="ACI149" s="22"/>
      <c r="ACJ149" s="22"/>
      <c r="ACK149" s="22"/>
      <c r="ACL149" s="22"/>
      <c r="ACM149" s="22"/>
      <c r="ACN149" s="22"/>
      <c r="ACO149" s="22"/>
      <c r="ACP149" s="22"/>
      <c r="ACQ149" s="22"/>
      <c r="ACR149" s="22"/>
      <c r="ACS149" s="22"/>
      <c r="ACT149" s="22"/>
      <c r="ACU149" s="22"/>
      <c r="ACV149" s="22"/>
      <c r="ACW149" s="22"/>
      <c r="ACX149" s="22"/>
      <c r="ACY149" s="22"/>
      <c r="ACZ149" s="22"/>
      <c r="ADA149" s="22"/>
      <c r="ADB149" s="22"/>
      <c r="ADC149" s="22"/>
      <c r="ADD149" s="22"/>
      <c r="ADE149" s="22"/>
      <c r="ADF149" s="22"/>
      <c r="ADG149" s="22"/>
      <c r="ADH149" s="22"/>
      <c r="ADI149" s="22"/>
      <c r="ADJ149" s="22"/>
      <c r="ADK149" s="22"/>
      <c r="ADL149" s="22"/>
      <c r="ADM149" s="22"/>
      <c r="ADN149" s="22"/>
      <c r="ADO149" s="22"/>
      <c r="ADP149" s="22"/>
      <c r="ADQ149" s="22"/>
      <c r="ADR149" s="22"/>
      <c r="ADS149" s="22"/>
      <c r="ADT149" s="22"/>
      <c r="ADU149" s="22"/>
      <c r="ADV149" s="22"/>
      <c r="ADW149" s="22"/>
      <c r="ADX149" s="22"/>
      <c r="ADY149" s="22"/>
      <c r="ADZ149" s="22"/>
      <c r="AEA149" s="22"/>
      <c r="AEB149" s="22"/>
      <c r="AEC149" s="22"/>
      <c r="AED149" s="22"/>
      <c r="AEE149" s="22"/>
      <c r="AEF149" s="22"/>
      <c r="AEG149" s="22"/>
      <c r="AEH149" s="22"/>
      <c r="AEI149" s="22"/>
      <c r="AEJ149" s="22"/>
      <c r="AEK149" s="22"/>
      <c r="AEL149" s="22"/>
      <c r="AEM149" s="22"/>
      <c r="AEN149" s="22"/>
      <c r="AEO149" s="22"/>
      <c r="AEP149" s="22"/>
      <c r="AEQ149" s="22"/>
      <c r="AER149" s="22"/>
      <c r="AES149" s="22"/>
      <c r="AET149" s="22"/>
      <c r="AEU149" s="22"/>
      <c r="AEV149" s="22"/>
      <c r="AEW149" s="22"/>
      <c r="AEX149" s="22"/>
      <c r="AEY149" s="22"/>
      <c r="AEZ149" s="22"/>
      <c r="AFA149" s="22"/>
      <c r="AFB149" s="22"/>
      <c r="AFC149" s="22"/>
      <c r="AFD149" s="22"/>
      <c r="AFE149" s="22"/>
      <c r="AFF149" s="22"/>
      <c r="AFG149" s="22"/>
      <c r="AFH149" s="22"/>
      <c r="AFI149" s="22"/>
      <c r="AFJ149" s="22"/>
      <c r="AFK149" s="22"/>
      <c r="AFL149" s="22"/>
      <c r="AFM149" s="22"/>
      <c r="AFN149" s="22"/>
      <c r="AFO149" s="22"/>
      <c r="AFP149" s="22"/>
      <c r="AFQ149" s="22"/>
      <c r="AFR149" s="22"/>
      <c r="AFS149" s="22"/>
      <c r="AFT149" s="22"/>
      <c r="AFU149" s="22"/>
      <c r="AFV149" s="22"/>
      <c r="AFW149" s="22"/>
      <c r="AFX149" s="22"/>
      <c r="AFY149" s="22"/>
      <c r="AFZ149" s="22"/>
      <c r="AGA149" s="22"/>
      <c r="AGB149" s="22"/>
      <c r="AGC149" s="22"/>
      <c r="AGD149" s="22"/>
      <c r="AGE149" s="22"/>
      <c r="AGF149" s="22"/>
      <c r="AGG149" s="22"/>
      <c r="AGH149" s="22"/>
      <c r="AGI149" s="22"/>
      <c r="AGJ149" s="22"/>
      <c r="AGK149" s="22"/>
      <c r="AGL149" s="22"/>
      <c r="AGM149" s="22"/>
      <c r="AGN149" s="22"/>
      <c r="AGO149" s="22"/>
      <c r="AGP149" s="22"/>
      <c r="AGQ149" s="22"/>
      <c r="AGR149" s="22"/>
      <c r="AGS149" s="22"/>
      <c r="AGT149" s="22"/>
      <c r="AGU149" s="22"/>
      <c r="AGV149" s="22"/>
      <c r="AGW149" s="22"/>
      <c r="AGX149" s="22"/>
      <c r="AGY149" s="22"/>
      <c r="AGZ149" s="22"/>
      <c r="AHA149" s="22"/>
      <c r="AHB149" s="22"/>
      <c r="AHC149" s="22"/>
      <c r="AHD149" s="22"/>
      <c r="AHE149" s="22"/>
      <c r="AHF149" s="22"/>
      <c r="AHG149" s="22"/>
      <c r="AHH149" s="22"/>
      <c r="AHI149" s="22"/>
      <c r="AHJ149" s="22"/>
      <c r="AHK149" s="22"/>
      <c r="AHL149" s="22"/>
      <c r="AHM149" s="22"/>
      <c r="AHN149" s="22"/>
      <c r="AHO149" s="22"/>
      <c r="AHP149" s="22"/>
      <c r="AHQ149" s="22"/>
      <c r="AHR149" s="22"/>
      <c r="AHS149" s="22"/>
      <c r="AHT149" s="22"/>
      <c r="AHU149" s="22"/>
      <c r="AHV149" s="22"/>
      <c r="AHW149" s="22"/>
      <c r="AHX149" s="22"/>
      <c r="AHY149" s="22"/>
      <c r="AHZ149" s="22"/>
      <c r="AIA149" s="22"/>
      <c r="AIB149" s="22"/>
      <c r="AIC149" s="22"/>
      <c r="AID149" s="22"/>
      <c r="AIE149" s="22"/>
      <c r="AIF149" s="22"/>
      <c r="AIG149" s="22"/>
      <c r="AIH149" s="22"/>
      <c r="AII149" s="22"/>
      <c r="AIJ149" s="22"/>
      <c r="AIK149" s="22"/>
      <c r="AIL149" s="22"/>
      <c r="AIM149" s="22"/>
      <c r="AIN149" s="22"/>
      <c r="AIO149" s="22"/>
      <c r="AIP149" s="22"/>
      <c r="AIQ149" s="22"/>
      <c r="AIR149" s="22"/>
      <c r="AIS149" s="22"/>
      <c r="AIT149" s="22"/>
      <c r="AIU149" s="22"/>
      <c r="AIV149" s="22"/>
      <c r="AIW149" s="22"/>
      <c r="AIX149" s="22"/>
      <c r="AIY149" s="22"/>
      <c r="AIZ149" s="22"/>
      <c r="AJA149" s="22"/>
      <c r="AJB149" s="22"/>
      <c r="AJC149" s="22"/>
      <c r="AJD149" s="22"/>
      <c r="AJE149" s="22"/>
      <c r="AJF149" s="22"/>
      <c r="AJG149" s="22"/>
      <c r="AJH149" s="22"/>
      <c r="AJI149" s="22"/>
      <c r="AJJ149" s="22"/>
      <c r="AJK149" s="22"/>
      <c r="AJL149" s="22"/>
      <c r="AJM149" s="22"/>
      <c r="AJN149" s="22"/>
      <c r="AJO149" s="22"/>
      <c r="AJP149" s="22"/>
      <c r="AJQ149" s="22"/>
      <c r="AJR149" s="22"/>
      <c r="AJS149" s="22"/>
      <c r="AJT149" s="22"/>
      <c r="AJU149" s="22"/>
      <c r="AJV149" s="22"/>
      <c r="AJW149" s="22"/>
      <c r="AJX149" s="22"/>
      <c r="AJY149" s="22"/>
      <c r="AJZ149" s="22"/>
      <c r="AKA149" s="22"/>
      <c r="AKB149" s="22"/>
      <c r="AKC149" s="22"/>
      <c r="AKD149" s="22"/>
      <c r="AKE149" s="22"/>
      <c r="AKF149" s="22"/>
      <c r="AKG149" s="22"/>
      <c r="AKH149" s="22"/>
      <c r="AKI149" s="22"/>
      <c r="AKJ149" s="22"/>
      <c r="AKK149" s="22"/>
      <c r="AKL149" s="22"/>
      <c r="AKM149" s="22"/>
      <c r="AKN149" s="22"/>
      <c r="AKO149" s="22"/>
      <c r="AKP149" s="22"/>
      <c r="AKQ149" s="22"/>
      <c r="AKR149" s="22"/>
      <c r="AKS149" s="22"/>
      <c r="AKT149" s="22"/>
      <c r="AKU149" s="22"/>
      <c r="AKV149" s="22"/>
      <c r="AKW149" s="22"/>
      <c r="AKX149" s="22"/>
      <c r="AKY149" s="22"/>
      <c r="AKZ149" s="22"/>
      <c r="ALA149" s="22"/>
      <c r="ALB149" s="22"/>
      <c r="ALC149" s="22"/>
      <c r="ALD149" s="22"/>
      <c r="ALE149" s="22"/>
      <c r="ALF149" s="22"/>
      <c r="ALG149" s="22"/>
      <c r="ALH149" s="22"/>
      <c r="ALI149" s="22"/>
      <c r="ALJ149" s="22"/>
      <c r="ALK149" s="22"/>
      <c r="ALL149" s="22"/>
      <c r="ALM149" s="22"/>
      <c r="ALN149" s="22"/>
      <c r="ALO149" s="22"/>
      <c r="ALP149" s="22"/>
      <c r="ALQ149" s="22"/>
      <c r="ALR149" s="22"/>
      <c r="ALS149" s="22"/>
      <c r="ALT149" s="22"/>
      <c r="ALU149" s="22"/>
      <c r="ALV149" s="22"/>
      <c r="ALW149" s="22"/>
      <c r="ALX149" s="22"/>
      <c r="ALY149" s="22"/>
      <c r="ALZ149" s="22"/>
      <c r="AMA149" s="22"/>
      <c r="AMB149" s="22"/>
      <c r="AMC149" s="22"/>
      <c r="AMD149" s="22"/>
      <c r="AME149" s="22"/>
      <c r="AMF149" s="22"/>
      <c r="AMG149" s="22"/>
      <c r="AMH149" s="22"/>
      <c r="AMI149" s="22"/>
      <c r="AMJ149" s="22"/>
      <c r="AMK149" s="22"/>
      <c r="AML149" s="22"/>
      <c r="AMM149" s="22"/>
      <c r="AMN149" s="22"/>
      <c r="AMO149" s="22"/>
      <c r="AMP149" s="22"/>
      <c r="AMQ149" s="22"/>
      <c r="AMR149" s="22"/>
      <c r="AMS149" s="22"/>
      <c r="AMT149" s="22"/>
      <c r="AMU149" s="22"/>
      <c r="AMV149" s="22"/>
      <c r="AMW149" s="22"/>
      <c r="AMX149" s="22"/>
      <c r="AMY149" s="22"/>
      <c r="AMZ149" s="22"/>
      <c r="ANA149" s="22"/>
      <c r="ANB149" s="22"/>
      <c r="ANC149" s="22"/>
      <c r="AND149" s="22"/>
      <c r="ANE149" s="22"/>
      <c r="ANF149" s="22"/>
      <c r="ANG149" s="22"/>
      <c r="ANH149" s="22"/>
      <c r="ANI149" s="22"/>
      <c r="ANJ149" s="22"/>
      <c r="ANK149" s="22"/>
      <c r="ANL149" s="22"/>
      <c r="ANM149" s="22"/>
      <c r="ANN149" s="22"/>
      <c r="ANO149" s="22"/>
      <c r="ANP149" s="22"/>
      <c r="ANQ149" s="22"/>
      <c r="ANR149" s="22"/>
      <c r="ANS149" s="22"/>
      <c r="ANT149" s="22"/>
      <c r="ANU149" s="22"/>
      <c r="ANV149" s="22"/>
      <c r="ANW149" s="22"/>
      <c r="ANX149" s="22"/>
      <c r="ANY149" s="22"/>
      <c r="ANZ149" s="22"/>
      <c r="AOA149" s="22"/>
      <c r="AOB149" s="22"/>
      <c r="AOC149" s="22"/>
      <c r="AOD149" s="22"/>
      <c r="AOE149" s="22"/>
      <c r="AOF149" s="22"/>
      <c r="AOG149" s="22"/>
      <c r="AOH149" s="22"/>
      <c r="AOI149" s="22"/>
      <c r="AOJ149" s="22"/>
      <c r="AOK149" s="22"/>
      <c r="AOL149" s="22"/>
      <c r="AOM149" s="22"/>
      <c r="AON149" s="22"/>
      <c r="AOO149" s="22"/>
      <c r="AOP149" s="22"/>
      <c r="AOQ149" s="22"/>
      <c r="AOR149" s="22"/>
      <c r="AOS149" s="22"/>
      <c r="AOT149" s="22"/>
      <c r="AOU149" s="22"/>
      <c r="AOV149" s="22"/>
      <c r="AOW149" s="22"/>
      <c r="AOX149" s="22"/>
      <c r="AOY149" s="22"/>
      <c r="AOZ149" s="22"/>
      <c r="APA149" s="22"/>
      <c r="APB149" s="22"/>
      <c r="APC149" s="22"/>
      <c r="APD149" s="22"/>
      <c r="APE149" s="22"/>
      <c r="APF149" s="22"/>
      <c r="APG149" s="22"/>
      <c r="APH149" s="22"/>
      <c r="API149" s="22"/>
      <c r="APJ149" s="22"/>
      <c r="APK149" s="22"/>
      <c r="APL149" s="22"/>
      <c r="APM149" s="22"/>
      <c r="APN149" s="22"/>
      <c r="APO149" s="22"/>
      <c r="APP149" s="22"/>
      <c r="APQ149" s="22"/>
      <c r="APR149" s="22"/>
      <c r="APS149" s="22"/>
      <c r="APT149" s="22"/>
      <c r="APU149" s="22"/>
      <c r="APV149" s="22"/>
      <c r="APW149" s="22"/>
      <c r="APX149" s="22"/>
      <c r="APY149" s="22"/>
      <c r="APZ149" s="22"/>
      <c r="AQA149" s="22"/>
      <c r="AQB149" s="22"/>
      <c r="AQC149" s="22"/>
      <c r="AQD149" s="22"/>
      <c r="AQE149" s="22"/>
      <c r="AQF149" s="22"/>
      <c r="AQG149" s="22"/>
      <c r="AQH149" s="22"/>
      <c r="AQI149" s="22"/>
      <c r="AQJ149" s="22"/>
      <c r="AQK149" s="22"/>
      <c r="AQL149" s="22"/>
      <c r="AQM149" s="22"/>
      <c r="AQN149" s="22"/>
      <c r="AQO149" s="22"/>
      <c r="AQP149" s="22"/>
      <c r="AQQ149" s="22"/>
      <c r="AQR149" s="22"/>
      <c r="AQS149" s="22"/>
      <c r="AQT149" s="22"/>
      <c r="AQU149" s="22"/>
      <c r="AQV149" s="22"/>
      <c r="AQW149" s="22"/>
      <c r="AQX149" s="22"/>
      <c r="AQY149" s="22"/>
      <c r="AQZ149" s="22"/>
      <c r="ARA149" s="22"/>
      <c r="ARB149" s="22"/>
      <c r="ARC149" s="22"/>
      <c r="ARD149" s="22"/>
      <c r="ARE149" s="22"/>
      <c r="ARF149" s="22"/>
      <c r="ARG149" s="22"/>
      <c r="ARH149" s="22"/>
      <c r="ARI149" s="22"/>
      <c r="ARJ149" s="22"/>
      <c r="ARK149" s="22"/>
      <c r="ARL149" s="22"/>
      <c r="ARM149" s="22"/>
      <c r="ARN149" s="22"/>
      <c r="ARO149" s="22"/>
      <c r="ARP149" s="22"/>
      <c r="ARQ149" s="22"/>
      <c r="ARR149" s="22"/>
      <c r="ARS149" s="22"/>
      <c r="ART149" s="22"/>
      <c r="ARU149" s="22"/>
      <c r="ARV149" s="22"/>
      <c r="ARW149" s="22"/>
      <c r="ARX149" s="22"/>
      <c r="ARY149" s="22"/>
      <c r="ARZ149" s="22"/>
      <c r="ASA149" s="22"/>
      <c r="ASB149" s="22"/>
      <c r="ASC149" s="22"/>
      <c r="ASD149" s="22"/>
      <c r="ASE149" s="22"/>
      <c r="ASF149" s="22"/>
      <c r="ASG149" s="22"/>
      <c r="ASH149" s="22"/>
      <c r="ASI149" s="22"/>
      <c r="ASJ149" s="22"/>
      <c r="ASK149" s="22"/>
      <c r="ASL149" s="22"/>
      <c r="ASM149" s="22"/>
      <c r="ASN149" s="22"/>
      <c r="ASO149" s="22"/>
      <c r="ASP149" s="22"/>
      <c r="ASQ149" s="22"/>
      <c r="ASR149" s="22"/>
      <c r="ASS149" s="22"/>
      <c r="AST149" s="22"/>
      <c r="ASU149" s="22"/>
      <c r="ASV149" s="22"/>
      <c r="ASW149" s="22"/>
      <c r="ASX149" s="22"/>
      <c r="ASY149" s="22"/>
      <c r="ASZ149" s="22"/>
      <c r="ATA149" s="22"/>
      <c r="ATB149" s="22"/>
      <c r="ATC149" s="22"/>
      <c r="ATD149" s="22"/>
      <c r="ATE149" s="22"/>
      <c r="ATF149" s="22"/>
      <c r="ATG149" s="22"/>
      <c r="ATH149" s="22"/>
      <c r="ATI149" s="22"/>
      <c r="ATJ149" s="22"/>
      <c r="ATK149" s="22"/>
      <c r="ATL149" s="22"/>
      <c r="ATM149" s="22"/>
      <c r="ATN149" s="22"/>
      <c r="ATO149" s="22"/>
      <c r="ATP149" s="22"/>
      <c r="ATQ149" s="22"/>
      <c r="ATR149" s="22"/>
      <c r="ATS149" s="22"/>
      <c r="ATT149" s="22"/>
      <c r="ATU149" s="22"/>
      <c r="ATV149" s="22"/>
      <c r="ATW149" s="22"/>
      <c r="ATX149" s="22"/>
      <c r="ATY149" s="22"/>
      <c r="ATZ149" s="22"/>
      <c r="AUA149" s="22"/>
      <c r="AUB149" s="22"/>
      <c r="AUC149" s="22"/>
      <c r="AUD149" s="22"/>
      <c r="AUE149" s="22"/>
      <c r="AUF149" s="22"/>
      <c r="AUG149" s="22"/>
      <c r="AUH149" s="22"/>
      <c r="AUI149" s="22"/>
      <c r="AUJ149" s="22"/>
      <c r="AUK149" s="22"/>
      <c r="AUL149" s="22"/>
      <c r="AUM149" s="22"/>
      <c r="AUN149" s="22"/>
      <c r="AUO149" s="22"/>
      <c r="AUP149" s="22"/>
      <c r="AUQ149" s="22"/>
      <c r="AUR149" s="22"/>
      <c r="AUS149" s="22"/>
      <c r="AUT149" s="22"/>
      <c r="AUU149" s="22"/>
      <c r="AUV149" s="22"/>
      <c r="AUW149" s="22"/>
      <c r="AUX149" s="22"/>
      <c r="AUY149" s="22"/>
      <c r="AUZ149" s="22"/>
      <c r="AVA149" s="22"/>
      <c r="AVB149" s="22"/>
      <c r="AVC149" s="22"/>
      <c r="AVD149" s="22"/>
      <c r="AVE149" s="22"/>
      <c r="AVF149" s="22"/>
      <c r="AVG149" s="22"/>
      <c r="AVH149" s="22"/>
      <c r="AVI149" s="22"/>
      <c r="AVJ149" s="22"/>
      <c r="AVK149" s="22"/>
      <c r="AVL149" s="22"/>
      <c r="AVM149" s="22"/>
      <c r="AVN149" s="22"/>
      <c r="AVO149" s="22"/>
      <c r="AVP149" s="22"/>
      <c r="AVQ149" s="22"/>
      <c r="AVR149" s="22"/>
      <c r="AVS149" s="22"/>
      <c r="AVT149" s="22"/>
      <c r="AVU149" s="22"/>
      <c r="AVV149" s="22"/>
      <c r="AVW149" s="22"/>
      <c r="AVX149" s="22"/>
      <c r="AVY149" s="22"/>
      <c r="AVZ149" s="22"/>
      <c r="AWA149" s="22"/>
      <c r="AWB149" s="22"/>
      <c r="AWC149" s="22"/>
      <c r="AWD149" s="22"/>
      <c r="AWE149" s="22"/>
      <c r="AWF149" s="22"/>
      <c r="AWG149" s="22"/>
      <c r="AWH149" s="22"/>
      <c r="AWI149" s="22"/>
      <c r="AWJ149" s="22"/>
      <c r="AWK149" s="22"/>
      <c r="AWL149" s="22"/>
      <c r="AWM149" s="22"/>
      <c r="AWN149" s="22"/>
      <c r="AWO149" s="22"/>
      <c r="AWP149" s="22"/>
      <c r="AWQ149" s="22"/>
      <c r="AWR149" s="22"/>
      <c r="AWS149" s="22"/>
      <c r="AWT149" s="22"/>
      <c r="AWU149" s="22"/>
      <c r="AWV149" s="22"/>
      <c r="AWW149" s="22"/>
      <c r="AWX149" s="22"/>
      <c r="AWY149" s="22"/>
      <c r="AWZ149" s="22"/>
      <c r="AXA149" s="22"/>
      <c r="AXB149" s="22"/>
      <c r="AXC149" s="22"/>
      <c r="AXD149" s="22"/>
      <c r="AXE149" s="22"/>
      <c r="AXF149" s="22"/>
      <c r="AXG149" s="22"/>
      <c r="AXH149" s="22"/>
      <c r="AXI149" s="22"/>
      <c r="AXJ149" s="22"/>
      <c r="AXK149" s="22"/>
      <c r="AXL149" s="22"/>
      <c r="AXM149" s="22"/>
      <c r="AXN149" s="22"/>
      <c r="AXO149" s="22"/>
      <c r="AXP149" s="22"/>
      <c r="AXQ149" s="22"/>
      <c r="AXR149" s="22"/>
      <c r="AXS149" s="22"/>
      <c r="AXT149" s="22"/>
      <c r="AXU149" s="22"/>
      <c r="AXV149" s="22"/>
      <c r="AXW149" s="22"/>
      <c r="AXX149" s="22"/>
      <c r="AXY149" s="22"/>
      <c r="AXZ149" s="22"/>
      <c r="AYA149" s="22"/>
      <c r="AYB149" s="22"/>
      <c r="AYC149" s="22"/>
      <c r="AYD149" s="22"/>
      <c r="AYE149" s="22"/>
      <c r="AYF149" s="22"/>
      <c r="AYG149" s="22"/>
      <c r="AYH149" s="22"/>
      <c r="AYI149" s="22"/>
      <c r="AYJ149" s="22"/>
      <c r="AYK149" s="22"/>
      <c r="AYL149" s="22"/>
      <c r="AYM149" s="22"/>
      <c r="AYN149" s="22"/>
      <c r="AYO149" s="22"/>
      <c r="AYP149" s="22"/>
      <c r="AYQ149" s="22"/>
      <c r="AYR149" s="22"/>
      <c r="AYS149" s="22"/>
      <c r="AYT149" s="22"/>
      <c r="AYU149" s="22"/>
      <c r="AYV149" s="22"/>
      <c r="AYW149" s="22"/>
      <c r="AYX149" s="22"/>
      <c r="AYY149" s="22"/>
      <c r="AYZ149" s="22"/>
      <c r="AZA149" s="22"/>
      <c r="AZB149" s="22"/>
      <c r="AZC149" s="22"/>
      <c r="AZD149" s="22"/>
      <c r="AZE149" s="22"/>
      <c r="AZF149" s="22"/>
      <c r="AZG149" s="22"/>
      <c r="AZH149" s="22"/>
      <c r="AZI149" s="22"/>
      <c r="AZJ149" s="22"/>
      <c r="AZK149" s="22"/>
      <c r="AZL149" s="22"/>
      <c r="AZM149" s="22"/>
      <c r="AZN149" s="22"/>
      <c r="AZO149" s="22"/>
      <c r="AZP149" s="22"/>
      <c r="AZQ149" s="22"/>
      <c r="AZR149" s="22"/>
      <c r="AZS149" s="22"/>
      <c r="AZT149" s="22"/>
      <c r="AZU149" s="22"/>
      <c r="AZV149" s="22"/>
      <c r="AZW149" s="22"/>
      <c r="AZX149" s="22"/>
      <c r="AZY149" s="22"/>
      <c r="AZZ149" s="22"/>
      <c r="BAA149" s="22"/>
      <c r="BAB149" s="22"/>
      <c r="BAC149" s="22"/>
      <c r="BAD149" s="22"/>
      <c r="BAE149" s="22"/>
      <c r="BAF149" s="22"/>
      <c r="BAG149" s="22"/>
      <c r="BAH149" s="22"/>
      <c r="BAI149" s="22"/>
      <c r="BAJ149" s="22"/>
      <c r="BAK149" s="22"/>
      <c r="BAL149" s="22"/>
      <c r="BAM149" s="22"/>
      <c r="BAN149" s="22"/>
      <c r="BAO149" s="22"/>
      <c r="BAP149" s="22"/>
      <c r="BAQ149" s="22"/>
      <c r="BAR149" s="22"/>
      <c r="BAS149" s="22"/>
      <c r="BAT149" s="22"/>
      <c r="BAU149" s="22"/>
      <c r="BAV149" s="22"/>
      <c r="BAW149" s="22"/>
      <c r="BAX149" s="22"/>
      <c r="BAY149" s="22"/>
      <c r="BAZ149" s="22"/>
      <c r="BBA149" s="22"/>
      <c r="BBB149" s="22"/>
      <c r="BBC149" s="22"/>
      <c r="BBD149" s="22"/>
      <c r="BBE149" s="22"/>
      <c r="BBF149" s="22"/>
      <c r="BBG149" s="22"/>
      <c r="BBH149" s="22"/>
      <c r="BBI149" s="22"/>
      <c r="BBJ149" s="22"/>
      <c r="BBK149" s="22"/>
      <c r="BBL149" s="22"/>
      <c r="BBM149" s="22"/>
      <c r="BBN149" s="22"/>
      <c r="BBO149" s="22"/>
      <c r="BBP149" s="22"/>
      <c r="BBQ149" s="22"/>
      <c r="BBR149" s="22"/>
      <c r="BBS149" s="22"/>
      <c r="BBT149" s="22"/>
      <c r="BBU149" s="22"/>
      <c r="BBV149" s="22"/>
      <c r="BBW149" s="22"/>
      <c r="BBX149" s="22"/>
      <c r="BBY149" s="22"/>
      <c r="BBZ149" s="22"/>
      <c r="BCA149" s="22"/>
      <c r="BCB149" s="22"/>
      <c r="BCC149" s="22"/>
      <c r="BCD149" s="22"/>
      <c r="BCE149" s="22"/>
      <c r="BCF149" s="22"/>
      <c r="BCG149" s="22"/>
      <c r="BCH149" s="22"/>
      <c r="BCI149" s="22"/>
      <c r="BCJ149" s="22"/>
      <c r="BCK149" s="22"/>
      <c r="BCL149" s="22"/>
      <c r="BCM149" s="22"/>
      <c r="BCN149" s="22"/>
      <c r="BCO149" s="22"/>
      <c r="BCP149" s="22"/>
      <c r="BCQ149" s="22"/>
      <c r="BCR149" s="22"/>
      <c r="BCS149" s="22"/>
      <c r="BCT149" s="22"/>
      <c r="BCU149" s="22"/>
      <c r="BCV149" s="22"/>
      <c r="BCW149" s="22"/>
      <c r="BCX149" s="22"/>
      <c r="BCY149" s="22"/>
      <c r="BCZ149" s="22"/>
      <c r="BDA149" s="22"/>
      <c r="BDB149" s="22"/>
      <c r="BDC149" s="22"/>
      <c r="BDD149" s="22"/>
      <c r="BDE149" s="22"/>
      <c r="BDF149" s="22"/>
      <c r="BDG149" s="22"/>
      <c r="BDH149" s="22"/>
      <c r="BDI149" s="22"/>
      <c r="BDJ149" s="22"/>
      <c r="BDK149" s="22"/>
      <c r="BDL149" s="22"/>
      <c r="BDM149" s="22"/>
      <c r="BDN149" s="22"/>
      <c r="BDO149" s="22"/>
      <c r="BDP149" s="22"/>
      <c r="BDQ149" s="22"/>
      <c r="BDR149" s="22"/>
      <c r="BDS149" s="22"/>
      <c r="BDT149" s="22"/>
      <c r="BDU149" s="22"/>
      <c r="BDV149" s="22"/>
      <c r="BDW149" s="22"/>
      <c r="BDX149" s="22"/>
      <c r="BDY149" s="22"/>
      <c r="BDZ149" s="22"/>
      <c r="BEA149" s="22"/>
      <c r="BEB149" s="22"/>
      <c r="BEC149" s="22"/>
      <c r="BED149" s="22"/>
      <c r="BEE149" s="22"/>
      <c r="BEF149" s="22"/>
      <c r="BEG149" s="22"/>
      <c r="BEH149" s="22"/>
      <c r="BEI149" s="22"/>
      <c r="BEJ149" s="22"/>
      <c r="BEK149" s="22"/>
      <c r="BEL149" s="22"/>
      <c r="BEM149" s="22"/>
      <c r="BEN149" s="22"/>
      <c r="BEO149" s="22"/>
      <c r="BEP149" s="22"/>
      <c r="BEQ149" s="22"/>
      <c r="BER149" s="22"/>
      <c r="BES149" s="22"/>
      <c r="BET149" s="22"/>
      <c r="BEU149" s="22"/>
      <c r="BEV149" s="22"/>
      <c r="BEW149" s="22"/>
      <c r="BEX149" s="22"/>
      <c r="BEY149" s="22"/>
      <c r="BEZ149" s="22"/>
      <c r="BFA149" s="22"/>
      <c r="BFB149" s="22"/>
      <c r="BFC149" s="22"/>
      <c r="BFD149" s="22"/>
      <c r="BFE149" s="22"/>
      <c r="BFF149" s="22"/>
      <c r="BFG149" s="22"/>
      <c r="BFH149" s="22"/>
      <c r="BFI149" s="22"/>
      <c r="BFJ149" s="22"/>
      <c r="BFK149" s="22"/>
      <c r="BFL149" s="22"/>
      <c r="BFM149" s="22"/>
      <c r="BFN149" s="22"/>
      <c r="BFO149" s="22"/>
      <c r="BFP149" s="22"/>
      <c r="BFQ149" s="22"/>
      <c r="BFR149" s="22"/>
      <c r="BFS149" s="22"/>
      <c r="BFT149" s="22"/>
      <c r="BFU149" s="22"/>
      <c r="BFV149" s="22"/>
      <c r="BFW149" s="22"/>
      <c r="BFX149" s="22"/>
      <c r="BFY149" s="22"/>
      <c r="BFZ149" s="22"/>
      <c r="BGA149" s="22"/>
      <c r="BGB149" s="22"/>
      <c r="BGC149" s="22"/>
      <c r="BGD149" s="22"/>
      <c r="BGE149" s="22"/>
      <c r="BGF149" s="22"/>
      <c r="BGG149" s="22"/>
      <c r="BGH149" s="22"/>
      <c r="BGI149" s="22"/>
      <c r="BGJ149" s="22"/>
      <c r="BGK149" s="22"/>
      <c r="BGL149" s="22"/>
      <c r="BGM149" s="22"/>
      <c r="BGN149" s="22"/>
      <c r="BGO149" s="22"/>
      <c r="BGP149" s="22"/>
      <c r="BGQ149" s="22"/>
      <c r="BGR149" s="22"/>
      <c r="BGS149" s="22"/>
      <c r="BGT149" s="22"/>
      <c r="BGU149" s="22"/>
      <c r="BGV149" s="22"/>
      <c r="BGW149" s="22"/>
      <c r="BGX149" s="22"/>
      <c r="BGY149" s="22"/>
      <c r="BGZ149" s="22"/>
      <c r="BHA149" s="22"/>
      <c r="BHB149" s="22"/>
      <c r="BHC149" s="22"/>
      <c r="BHD149" s="22"/>
      <c r="BHE149" s="22"/>
      <c r="BHF149" s="22"/>
      <c r="BHG149" s="22"/>
      <c r="BHH149" s="22"/>
      <c r="BHI149" s="22"/>
      <c r="BHJ149" s="22"/>
      <c r="BHK149" s="22"/>
      <c r="BHL149" s="22"/>
      <c r="BHM149" s="22"/>
      <c r="BHN149" s="22"/>
      <c r="BHO149" s="22"/>
      <c r="BHP149" s="22"/>
      <c r="BHQ149" s="22"/>
      <c r="BHR149" s="22"/>
      <c r="BHS149" s="22"/>
      <c r="BHT149" s="22"/>
      <c r="BHU149" s="22"/>
      <c r="BHV149" s="22"/>
      <c r="BHW149" s="22"/>
      <c r="BHX149" s="22"/>
      <c r="BHY149" s="22"/>
      <c r="BHZ149" s="22"/>
      <c r="BIA149" s="22"/>
      <c r="BIB149" s="22"/>
      <c r="BIC149" s="22"/>
      <c r="BID149" s="22"/>
      <c r="BIE149" s="22"/>
      <c r="BIF149" s="22"/>
      <c r="BIG149" s="22"/>
      <c r="BIH149" s="22"/>
      <c r="BII149" s="22"/>
      <c r="BIJ149" s="22"/>
      <c r="BIK149" s="22"/>
      <c r="BIL149" s="22"/>
      <c r="BIM149" s="22"/>
      <c r="BIN149" s="22"/>
      <c r="BIO149" s="22"/>
      <c r="BIP149" s="22"/>
      <c r="BIQ149" s="22"/>
      <c r="BIR149" s="22"/>
      <c r="BIS149" s="22"/>
      <c r="BIT149" s="22"/>
      <c r="BIU149" s="22"/>
      <c r="BIV149" s="22"/>
      <c r="BIW149" s="22"/>
      <c r="BIX149" s="22"/>
      <c r="BIY149" s="22"/>
      <c r="BIZ149" s="22"/>
      <c r="BJA149" s="22"/>
      <c r="BJB149" s="22"/>
      <c r="BJC149" s="22"/>
      <c r="BJD149" s="22"/>
      <c r="BJE149" s="22"/>
      <c r="BJF149" s="22"/>
      <c r="BJG149" s="22"/>
      <c r="BJH149" s="22"/>
      <c r="BJI149" s="22"/>
      <c r="BJJ149" s="22"/>
      <c r="BJK149" s="22"/>
      <c r="BJL149" s="22"/>
      <c r="BJM149" s="22"/>
      <c r="BJN149" s="22"/>
      <c r="BJO149" s="22"/>
      <c r="BJP149" s="22"/>
      <c r="BJQ149" s="22"/>
      <c r="BJR149" s="22"/>
      <c r="BJS149" s="22"/>
      <c r="BJT149" s="22"/>
      <c r="BJU149" s="22"/>
      <c r="BJV149" s="22"/>
      <c r="BJW149" s="22"/>
      <c r="BJX149" s="22"/>
      <c r="BJY149" s="22"/>
      <c r="BJZ149" s="22"/>
      <c r="BKA149" s="22"/>
      <c r="BKB149" s="22"/>
      <c r="BKC149" s="22"/>
      <c r="BKD149" s="22"/>
      <c r="BKE149" s="22"/>
      <c r="BKF149" s="22"/>
      <c r="BKG149" s="22"/>
      <c r="BKH149" s="22"/>
      <c r="BKI149" s="22"/>
      <c r="BKJ149" s="22"/>
      <c r="BKK149" s="22"/>
      <c r="BKL149" s="22"/>
      <c r="BKM149" s="22"/>
      <c r="BKN149" s="22"/>
      <c r="BKO149" s="22"/>
      <c r="BKP149" s="22"/>
      <c r="BKQ149" s="22"/>
      <c r="BKR149" s="22"/>
      <c r="BKS149" s="22"/>
      <c r="BKT149" s="22"/>
      <c r="BKU149" s="22"/>
      <c r="BKV149" s="22"/>
      <c r="BKW149" s="22"/>
      <c r="BKX149" s="22"/>
      <c r="BKY149" s="22"/>
      <c r="BKZ149" s="22"/>
      <c r="BLA149" s="22"/>
      <c r="BLB149" s="22"/>
      <c r="BLC149" s="22"/>
      <c r="BLD149" s="22"/>
      <c r="BLE149" s="22"/>
      <c r="BLF149" s="22"/>
      <c r="BLG149" s="22"/>
      <c r="BLH149" s="22"/>
      <c r="BLI149" s="22"/>
      <c r="BLJ149" s="22"/>
      <c r="BLK149" s="22"/>
      <c r="BLL149" s="22"/>
      <c r="BLM149" s="22"/>
      <c r="BLN149" s="22"/>
      <c r="BLO149" s="22"/>
      <c r="BLP149" s="22"/>
      <c r="BLQ149" s="22"/>
      <c r="BLR149" s="22"/>
      <c r="BLS149" s="22"/>
      <c r="BLT149" s="22"/>
      <c r="BLU149" s="22"/>
      <c r="BLV149" s="22"/>
      <c r="BLW149" s="22"/>
      <c r="BLX149" s="22"/>
      <c r="BLY149" s="22"/>
      <c r="BLZ149" s="22"/>
      <c r="BMA149" s="22"/>
      <c r="BMB149" s="22"/>
      <c r="BMC149" s="22"/>
      <c r="BMD149" s="22"/>
      <c r="BME149" s="22"/>
      <c r="BMF149" s="22"/>
      <c r="BMG149" s="22"/>
      <c r="BMH149" s="22"/>
      <c r="BMI149" s="22"/>
      <c r="BMJ149" s="22"/>
      <c r="BMK149" s="22"/>
      <c r="BML149" s="22"/>
      <c r="BMM149" s="22"/>
      <c r="BMN149" s="22"/>
      <c r="BMO149" s="22"/>
      <c r="BMP149" s="22"/>
      <c r="BMQ149" s="22"/>
      <c r="BMR149" s="22"/>
      <c r="BMS149" s="22"/>
      <c r="BMT149" s="22"/>
      <c r="BMU149" s="22"/>
      <c r="BMV149" s="22"/>
      <c r="BMW149" s="22"/>
      <c r="BMX149" s="22"/>
      <c r="BMY149" s="22"/>
      <c r="BMZ149" s="22"/>
      <c r="BNA149" s="22"/>
      <c r="BNB149" s="22"/>
      <c r="BNC149" s="22"/>
      <c r="BND149" s="22"/>
      <c r="BNE149" s="22"/>
      <c r="BNF149" s="22"/>
      <c r="BNG149" s="22"/>
      <c r="BNH149" s="22"/>
      <c r="BNI149" s="22"/>
      <c r="BNJ149" s="22"/>
      <c r="BNK149" s="22"/>
      <c r="BNL149" s="22"/>
      <c r="BNM149" s="22"/>
      <c r="BNN149" s="22"/>
      <c r="BNO149" s="22"/>
      <c r="BNP149" s="22"/>
      <c r="BNQ149" s="22"/>
      <c r="BNR149" s="22"/>
      <c r="BNS149" s="22"/>
      <c r="BNT149" s="22"/>
      <c r="BNU149" s="22"/>
      <c r="BNV149" s="22"/>
      <c r="BNW149" s="22"/>
      <c r="BNX149" s="22"/>
      <c r="BNY149" s="22"/>
      <c r="BNZ149" s="22"/>
      <c r="BOA149" s="22"/>
      <c r="BOB149" s="22"/>
      <c r="BOC149" s="22"/>
      <c r="BOD149" s="22"/>
      <c r="BOE149" s="22"/>
      <c r="BOF149" s="22"/>
      <c r="BOG149" s="22"/>
      <c r="BOH149" s="22"/>
      <c r="BOI149" s="22"/>
      <c r="BOJ149" s="22"/>
      <c r="BOK149" s="22"/>
      <c r="BOL149" s="22"/>
      <c r="BOM149" s="22"/>
      <c r="BON149" s="22"/>
      <c r="BOO149" s="22"/>
      <c r="BOP149" s="22"/>
      <c r="BOQ149" s="22"/>
      <c r="BOR149" s="22"/>
      <c r="BOS149" s="22"/>
      <c r="BOT149" s="22"/>
      <c r="BOU149" s="22"/>
      <c r="BOV149" s="22"/>
      <c r="BOW149" s="22"/>
      <c r="BOX149" s="22"/>
      <c r="BOY149" s="22"/>
      <c r="BOZ149" s="22"/>
      <c r="BPA149" s="22"/>
      <c r="BPB149" s="22"/>
      <c r="BPC149" s="22"/>
      <c r="BPD149" s="22"/>
      <c r="BPE149" s="22"/>
      <c r="BPF149" s="22"/>
      <c r="BPG149" s="22"/>
      <c r="BPH149" s="22"/>
      <c r="BPI149" s="22"/>
      <c r="BPJ149" s="22"/>
      <c r="BPK149" s="22"/>
      <c r="BPL149" s="22"/>
      <c r="BPM149" s="22"/>
      <c r="BPN149" s="22"/>
      <c r="BPO149" s="22"/>
      <c r="BPP149" s="22"/>
      <c r="BPQ149" s="22"/>
      <c r="BPR149" s="22"/>
      <c r="BPS149" s="22"/>
      <c r="BPT149" s="22"/>
      <c r="BPU149" s="22"/>
      <c r="BPV149" s="22"/>
      <c r="BPW149" s="22"/>
      <c r="BPX149" s="22"/>
      <c r="BPY149" s="22"/>
      <c r="BPZ149" s="22"/>
      <c r="BQA149" s="22"/>
      <c r="BQB149" s="22"/>
      <c r="BQC149" s="22"/>
      <c r="BQD149" s="22"/>
      <c r="BQE149" s="22"/>
      <c r="BQF149" s="22"/>
      <c r="BQG149" s="22"/>
      <c r="BQH149" s="22"/>
      <c r="BQI149" s="22"/>
      <c r="BQJ149" s="22"/>
      <c r="BQK149" s="22"/>
      <c r="BQL149" s="22"/>
      <c r="BQM149" s="22"/>
      <c r="BQN149" s="22"/>
      <c r="BQO149" s="22"/>
      <c r="BQP149" s="22"/>
      <c r="BQQ149" s="22"/>
      <c r="BQR149" s="22"/>
      <c r="BQS149" s="22"/>
      <c r="BQT149" s="22"/>
      <c r="BQU149" s="22"/>
      <c r="BQV149" s="22"/>
      <c r="BQW149" s="22"/>
      <c r="BQX149" s="22"/>
      <c r="BQY149" s="22"/>
      <c r="BQZ149" s="22"/>
      <c r="BRA149" s="22"/>
      <c r="BRB149" s="22"/>
      <c r="BRC149" s="22"/>
      <c r="BRD149" s="22"/>
      <c r="BRE149" s="22"/>
      <c r="BRF149" s="22"/>
      <c r="BRG149" s="22"/>
      <c r="BRH149" s="22"/>
      <c r="BRI149" s="22"/>
      <c r="BRJ149" s="22"/>
      <c r="BRK149" s="22"/>
      <c r="BRL149" s="22"/>
      <c r="BRM149" s="22"/>
      <c r="BRN149" s="22"/>
      <c r="BRO149" s="22"/>
      <c r="BRP149" s="22"/>
      <c r="BRQ149" s="22"/>
      <c r="BRR149" s="22"/>
      <c r="BRS149" s="22"/>
      <c r="BRT149" s="22"/>
      <c r="BRU149" s="22"/>
      <c r="BRV149" s="22"/>
      <c r="BRW149" s="22"/>
      <c r="BRX149" s="22"/>
      <c r="BRY149" s="22"/>
      <c r="BRZ149" s="22"/>
      <c r="BSA149" s="22"/>
      <c r="BSB149" s="22"/>
      <c r="BSC149" s="22"/>
      <c r="BSD149" s="22"/>
      <c r="BSE149" s="22"/>
      <c r="BSF149" s="22"/>
      <c r="BSG149" s="22"/>
      <c r="BSH149" s="22"/>
      <c r="BSI149" s="22"/>
      <c r="BSJ149" s="22"/>
      <c r="BSK149" s="22"/>
      <c r="BSL149" s="22"/>
      <c r="BSM149" s="22"/>
      <c r="BSN149" s="22"/>
      <c r="BSO149" s="22"/>
      <c r="BSP149" s="22"/>
      <c r="BSQ149" s="22"/>
      <c r="BSR149" s="22"/>
      <c r="BSS149" s="22"/>
      <c r="BST149" s="22"/>
      <c r="BSU149" s="22"/>
      <c r="BSV149" s="22"/>
      <c r="BSW149" s="22"/>
      <c r="BSX149" s="22"/>
      <c r="BSY149" s="22"/>
      <c r="BSZ149" s="22"/>
      <c r="BTA149" s="22"/>
      <c r="BTB149" s="22"/>
      <c r="BTC149" s="22"/>
      <c r="BTD149" s="22"/>
      <c r="BTE149" s="22"/>
      <c r="BTF149" s="22"/>
      <c r="BTG149" s="22"/>
      <c r="BTH149" s="22"/>
      <c r="BTI149" s="22"/>
      <c r="BTJ149" s="22"/>
      <c r="BTK149" s="22"/>
      <c r="BTL149" s="22"/>
      <c r="BTM149" s="22"/>
      <c r="BTN149" s="22"/>
      <c r="BTO149" s="22"/>
      <c r="BTP149" s="22"/>
      <c r="BTQ149" s="22"/>
      <c r="BTR149" s="22"/>
      <c r="BTS149" s="22"/>
      <c r="BTT149" s="22"/>
      <c r="BTU149" s="22"/>
      <c r="BTV149" s="22"/>
      <c r="BTW149" s="22"/>
      <c r="BTX149" s="22"/>
      <c r="BTY149" s="22"/>
      <c r="BTZ149" s="22"/>
      <c r="BUA149" s="22"/>
      <c r="BUB149" s="22"/>
      <c r="BUC149" s="22"/>
      <c r="BUD149" s="22"/>
      <c r="BUE149" s="22"/>
      <c r="BUF149" s="22"/>
      <c r="BUG149" s="22"/>
      <c r="BUH149" s="22"/>
      <c r="BUI149" s="22"/>
      <c r="BUJ149" s="22"/>
      <c r="BUK149" s="22"/>
      <c r="BUL149" s="22"/>
      <c r="BUM149" s="22"/>
      <c r="BUN149" s="22"/>
      <c r="BUO149" s="22"/>
      <c r="BUP149" s="22"/>
      <c r="BUQ149" s="22"/>
      <c r="BUR149" s="22"/>
      <c r="BUS149" s="22"/>
      <c r="BUT149" s="22"/>
      <c r="BUU149" s="22"/>
      <c r="BUV149" s="22"/>
      <c r="BUW149" s="22"/>
      <c r="BUX149" s="22"/>
      <c r="BUY149" s="22"/>
      <c r="BUZ149" s="22"/>
      <c r="BVA149" s="22"/>
      <c r="BVB149" s="22"/>
      <c r="BVC149" s="22"/>
      <c r="BVD149" s="22"/>
      <c r="BVE149" s="22"/>
      <c r="BVF149" s="22"/>
      <c r="BVG149" s="22"/>
      <c r="BVH149" s="22"/>
      <c r="BVI149" s="22"/>
      <c r="BVJ149" s="22"/>
      <c r="BVK149" s="22"/>
      <c r="BVL149" s="22"/>
      <c r="BVM149" s="22"/>
      <c r="BVN149" s="22"/>
      <c r="BVO149" s="22"/>
      <c r="BVP149" s="22"/>
      <c r="BVQ149" s="22"/>
      <c r="BVR149" s="22"/>
      <c r="BVS149" s="22"/>
      <c r="BVT149" s="22"/>
      <c r="BVU149" s="22"/>
      <c r="BVV149" s="22"/>
      <c r="BVW149" s="22"/>
      <c r="BVX149" s="22"/>
      <c r="BVY149" s="22"/>
      <c r="BVZ149" s="22"/>
      <c r="BWA149" s="22"/>
      <c r="BWB149" s="22"/>
      <c r="BWC149" s="22"/>
      <c r="BWD149" s="22"/>
      <c r="BWE149" s="22"/>
      <c r="BWF149" s="22"/>
      <c r="BWG149" s="22"/>
      <c r="BWH149" s="22"/>
      <c r="BWI149" s="22"/>
      <c r="BWJ149" s="22"/>
      <c r="BWK149" s="22"/>
      <c r="BWL149" s="22"/>
      <c r="BWM149" s="22"/>
      <c r="BWN149" s="22"/>
      <c r="BWO149" s="22"/>
      <c r="BWP149" s="22"/>
      <c r="BWQ149" s="22"/>
      <c r="BWR149" s="22"/>
      <c r="BWS149" s="22"/>
      <c r="BWT149" s="22"/>
      <c r="BWU149" s="22"/>
      <c r="BWV149" s="22"/>
      <c r="BWW149" s="22"/>
      <c r="BWX149" s="22"/>
      <c r="BWY149" s="22"/>
      <c r="BWZ149" s="22"/>
      <c r="BXA149" s="22"/>
      <c r="BXB149" s="22"/>
      <c r="BXC149" s="22"/>
      <c r="BXD149" s="22"/>
      <c r="BXE149" s="22"/>
      <c r="BXF149" s="22"/>
      <c r="BXG149" s="22"/>
      <c r="BXH149" s="22"/>
      <c r="BXI149" s="22"/>
      <c r="BXJ149" s="22"/>
      <c r="BXK149" s="22"/>
      <c r="BXL149" s="22"/>
      <c r="BXM149" s="22"/>
      <c r="BXN149" s="22"/>
      <c r="BXO149" s="22"/>
      <c r="BXP149" s="22"/>
      <c r="BXQ149" s="22"/>
      <c r="BXR149" s="22"/>
      <c r="BXS149" s="22"/>
      <c r="BXT149" s="22"/>
      <c r="BXU149" s="22"/>
      <c r="BXV149" s="22"/>
      <c r="BXW149" s="22"/>
      <c r="BXX149" s="22"/>
      <c r="BXY149" s="22"/>
      <c r="BXZ149" s="22"/>
      <c r="BYA149" s="22"/>
      <c r="BYB149" s="22"/>
      <c r="BYC149" s="22"/>
      <c r="BYD149" s="22"/>
      <c r="BYE149" s="22"/>
      <c r="BYF149" s="22"/>
      <c r="BYG149" s="22"/>
      <c r="BYH149" s="22"/>
      <c r="BYI149" s="22"/>
      <c r="BYJ149" s="22"/>
      <c r="BYK149" s="22"/>
      <c r="BYL149" s="22"/>
      <c r="BYM149" s="22"/>
      <c r="BYN149" s="22"/>
      <c r="BYO149" s="22"/>
      <c r="BYP149" s="22"/>
      <c r="BYQ149" s="22"/>
      <c r="BYR149" s="22"/>
      <c r="BYS149" s="22"/>
      <c r="BYT149" s="22"/>
      <c r="BYU149" s="22"/>
      <c r="BYV149" s="22"/>
      <c r="BYW149" s="22"/>
      <c r="BYX149" s="22"/>
      <c r="BYY149" s="22"/>
      <c r="BYZ149" s="22"/>
      <c r="BZA149" s="22"/>
      <c r="BZB149" s="22"/>
      <c r="BZC149" s="22"/>
      <c r="BZD149" s="22"/>
      <c r="BZE149" s="22"/>
      <c r="BZF149" s="22"/>
      <c r="BZG149" s="22"/>
      <c r="BZH149" s="22"/>
      <c r="BZI149" s="22"/>
      <c r="BZJ149" s="22"/>
      <c r="BZK149" s="22"/>
      <c r="BZL149" s="22"/>
      <c r="BZM149" s="22"/>
      <c r="BZN149" s="22"/>
      <c r="BZO149" s="22"/>
      <c r="BZP149" s="22"/>
      <c r="BZQ149" s="22"/>
      <c r="BZR149" s="22"/>
      <c r="BZS149" s="22"/>
      <c r="BZT149" s="22"/>
      <c r="BZU149" s="22"/>
      <c r="BZV149" s="22"/>
      <c r="BZW149" s="22"/>
      <c r="BZX149" s="22"/>
      <c r="BZY149" s="22"/>
      <c r="BZZ149" s="22"/>
      <c r="CAA149" s="22"/>
      <c r="CAB149" s="22"/>
      <c r="CAC149" s="22"/>
      <c r="CAD149" s="22"/>
      <c r="CAE149" s="22"/>
      <c r="CAF149" s="22"/>
      <c r="CAG149" s="22"/>
      <c r="CAH149" s="22"/>
      <c r="CAI149" s="22"/>
      <c r="CAJ149" s="22"/>
      <c r="CAK149" s="22"/>
      <c r="CAL149" s="22"/>
      <c r="CAM149" s="22"/>
      <c r="CAN149" s="22"/>
      <c r="CAO149" s="22"/>
      <c r="CAP149" s="22"/>
      <c r="CAQ149" s="22"/>
      <c r="CAR149" s="22"/>
      <c r="CAS149" s="22"/>
      <c r="CAT149" s="22"/>
      <c r="CAU149" s="22"/>
      <c r="CAV149" s="22"/>
      <c r="CAW149" s="22"/>
      <c r="CAX149" s="22"/>
      <c r="CAY149" s="22"/>
      <c r="CAZ149" s="22"/>
      <c r="CBA149" s="22"/>
      <c r="CBB149" s="22"/>
      <c r="CBC149" s="22"/>
      <c r="CBD149" s="22"/>
      <c r="CBE149" s="22"/>
      <c r="CBF149" s="22"/>
      <c r="CBG149" s="22"/>
      <c r="CBH149" s="22"/>
      <c r="CBI149" s="22"/>
      <c r="CBJ149" s="22"/>
      <c r="CBK149" s="22"/>
      <c r="CBL149" s="22"/>
      <c r="CBM149" s="22"/>
      <c r="CBN149" s="22"/>
      <c r="CBO149" s="22"/>
      <c r="CBP149" s="22"/>
      <c r="CBQ149" s="22"/>
      <c r="CBR149" s="22"/>
      <c r="CBS149" s="22"/>
      <c r="CBT149" s="22"/>
      <c r="CBU149" s="22"/>
      <c r="CBV149" s="22"/>
      <c r="CBW149" s="22"/>
      <c r="CBX149" s="22"/>
      <c r="CBY149" s="22"/>
      <c r="CBZ149" s="22"/>
      <c r="CCA149" s="22"/>
      <c r="CCB149" s="22"/>
      <c r="CCC149" s="22"/>
      <c r="CCD149" s="22"/>
      <c r="CCE149" s="22"/>
      <c r="CCF149" s="22"/>
      <c r="CCG149" s="22"/>
      <c r="CCH149" s="22"/>
      <c r="CCI149" s="22"/>
      <c r="CCJ149" s="22"/>
      <c r="CCK149" s="22"/>
      <c r="CCL149" s="22"/>
      <c r="CCM149" s="22"/>
      <c r="CCN149" s="22"/>
      <c r="CCO149" s="22"/>
      <c r="CCP149" s="22"/>
      <c r="CCQ149" s="22"/>
      <c r="CCR149" s="22"/>
      <c r="CCS149" s="22"/>
      <c r="CCT149" s="22"/>
      <c r="CCU149" s="22"/>
      <c r="CCV149" s="22"/>
      <c r="CCW149" s="22"/>
      <c r="CCX149" s="22"/>
      <c r="CCY149" s="22"/>
      <c r="CCZ149" s="22"/>
      <c r="CDA149" s="22"/>
      <c r="CDB149" s="22"/>
      <c r="CDC149" s="22"/>
      <c r="CDD149" s="22"/>
      <c r="CDE149" s="22"/>
      <c r="CDF149" s="22"/>
      <c r="CDG149" s="22"/>
      <c r="CDH149" s="22"/>
      <c r="CDI149" s="22"/>
      <c r="CDJ149" s="22"/>
      <c r="CDK149" s="22"/>
      <c r="CDL149" s="22"/>
      <c r="CDM149" s="22"/>
      <c r="CDN149" s="22"/>
      <c r="CDO149" s="22"/>
      <c r="CDP149" s="22"/>
      <c r="CDQ149" s="22"/>
      <c r="CDR149" s="22"/>
      <c r="CDS149" s="22"/>
      <c r="CDT149" s="22"/>
      <c r="CDU149" s="22"/>
      <c r="CDV149" s="22"/>
      <c r="CDW149" s="22"/>
      <c r="CDX149" s="22"/>
      <c r="CDY149" s="22"/>
      <c r="CDZ149" s="22"/>
      <c r="CEA149" s="22"/>
      <c r="CEB149" s="22"/>
      <c r="CEC149" s="22"/>
      <c r="CED149" s="22"/>
      <c r="CEE149" s="22"/>
      <c r="CEF149" s="22"/>
      <c r="CEG149" s="22"/>
      <c r="CEH149" s="22"/>
      <c r="CEI149" s="22"/>
      <c r="CEJ149" s="22"/>
      <c r="CEK149" s="22"/>
      <c r="CEL149" s="22"/>
      <c r="CEM149" s="22"/>
      <c r="CEN149" s="22"/>
      <c r="CEO149" s="22"/>
      <c r="CEP149" s="22"/>
      <c r="CEQ149" s="22"/>
      <c r="CER149" s="22"/>
      <c r="CES149" s="22"/>
      <c r="CET149" s="22"/>
      <c r="CEU149" s="22"/>
      <c r="CEV149" s="22"/>
      <c r="CEW149" s="22"/>
      <c r="CEX149" s="22"/>
      <c r="CEY149" s="22"/>
      <c r="CEZ149" s="22"/>
      <c r="CFA149" s="22"/>
      <c r="CFB149" s="22"/>
      <c r="CFC149" s="22"/>
      <c r="CFD149" s="22"/>
      <c r="CFE149" s="22"/>
      <c r="CFF149" s="22"/>
      <c r="CFG149" s="22"/>
      <c r="CFH149" s="22"/>
      <c r="CFI149" s="22"/>
      <c r="CFJ149" s="22"/>
      <c r="CFK149" s="22"/>
      <c r="CFL149" s="22"/>
      <c r="CFM149" s="22"/>
      <c r="CFN149" s="22"/>
      <c r="CFO149" s="22"/>
      <c r="CFP149" s="22"/>
      <c r="CFQ149" s="22"/>
      <c r="CFR149" s="22"/>
      <c r="CFS149" s="22"/>
      <c r="CFT149" s="22"/>
      <c r="CFU149" s="22"/>
      <c r="CFV149" s="22"/>
      <c r="CFW149" s="22"/>
      <c r="CFX149" s="22"/>
      <c r="CFY149" s="22"/>
      <c r="CFZ149" s="22"/>
      <c r="CGA149" s="22"/>
      <c r="CGB149" s="22"/>
      <c r="CGC149" s="22"/>
      <c r="CGD149" s="22"/>
      <c r="CGE149" s="22"/>
      <c r="CGF149" s="22"/>
      <c r="CGG149" s="22"/>
      <c r="CGH149" s="22"/>
      <c r="CGI149" s="22"/>
      <c r="CGJ149" s="22"/>
      <c r="CGK149" s="22"/>
      <c r="CGL149" s="22"/>
      <c r="CGM149" s="22"/>
      <c r="CGN149" s="22"/>
      <c r="CGO149" s="22"/>
      <c r="CGP149" s="22"/>
      <c r="CGQ149" s="22"/>
      <c r="CGR149" s="22"/>
      <c r="CGS149" s="22"/>
      <c r="CGT149" s="22"/>
      <c r="CGU149" s="22"/>
      <c r="CGV149" s="22"/>
      <c r="CGW149" s="22"/>
      <c r="CGX149" s="22"/>
      <c r="CGY149" s="22"/>
      <c r="CGZ149" s="22"/>
      <c r="CHA149" s="22"/>
      <c r="CHB149" s="22"/>
      <c r="CHC149" s="22"/>
      <c r="CHD149" s="22"/>
      <c r="CHE149" s="22"/>
      <c r="CHF149" s="22"/>
      <c r="CHG149" s="22"/>
      <c r="CHH149" s="22"/>
      <c r="CHI149" s="22"/>
      <c r="CHJ149" s="22"/>
      <c r="CHK149" s="22"/>
      <c r="CHL149" s="22"/>
      <c r="CHM149" s="22"/>
      <c r="CHN149" s="22"/>
      <c r="CHO149" s="22"/>
      <c r="CHP149" s="22"/>
      <c r="CHQ149" s="22"/>
      <c r="CHR149" s="22"/>
      <c r="CHS149" s="22"/>
      <c r="CHT149" s="22"/>
      <c r="CHU149" s="22"/>
      <c r="CHV149" s="22"/>
      <c r="CHW149" s="22"/>
      <c r="CHX149" s="22"/>
      <c r="CHY149" s="22"/>
      <c r="CHZ149" s="22"/>
      <c r="CIA149" s="22"/>
      <c r="CIB149" s="22"/>
      <c r="CIC149" s="22"/>
      <c r="CID149" s="22"/>
      <c r="CIE149" s="22"/>
      <c r="CIF149" s="22"/>
      <c r="CIG149" s="22"/>
      <c r="CIH149" s="22"/>
      <c r="CII149" s="22"/>
      <c r="CIJ149" s="22"/>
      <c r="CIK149" s="22"/>
      <c r="CIL149" s="22"/>
      <c r="CIM149" s="22"/>
      <c r="CIN149" s="22"/>
      <c r="CIO149" s="22"/>
      <c r="CIP149" s="22"/>
      <c r="CIQ149" s="22"/>
      <c r="CIR149" s="22"/>
      <c r="CIS149" s="22"/>
      <c r="CIT149" s="22"/>
      <c r="CIU149" s="22"/>
      <c r="CIV149" s="22"/>
      <c r="CIW149" s="22"/>
      <c r="CIX149" s="22"/>
      <c r="CIY149" s="22"/>
      <c r="CIZ149" s="22"/>
      <c r="CJA149" s="22"/>
      <c r="CJB149" s="22"/>
      <c r="CJC149" s="22"/>
      <c r="CJD149" s="22"/>
      <c r="CJE149" s="22"/>
      <c r="CJF149" s="22"/>
      <c r="CJG149" s="22"/>
      <c r="CJH149" s="22"/>
      <c r="CJI149" s="22"/>
      <c r="CJJ149" s="22"/>
      <c r="CJK149" s="22"/>
      <c r="CJL149" s="22"/>
      <c r="CJM149" s="22"/>
      <c r="CJN149" s="22"/>
      <c r="CJO149" s="22"/>
      <c r="CJP149" s="22"/>
      <c r="CJQ149" s="22"/>
      <c r="CJR149" s="22"/>
      <c r="CJS149" s="22"/>
      <c r="CJT149" s="22"/>
      <c r="CJU149" s="22"/>
      <c r="CJV149" s="22"/>
      <c r="CJW149" s="22"/>
      <c r="CJX149" s="22"/>
      <c r="CJY149" s="22"/>
      <c r="CJZ149" s="22"/>
      <c r="CKA149" s="22"/>
      <c r="CKB149" s="22"/>
      <c r="CKC149" s="22"/>
      <c r="CKD149" s="22"/>
      <c r="CKE149" s="22"/>
      <c r="CKF149" s="22"/>
      <c r="CKG149" s="22"/>
      <c r="CKH149" s="22"/>
      <c r="CKI149" s="22"/>
      <c r="CKJ149" s="22"/>
      <c r="CKK149" s="22"/>
      <c r="CKL149" s="22"/>
      <c r="CKM149" s="22"/>
      <c r="CKN149" s="22"/>
      <c r="CKO149" s="22"/>
      <c r="CKP149" s="22"/>
      <c r="CKQ149" s="22"/>
      <c r="CKR149" s="22"/>
      <c r="CKS149" s="22"/>
      <c r="CKT149" s="22"/>
      <c r="CKU149" s="22"/>
      <c r="CKV149" s="22"/>
      <c r="CKW149" s="22"/>
      <c r="CKX149" s="22"/>
      <c r="CKY149" s="22"/>
      <c r="CKZ149" s="22"/>
      <c r="CLA149" s="22"/>
      <c r="CLB149" s="22"/>
      <c r="CLC149" s="22"/>
      <c r="CLD149" s="22"/>
      <c r="CLE149" s="22"/>
      <c r="CLF149" s="22"/>
      <c r="CLG149" s="22"/>
      <c r="CLH149" s="22"/>
      <c r="CLI149" s="22"/>
      <c r="CLJ149" s="22"/>
      <c r="CLK149" s="22"/>
      <c r="CLL149" s="22"/>
      <c r="CLM149" s="22"/>
      <c r="CLN149" s="22"/>
      <c r="CLO149" s="22"/>
      <c r="CLP149" s="22"/>
      <c r="CLQ149" s="22"/>
      <c r="CLR149" s="22"/>
      <c r="CLS149" s="22"/>
      <c r="CLT149" s="22"/>
      <c r="CLU149" s="22"/>
      <c r="CLV149" s="22"/>
      <c r="CLW149" s="22"/>
      <c r="CLX149" s="22"/>
      <c r="CLY149" s="22"/>
      <c r="CLZ149" s="22"/>
      <c r="CMA149" s="22"/>
      <c r="CMB149" s="22"/>
      <c r="CMC149" s="22"/>
      <c r="CMD149" s="22"/>
      <c r="CME149" s="22"/>
      <c r="CMF149" s="22"/>
      <c r="CMG149" s="22"/>
      <c r="CMH149" s="22"/>
      <c r="CMI149" s="22"/>
      <c r="CMJ149" s="22"/>
      <c r="CMK149" s="22"/>
      <c r="CML149" s="22"/>
      <c r="CMM149" s="22"/>
      <c r="CMN149" s="22"/>
      <c r="CMO149" s="22"/>
      <c r="CMP149" s="22"/>
      <c r="CMQ149" s="22"/>
      <c r="CMR149" s="22"/>
      <c r="CMS149" s="22"/>
      <c r="CMT149" s="22"/>
      <c r="CMU149" s="22"/>
      <c r="CMV149" s="22"/>
      <c r="CMW149" s="22"/>
      <c r="CMX149" s="22"/>
      <c r="CMY149" s="22"/>
      <c r="CMZ149" s="22"/>
      <c r="CNA149" s="22"/>
      <c r="CNB149" s="22"/>
      <c r="CNC149" s="22"/>
      <c r="CND149" s="22"/>
      <c r="CNE149" s="22"/>
      <c r="CNF149" s="22"/>
      <c r="CNG149" s="22"/>
      <c r="CNH149" s="22"/>
      <c r="CNI149" s="22"/>
      <c r="CNJ149" s="22"/>
      <c r="CNK149" s="22"/>
      <c r="CNL149" s="22"/>
      <c r="CNM149" s="22"/>
      <c r="CNN149" s="22"/>
      <c r="CNO149" s="22"/>
      <c r="CNP149" s="22"/>
      <c r="CNQ149" s="22"/>
      <c r="CNR149" s="22"/>
      <c r="CNS149" s="22"/>
      <c r="CNT149" s="22"/>
      <c r="CNU149" s="22"/>
      <c r="CNV149" s="22"/>
      <c r="CNW149" s="22"/>
      <c r="CNX149" s="22"/>
      <c r="CNY149" s="22"/>
      <c r="CNZ149" s="22"/>
      <c r="COA149" s="22"/>
      <c r="COB149" s="22"/>
      <c r="COC149" s="22"/>
      <c r="COD149" s="22"/>
      <c r="COE149" s="22"/>
      <c r="COF149" s="22"/>
      <c r="COG149" s="22"/>
      <c r="COH149" s="22"/>
      <c r="COI149" s="22"/>
      <c r="COJ149" s="22"/>
      <c r="COK149" s="22"/>
      <c r="COL149" s="22"/>
      <c r="COM149" s="22"/>
      <c r="CON149" s="22"/>
      <c r="COO149" s="22"/>
      <c r="COP149" s="22"/>
      <c r="COQ149" s="22"/>
      <c r="COR149" s="22"/>
      <c r="COS149" s="22"/>
      <c r="COT149" s="22"/>
      <c r="COU149" s="22"/>
      <c r="COV149" s="22"/>
      <c r="COW149" s="22"/>
      <c r="COX149" s="22"/>
      <c r="COY149" s="22"/>
      <c r="COZ149" s="22"/>
      <c r="CPA149" s="22"/>
      <c r="CPB149" s="22"/>
      <c r="CPC149" s="22"/>
      <c r="CPD149" s="22"/>
      <c r="CPE149" s="22"/>
      <c r="CPF149" s="22"/>
      <c r="CPG149" s="22"/>
      <c r="CPH149" s="22"/>
      <c r="CPI149" s="22"/>
      <c r="CPJ149" s="22"/>
      <c r="CPK149" s="22"/>
      <c r="CPL149" s="22"/>
      <c r="CPM149" s="22"/>
      <c r="CPN149" s="22"/>
      <c r="CPO149" s="22"/>
      <c r="CPP149" s="22"/>
      <c r="CPQ149" s="22"/>
      <c r="CPR149" s="22"/>
      <c r="CPS149" s="22"/>
      <c r="CPT149" s="22"/>
      <c r="CPU149" s="22"/>
      <c r="CPV149" s="22"/>
      <c r="CPW149" s="22"/>
      <c r="CPX149" s="22"/>
      <c r="CPY149" s="22"/>
      <c r="CPZ149" s="22"/>
      <c r="CQA149" s="22"/>
      <c r="CQB149" s="22"/>
      <c r="CQC149" s="22"/>
      <c r="CQD149" s="22"/>
      <c r="CQE149" s="22"/>
      <c r="CQF149" s="22"/>
      <c r="CQG149" s="22"/>
      <c r="CQH149" s="22"/>
      <c r="CQI149" s="22"/>
      <c r="CQJ149" s="22"/>
      <c r="CQK149" s="22"/>
      <c r="CQL149" s="22"/>
      <c r="CQM149" s="22"/>
      <c r="CQN149" s="22"/>
      <c r="CQO149" s="22"/>
      <c r="CQP149" s="22"/>
      <c r="CQQ149" s="22"/>
      <c r="CQR149" s="22"/>
      <c r="CQS149" s="22"/>
      <c r="CQT149" s="22"/>
      <c r="CQU149" s="22"/>
      <c r="CQV149" s="22"/>
      <c r="CQW149" s="22"/>
      <c r="CQX149" s="22"/>
      <c r="CQY149" s="22"/>
      <c r="CQZ149" s="22"/>
      <c r="CRA149" s="22"/>
      <c r="CRB149" s="22"/>
      <c r="CRC149" s="22"/>
      <c r="CRD149" s="22"/>
      <c r="CRE149" s="22"/>
      <c r="CRF149" s="22"/>
      <c r="CRG149" s="22"/>
      <c r="CRH149" s="22"/>
      <c r="CRI149" s="22"/>
      <c r="CRJ149" s="22"/>
      <c r="CRK149" s="22"/>
      <c r="CRL149" s="22"/>
      <c r="CRM149" s="22"/>
      <c r="CRN149" s="22"/>
      <c r="CRO149" s="22"/>
      <c r="CRP149" s="22"/>
      <c r="CRQ149" s="22"/>
      <c r="CRR149" s="22"/>
      <c r="CRS149" s="22"/>
      <c r="CRT149" s="22"/>
      <c r="CRU149" s="22"/>
      <c r="CRV149" s="22"/>
      <c r="CRW149" s="22"/>
      <c r="CRX149" s="22"/>
      <c r="CRY149" s="22"/>
      <c r="CRZ149" s="22"/>
      <c r="CSA149" s="22"/>
      <c r="CSB149" s="22"/>
      <c r="CSC149" s="22"/>
      <c r="CSD149" s="22"/>
      <c r="CSE149" s="22"/>
      <c r="CSF149" s="22"/>
      <c r="CSG149" s="22"/>
      <c r="CSH149" s="22"/>
      <c r="CSI149" s="22"/>
      <c r="CSJ149" s="22"/>
      <c r="CSK149" s="22"/>
      <c r="CSL149" s="22"/>
      <c r="CSM149" s="22"/>
      <c r="CSN149" s="22"/>
      <c r="CSO149" s="22"/>
      <c r="CSP149" s="22"/>
      <c r="CSQ149" s="22"/>
      <c r="CSR149" s="22"/>
      <c r="CSS149" s="22"/>
      <c r="CST149" s="22"/>
      <c r="CSU149" s="22"/>
      <c r="CSV149" s="22"/>
      <c r="CSW149" s="22"/>
      <c r="CSX149" s="22"/>
      <c r="CSY149" s="22"/>
      <c r="CSZ149" s="22"/>
      <c r="CTA149" s="22"/>
      <c r="CTB149" s="22"/>
      <c r="CTC149" s="22"/>
      <c r="CTD149" s="22"/>
      <c r="CTE149" s="22"/>
      <c r="CTF149" s="22"/>
      <c r="CTG149" s="22"/>
      <c r="CTH149" s="22"/>
      <c r="CTI149" s="22"/>
      <c r="CTJ149" s="22"/>
      <c r="CTK149" s="22"/>
      <c r="CTL149" s="22"/>
      <c r="CTM149" s="22"/>
      <c r="CTN149" s="22"/>
      <c r="CTO149" s="22"/>
      <c r="CTP149" s="22"/>
      <c r="CTQ149" s="22"/>
      <c r="CTR149" s="22"/>
      <c r="CTS149" s="22"/>
      <c r="CTT149" s="22"/>
      <c r="CTU149" s="22"/>
      <c r="CTV149" s="22"/>
      <c r="CTW149" s="22"/>
      <c r="CTX149" s="22"/>
      <c r="CTY149" s="22"/>
      <c r="CTZ149" s="22"/>
      <c r="CUA149" s="22"/>
      <c r="CUB149" s="22"/>
      <c r="CUC149" s="22"/>
      <c r="CUD149" s="22"/>
      <c r="CUE149" s="22"/>
      <c r="CUF149" s="22"/>
      <c r="CUG149" s="22"/>
      <c r="CUH149" s="22"/>
      <c r="CUI149" s="22"/>
      <c r="CUJ149" s="22"/>
      <c r="CUK149" s="22"/>
      <c r="CUL149" s="22"/>
      <c r="CUM149" s="22"/>
      <c r="CUN149" s="22"/>
      <c r="CUO149" s="22"/>
      <c r="CUP149" s="22"/>
      <c r="CUQ149" s="22"/>
      <c r="CUR149" s="22"/>
      <c r="CUS149" s="22"/>
      <c r="CUT149" s="22"/>
      <c r="CUU149" s="22"/>
      <c r="CUV149" s="22"/>
      <c r="CUW149" s="22"/>
      <c r="CUX149" s="22"/>
      <c r="CUY149" s="22"/>
      <c r="CUZ149" s="22"/>
      <c r="CVA149" s="22"/>
      <c r="CVB149" s="22"/>
      <c r="CVC149" s="22"/>
      <c r="CVD149" s="22"/>
      <c r="CVE149" s="22"/>
      <c r="CVF149" s="22"/>
      <c r="CVG149" s="22"/>
      <c r="CVH149" s="22"/>
      <c r="CVI149" s="22"/>
      <c r="CVJ149" s="22"/>
      <c r="CVK149" s="22"/>
      <c r="CVL149" s="22"/>
      <c r="CVM149" s="22"/>
      <c r="CVN149" s="22"/>
      <c r="CVO149" s="22"/>
      <c r="CVP149" s="22"/>
      <c r="CVQ149" s="22"/>
      <c r="CVR149" s="22"/>
      <c r="CVS149" s="22"/>
      <c r="CVT149" s="22"/>
      <c r="CVU149" s="22"/>
      <c r="CVV149" s="22"/>
      <c r="CVW149" s="22"/>
      <c r="CVX149" s="22"/>
      <c r="CVY149" s="22"/>
      <c r="CVZ149" s="22"/>
      <c r="CWA149" s="22"/>
      <c r="CWB149" s="22"/>
      <c r="CWC149" s="22"/>
      <c r="CWD149" s="22"/>
      <c r="CWE149" s="22"/>
      <c r="CWF149" s="22"/>
      <c r="CWG149" s="22"/>
      <c r="CWH149" s="22"/>
      <c r="CWI149" s="22"/>
      <c r="CWJ149" s="22"/>
      <c r="CWK149" s="22"/>
      <c r="CWL149" s="22"/>
      <c r="CWM149" s="22"/>
      <c r="CWN149" s="22"/>
      <c r="CWO149" s="22"/>
      <c r="CWP149" s="22"/>
      <c r="CWQ149" s="22"/>
      <c r="CWR149" s="22"/>
      <c r="CWS149" s="22"/>
      <c r="CWT149" s="22"/>
      <c r="CWU149" s="22"/>
      <c r="CWV149" s="22"/>
      <c r="CWW149" s="22"/>
      <c r="CWX149" s="22"/>
      <c r="CWY149" s="22"/>
      <c r="CWZ149" s="22"/>
      <c r="CXA149" s="22"/>
      <c r="CXB149" s="22"/>
      <c r="CXC149" s="22"/>
      <c r="CXD149" s="22"/>
      <c r="CXE149" s="22"/>
      <c r="CXF149" s="22"/>
      <c r="CXG149" s="22"/>
      <c r="CXH149" s="22"/>
      <c r="CXI149" s="22"/>
      <c r="CXJ149" s="22"/>
      <c r="CXK149" s="22"/>
      <c r="CXL149" s="22"/>
      <c r="CXM149" s="22"/>
      <c r="CXN149" s="22"/>
      <c r="CXO149" s="22"/>
      <c r="CXP149" s="22"/>
      <c r="CXQ149" s="22"/>
      <c r="CXR149" s="22"/>
      <c r="CXS149" s="22"/>
      <c r="CXT149" s="22"/>
      <c r="CXU149" s="22"/>
      <c r="CXV149" s="22"/>
      <c r="CXW149" s="22"/>
      <c r="CXX149" s="22"/>
      <c r="CXY149" s="22"/>
      <c r="CXZ149" s="22"/>
      <c r="CYA149" s="22"/>
      <c r="CYB149" s="22"/>
      <c r="CYC149" s="22"/>
      <c r="CYD149" s="22"/>
      <c r="CYE149" s="22"/>
      <c r="CYF149" s="22"/>
      <c r="CYG149" s="22"/>
      <c r="CYH149" s="22"/>
      <c r="CYI149" s="22"/>
      <c r="CYJ149" s="22"/>
      <c r="CYK149" s="22"/>
      <c r="CYL149" s="22"/>
      <c r="CYM149" s="22"/>
      <c r="CYN149" s="22"/>
      <c r="CYO149" s="22"/>
      <c r="CYP149" s="22"/>
      <c r="CYQ149" s="22"/>
      <c r="CYR149" s="22"/>
      <c r="CYS149" s="22"/>
      <c r="CYT149" s="22"/>
      <c r="CYU149" s="22"/>
      <c r="CYV149" s="22"/>
      <c r="CYW149" s="22"/>
      <c r="CYX149" s="22"/>
      <c r="CYY149" s="22"/>
      <c r="CYZ149" s="22"/>
      <c r="CZA149" s="22"/>
      <c r="CZB149" s="22"/>
      <c r="CZC149" s="22"/>
      <c r="CZD149" s="22"/>
      <c r="CZE149" s="22"/>
      <c r="CZF149" s="22"/>
      <c r="CZG149" s="22"/>
      <c r="CZH149" s="22"/>
      <c r="CZI149" s="22"/>
      <c r="CZJ149" s="22"/>
      <c r="CZK149" s="22"/>
      <c r="CZL149" s="22"/>
      <c r="CZM149" s="22"/>
      <c r="CZN149" s="22"/>
      <c r="CZO149" s="22"/>
      <c r="CZP149" s="22"/>
      <c r="CZQ149" s="22"/>
      <c r="CZR149" s="22"/>
      <c r="CZS149" s="22"/>
      <c r="CZT149" s="22"/>
      <c r="CZU149" s="22"/>
      <c r="CZV149" s="22"/>
      <c r="CZW149" s="22"/>
      <c r="CZX149" s="22"/>
      <c r="CZY149" s="22"/>
      <c r="CZZ149" s="22"/>
      <c r="DAA149" s="22"/>
      <c r="DAB149" s="22"/>
      <c r="DAC149" s="22"/>
      <c r="DAD149" s="22"/>
      <c r="DAE149" s="22"/>
      <c r="DAF149" s="22"/>
      <c r="DAG149" s="22"/>
      <c r="DAH149" s="22"/>
      <c r="DAI149" s="22"/>
      <c r="DAJ149" s="22"/>
      <c r="DAK149" s="22"/>
      <c r="DAL149" s="22"/>
      <c r="DAM149" s="22"/>
      <c r="DAN149" s="22"/>
      <c r="DAO149" s="22"/>
      <c r="DAP149" s="22"/>
      <c r="DAQ149" s="22"/>
      <c r="DAR149" s="22"/>
      <c r="DAS149" s="22"/>
      <c r="DAT149" s="22"/>
      <c r="DAU149" s="22"/>
      <c r="DAV149" s="22"/>
      <c r="DAW149" s="22"/>
      <c r="DAX149" s="22"/>
      <c r="DAY149" s="22"/>
      <c r="DAZ149" s="22"/>
      <c r="DBA149" s="22"/>
      <c r="DBB149" s="22"/>
      <c r="DBC149" s="22"/>
      <c r="DBD149" s="22"/>
      <c r="DBE149" s="22"/>
      <c r="DBF149" s="22"/>
      <c r="DBG149" s="22"/>
      <c r="DBH149" s="22"/>
      <c r="DBI149" s="22"/>
      <c r="DBJ149" s="22"/>
      <c r="DBK149" s="22"/>
      <c r="DBL149" s="22"/>
      <c r="DBM149" s="22"/>
      <c r="DBN149" s="22"/>
      <c r="DBO149" s="22"/>
      <c r="DBP149" s="22"/>
      <c r="DBQ149" s="22"/>
      <c r="DBR149" s="22"/>
      <c r="DBS149" s="22"/>
      <c r="DBT149" s="22"/>
      <c r="DBU149" s="22"/>
      <c r="DBV149" s="22"/>
      <c r="DBW149" s="22"/>
      <c r="DBX149" s="22"/>
      <c r="DBY149" s="22"/>
      <c r="DBZ149" s="22"/>
      <c r="DCA149" s="22"/>
      <c r="DCB149" s="22"/>
      <c r="DCC149" s="22"/>
      <c r="DCD149" s="22"/>
      <c r="DCE149" s="22"/>
      <c r="DCF149" s="22"/>
      <c r="DCG149" s="22"/>
      <c r="DCH149" s="22"/>
      <c r="DCI149" s="22"/>
      <c r="DCJ149" s="22"/>
      <c r="DCK149" s="22"/>
      <c r="DCL149" s="22"/>
      <c r="DCM149" s="22"/>
      <c r="DCN149" s="22"/>
      <c r="DCO149" s="22"/>
      <c r="DCP149" s="22"/>
      <c r="DCQ149" s="22"/>
      <c r="DCR149" s="22"/>
      <c r="DCS149" s="22"/>
      <c r="DCT149" s="22"/>
      <c r="DCU149" s="22"/>
      <c r="DCV149" s="22"/>
      <c r="DCW149" s="22"/>
      <c r="DCX149" s="22"/>
      <c r="DCY149" s="22"/>
      <c r="DCZ149" s="22"/>
      <c r="DDA149" s="22"/>
      <c r="DDB149" s="22"/>
      <c r="DDC149" s="22"/>
      <c r="DDD149" s="22"/>
      <c r="DDE149" s="22"/>
      <c r="DDF149" s="22"/>
      <c r="DDG149" s="22"/>
      <c r="DDH149" s="22"/>
      <c r="DDI149" s="22"/>
      <c r="DDJ149" s="22"/>
      <c r="DDK149" s="22"/>
      <c r="DDL149" s="22"/>
      <c r="DDM149" s="22"/>
      <c r="DDN149" s="22"/>
      <c r="DDO149" s="22"/>
      <c r="DDP149" s="22"/>
      <c r="DDQ149" s="22"/>
      <c r="DDR149" s="22"/>
      <c r="DDS149" s="22"/>
      <c r="DDT149" s="22"/>
      <c r="DDU149" s="22"/>
      <c r="DDV149" s="22"/>
      <c r="DDW149" s="22"/>
      <c r="DDX149" s="22"/>
      <c r="DDY149" s="22"/>
      <c r="DDZ149" s="22"/>
      <c r="DEA149" s="22"/>
      <c r="DEB149" s="22"/>
      <c r="DEC149" s="22"/>
      <c r="DED149" s="22"/>
      <c r="DEE149" s="22"/>
      <c r="DEF149" s="22"/>
      <c r="DEG149" s="22"/>
      <c r="DEH149" s="22"/>
      <c r="DEI149" s="22"/>
      <c r="DEJ149" s="22"/>
      <c r="DEK149" s="22"/>
      <c r="DEL149" s="22"/>
      <c r="DEM149" s="22"/>
      <c r="DEN149" s="22"/>
      <c r="DEO149" s="22"/>
      <c r="DEP149" s="22"/>
      <c r="DEQ149" s="22"/>
      <c r="DER149" s="22"/>
      <c r="DES149" s="22"/>
      <c r="DET149" s="22"/>
      <c r="DEU149" s="22"/>
      <c r="DEV149" s="22"/>
      <c r="DEW149" s="22"/>
      <c r="DEX149" s="22"/>
      <c r="DEY149" s="22"/>
      <c r="DEZ149" s="22"/>
      <c r="DFA149" s="22"/>
      <c r="DFB149" s="22"/>
      <c r="DFC149" s="22"/>
      <c r="DFD149" s="22"/>
      <c r="DFE149" s="22"/>
      <c r="DFF149" s="22"/>
      <c r="DFG149" s="22"/>
      <c r="DFH149" s="22"/>
      <c r="DFI149" s="22"/>
      <c r="DFJ149" s="22"/>
      <c r="DFK149" s="22"/>
      <c r="DFL149" s="22"/>
      <c r="DFM149" s="22"/>
      <c r="DFN149" s="22"/>
      <c r="DFO149" s="22"/>
      <c r="DFP149" s="22"/>
      <c r="DFQ149" s="22"/>
      <c r="DFR149" s="22"/>
      <c r="DFS149" s="22"/>
      <c r="DFT149" s="22"/>
      <c r="DFU149" s="22"/>
      <c r="DFV149" s="22"/>
      <c r="DFW149" s="22"/>
      <c r="DFX149" s="22"/>
      <c r="DFY149" s="22"/>
      <c r="DFZ149" s="22"/>
      <c r="DGA149" s="22"/>
      <c r="DGB149" s="22"/>
      <c r="DGC149" s="22"/>
      <c r="DGD149" s="22"/>
      <c r="DGE149" s="22"/>
      <c r="DGF149" s="22"/>
      <c r="DGG149" s="22"/>
      <c r="DGH149" s="22"/>
      <c r="DGI149" s="22"/>
      <c r="DGJ149" s="22"/>
      <c r="DGK149" s="22"/>
      <c r="DGL149" s="22"/>
      <c r="DGM149" s="22"/>
      <c r="DGN149" s="22"/>
      <c r="DGO149" s="22"/>
      <c r="DGP149" s="22"/>
      <c r="DGQ149" s="22"/>
      <c r="DGR149" s="22"/>
      <c r="DGS149" s="22"/>
      <c r="DGT149" s="22"/>
      <c r="DGU149" s="22"/>
      <c r="DGV149" s="22"/>
      <c r="DGW149" s="22"/>
      <c r="DGX149" s="22"/>
      <c r="DGY149" s="22"/>
      <c r="DGZ149" s="22"/>
      <c r="DHA149" s="22"/>
      <c r="DHB149" s="22"/>
      <c r="DHC149" s="22"/>
      <c r="DHD149" s="22"/>
      <c r="DHE149" s="22"/>
      <c r="DHF149" s="22"/>
      <c r="DHG149" s="22"/>
      <c r="DHH149" s="22"/>
      <c r="DHI149" s="22"/>
      <c r="DHJ149" s="22"/>
      <c r="DHK149" s="22"/>
      <c r="DHL149" s="22"/>
      <c r="DHM149" s="22"/>
      <c r="DHN149" s="22"/>
      <c r="DHO149" s="22"/>
      <c r="DHP149" s="22"/>
      <c r="DHQ149" s="22"/>
      <c r="DHR149" s="22"/>
      <c r="DHS149" s="22"/>
      <c r="DHT149" s="22"/>
      <c r="DHU149" s="22"/>
      <c r="DHV149" s="22"/>
      <c r="DHW149" s="22"/>
      <c r="DHX149" s="22"/>
      <c r="DHY149" s="22"/>
      <c r="DHZ149" s="22"/>
      <c r="DIA149" s="22"/>
      <c r="DIB149" s="22"/>
      <c r="DIC149" s="22"/>
      <c r="DID149" s="22"/>
      <c r="DIE149" s="22"/>
      <c r="DIF149" s="22"/>
      <c r="DIG149" s="22"/>
      <c r="DIH149" s="22"/>
      <c r="DII149" s="22"/>
      <c r="DIJ149" s="22"/>
      <c r="DIK149" s="22"/>
      <c r="DIL149" s="22"/>
      <c r="DIM149" s="22"/>
      <c r="DIN149" s="22"/>
      <c r="DIO149" s="22"/>
      <c r="DIP149" s="22"/>
      <c r="DIQ149" s="22"/>
      <c r="DIR149" s="22"/>
      <c r="DIS149" s="22"/>
      <c r="DIT149" s="22"/>
      <c r="DIU149" s="22"/>
      <c r="DIV149" s="22"/>
      <c r="DIW149" s="22"/>
      <c r="DIX149" s="22"/>
      <c r="DIY149" s="22"/>
      <c r="DIZ149" s="22"/>
      <c r="DJA149" s="22"/>
      <c r="DJB149" s="22"/>
      <c r="DJC149" s="22"/>
      <c r="DJD149" s="22"/>
      <c r="DJE149" s="22"/>
      <c r="DJF149" s="22"/>
      <c r="DJG149" s="22"/>
      <c r="DJH149" s="22"/>
      <c r="DJI149" s="22"/>
      <c r="DJJ149" s="22"/>
      <c r="DJK149" s="22"/>
      <c r="DJL149" s="22"/>
      <c r="DJM149" s="22"/>
      <c r="DJN149" s="22"/>
      <c r="DJO149" s="22"/>
      <c r="DJP149" s="22"/>
      <c r="DJQ149" s="22"/>
      <c r="DJR149" s="22"/>
      <c r="DJS149" s="22"/>
      <c r="DJT149" s="22"/>
      <c r="DJU149" s="22"/>
      <c r="DJV149" s="22"/>
      <c r="DJW149" s="22"/>
      <c r="DJX149" s="22"/>
      <c r="DJY149" s="22"/>
      <c r="DJZ149" s="22"/>
      <c r="DKA149" s="22"/>
      <c r="DKB149" s="22"/>
      <c r="DKC149" s="22"/>
      <c r="DKD149" s="22"/>
      <c r="DKE149" s="22"/>
      <c r="DKF149" s="22"/>
      <c r="DKG149" s="22"/>
      <c r="DKH149" s="22"/>
      <c r="DKI149" s="22"/>
      <c r="DKJ149" s="22"/>
      <c r="DKK149" s="22"/>
      <c r="DKL149" s="22"/>
      <c r="DKM149" s="22"/>
      <c r="DKN149" s="22"/>
      <c r="DKO149" s="22"/>
      <c r="DKP149" s="22"/>
      <c r="DKQ149" s="22"/>
      <c r="DKR149" s="22"/>
      <c r="DKS149" s="22"/>
      <c r="DKT149" s="22"/>
      <c r="DKU149" s="22"/>
      <c r="DKV149" s="22"/>
      <c r="DKW149" s="22"/>
      <c r="DKX149" s="22"/>
      <c r="DKY149" s="22"/>
      <c r="DKZ149" s="22"/>
      <c r="DLA149" s="22"/>
      <c r="DLB149" s="22"/>
      <c r="DLC149" s="22"/>
      <c r="DLD149" s="22"/>
      <c r="DLE149" s="22"/>
      <c r="DLF149" s="22"/>
      <c r="DLG149" s="22"/>
      <c r="DLH149" s="22"/>
      <c r="DLI149" s="22"/>
      <c r="DLJ149" s="22"/>
      <c r="DLK149" s="22"/>
      <c r="DLL149" s="22"/>
      <c r="DLM149" s="22"/>
      <c r="DLN149" s="22"/>
      <c r="DLO149" s="22"/>
      <c r="DLP149" s="22"/>
      <c r="DLQ149" s="22"/>
      <c r="DLR149" s="22"/>
      <c r="DLS149" s="22"/>
      <c r="DLT149" s="22"/>
      <c r="DLU149" s="22"/>
      <c r="DLV149" s="22"/>
      <c r="DLW149" s="22"/>
      <c r="DLX149" s="22"/>
      <c r="DLY149" s="22"/>
      <c r="DLZ149" s="22"/>
      <c r="DMA149" s="22"/>
      <c r="DMB149" s="22"/>
      <c r="DMC149" s="22"/>
      <c r="DMD149" s="22"/>
      <c r="DME149" s="22"/>
      <c r="DMF149" s="22"/>
      <c r="DMG149" s="22"/>
      <c r="DMH149" s="22"/>
      <c r="DMI149" s="22"/>
      <c r="DMJ149" s="22"/>
      <c r="DMK149" s="22"/>
      <c r="DML149" s="22"/>
      <c r="DMM149" s="22"/>
      <c r="DMN149" s="22"/>
      <c r="DMO149" s="22"/>
      <c r="DMP149" s="22"/>
      <c r="DMQ149" s="22"/>
      <c r="DMR149" s="22"/>
      <c r="DMS149" s="22"/>
      <c r="DMT149" s="22"/>
      <c r="DMU149" s="22"/>
      <c r="DMV149" s="22"/>
      <c r="DMW149" s="22"/>
      <c r="DMX149" s="22"/>
      <c r="DMY149" s="22"/>
      <c r="DMZ149" s="22"/>
      <c r="DNA149" s="22"/>
      <c r="DNB149" s="22"/>
      <c r="DNC149" s="22"/>
      <c r="DND149" s="22"/>
      <c r="DNE149" s="22"/>
      <c r="DNF149" s="22"/>
      <c r="DNG149" s="22"/>
      <c r="DNH149" s="22"/>
      <c r="DNI149" s="22"/>
      <c r="DNJ149" s="22"/>
      <c r="DNK149" s="22"/>
      <c r="DNL149" s="22"/>
      <c r="DNM149" s="22"/>
      <c r="DNN149" s="22"/>
      <c r="DNO149" s="22"/>
      <c r="DNP149" s="22"/>
      <c r="DNQ149" s="22"/>
      <c r="DNR149" s="22"/>
      <c r="DNS149" s="22"/>
      <c r="DNT149" s="22"/>
      <c r="DNU149" s="22"/>
      <c r="DNV149" s="22"/>
      <c r="DNW149" s="22"/>
      <c r="DNX149" s="22"/>
      <c r="DNY149" s="22"/>
      <c r="DNZ149" s="22"/>
      <c r="DOA149" s="22"/>
      <c r="DOB149" s="22"/>
      <c r="DOC149" s="22"/>
      <c r="DOD149" s="22"/>
      <c r="DOE149" s="22"/>
      <c r="DOF149" s="22"/>
      <c r="DOG149" s="22"/>
      <c r="DOH149" s="22"/>
      <c r="DOI149" s="22"/>
      <c r="DOJ149" s="22"/>
      <c r="DOK149" s="22"/>
      <c r="DOL149" s="22"/>
      <c r="DOM149" s="22"/>
      <c r="DON149" s="22"/>
      <c r="DOO149" s="22"/>
      <c r="DOP149" s="22"/>
      <c r="DOQ149" s="22"/>
      <c r="DOR149" s="22"/>
      <c r="DOS149" s="22"/>
      <c r="DOT149" s="22"/>
      <c r="DOU149" s="22"/>
      <c r="DOV149" s="22"/>
      <c r="DOW149" s="22"/>
      <c r="DOX149" s="22"/>
      <c r="DOY149" s="22"/>
      <c r="DOZ149" s="22"/>
      <c r="DPA149" s="22"/>
      <c r="DPB149" s="22"/>
      <c r="DPC149" s="22"/>
      <c r="DPD149" s="22"/>
      <c r="DPE149" s="22"/>
      <c r="DPF149" s="22"/>
      <c r="DPG149" s="22"/>
      <c r="DPH149" s="22"/>
      <c r="DPI149" s="22"/>
      <c r="DPJ149" s="22"/>
      <c r="DPK149" s="22"/>
      <c r="DPL149" s="22"/>
      <c r="DPM149" s="22"/>
      <c r="DPN149" s="22"/>
      <c r="DPO149" s="22"/>
      <c r="DPP149" s="22"/>
      <c r="DPQ149" s="22"/>
      <c r="DPR149" s="22"/>
      <c r="DPS149" s="22"/>
      <c r="DPT149" s="22"/>
      <c r="DPU149" s="22"/>
      <c r="DPV149" s="22"/>
      <c r="DPW149" s="22"/>
      <c r="DPX149" s="22"/>
      <c r="DPY149" s="22"/>
      <c r="DPZ149" s="22"/>
      <c r="DQA149" s="22"/>
      <c r="DQB149" s="22"/>
      <c r="DQC149" s="22"/>
      <c r="DQD149" s="22"/>
      <c r="DQE149" s="22"/>
      <c r="DQF149" s="22"/>
      <c r="DQG149" s="22"/>
      <c r="DQH149" s="22"/>
      <c r="DQI149" s="22"/>
      <c r="DQJ149" s="22"/>
      <c r="DQK149" s="22"/>
      <c r="DQL149" s="22"/>
      <c r="DQM149" s="22"/>
      <c r="DQN149" s="22"/>
      <c r="DQO149" s="22"/>
      <c r="DQP149" s="22"/>
      <c r="DQQ149" s="22"/>
      <c r="DQR149" s="22"/>
      <c r="DQS149" s="22"/>
      <c r="DQT149" s="22"/>
      <c r="DQU149" s="22"/>
      <c r="DQV149" s="22"/>
      <c r="DQW149" s="22"/>
      <c r="DQX149" s="22"/>
      <c r="DQY149" s="22"/>
      <c r="DQZ149" s="22"/>
      <c r="DRA149" s="22"/>
      <c r="DRB149" s="22"/>
      <c r="DRC149" s="22"/>
      <c r="DRD149" s="22"/>
      <c r="DRE149" s="22"/>
      <c r="DRF149" s="22"/>
      <c r="DRG149" s="22"/>
      <c r="DRH149" s="22"/>
      <c r="DRI149" s="22"/>
      <c r="DRJ149" s="22"/>
      <c r="DRK149" s="22"/>
      <c r="DRL149" s="22"/>
      <c r="DRM149" s="22"/>
      <c r="DRN149" s="22"/>
      <c r="DRO149" s="22"/>
      <c r="DRP149" s="22"/>
      <c r="DRQ149" s="22"/>
      <c r="DRR149" s="22"/>
      <c r="DRS149" s="22"/>
      <c r="DRT149" s="22"/>
      <c r="DRU149" s="22"/>
      <c r="DRV149" s="22"/>
      <c r="DRW149" s="22"/>
      <c r="DRX149" s="22"/>
      <c r="DRY149" s="22"/>
      <c r="DRZ149" s="22"/>
      <c r="DSA149" s="22"/>
      <c r="DSB149" s="22"/>
      <c r="DSC149" s="22"/>
      <c r="DSD149" s="22"/>
      <c r="DSE149" s="22"/>
      <c r="DSF149" s="22"/>
      <c r="DSG149" s="22"/>
      <c r="DSH149" s="22"/>
      <c r="DSI149" s="22"/>
      <c r="DSJ149" s="22"/>
      <c r="DSK149" s="22"/>
      <c r="DSL149" s="22"/>
      <c r="DSM149" s="22"/>
      <c r="DSN149" s="22"/>
      <c r="DSO149" s="22"/>
      <c r="DSP149" s="22"/>
      <c r="DSQ149" s="22"/>
      <c r="DSR149" s="22"/>
      <c r="DSS149" s="22"/>
      <c r="DST149" s="22"/>
      <c r="DSU149" s="22"/>
      <c r="DSV149" s="22"/>
      <c r="DSW149" s="22"/>
      <c r="DSX149" s="22"/>
      <c r="DSY149" s="22"/>
      <c r="DSZ149" s="22"/>
      <c r="DTA149" s="22"/>
      <c r="DTB149" s="22"/>
      <c r="DTC149" s="22"/>
      <c r="DTD149" s="22"/>
      <c r="DTE149" s="22"/>
      <c r="DTF149" s="22"/>
      <c r="DTG149" s="22"/>
      <c r="DTH149" s="22"/>
      <c r="DTI149" s="22"/>
      <c r="DTJ149" s="22"/>
      <c r="DTK149" s="22"/>
      <c r="DTL149" s="22"/>
      <c r="DTM149" s="22"/>
      <c r="DTN149" s="22"/>
      <c r="DTO149" s="22"/>
      <c r="DTP149" s="22"/>
      <c r="DTQ149" s="22"/>
      <c r="DTR149" s="22"/>
      <c r="DTS149" s="22"/>
      <c r="DTT149" s="22"/>
      <c r="DTU149" s="22"/>
      <c r="DTV149" s="22"/>
      <c r="DTW149" s="22"/>
      <c r="DTX149" s="22"/>
      <c r="DTY149" s="22"/>
      <c r="DTZ149" s="22"/>
      <c r="DUA149" s="22"/>
      <c r="DUB149" s="22"/>
      <c r="DUC149" s="22"/>
      <c r="DUD149" s="22"/>
      <c r="DUE149" s="22"/>
      <c r="DUF149" s="22"/>
      <c r="DUG149" s="22"/>
      <c r="DUH149" s="22"/>
      <c r="DUI149" s="22"/>
      <c r="DUJ149" s="22"/>
      <c r="DUK149" s="22"/>
      <c r="DUL149" s="22"/>
      <c r="DUM149" s="22"/>
      <c r="DUN149" s="22"/>
      <c r="DUO149" s="22"/>
      <c r="DUP149" s="22"/>
      <c r="DUQ149" s="22"/>
      <c r="DUR149" s="22"/>
      <c r="DUS149" s="22"/>
      <c r="DUT149" s="22"/>
      <c r="DUU149" s="22"/>
      <c r="DUV149" s="22"/>
      <c r="DUW149" s="22"/>
      <c r="DUX149" s="22"/>
      <c r="DUY149" s="22"/>
      <c r="DUZ149" s="22"/>
      <c r="DVA149" s="22"/>
      <c r="DVB149" s="22"/>
      <c r="DVC149" s="22"/>
      <c r="DVD149" s="22"/>
      <c r="DVE149" s="22"/>
      <c r="DVF149" s="22"/>
      <c r="DVG149" s="22"/>
      <c r="DVH149" s="22"/>
      <c r="DVI149" s="22"/>
      <c r="DVJ149" s="22"/>
      <c r="DVK149" s="22"/>
      <c r="DVL149" s="22"/>
      <c r="DVM149" s="22"/>
      <c r="DVN149" s="22"/>
      <c r="DVO149" s="22"/>
      <c r="DVP149" s="22"/>
      <c r="DVQ149" s="22"/>
      <c r="DVR149" s="22"/>
      <c r="DVS149" s="22"/>
      <c r="DVT149" s="22"/>
      <c r="DVU149" s="22"/>
      <c r="DVV149" s="22"/>
      <c r="DVW149" s="22"/>
      <c r="DVX149" s="22"/>
      <c r="DVY149" s="22"/>
      <c r="DVZ149" s="22"/>
      <c r="DWA149" s="22"/>
      <c r="DWB149" s="22"/>
      <c r="DWC149" s="22"/>
      <c r="DWD149" s="22"/>
      <c r="DWE149" s="22"/>
      <c r="DWF149" s="22"/>
      <c r="DWG149" s="22"/>
      <c r="DWH149" s="22"/>
      <c r="DWI149" s="22"/>
      <c r="DWJ149" s="22"/>
      <c r="DWK149" s="22"/>
      <c r="DWL149" s="22"/>
      <c r="DWM149" s="22"/>
      <c r="DWN149" s="22"/>
      <c r="DWO149" s="22"/>
      <c r="DWP149" s="22"/>
      <c r="DWQ149" s="22"/>
      <c r="DWR149" s="22"/>
      <c r="DWS149" s="22"/>
      <c r="DWT149" s="22"/>
      <c r="DWU149" s="22"/>
      <c r="DWV149" s="22"/>
      <c r="DWW149" s="22"/>
      <c r="DWX149" s="22"/>
      <c r="DWY149" s="22"/>
      <c r="DWZ149" s="22"/>
      <c r="DXA149" s="22"/>
      <c r="DXB149" s="22"/>
      <c r="DXC149" s="22"/>
      <c r="DXD149" s="22"/>
      <c r="DXE149" s="22"/>
      <c r="DXF149" s="22"/>
      <c r="DXG149" s="22"/>
      <c r="DXH149" s="22"/>
      <c r="DXI149" s="22"/>
      <c r="DXJ149" s="22"/>
      <c r="DXK149" s="22"/>
      <c r="DXL149" s="22"/>
      <c r="DXM149" s="22"/>
      <c r="DXN149" s="22"/>
      <c r="DXO149" s="22"/>
      <c r="DXP149" s="22"/>
      <c r="DXQ149" s="22"/>
      <c r="DXR149" s="22"/>
      <c r="DXS149" s="22"/>
      <c r="DXT149" s="22"/>
      <c r="DXU149" s="22"/>
      <c r="DXV149" s="22"/>
      <c r="DXW149" s="22"/>
      <c r="DXX149" s="22"/>
      <c r="DXY149" s="22"/>
      <c r="DXZ149" s="22"/>
      <c r="DYA149" s="22"/>
      <c r="DYB149" s="22"/>
      <c r="DYC149" s="22"/>
      <c r="DYD149" s="22"/>
      <c r="DYE149" s="22"/>
      <c r="DYF149" s="22"/>
      <c r="DYG149" s="22"/>
      <c r="DYH149" s="22"/>
      <c r="DYI149" s="22"/>
      <c r="DYJ149" s="22"/>
      <c r="DYK149" s="22"/>
      <c r="DYL149" s="22"/>
      <c r="DYM149" s="22"/>
      <c r="DYN149" s="22"/>
      <c r="DYO149" s="22"/>
      <c r="DYP149" s="22"/>
      <c r="DYQ149" s="22"/>
      <c r="DYR149" s="22"/>
      <c r="DYS149" s="22"/>
      <c r="DYT149" s="22"/>
      <c r="DYU149" s="22"/>
      <c r="DYV149" s="22"/>
      <c r="DYW149" s="22"/>
      <c r="DYX149" s="22"/>
      <c r="DYY149" s="22"/>
      <c r="DYZ149" s="22"/>
      <c r="DZA149" s="22"/>
      <c r="DZB149" s="22"/>
      <c r="DZC149" s="22"/>
      <c r="DZD149" s="22"/>
      <c r="DZE149" s="22"/>
      <c r="DZF149" s="22"/>
      <c r="DZG149" s="22"/>
      <c r="DZH149" s="22"/>
      <c r="DZI149" s="22"/>
      <c r="DZJ149" s="22"/>
      <c r="DZK149" s="22"/>
      <c r="DZL149" s="22"/>
      <c r="DZM149" s="22"/>
      <c r="DZN149" s="22"/>
      <c r="DZO149" s="22"/>
      <c r="DZP149" s="22"/>
      <c r="DZQ149" s="22"/>
      <c r="DZR149" s="22"/>
      <c r="DZS149" s="22"/>
      <c r="DZT149" s="22"/>
      <c r="DZU149" s="22"/>
      <c r="DZV149" s="22"/>
      <c r="DZW149" s="22"/>
      <c r="DZX149" s="22"/>
      <c r="DZY149" s="22"/>
      <c r="DZZ149" s="22"/>
      <c r="EAA149" s="22"/>
      <c r="EAB149" s="22"/>
      <c r="EAC149" s="22"/>
      <c r="EAD149" s="22"/>
      <c r="EAE149" s="22"/>
      <c r="EAF149" s="22"/>
      <c r="EAG149" s="22"/>
      <c r="EAH149" s="22"/>
      <c r="EAI149" s="22"/>
      <c r="EAJ149" s="22"/>
      <c r="EAK149" s="22"/>
      <c r="EAL149" s="22"/>
      <c r="EAM149" s="22"/>
      <c r="EAN149" s="22"/>
      <c r="EAO149" s="22"/>
      <c r="EAP149" s="22"/>
      <c r="EAQ149" s="22"/>
      <c r="EAR149" s="22"/>
      <c r="EAS149" s="22"/>
      <c r="EAT149" s="22"/>
      <c r="EAU149" s="22"/>
      <c r="EAV149" s="22"/>
      <c r="EAW149" s="22"/>
      <c r="EAX149" s="22"/>
      <c r="EAY149" s="22"/>
      <c r="EAZ149" s="22"/>
      <c r="EBA149" s="22"/>
      <c r="EBB149" s="22"/>
      <c r="EBC149" s="22"/>
      <c r="EBD149" s="22"/>
      <c r="EBE149" s="22"/>
      <c r="EBF149" s="22"/>
      <c r="EBG149" s="22"/>
      <c r="EBH149" s="22"/>
      <c r="EBI149" s="22"/>
      <c r="EBJ149" s="22"/>
      <c r="EBK149" s="22"/>
      <c r="EBL149" s="22"/>
      <c r="EBM149" s="22"/>
      <c r="EBN149" s="22"/>
      <c r="EBO149" s="22"/>
      <c r="EBP149" s="22"/>
      <c r="EBQ149" s="22"/>
      <c r="EBR149" s="22"/>
      <c r="EBS149" s="22"/>
      <c r="EBT149" s="22"/>
      <c r="EBU149" s="22"/>
      <c r="EBV149" s="22"/>
      <c r="EBW149" s="22"/>
      <c r="EBX149" s="22"/>
      <c r="EBY149" s="22"/>
      <c r="EBZ149" s="22"/>
      <c r="ECA149" s="22"/>
      <c r="ECB149" s="22"/>
      <c r="ECC149" s="22"/>
      <c r="ECD149" s="22"/>
      <c r="ECE149" s="22"/>
      <c r="ECF149" s="22"/>
      <c r="ECG149" s="22"/>
      <c r="ECH149" s="22"/>
      <c r="ECI149" s="22"/>
      <c r="ECJ149" s="22"/>
      <c r="ECK149" s="22"/>
      <c r="ECL149" s="22"/>
      <c r="ECM149" s="22"/>
      <c r="ECN149" s="22"/>
      <c r="ECO149" s="22"/>
      <c r="ECP149" s="22"/>
      <c r="ECQ149" s="22"/>
      <c r="ECR149" s="22"/>
      <c r="ECS149" s="22"/>
      <c r="ECT149" s="22"/>
      <c r="ECU149" s="22"/>
      <c r="ECV149" s="22"/>
      <c r="ECW149" s="22"/>
      <c r="ECX149" s="22"/>
      <c r="ECY149" s="22"/>
      <c r="ECZ149" s="22"/>
      <c r="EDA149" s="22"/>
      <c r="EDB149" s="22"/>
      <c r="EDC149" s="22"/>
      <c r="EDD149" s="22"/>
      <c r="EDE149" s="22"/>
      <c r="EDF149" s="22"/>
      <c r="EDG149" s="22"/>
      <c r="EDH149" s="22"/>
      <c r="EDI149" s="22"/>
      <c r="EDJ149" s="22"/>
      <c r="EDK149" s="22"/>
      <c r="EDL149" s="22"/>
      <c r="EDM149" s="22"/>
      <c r="EDN149" s="22"/>
      <c r="EDO149" s="22"/>
      <c r="EDP149" s="22"/>
      <c r="EDQ149" s="22"/>
      <c r="EDR149" s="22"/>
      <c r="EDS149" s="22"/>
      <c r="EDT149" s="22"/>
      <c r="EDU149" s="22"/>
      <c r="EDV149" s="22"/>
      <c r="EDW149" s="22"/>
      <c r="EDX149" s="22"/>
      <c r="EDY149" s="22"/>
      <c r="EDZ149" s="22"/>
      <c r="EEA149" s="22"/>
      <c r="EEB149" s="22"/>
      <c r="EEC149" s="22"/>
      <c r="EED149" s="22"/>
      <c r="EEE149" s="22"/>
      <c r="EEF149" s="22"/>
      <c r="EEG149" s="22"/>
      <c r="EEH149" s="22"/>
      <c r="EEI149" s="22"/>
      <c r="EEJ149" s="22"/>
      <c r="EEK149" s="22"/>
      <c r="EEL149" s="22"/>
      <c r="EEM149" s="22"/>
      <c r="EEN149" s="22"/>
      <c r="EEO149" s="22"/>
      <c r="EEP149" s="22"/>
      <c r="EEQ149" s="22"/>
      <c r="EER149" s="22"/>
      <c r="EES149" s="22"/>
      <c r="EET149" s="22"/>
      <c r="EEU149" s="22"/>
      <c r="EEV149" s="22"/>
      <c r="EEW149" s="22"/>
      <c r="EEX149" s="22"/>
      <c r="EEY149" s="22"/>
      <c r="EEZ149" s="22"/>
      <c r="EFA149" s="22"/>
      <c r="EFB149" s="22"/>
      <c r="EFC149" s="22"/>
      <c r="EFD149" s="22"/>
      <c r="EFE149" s="22"/>
      <c r="EFF149" s="22"/>
      <c r="EFG149" s="22"/>
      <c r="EFH149" s="22"/>
      <c r="EFI149" s="22"/>
      <c r="EFJ149" s="22"/>
      <c r="EFK149" s="22"/>
      <c r="EFL149" s="22"/>
      <c r="EFM149" s="22"/>
      <c r="EFN149" s="22"/>
      <c r="EFO149" s="22"/>
      <c r="EFP149" s="22"/>
      <c r="EFQ149" s="22"/>
      <c r="EFR149" s="22"/>
      <c r="EFS149" s="22"/>
      <c r="EFT149" s="22"/>
      <c r="EFU149" s="22"/>
      <c r="EFV149" s="22"/>
      <c r="EFW149" s="22"/>
      <c r="EFX149" s="22"/>
      <c r="EFY149" s="22"/>
      <c r="EFZ149" s="22"/>
      <c r="EGA149" s="22"/>
      <c r="EGB149" s="22"/>
      <c r="EGC149" s="22"/>
      <c r="EGD149" s="22"/>
      <c r="EGE149" s="22"/>
      <c r="EGF149" s="22"/>
      <c r="EGG149" s="22"/>
      <c r="EGH149" s="22"/>
      <c r="EGI149" s="22"/>
      <c r="EGJ149" s="22"/>
      <c r="EGK149" s="22"/>
      <c r="EGL149" s="22"/>
      <c r="EGM149" s="22"/>
      <c r="EGN149" s="22"/>
      <c r="EGO149" s="22"/>
      <c r="EGP149" s="22"/>
      <c r="EGQ149" s="22"/>
      <c r="EGR149" s="22"/>
      <c r="EGS149" s="22"/>
      <c r="EGT149" s="22"/>
      <c r="EGU149" s="22"/>
      <c r="EGV149" s="22"/>
      <c r="EGW149" s="22"/>
      <c r="EGX149" s="22"/>
      <c r="EGY149" s="22"/>
      <c r="EGZ149" s="22"/>
      <c r="EHA149" s="22"/>
      <c r="EHB149" s="22"/>
      <c r="EHC149" s="22"/>
      <c r="EHD149" s="22"/>
      <c r="EHE149" s="22"/>
      <c r="EHF149" s="22"/>
      <c r="EHG149" s="22"/>
      <c r="EHH149" s="22"/>
      <c r="EHI149" s="22"/>
      <c r="EHJ149" s="22"/>
      <c r="EHK149" s="22"/>
      <c r="EHL149" s="22"/>
      <c r="EHM149" s="22"/>
      <c r="EHN149" s="22"/>
      <c r="EHO149" s="22"/>
      <c r="EHP149" s="22"/>
      <c r="EHQ149" s="22"/>
      <c r="EHR149" s="22"/>
      <c r="EHS149" s="22"/>
      <c r="EHT149" s="22"/>
      <c r="EHU149" s="22"/>
      <c r="EHV149" s="22"/>
      <c r="EHW149" s="22"/>
      <c r="EHX149" s="22"/>
      <c r="EHY149" s="22"/>
      <c r="EHZ149" s="22"/>
      <c r="EIA149" s="22"/>
      <c r="EIB149" s="22"/>
      <c r="EIC149" s="22"/>
      <c r="EID149" s="22"/>
      <c r="EIE149" s="22"/>
      <c r="EIF149" s="22"/>
      <c r="EIG149" s="22"/>
      <c r="EIH149" s="22"/>
      <c r="EII149" s="22"/>
      <c r="EIJ149" s="22"/>
      <c r="EIK149" s="22"/>
      <c r="EIL149" s="22"/>
      <c r="EIM149" s="22"/>
      <c r="EIN149" s="22"/>
      <c r="EIO149" s="22"/>
      <c r="EIP149" s="22"/>
      <c r="EIQ149" s="22"/>
      <c r="EIR149" s="22"/>
      <c r="EIS149" s="22"/>
      <c r="EIT149" s="22"/>
      <c r="EIU149" s="22"/>
      <c r="EIV149" s="22"/>
      <c r="EIW149" s="22"/>
      <c r="EIX149" s="22"/>
      <c r="EIY149" s="22"/>
      <c r="EIZ149" s="22"/>
      <c r="EJA149" s="22"/>
      <c r="EJB149" s="22"/>
      <c r="EJC149" s="22"/>
      <c r="EJD149" s="22"/>
      <c r="EJE149" s="22"/>
      <c r="EJF149" s="22"/>
      <c r="EJG149" s="22"/>
      <c r="EJH149" s="22"/>
      <c r="EJI149" s="22"/>
      <c r="EJJ149" s="22"/>
      <c r="EJK149" s="22"/>
      <c r="EJL149" s="22"/>
      <c r="EJM149" s="22"/>
      <c r="EJN149" s="22"/>
      <c r="EJO149" s="22"/>
      <c r="EJP149" s="22"/>
      <c r="EJQ149" s="22"/>
      <c r="EJR149" s="22"/>
      <c r="EJS149" s="22"/>
      <c r="EJT149" s="22"/>
      <c r="EJU149" s="22"/>
      <c r="EJV149" s="22"/>
      <c r="EJW149" s="22"/>
      <c r="EJX149" s="22"/>
      <c r="EJY149" s="22"/>
      <c r="EJZ149" s="22"/>
      <c r="EKA149" s="22"/>
      <c r="EKB149" s="22"/>
      <c r="EKC149" s="22"/>
      <c r="EKD149" s="22"/>
      <c r="EKE149" s="22"/>
      <c r="EKF149" s="22"/>
      <c r="EKG149" s="22"/>
      <c r="EKH149" s="22"/>
      <c r="EKI149" s="22"/>
      <c r="EKJ149" s="22"/>
      <c r="EKK149" s="22"/>
      <c r="EKL149" s="22"/>
      <c r="EKM149" s="22"/>
      <c r="EKN149" s="22"/>
      <c r="EKO149" s="22"/>
      <c r="EKP149" s="22"/>
      <c r="EKQ149" s="22"/>
      <c r="EKR149" s="22"/>
      <c r="EKS149" s="22"/>
      <c r="EKT149" s="22"/>
      <c r="EKU149" s="22"/>
      <c r="EKV149" s="22"/>
      <c r="EKW149" s="22"/>
      <c r="EKX149" s="22"/>
      <c r="EKY149" s="22"/>
      <c r="EKZ149" s="22"/>
      <c r="ELA149" s="22"/>
      <c r="ELB149" s="22"/>
      <c r="ELC149" s="22"/>
      <c r="ELD149" s="22"/>
      <c r="ELE149" s="22"/>
      <c r="ELF149" s="22"/>
      <c r="ELG149" s="22"/>
      <c r="ELH149" s="22"/>
      <c r="ELI149" s="22"/>
      <c r="ELJ149" s="22"/>
      <c r="ELK149" s="22"/>
      <c r="ELL149" s="22"/>
      <c r="ELM149" s="22"/>
      <c r="ELN149" s="22"/>
      <c r="ELO149" s="22"/>
      <c r="ELP149" s="22"/>
      <c r="ELQ149" s="22"/>
      <c r="ELR149" s="22"/>
      <c r="ELS149" s="22"/>
      <c r="ELT149" s="22"/>
      <c r="ELU149" s="22"/>
      <c r="ELV149" s="22"/>
      <c r="ELW149" s="22"/>
      <c r="ELX149" s="22"/>
      <c r="ELY149" s="22"/>
      <c r="ELZ149" s="22"/>
      <c r="EMA149" s="22"/>
      <c r="EMB149" s="22"/>
      <c r="EMC149" s="22"/>
      <c r="EMD149" s="22"/>
      <c r="EME149" s="22"/>
      <c r="EMF149" s="22"/>
      <c r="EMG149" s="22"/>
      <c r="EMH149" s="22"/>
      <c r="EMI149" s="22"/>
      <c r="EMJ149" s="22"/>
      <c r="EMK149" s="22"/>
      <c r="EML149" s="22"/>
      <c r="EMM149" s="22"/>
      <c r="EMN149" s="22"/>
      <c r="EMO149" s="22"/>
      <c r="EMP149" s="22"/>
      <c r="EMQ149" s="22"/>
      <c r="EMR149" s="22"/>
      <c r="EMS149" s="22"/>
      <c r="EMT149" s="22"/>
      <c r="EMU149" s="22"/>
      <c r="EMV149" s="22"/>
      <c r="EMW149" s="22"/>
      <c r="EMX149" s="22"/>
      <c r="EMY149" s="22"/>
      <c r="EMZ149" s="22"/>
      <c r="ENA149" s="22"/>
      <c r="ENB149" s="22"/>
      <c r="ENC149" s="22"/>
      <c r="END149" s="22"/>
      <c r="ENE149" s="22"/>
      <c r="ENF149" s="22"/>
      <c r="ENG149" s="22"/>
      <c r="ENH149" s="22"/>
      <c r="ENI149" s="22"/>
      <c r="ENJ149" s="22"/>
      <c r="ENK149" s="22"/>
      <c r="ENL149" s="22"/>
      <c r="ENM149" s="22"/>
      <c r="ENN149" s="22"/>
      <c r="ENO149" s="22"/>
      <c r="ENP149" s="22"/>
      <c r="ENQ149" s="22"/>
      <c r="ENR149" s="22"/>
      <c r="ENS149" s="22"/>
      <c r="ENT149" s="22"/>
      <c r="ENU149" s="22"/>
      <c r="ENV149" s="22"/>
      <c r="ENW149" s="22"/>
      <c r="ENX149" s="22"/>
      <c r="ENY149" s="22"/>
      <c r="ENZ149" s="22"/>
      <c r="EOA149" s="22"/>
      <c r="EOB149" s="22"/>
      <c r="EOC149" s="22"/>
      <c r="EOD149" s="22"/>
      <c r="EOE149" s="22"/>
      <c r="EOF149" s="22"/>
      <c r="EOG149" s="22"/>
      <c r="EOH149" s="22"/>
      <c r="EOI149" s="22"/>
      <c r="EOJ149" s="22"/>
      <c r="EOK149" s="22"/>
      <c r="EOL149" s="22"/>
      <c r="EOM149" s="22"/>
      <c r="EON149" s="22"/>
      <c r="EOO149" s="22"/>
      <c r="EOP149" s="22"/>
      <c r="EOQ149" s="22"/>
      <c r="EOR149" s="22"/>
      <c r="EOS149" s="22"/>
      <c r="EOT149" s="22"/>
      <c r="EOU149" s="22"/>
      <c r="EOV149" s="22"/>
      <c r="EOW149" s="22"/>
      <c r="EOX149" s="22"/>
      <c r="EOY149" s="22"/>
      <c r="EOZ149" s="22"/>
      <c r="EPA149" s="22"/>
      <c r="EPB149" s="22"/>
      <c r="EPC149" s="22"/>
      <c r="EPD149" s="22"/>
      <c r="EPE149" s="22"/>
      <c r="EPF149" s="22"/>
      <c r="EPG149" s="22"/>
      <c r="EPH149" s="22"/>
      <c r="EPI149" s="22"/>
      <c r="EPJ149" s="22"/>
      <c r="EPK149" s="22"/>
      <c r="EPL149" s="22"/>
      <c r="EPM149" s="22"/>
      <c r="EPN149" s="22"/>
      <c r="EPO149" s="22"/>
      <c r="EPP149" s="22"/>
      <c r="EPQ149" s="22"/>
      <c r="EPR149" s="22"/>
      <c r="EPS149" s="22"/>
      <c r="EPT149" s="22"/>
      <c r="EPU149" s="22"/>
      <c r="EPV149" s="22"/>
      <c r="EPW149" s="22"/>
      <c r="EPX149" s="22"/>
      <c r="EPY149" s="22"/>
      <c r="EPZ149" s="22"/>
      <c r="EQA149" s="22"/>
      <c r="EQB149" s="22"/>
      <c r="EQC149" s="22"/>
      <c r="EQD149" s="22"/>
      <c r="EQE149" s="22"/>
      <c r="EQF149" s="22"/>
      <c r="EQG149" s="22"/>
      <c r="EQH149" s="22"/>
      <c r="EQI149" s="22"/>
      <c r="EQJ149" s="22"/>
      <c r="EQK149" s="22"/>
      <c r="EQL149" s="22"/>
      <c r="EQM149" s="22"/>
      <c r="EQN149" s="22"/>
      <c r="EQO149" s="22"/>
      <c r="EQP149" s="22"/>
      <c r="EQQ149" s="22"/>
      <c r="EQR149" s="22"/>
      <c r="EQS149" s="22"/>
      <c r="EQT149" s="22"/>
      <c r="EQU149" s="22"/>
      <c r="EQV149" s="22"/>
      <c r="EQW149" s="22"/>
      <c r="EQX149" s="22"/>
      <c r="EQY149" s="22"/>
      <c r="EQZ149" s="22"/>
      <c r="ERA149" s="22"/>
      <c r="ERB149" s="22"/>
      <c r="ERC149" s="22"/>
      <c r="ERD149" s="22"/>
      <c r="ERE149" s="22"/>
      <c r="ERF149" s="22"/>
      <c r="ERG149" s="22"/>
      <c r="ERH149" s="22"/>
      <c r="ERI149" s="22"/>
      <c r="ERJ149" s="22"/>
      <c r="ERK149" s="22"/>
      <c r="ERL149" s="22"/>
      <c r="ERM149" s="22"/>
      <c r="ERN149" s="22"/>
      <c r="ERO149" s="22"/>
      <c r="ERP149" s="22"/>
      <c r="ERQ149" s="22"/>
      <c r="ERR149" s="22"/>
      <c r="ERS149" s="22"/>
      <c r="ERT149" s="22"/>
      <c r="ERU149" s="22"/>
      <c r="ERV149" s="22"/>
      <c r="ERW149" s="22"/>
      <c r="ERX149" s="22"/>
      <c r="ERY149" s="22"/>
      <c r="ERZ149" s="22"/>
      <c r="ESA149" s="22"/>
      <c r="ESB149" s="22"/>
      <c r="ESC149" s="22"/>
      <c r="ESD149" s="22"/>
      <c r="ESE149" s="22"/>
      <c r="ESF149" s="22"/>
      <c r="ESG149" s="22"/>
      <c r="ESH149" s="22"/>
      <c r="ESI149" s="22"/>
      <c r="ESJ149" s="22"/>
      <c r="ESK149" s="22"/>
      <c r="ESL149" s="22"/>
      <c r="ESM149" s="22"/>
      <c r="ESN149" s="22"/>
      <c r="ESO149" s="22"/>
      <c r="ESP149" s="22"/>
      <c r="ESQ149" s="22"/>
      <c r="ESR149" s="22"/>
      <c r="ESS149" s="22"/>
      <c r="EST149" s="22"/>
      <c r="ESU149" s="22"/>
      <c r="ESV149" s="22"/>
      <c r="ESW149" s="22"/>
      <c r="ESX149" s="22"/>
      <c r="ESY149" s="22"/>
      <c r="ESZ149" s="22"/>
      <c r="ETA149" s="22"/>
      <c r="ETB149" s="22"/>
      <c r="ETC149" s="22"/>
      <c r="ETD149" s="22"/>
      <c r="ETE149" s="22"/>
      <c r="ETF149" s="22"/>
      <c r="ETG149" s="22"/>
      <c r="ETH149" s="22"/>
      <c r="ETI149" s="22"/>
      <c r="ETJ149" s="22"/>
      <c r="ETK149" s="22"/>
      <c r="ETL149" s="22"/>
      <c r="ETM149" s="22"/>
      <c r="ETN149" s="22"/>
      <c r="ETO149" s="22"/>
      <c r="ETP149" s="22"/>
      <c r="ETQ149" s="22"/>
      <c r="ETR149" s="22"/>
      <c r="ETS149" s="22"/>
      <c r="ETT149" s="22"/>
      <c r="ETU149" s="22"/>
      <c r="ETV149" s="22"/>
      <c r="ETW149" s="22"/>
      <c r="ETX149" s="22"/>
      <c r="ETY149" s="22"/>
      <c r="ETZ149" s="22"/>
      <c r="EUA149" s="22"/>
      <c r="EUB149" s="22"/>
      <c r="EUC149" s="22"/>
      <c r="EUD149" s="22"/>
      <c r="EUE149" s="22"/>
      <c r="EUF149" s="22"/>
      <c r="EUG149" s="22"/>
      <c r="EUH149" s="22"/>
      <c r="EUI149" s="22"/>
      <c r="EUJ149" s="22"/>
      <c r="EUK149" s="22"/>
      <c r="EUL149" s="22"/>
      <c r="EUM149" s="22"/>
      <c r="EUN149" s="22"/>
      <c r="EUO149" s="22"/>
      <c r="EUP149" s="22"/>
      <c r="EUQ149" s="22"/>
      <c r="EUR149" s="22"/>
      <c r="EUS149" s="22"/>
      <c r="EUT149" s="22"/>
      <c r="EUU149" s="22"/>
      <c r="EUV149" s="22"/>
      <c r="EUW149" s="22"/>
      <c r="EUX149" s="22"/>
      <c r="EUY149" s="22"/>
      <c r="EUZ149" s="22"/>
      <c r="EVA149" s="22"/>
      <c r="EVB149" s="22"/>
      <c r="EVC149" s="22"/>
      <c r="EVD149" s="22"/>
      <c r="EVE149" s="22"/>
      <c r="EVF149" s="22"/>
      <c r="EVG149" s="22"/>
      <c r="EVH149" s="22"/>
      <c r="EVI149" s="22"/>
      <c r="EVJ149" s="22"/>
      <c r="EVK149" s="22"/>
      <c r="EVL149" s="22"/>
      <c r="EVM149" s="22"/>
      <c r="EVN149" s="22"/>
      <c r="EVO149" s="22"/>
      <c r="EVP149" s="22"/>
      <c r="EVQ149" s="22"/>
      <c r="EVR149" s="22"/>
      <c r="EVS149" s="22"/>
      <c r="EVT149" s="22"/>
      <c r="EVU149" s="22"/>
      <c r="EVV149" s="22"/>
      <c r="EVW149" s="22"/>
      <c r="EVX149" s="22"/>
      <c r="EVY149" s="22"/>
      <c r="EVZ149" s="22"/>
      <c r="EWA149" s="22"/>
      <c r="EWB149" s="22"/>
      <c r="EWC149" s="22"/>
      <c r="EWD149" s="22"/>
      <c r="EWE149" s="22"/>
      <c r="EWF149" s="22"/>
      <c r="EWG149" s="22"/>
      <c r="EWH149" s="22"/>
      <c r="EWI149" s="22"/>
      <c r="EWJ149" s="22"/>
      <c r="EWK149" s="22"/>
      <c r="EWL149" s="22"/>
      <c r="EWM149" s="22"/>
      <c r="EWN149" s="22"/>
      <c r="EWO149" s="22"/>
      <c r="EWP149" s="22"/>
      <c r="EWQ149" s="22"/>
      <c r="EWR149" s="22"/>
      <c r="EWS149" s="22"/>
      <c r="EWT149" s="22"/>
      <c r="EWU149" s="22"/>
      <c r="EWV149" s="22"/>
      <c r="EWW149" s="22"/>
      <c r="EWX149" s="22"/>
      <c r="EWY149" s="22"/>
      <c r="EWZ149" s="22"/>
      <c r="EXA149" s="22"/>
      <c r="EXB149" s="22"/>
      <c r="EXC149" s="22"/>
      <c r="EXD149" s="22"/>
      <c r="EXE149" s="22"/>
      <c r="EXF149" s="22"/>
      <c r="EXG149" s="22"/>
      <c r="EXH149" s="22"/>
      <c r="EXI149" s="22"/>
      <c r="EXJ149" s="22"/>
      <c r="EXK149" s="22"/>
      <c r="EXL149" s="22"/>
      <c r="EXM149" s="22"/>
      <c r="EXN149" s="22"/>
      <c r="EXO149" s="22"/>
      <c r="EXP149" s="22"/>
      <c r="EXQ149" s="22"/>
      <c r="EXR149" s="22"/>
      <c r="EXS149" s="22"/>
      <c r="EXT149" s="22"/>
      <c r="EXU149" s="22"/>
      <c r="EXV149" s="22"/>
      <c r="EXW149" s="22"/>
      <c r="EXX149" s="22"/>
      <c r="EXY149" s="22"/>
      <c r="EXZ149" s="22"/>
      <c r="EYA149" s="22"/>
      <c r="EYB149" s="22"/>
      <c r="EYC149" s="22"/>
      <c r="EYD149" s="22"/>
      <c r="EYE149" s="22"/>
      <c r="EYF149" s="22"/>
      <c r="EYG149" s="22"/>
      <c r="EYH149" s="22"/>
      <c r="EYI149" s="22"/>
      <c r="EYJ149" s="22"/>
      <c r="EYK149" s="22"/>
      <c r="EYL149" s="22"/>
      <c r="EYM149" s="22"/>
      <c r="EYN149" s="22"/>
      <c r="EYO149" s="22"/>
      <c r="EYP149" s="22"/>
      <c r="EYQ149" s="22"/>
      <c r="EYR149" s="22"/>
      <c r="EYS149" s="22"/>
      <c r="EYT149" s="22"/>
      <c r="EYU149" s="22"/>
      <c r="EYV149" s="22"/>
      <c r="EYW149" s="22"/>
      <c r="EYX149" s="22"/>
      <c r="EYY149" s="22"/>
      <c r="EYZ149" s="22"/>
      <c r="EZA149" s="22"/>
      <c r="EZB149" s="22"/>
      <c r="EZC149" s="22"/>
      <c r="EZD149" s="22"/>
      <c r="EZE149" s="22"/>
      <c r="EZF149" s="22"/>
      <c r="EZG149" s="22"/>
      <c r="EZH149" s="22"/>
      <c r="EZI149" s="22"/>
      <c r="EZJ149" s="22"/>
      <c r="EZK149" s="22"/>
      <c r="EZL149" s="22"/>
      <c r="EZM149" s="22"/>
      <c r="EZN149" s="22"/>
      <c r="EZO149" s="22"/>
      <c r="EZP149" s="22"/>
      <c r="EZQ149" s="22"/>
      <c r="EZR149" s="22"/>
      <c r="EZS149" s="22"/>
      <c r="EZT149" s="22"/>
      <c r="EZU149" s="22"/>
      <c r="EZV149" s="22"/>
      <c r="EZW149" s="22"/>
      <c r="EZX149" s="22"/>
      <c r="EZY149" s="22"/>
      <c r="EZZ149" s="22"/>
      <c r="FAA149" s="22"/>
      <c r="FAB149" s="22"/>
      <c r="FAC149" s="22"/>
      <c r="FAD149" s="22"/>
      <c r="FAE149" s="22"/>
      <c r="FAF149" s="22"/>
      <c r="FAG149" s="22"/>
      <c r="FAH149" s="22"/>
      <c r="FAI149" s="22"/>
      <c r="FAJ149" s="22"/>
      <c r="FAK149" s="22"/>
      <c r="FAL149" s="22"/>
      <c r="FAM149" s="22"/>
      <c r="FAN149" s="22"/>
      <c r="FAO149" s="22"/>
      <c r="FAP149" s="22"/>
      <c r="FAQ149" s="22"/>
      <c r="FAR149" s="22"/>
      <c r="FAS149" s="22"/>
      <c r="FAT149" s="22"/>
      <c r="FAU149" s="22"/>
      <c r="FAV149" s="22"/>
      <c r="FAW149" s="22"/>
      <c r="FAX149" s="22"/>
      <c r="FAY149" s="22"/>
      <c r="FAZ149" s="22"/>
      <c r="FBA149" s="22"/>
      <c r="FBB149" s="22"/>
      <c r="FBC149" s="22"/>
      <c r="FBD149" s="22"/>
      <c r="FBE149" s="22"/>
      <c r="FBF149" s="22"/>
      <c r="FBG149" s="22"/>
      <c r="FBH149" s="22"/>
      <c r="FBI149" s="22"/>
      <c r="FBJ149" s="22"/>
      <c r="FBK149" s="22"/>
      <c r="FBL149" s="22"/>
      <c r="FBM149" s="22"/>
      <c r="FBN149" s="22"/>
      <c r="FBO149" s="22"/>
      <c r="FBP149" s="22"/>
      <c r="FBQ149" s="22"/>
      <c r="FBR149" s="22"/>
      <c r="FBS149" s="22"/>
      <c r="FBT149" s="22"/>
      <c r="FBU149" s="22"/>
      <c r="FBV149" s="22"/>
      <c r="FBW149" s="22"/>
      <c r="FBX149" s="22"/>
      <c r="FBY149" s="22"/>
      <c r="FBZ149" s="22"/>
      <c r="FCA149" s="22"/>
      <c r="FCB149" s="22"/>
      <c r="FCC149" s="22"/>
      <c r="FCD149" s="22"/>
      <c r="FCE149" s="22"/>
      <c r="FCF149" s="22"/>
      <c r="FCG149" s="22"/>
      <c r="FCH149" s="22"/>
      <c r="FCI149" s="22"/>
      <c r="FCJ149" s="22"/>
      <c r="FCK149" s="22"/>
      <c r="FCL149" s="22"/>
      <c r="FCM149" s="22"/>
      <c r="FCN149" s="22"/>
      <c r="FCO149" s="22"/>
      <c r="FCP149" s="22"/>
      <c r="FCQ149" s="22"/>
      <c r="FCR149" s="22"/>
      <c r="FCS149" s="22"/>
      <c r="FCT149" s="22"/>
      <c r="FCU149" s="22"/>
      <c r="FCV149" s="22"/>
      <c r="FCW149" s="22"/>
      <c r="FCX149" s="22"/>
      <c r="FCY149" s="22"/>
      <c r="FCZ149" s="22"/>
      <c r="FDA149" s="22"/>
      <c r="FDB149" s="22"/>
      <c r="FDC149" s="22"/>
      <c r="FDD149" s="22"/>
      <c r="FDE149" s="22"/>
      <c r="FDF149" s="22"/>
      <c r="FDG149" s="22"/>
      <c r="FDH149" s="22"/>
      <c r="FDI149" s="22"/>
      <c r="FDJ149" s="22"/>
      <c r="FDK149" s="22"/>
      <c r="FDL149" s="22"/>
      <c r="FDM149" s="22"/>
      <c r="FDN149" s="22"/>
      <c r="FDO149" s="22"/>
      <c r="FDP149" s="22"/>
      <c r="FDQ149" s="22"/>
      <c r="FDR149" s="22"/>
      <c r="FDS149" s="22"/>
      <c r="FDT149" s="22"/>
      <c r="FDU149" s="22"/>
      <c r="FDV149" s="22"/>
      <c r="FDW149" s="22"/>
      <c r="FDX149" s="22"/>
      <c r="FDY149" s="22"/>
      <c r="FDZ149" s="22"/>
      <c r="FEA149" s="22"/>
      <c r="FEB149" s="22"/>
      <c r="FEC149" s="22"/>
      <c r="FED149" s="22"/>
      <c r="FEE149" s="22"/>
      <c r="FEF149" s="22"/>
      <c r="FEG149" s="22"/>
      <c r="FEH149" s="22"/>
      <c r="FEI149" s="22"/>
      <c r="FEJ149" s="22"/>
      <c r="FEK149" s="22"/>
      <c r="FEL149" s="22"/>
      <c r="FEM149" s="22"/>
      <c r="FEN149" s="22"/>
      <c r="FEO149" s="22"/>
      <c r="FEP149" s="22"/>
      <c r="FEQ149" s="22"/>
      <c r="FER149" s="22"/>
      <c r="FES149" s="22"/>
      <c r="FET149" s="22"/>
      <c r="FEU149" s="22"/>
      <c r="FEV149" s="22"/>
      <c r="FEW149" s="22"/>
      <c r="FEX149" s="22"/>
      <c r="FEY149" s="22"/>
      <c r="FEZ149" s="22"/>
      <c r="FFA149" s="22"/>
      <c r="FFB149" s="22"/>
      <c r="FFC149" s="22"/>
      <c r="FFD149" s="22"/>
      <c r="FFE149" s="22"/>
      <c r="FFF149" s="22"/>
      <c r="FFG149" s="22"/>
      <c r="FFH149" s="22"/>
      <c r="FFI149" s="22"/>
      <c r="FFJ149" s="22"/>
      <c r="FFK149" s="22"/>
      <c r="FFL149" s="22"/>
      <c r="FFM149" s="22"/>
      <c r="FFN149" s="22"/>
      <c r="FFO149" s="22"/>
      <c r="FFP149" s="22"/>
      <c r="FFQ149" s="22"/>
      <c r="FFR149" s="22"/>
      <c r="FFS149" s="22"/>
      <c r="FFT149" s="22"/>
      <c r="FFU149" s="22"/>
      <c r="FFV149" s="22"/>
      <c r="FFW149" s="22"/>
      <c r="FFX149" s="22"/>
      <c r="FFY149" s="22"/>
      <c r="FFZ149" s="22"/>
      <c r="FGA149" s="22"/>
      <c r="FGB149" s="22"/>
      <c r="FGC149" s="22"/>
      <c r="FGD149" s="22"/>
      <c r="FGE149" s="22"/>
      <c r="FGF149" s="22"/>
      <c r="FGG149" s="22"/>
      <c r="FGH149" s="22"/>
      <c r="FGI149" s="22"/>
      <c r="FGJ149" s="22"/>
      <c r="FGK149" s="22"/>
      <c r="FGL149" s="22"/>
      <c r="FGM149" s="22"/>
      <c r="FGN149" s="22"/>
      <c r="FGO149" s="22"/>
      <c r="FGP149" s="22"/>
      <c r="FGQ149" s="22"/>
      <c r="FGR149" s="22"/>
      <c r="FGS149" s="22"/>
      <c r="FGT149" s="22"/>
      <c r="FGU149" s="22"/>
      <c r="FGV149" s="22"/>
      <c r="FGW149" s="22"/>
      <c r="FGX149" s="22"/>
      <c r="FGY149" s="22"/>
      <c r="FGZ149" s="22"/>
      <c r="FHA149" s="22"/>
      <c r="FHB149" s="22"/>
      <c r="FHC149" s="22"/>
      <c r="FHD149" s="22"/>
      <c r="FHE149" s="22"/>
      <c r="FHF149" s="22"/>
      <c r="FHG149" s="22"/>
      <c r="FHH149" s="22"/>
      <c r="FHI149" s="22"/>
      <c r="FHJ149" s="22"/>
      <c r="FHK149" s="22"/>
      <c r="FHL149" s="22"/>
      <c r="FHM149" s="22"/>
      <c r="FHN149" s="22"/>
      <c r="FHO149" s="22"/>
      <c r="FHP149" s="22"/>
      <c r="FHQ149" s="22"/>
      <c r="FHR149" s="22"/>
      <c r="FHS149" s="22"/>
      <c r="FHT149" s="22"/>
      <c r="FHU149" s="22"/>
      <c r="FHV149" s="22"/>
      <c r="FHW149" s="22"/>
      <c r="FHX149" s="22"/>
      <c r="FHY149" s="22"/>
      <c r="FHZ149" s="22"/>
      <c r="FIA149" s="22"/>
      <c r="FIB149" s="22"/>
      <c r="FIC149" s="22"/>
      <c r="FID149" s="22"/>
      <c r="FIE149" s="22"/>
      <c r="FIF149" s="22"/>
      <c r="FIG149" s="22"/>
      <c r="FIH149" s="22"/>
      <c r="FII149" s="22"/>
      <c r="FIJ149" s="22"/>
      <c r="FIK149" s="22"/>
      <c r="FIL149" s="22"/>
      <c r="FIM149" s="22"/>
      <c r="FIN149" s="22"/>
      <c r="FIO149" s="22"/>
      <c r="FIP149" s="22"/>
      <c r="FIQ149" s="22"/>
      <c r="FIR149" s="22"/>
      <c r="FIS149" s="22"/>
      <c r="FIT149" s="22"/>
      <c r="FIU149" s="22"/>
      <c r="FIV149" s="22"/>
      <c r="FIW149" s="22"/>
      <c r="FIX149" s="22"/>
      <c r="FIY149" s="22"/>
      <c r="FIZ149" s="22"/>
      <c r="FJA149" s="22"/>
      <c r="FJB149" s="22"/>
      <c r="FJC149" s="22"/>
      <c r="FJD149" s="22"/>
      <c r="FJE149" s="22"/>
      <c r="FJF149" s="22"/>
      <c r="FJG149" s="22"/>
      <c r="FJH149" s="22"/>
      <c r="FJI149" s="22"/>
      <c r="FJJ149" s="22"/>
      <c r="FJK149" s="22"/>
      <c r="FJL149" s="22"/>
      <c r="FJM149" s="22"/>
      <c r="FJN149" s="22"/>
      <c r="FJO149" s="22"/>
      <c r="FJP149" s="22"/>
      <c r="FJQ149" s="22"/>
      <c r="FJR149" s="22"/>
      <c r="FJS149" s="22"/>
      <c r="FJT149" s="22"/>
      <c r="FJU149" s="22"/>
      <c r="FJV149" s="22"/>
      <c r="FJW149" s="22"/>
      <c r="FJX149" s="22"/>
      <c r="FJY149" s="22"/>
      <c r="FJZ149" s="22"/>
      <c r="FKA149" s="22"/>
      <c r="FKB149" s="22"/>
      <c r="FKC149" s="22"/>
      <c r="FKD149" s="22"/>
      <c r="FKE149" s="22"/>
      <c r="FKF149" s="22"/>
      <c r="FKG149" s="22"/>
      <c r="FKH149" s="22"/>
      <c r="FKI149" s="22"/>
      <c r="FKJ149" s="22"/>
      <c r="FKK149" s="22"/>
      <c r="FKL149" s="22"/>
      <c r="FKM149" s="22"/>
      <c r="FKN149" s="22"/>
      <c r="FKO149" s="22"/>
      <c r="FKP149" s="22"/>
      <c r="FKQ149" s="22"/>
      <c r="FKR149" s="22"/>
      <c r="FKS149" s="22"/>
      <c r="FKT149" s="22"/>
      <c r="FKU149" s="22"/>
      <c r="FKV149" s="22"/>
      <c r="FKW149" s="22"/>
      <c r="FKX149" s="22"/>
      <c r="FKY149" s="22"/>
      <c r="FKZ149" s="22"/>
      <c r="FLA149" s="22"/>
      <c r="FLB149" s="22"/>
      <c r="FLC149" s="22"/>
      <c r="FLD149" s="22"/>
      <c r="FLE149" s="22"/>
      <c r="FLF149" s="22"/>
      <c r="FLG149" s="22"/>
      <c r="FLH149" s="22"/>
      <c r="FLI149" s="22"/>
      <c r="FLJ149" s="22"/>
      <c r="FLK149" s="22"/>
      <c r="FLL149" s="22"/>
      <c r="FLM149" s="22"/>
      <c r="FLN149" s="22"/>
      <c r="FLO149" s="22"/>
      <c r="FLP149" s="22"/>
      <c r="FLQ149" s="22"/>
      <c r="FLR149" s="22"/>
      <c r="FLS149" s="22"/>
      <c r="FLT149" s="22"/>
      <c r="FLU149" s="22"/>
      <c r="FLV149" s="22"/>
      <c r="FLW149" s="22"/>
      <c r="FLX149" s="22"/>
      <c r="FLY149" s="22"/>
      <c r="FLZ149" s="22"/>
      <c r="FMA149" s="22"/>
      <c r="FMB149" s="22"/>
      <c r="FMC149" s="22"/>
      <c r="FMD149" s="22"/>
      <c r="FME149" s="22"/>
      <c r="FMF149" s="22"/>
      <c r="FMG149" s="22"/>
      <c r="FMH149" s="22"/>
      <c r="FMI149" s="22"/>
      <c r="FMJ149" s="22"/>
      <c r="FMK149" s="22"/>
      <c r="FML149" s="22"/>
      <c r="FMM149" s="22"/>
      <c r="FMN149" s="22"/>
      <c r="FMO149" s="22"/>
      <c r="FMP149" s="22"/>
      <c r="FMQ149" s="22"/>
      <c r="FMR149" s="22"/>
      <c r="FMS149" s="22"/>
      <c r="FMT149" s="22"/>
      <c r="FMU149" s="22"/>
      <c r="FMV149" s="22"/>
      <c r="FMW149" s="22"/>
      <c r="FMX149" s="22"/>
      <c r="FMY149" s="22"/>
      <c r="FMZ149" s="22"/>
      <c r="FNA149" s="22"/>
      <c r="FNB149" s="22"/>
      <c r="FNC149" s="22"/>
      <c r="FND149" s="22"/>
      <c r="FNE149" s="22"/>
      <c r="FNF149" s="22"/>
      <c r="FNG149" s="22"/>
      <c r="FNH149" s="22"/>
      <c r="FNI149" s="22"/>
      <c r="FNJ149" s="22"/>
      <c r="FNK149" s="22"/>
      <c r="FNL149" s="22"/>
      <c r="FNM149" s="22"/>
      <c r="FNN149" s="22"/>
      <c r="FNO149" s="22"/>
      <c r="FNP149" s="22"/>
      <c r="FNQ149" s="22"/>
      <c r="FNR149" s="22"/>
      <c r="FNS149" s="22"/>
      <c r="FNT149" s="22"/>
      <c r="FNU149" s="22"/>
      <c r="FNV149" s="22"/>
      <c r="FNW149" s="22"/>
      <c r="FNX149" s="22"/>
      <c r="FNY149" s="22"/>
      <c r="FNZ149" s="22"/>
      <c r="FOA149" s="22"/>
      <c r="FOB149" s="22"/>
      <c r="FOC149" s="22"/>
      <c r="FOD149" s="22"/>
      <c r="FOE149" s="22"/>
      <c r="FOF149" s="22"/>
      <c r="FOG149" s="22"/>
      <c r="FOH149" s="22"/>
      <c r="FOI149" s="22"/>
      <c r="FOJ149" s="22"/>
      <c r="FOK149" s="22"/>
      <c r="FOL149" s="22"/>
      <c r="FOM149" s="22"/>
      <c r="FON149" s="22"/>
      <c r="FOO149" s="22"/>
      <c r="FOP149" s="22"/>
      <c r="FOQ149" s="22"/>
      <c r="FOR149" s="22"/>
      <c r="FOS149" s="22"/>
      <c r="FOT149" s="22"/>
      <c r="FOU149" s="22"/>
      <c r="FOV149" s="22"/>
      <c r="FOW149" s="22"/>
      <c r="FOX149" s="22"/>
      <c r="FOY149" s="22"/>
      <c r="FOZ149" s="22"/>
      <c r="FPA149" s="22"/>
      <c r="FPB149" s="22"/>
      <c r="FPC149" s="22"/>
      <c r="FPD149" s="22"/>
      <c r="FPE149" s="22"/>
      <c r="FPF149" s="22"/>
      <c r="FPG149" s="22"/>
      <c r="FPH149" s="22"/>
      <c r="FPI149" s="22"/>
      <c r="FPJ149" s="22"/>
      <c r="FPK149" s="22"/>
      <c r="FPL149" s="22"/>
      <c r="FPM149" s="22"/>
      <c r="FPN149" s="22"/>
      <c r="FPO149" s="22"/>
      <c r="FPP149" s="22"/>
      <c r="FPQ149" s="22"/>
      <c r="FPR149" s="22"/>
      <c r="FPS149" s="22"/>
      <c r="FPT149" s="22"/>
      <c r="FPU149" s="22"/>
      <c r="FPV149" s="22"/>
      <c r="FPW149" s="22"/>
      <c r="FPX149" s="22"/>
      <c r="FPY149" s="22"/>
      <c r="FPZ149" s="22"/>
      <c r="FQA149" s="22"/>
      <c r="FQB149" s="22"/>
      <c r="FQC149" s="22"/>
      <c r="FQD149" s="22"/>
      <c r="FQE149" s="22"/>
      <c r="FQF149" s="22"/>
      <c r="FQG149" s="22"/>
      <c r="FQH149" s="22"/>
      <c r="FQI149" s="22"/>
      <c r="FQJ149" s="22"/>
      <c r="FQK149" s="22"/>
      <c r="FQL149" s="22"/>
      <c r="FQM149" s="22"/>
      <c r="FQN149" s="22"/>
      <c r="FQO149" s="22"/>
      <c r="FQP149" s="22"/>
      <c r="FQQ149" s="22"/>
      <c r="FQR149" s="22"/>
      <c r="FQS149" s="22"/>
      <c r="FQT149" s="22"/>
      <c r="FQU149" s="22"/>
      <c r="FQV149" s="22"/>
      <c r="FQW149" s="22"/>
      <c r="FQX149" s="22"/>
      <c r="FQY149" s="22"/>
      <c r="FQZ149" s="22"/>
      <c r="FRA149" s="22"/>
      <c r="FRB149" s="22"/>
      <c r="FRC149" s="22"/>
      <c r="FRD149" s="22"/>
      <c r="FRE149" s="22"/>
      <c r="FRF149" s="22"/>
      <c r="FRG149" s="22"/>
      <c r="FRH149" s="22"/>
      <c r="FRI149" s="22"/>
      <c r="FRJ149" s="22"/>
      <c r="FRK149" s="22"/>
      <c r="FRL149" s="22"/>
      <c r="FRM149" s="22"/>
      <c r="FRN149" s="22"/>
      <c r="FRO149" s="22"/>
      <c r="FRP149" s="22"/>
      <c r="FRQ149" s="22"/>
      <c r="FRR149" s="22"/>
      <c r="FRS149" s="22"/>
      <c r="FRT149" s="22"/>
      <c r="FRU149" s="22"/>
      <c r="FRV149" s="22"/>
      <c r="FRW149" s="22"/>
      <c r="FRX149" s="22"/>
      <c r="FRY149" s="22"/>
      <c r="FRZ149" s="22"/>
      <c r="FSA149" s="22"/>
      <c r="FSB149" s="22"/>
      <c r="FSC149" s="22"/>
      <c r="FSD149" s="22"/>
      <c r="FSE149" s="22"/>
      <c r="FSF149" s="22"/>
      <c r="FSG149" s="22"/>
      <c r="FSH149" s="22"/>
      <c r="FSI149" s="22"/>
      <c r="FSJ149" s="22"/>
      <c r="FSK149" s="22"/>
      <c r="FSL149" s="22"/>
      <c r="FSM149" s="22"/>
      <c r="FSN149" s="22"/>
      <c r="FSO149" s="22"/>
      <c r="FSP149" s="22"/>
      <c r="FSQ149" s="22"/>
      <c r="FSR149" s="22"/>
      <c r="FSS149" s="22"/>
      <c r="FST149" s="22"/>
      <c r="FSU149" s="22"/>
      <c r="FSV149" s="22"/>
      <c r="FSW149" s="22"/>
      <c r="FSX149" s="22"/>
      <c r="FSY149" s="22"/>
      <c r="FSZ149" s="22"/>
      <c r="FTA149" s="22"/>
      <c r="FTB149" s="22"/>
      <c r="FTC149" s="22"/>
      <c r="FTD149" s="22"/>
      <c r="FTE149" s="22"/>
      <c r="FTF149" s="22"/>
      <c r="FTG149" s="22"/>
      <c r="FTH149" s="22"/>
      <c r="FTI149" s="22"/>
      <c r="FTJ149" s="22"/>
      <c r="FTK149" s="22"/>
      <c r="FTL149" s="22"/>
      <c r="FTM149" s="22"/>
      <c r="FTN149" s="22"/>
      <c r="FTO149" s="22"/>
      <c r="FTP149" s="22"/>
      <c r="FTQ149" s="22"/>
      <c r="FTR149" s="22"/>
      <c r="FTS149" s="22"/>
      <c r="FTT149" s="22"/>
      <c r="FTU149" s="22"/>
      <c r="FTV149" s="22"/>
      <c r="FTW149" s="22"/>
      <c r="FTX149" s="22"/>
      <c r="FTY149" s="22"/>
      <c r="FTZ149" s="22"/>
      <c r="FUA149" s="22"/>
      <c r="FUB149" s="22"/>
      <c r="FUC149" s="22"/>
      <c r="FUD149" s="22"/>
      <c r="FUE149" s="22"/>
      <c r="FUF149" s="22"/>
      <c r="FUG149" s="22"/>
      <c r="FUH149" s="22"/>
      <c r="FUI149" s="22"/>
      <c r="FUJ149" s="22"/>
      <c r="FUK149" s="22"/>
      <c r="FUL149" s="22"/>
      <c r="FUM149" s="22"/>
      <c r="FUN149" s="22"/>
      <c r="FUO149" s="22"/>
      <c r="FUP149" s="22"/>
      <c r="FUQ149" s="22"/>
      <c r="FUR149" s="22"/>
      <c r="FUS149" s="22"/>
      <c r="FUT149" s="22"/>
      <c r="FUU149" s="22"/>
      <c r="FUV149" s="22"/>
      <c r="FUW149" s="22"/>
      <c r="FUX149" s="22"/>
      <c r="FUY149" s="22"/>
      <c r="FUZ149" s="22"/>
      <c r="FVA149" s="22"/>
      <c r="FVB149" s="22"/>
      <c r="FVC149" s="22"/>
      <c r="FVD149" s="22"/>
      <c r="FVE149" s="22"/>
      <c r="FVF149" s="22"/>
      <c r="FVG149" s="22"/>
      <c r="FVH149" s="22"/>
      <c r="FVI149" s="22"/>
      <c r="FVJ149" s="22"/>
      <c r="FVK149" s="22"/>
      <c r="FVL149" s="22"/>
      <c r="FVM149" s="22"/>
      <c r="FVN149" s="22"/>
      <c r="FVO149" s="22"/>
      <c r="FVP149" s="22"/>
      <c r="FVQ149" s="22"/>
      <c r="FVR149" s="22"/>
      <c r="FVS149" s="22"/>
      <c r="FVT149" s="22"/>
      <c r="FVU149" s="22"/>
      <c r="FVV149" s="22"/>
      <c r="FVW149" s="22"/>
      <c r="FVX149" s="22"/>
      <c r="FVY149" s="22"/>
      <c r="FVZ149" s="22"/>
      <c r="FWA149" s="22"/>
      <c r="FWB149" s="22"/>
      <c r="FWC149" s="22"/>
      <c r="FWD149" s="22"/>
      <c r="FWE149" s="22"/>
      <c r="FWF149" s="22"/>
      <c r="FWG149" s="22"/>
      <c r="FWH149" s="22"/>
      <c r="FWI149" s="22"/>
      <c r="FWJ149" s="22"/>
      <c r="FWK149" s="22"/>
      <c r="FWL149" s="22"/>
      <c r="FWM149" s="22"/>
      <c r="FWN149" s="22"/>
      <c r="FWO149" s="22"/>
      <c r="FWP149" s="22"/>
      <c r="FWQ149" s="22"/>
      <c r="FWR149" s="22"/>
      <c r="FWS149" s="22"/>
      <c r="FWT149" s="22"/>
      <c r="FWU149" s="22"/>
      <c r="FWV149" s="22"/>
      <c r="FWW149" s="22"/>
      <c r="FWX149" s="22"/>
      <c r="FWY149" s="22"/>
      <c r="FWZ149" s="22"/>
      <c r="FXA149" s="22"/>
      <c r="FXB149" s="22"/>
      <c r="FXC149" s="22"/>
      <c r="FXD149" s="22"/>
      <c r="FXE149" s="22"/>
      <c r="FXF149" s="22"/>
      <c r="FXG149" s="22"/>
      <c r="FXH149" s="22"/>
      <c r="FXI149" s="22"/>
      <c r="FXJ149" s="22"/>
      <c r="FXK149" s="22"/>
      <c r="FXL149" s="22"/>
      <c r="FXM149" s="22"/>
      <c r="FXN149" s="22"/>
      <c r="FXO149" s="22"/>
      <c r="FXP149" s="22"/>
      <c r="FXQ149" s="22"/>
      <c r="FXR149" s="22"/>
      <c r="FXS149" s="22"/>
      <c r="FXT149" s="22"/>
      <c r="FXU149" s="22"/>
      <c r="FXV149" s="22"/>
      <c r="FXW149" s="22"/>
      <c r="FXX149" s="22"/>
      <c r="FXY149" s="22"/>
      <c r="FXZ149" s="22"/>
      <c r="FYA149" s="22"/>
      <c r="FYB149" s="22"/>
      <c r="FYC149" s="22"/>
      <c r="FYD149" s="22"/>
      <c r="FYE149" s="22"/>
      <c r="FYF149" s="22"/>
      <c r="FYG149" s="22"/>
      <c r="FYH149" s="22"/>
      <c r="FYI149" s="22"/>
      <c r="FYJ149" s="22"/>
      <c r="FYK149" s="22"/>
      <c r="FYL149" s="22"/>
      <c r="FYM149" s="22"/>
      <c r="FYN149" s="22"/>
      <c r="FYO149" s="22"/>
      <c r="FYP149" s="22"/>
      <c r="FYQ149" s="22"/>
      <c r="FYR149" s="22"/>
      <c r="FYS149" s="22"/>
      <c r="FYT149" s="22"/>
      <c r="FYU149" s="22"/>
      <c r="FYV149" s="22"/>
      <c r="FYW149" s="22"/>
      <c r="FYX149" s="22"/>
      <c r="FYY149" s="22"/>
      <c r="FYZ149" s="22"/>
      <c r="FZA149" s="22"/>
      <c r="FZB149" s="22"/>
      <c r="FZC149" s="22"/>
      <c r="FZD149" s="22"/>
      <c r="FZE149" s="22"/>
      <c r="FZF149" s="22"/>
      <c r="FZG149" s="22"/>
      <c r="FZH149" s="22"/>
      <c r="FZI149" s="22"/>
      <c r="FZJ149" s="22"/>
      <c r="FZK149" s="22"/>
      <c r="FZL149" s="22"/>
      <c r="FZM149" s="22"/>
      <c r="FZN149" s="22"/>
      <c r="FZO149" s="22"/>
      <c r="FZP149" s="22"/>
      <c r="FZQ149" s="22"/>
      <c r="FZR149" s="22"/>
      <c r="FZS149" s="22"/>
      <c r="FZT149" s="22"/>
      <c r="FZU149" s="22"/>
      <c r="FZV149" s="22"/>
      <c r="FZW149" s="22"/>
      <c r="FZX149" s="22"/>
      <c r="FZY149" s="22"/>
      <c r="FZZ149" s="22"/>
      <c r="GAA149" s="22"/>
      <c r="GAB149" s="22"/>
      <c r="GAC149" s="22"/>
      <c r="GAD149" s="22"/>
      <c r="GAE149" s="22"/>
      <c r="GAF149" s="22"/>
      <c r="GAG149" s="22"/>
      <c r="GAH149" s="22"/>
      <c r="GAI149" s="22"/>
      <c r="GAJ149" s="22"/>
      <c r="GAK149" s="22"/>
      <c r="GAL149" s="22"/>
      <c r="GAM149" s="22"/>
      <c r="GAN149" s="22"/>
      <c r="GAO149" s="22"/>
      <c r="GAP149" s="22"/>
      <c r="GAQ149" s="22"/>
      <c r="GAR149" s="22"/>
      <c r="GAS149" s="22"/>
      <c r="GAT149" s="22"/>
      <c r="GAU149" s="22"/>
      <c r="GAV149" s="22"/>
      <c r="GAW149" s="22"/>
      <c r="GAX149" s="22"/>
      <c r="GAY149" s="22"/>
      <c r="GAZ149" s="22"/>
      <c r="GBA149" s="22"/>
      <c r="GBB149" s="22"/>
      <c r="GBC149" s="22"/>
      <c r="GBD149" s="22"/>
      <c r="GBE149" s="22"/>
      <c r="GBF149" s="22"/>
      <c r="GBG149" s="22"/>
      <c r="GBH149" s="22"/>
      <c r="GBI149" s="22"/>
      <c r="GBJ149" s="22"/>
      <c r="GBK149" s="22"/>
      <c r="GBL149" s="22"/>
      <c r="GBM149" s="22"/>
      <c r="GBN149" s="22"/>
      <c r="GBO149" s="22"/>
      <c r="GBP149" s="22"/>
      <c r="GBQ149" s="22"/>
      <c r="GBR149" s="22"/>
      <c r="GBS149" s="22"/>
      <c r="GBT149" s="22"/>
      <c r="GBU149" s="22"/>
      <c r="GBV149" s="22"/>
      <c r="GBW149" s="22"/>
      <c r="GBX149" s="22"/>
      <c r="GBY149" s="22"/>
      <c r="GBZ149" s="22"/>
      <c r="GCA149" s="22"/>
      <c r="GCB149" s="22"/>
      <c r="GCC149" s="22"/>
      <c r="GCD149" s="22"/>
      <c r="GCE149" s="22"/>
      <c r="GCF149" s="22"/>
      <c r="GCG149" s="22"/>
      <c r="GCH149" s="22"/>
      <c r="GCI149" s="22"/>
      <c r="GCJ149" s="22"/>
      <c r="GCK149" s="22"/>
      <c r="GCL149" s="22"/>
      <c r="GCM149" s="22"/>
      <c r="GCN149" s="22"/>
      <c r="GCO149" s="22"/>
      <c r="GCP149" s="22"/>
      <c r="GCQ149" s="22"/>
      <c r="GCR149" s="22"/>
      <c r="GCS149" s="22"/>
      <c r="GCT149" s="22"/>
      <c r="GCU149" s="22"/>
      <c r="GCV149" s="22"/>
      <c r="GCW149" s="22"/>
      <c r="GCX149" s="22"/>
      <c r="GCY149" s="22"/>
      <c r="GCZ149" s="22"/>
      <c r="GDA149" s="22"/>
      <c r="GDB149" s="22"/>
      <c r="GDC149" s="22"/>
      <c r="GDD149" s="22"/>
      <c r="GDE149" s="22"/>
      <c r="GDF149" s="22"/>
      <c r="GDG149" s="22"/>
      <c r="GDH149" s="22"/>
      <c r="GDI149" s="22"/>
      <c r="GDJ149" s="22"/>
      <c r="GDK149" s="22"/>
      <c r="GDL149" s="22"/>
      <c r="GDM149" s="22"/>
      <c r="GDN149" s="22"/>
      <c r="GDO149" s="22"/>
      <c r="GDP149" s="22"/>
      <c r="GDQ149" s="22"/>
      <c r="GDR149" s="22"/>
      <c r="GDS149" s="22"/>
      <c r="GDT149" s="22"/>
      <c r="GDU149" s="22"/>
      <c r="GDV149" s="22"/>
      <c r="GDW149" s="22"/>
      <c r="GDX149" s="22"/>
      <c r="GDY149" s="22"/>
      <c r="GDZ149" s="22"/>
      <c r="GEA149" s="22"/>
      <c r="GEB149" s="22"/>
      <c r="GEC149" s="22"/>
      <c r="GED149" s="22"/>
      <c r="GEE149" s="22"/>
      <c r="GEF149" s="22"/>
      <c r="GEG149" s="22"/>
      <c r="GEH149" s="22"/>
      <c r="GEI149" s="22"/>
      <c r="GEJ149" s="22"/>
      <c r="GEK149" s="22"/>
      <c r="GEL149" s="22"/>
      <c r="GEM149" s="22"/>
      <c r="GEN149" s="22"/>
      <c r="GEO149" s="22"/>
      <c r="GEP149" s="22"/>
      <c r="GEQ149" s="22"/>
      <c r="GER149" s="22"/>
      <c r="GES149" s="22"/>
      <c r="GET149" s="22"/>
      <c r="GEU149" s="22"/>
      <c r="GEV149" s="22"/>
      <c r="GEW149" s="22"/>
      <c r="GEX149" s="22"/>
      <c r="GEY149" s="22"/>
      <c r="GEZ149" s="22"/>
      <c r="GFA149" s="22"/>
      <c r="GFB149" s="22"/>
      <c r="GFC149" s="22"/>
      <c r="GFD149" s="22"/>
      <c r="GFE149" s="22"/>
      <c r="GFF149" s="22"/>
      <c r="GFG149" s="22"/>
      <c r="GFH149" s="22"/>
      <c r="GFI149" s="22"/>
      <c r="GFJ149" s="22"/>
      <c r="GFK149" s="22"/>
      <c r="GFL149" s="22"/>
      <c r="GFM149" s="22"/>
      <c r="GFN149" s="22"/>
      <c r="GFO149" s="22"/>
      <c r="GFP149" s="22"/>
      <c r="GFQ149" s="22"/>
      <c r="GFR149" s="22"/>
      <c r="GFS149" s="22"/>
      <c r="GFT149" s="22"/>
      <c r="GFU149" s="22"/>
      <c r="GFV149" s="22"/>
      <c r="GFW149" s="22"/>
      <c r="GFX149" s="22"/>
      <c r="GFY149" s="22"/>
      <c r="GFZ149" s="22"/>
      <c r="GGA149" s="22"/>
      <c r="GGB149" s="22"/>
      <c r="GGC149" s="22"/>
      <c r="GGD149" s="22"/>
      <c r="GGE149" s="22"/>
      <c r="GGF149" s="22"/>
      <c r="GGG149" s="22"/>
      <c r="GGH149" s="22"/>
      <c r="GGI149" s="22"/>
      <c r="GGJ149" s="22"/>
      <c r="GGK149" s="22"/>
      <c r="GGL149" s="22"/>
      <c r="GGM149" s="22"/>
      <c r="GGN149" s="22"/>
      <c r="GGO149" s="22"/>
      <c r="GGP149" s="22"/>
      <c r="GGQ149" s="22"/>
      <c r="GGR149" s="22"/>
      <c r="GGS149" s="22"/>
      <c r="GGT149" s="22"/>
      <c r="GGU149" s="22"/>
      <c r="GGV149" s="22"/>
      <c r="GGW149" s="22"/>
      <c r="GGX149" s="22"/>
      <c r="GGY149" s="22"/>
      <c r="GGZ149" s="22"/>
      <c r="GHA149" s="22"/>
      <c r="GHB149" s="22"/>
      <c r="GHC149" s="22"/>
      <c r="GHD149" s="22"/>
      <c r="GHE149" s="22"/>
      <c r="GHF149" s="22"/>
      <c r="GHG149" s="22"/>
      <c r="GHH149" s="22"/>
      <c r="GHI149" s="22"/>
      <c r="GHJ149" s="22"/>
      <c r="GHK149" s="22"/>
      <c r="GHL149" s="22"/>
      <c r="GHM149" s="22"/>
      <c r="GHN149" s="22"/>
      <c r="GHO149" s="22"/>
      <c r="GHP149" s="22"/>
      <c r="GHQ149" s="22"/>
      <c r="GHR149" s="22"/>
      <c r="GHS149" s="22"/>
      <c r="GHT149" s="22"/>
      <c r="GHU149" s="22"/>
      <c r="GHV149" s="22"/>
      <c r="GHW149" s="22"/>
      <c r="GHX149" s="22"/>
      <c r="GHY149" s="22"/>
      <c r="GHZ149" s="22"/>
      <c r="GIA149" s="22"/>
      <c r="GIB149" s="22"/>
      <c r="GIC149" s="22"/>
      <c r="GID149" s="22"/>
      <c r="GIE149" s="22"/>
      <c r="GIF149" s="22"/>
      <c r="GIG149" s="22"/>
      <c r="GIH149" s="22"/>
      <c r="GII149" s="22"/>
      <c r="GIJ149" s="22"/>
      <c r="GIK149" s="22"/>
      <c r="GIL149" s="22"/>
      <c r="GIM149" s="22"/>
      <c r="GIN149" s="22"/>
      <c r="GIO149" s="22"/>
      <c r="GIP149" s="22"/>
      <c r="GIQ149" s="22"/>
      <c r="GIR149" s="22"/>
      <c r="GIS149" s="22"/>
      <c r="GIT149" s="22"/>
      <c r="GIU149" s="22"/>
      <c r="GIV149" s="22"/>
      <c r="GIW149" s="22"/>
      <c r="GIX149" s="22"/>
      <c r="GIY149" s="22"/>
      <c r="GIZ149" s="22"/>
      <c r="GJA149" s="22"/>
      <c r="GJB149" s="22"/>
      <c r="GJC149" s="22"/>
      <c r="GJD149" s="22"/>
      <c r="GJE149" s="22"/>
      <c r="GJF149" s="22"/>
      <c r="GJG149" s="22"/>
      <c r="GJH149" s="22"/>
      <c r="GJI149" s="22"/>
      <c r="GJJ149" s="22"/>
      <c r="GJK149" s="22"/>
      <c r="GJL149" s="22"/>
      <c r="GJM149" s="22"/>
      <c r="GJN149" s="22"/>
      <c r="GJO149" s="22"/>
      <c r="GJP149" s="22"/>
      <c r="GJQ149" s="22"/>
      <c r="GJR149" s="22"/>
      <c r="GJS149" s="22"/>
      <c r="GJT149" s="22"/>
      <c r="GJU149" s="22"/>
      <c r="GJV149" s="22"/>
      <c r="GJW149" s="22"/>
      <c r="GJX149" s="22"/>
      <c r="GJY149" s="22"/>
      <c r="GJZ149" s="22"/>
      <c r="GKA149" s="22"/>
      <c r="GKB149" s="22"/>
      <c r="GKC149" s="22"/>
      <c r="GKD149" s="22"/>
      <c r="GKE149" s="22"/>
      <c r="GKF149" s="22"/>
      <c r="GKG149" s="22"/>
      <c r="GKH149" s="22"/>
      <c r="GKI149" s="22"/>
      <c r="GKJ149" s="22"/>
      <c r="GKK149" s="22"/>
      <c r="GKL149" s="22"/>
      <c r="GKM149" s="22"/>
      <c r="GKN149" s="22"/>
      <c r="GKO149" s="22"/>
      <c r="GKP149" s="22"/>
      <c r="GKQ149" s="22"/>
      <c r="GKR149" s="22"/>
      <c r="GKS149" s="22"/>
      <c r="GKT149" s="22"/>
      <c r="GKU149" s="22"/>
      <c r="GKV149" s="22"/>
      <c r="GKW149" s="22"/>
      <c r="GKX149" s="22"/>
      <c r="GKY149" s="22"/>
      <c r="GKZ149" s="22"/>
      <c r="GLA149" s="22"/>
      <c r="GLB149" s="22"/>
      <c r="GLC149" s="22"/>
      <c r="GLD149" s="22"/>
      <c r="GLE149" s="22"/>
      <c r="GLF149" s="22"/>
      <c r="GLG149" s="22"/>
      <c r="GLH149" s="22"/>
      <c r="GLI149" s="22"/>
      <c r="GLJ149" s="22"/>
      <c r="GLK149" s="22"/>
      <c r="GLL149" s="22"/>
      <c r="GLM149" s="22"/>
      <c r="GLN149" s="22"/>
      <c r="GLO149" s="22"/>
      <c r="GLP149" s="22"/>
      <c r="GLQ149" s="22"/>
      <c r="GLR149" s="22"/>
      <c r="GLS149" s="22"/>
      <c r="GLT149" s="22"/>
      <c r="GLU149" s="22"/>
      <c r="GLV149" s="22"/>
      <c r="GLW149" s="22"/>
      <c r="GLX149" s="22"/>
      <c r="GLY149" s="22"/>
      <c r="GLZ149" s="22"/>
      <c r="GMA149" s="22"/>
      <c r="GMB149" s="22"/>
      <c r="GMC149" s="22"/>
      <c r="GMD149" s="22"/>
      <c r="GME149" s="22"/>
      <c r="GMF149" s="22"/>
      <c r="GMG149" s="22"/>
      <c r="GMH149" s="22"/>
      <c r="GMI149" s="22"/>
      <c r="GMJ149" s="22"/>
      <c r="GMK149" s="22"/>
      <c r="GML149" s="22"/>
      <c r="GMM149" s="22"/>
      <c r="GMN149" s="22"/>
      <c r="GMO149" s="22"/>
      <c r="GMP149" s="22"/>
      <c r="GMQ149" s="22"/>
      <c r="GMR149" s="22"/>
      <c r="GMS149" s="22"/>
      <c r="GMT149" s="22"/>
      <c r="GMU149" s="22"/>
      <c r="GMV149" s="22"/>
      <c r="GMW149" s="22"/>
      <c r="GMX149" s="22"/>
      <c r="GMY149" s="22"/>
      <c r="GMZ149" s="22"/>
      <c r="GNA149" s="22"/>
      <c r="GNB149" s="22"/>
      <c r="GNC149" s="22"/>
      <c r="GND149" s="22"/>
      <c r="GNE149" s="22"/>
      <c r="GNF149" s="22"/>
      <c r="GNG149" s="22"/>
      <c r="GNH149" s="22"/>
      <c r="GNI149" s="22"/>
      <c r="GNJ149" s="22"/>
      <c r="GNK149" s="22"/>
      <c r="GNL149" s="22"/>
      <c r="GNM149" s="22"/>
      <c r="GNN149" s="22"/>
      <c r="GNO149" s="22"/>
      <c r="GNP149" s="22"/>
      <c r="GNQ149" s="22"/>
      <c r="GNR149" s="22"/>
      <c r="GNS149" s="22"/>
      <c r="GNT149" s="22"/>
      <c r="GNU149" s="22"/>
      <c r="GNV149" s="22"/>
      <c r="GNW149" s="22"/>
      <c r="GNX149" s="22"/>
      <c r="GNY149" s="22"/>
      <c r="GNZ149" s="22"/>
      <c r="GOA149" s="22"/>
      <c r="GOB149" s="22"/>
      <c r="GOC149" s="22"/>
      <c r="GOD149" s="22"/>
      <c r="GOE149" s="22"/>
      <c r="GOF149" s="22"/>
      <c r="GOG149" s="22"/>
      <c r="GOH149" s="22"/>
      <c r="GOI149" s="22"/>
      <c r="GOJ149" s="22"/>
      <c r="GOK149" s="22"/>
      <c r="GOL149" s="22"/>
      <c r="GOM149" s="22"/>
      <c r="GON149" s="22"/>
      <c r="GOO149" s="22"/>
      <c r="GOP149" s="22"/>
      <c r="GOQ149" s="22"/>
      <c r="GOR149" s="22"/>
      <c r="GOS149" s="22"/>
      <c r="GOT149" s="22"/>
      <c r="GOU149" s="22"/>
      <c r="GOV149" s="22"/>
      <c r="GOW149" s="22"/>
      <c r="GOX149" s="22"/>
      <c r="GOY149" s="22"/>
      <c r="GOZ149" s="22"/>
      <c r="GPA149" s="22"/>
      <c r="GPB149" s="22"/>
      <c r="GPC149" s="22"/>
      <c r="GPD149" s="22"/>
      <c r="GPE149" s="22"/>
      <c r="GPF149" s="22"/>
      <c r="GPG149" s="22"/>
      <c r="GPH149" s="22"/>
      <c r="GPI149" s="22"/>
      <c r="GPJ149" s="22"/>
      <c r="GPK149" s="22"/>
      <c r="GPL149" s="22"/>
      <c r="GPM149" s="22"/>
      <c r="GPN149" s="22"/>
      <c r="GPO149" s="22"/>
      <c r="GPP149" s="22"/>
      <c r="GPQ149" s="22"/>
      <c r="GPR149" s="22"/>
      <c r="GPS149" s="22"/>
      <c r="GPT149" s="22"/>
      <c r="GPU149" s="22"/>
      <c r="GPV149" s="22"/>
      <c r="GPW149" s="22"/>
      <c r="GPX149" s="22"/>
      <c r="GPY149" s="22"/>
      <c r="GPZ149" s="22"/>
      <c r="GQA149" s="22"/>
      <c r="GQB149" s="22"/>
      <c r="GQC149" s="22"/>
      <c r="GQD149" s="22"/>
      <c r="GQE149" s="22"/>
      <c r="GQF149" s="22"/>
      <c r="GQG149" s="22"/>
      <c r="GQH149" s="22"/>
      <c r="GQI149" s="22"/>
      <c r="GQJ149" s="22"/>
      <c r="GQK149" s="22"/>
      <c r="GQL149" s="22"/>
      <c r="GQM149" s="22"/>
      <c r="GQN149" s="22"/>
      <c r="GQO149" s="22"/>
      <c r="GQP149" s="22"/>
      <c r="GQQ149" s="22"/>
      <c r="GQR149" s="22"/>
      <c r="GQS149" s="22"/>
      <c r="GQT149" s="22"/>
      <c r="GQU149" s="22"/>
      <c r="GQV149" s="22"/>
      <c r="GQW149" s="22"/>
      <c r="GQX149" s="22"/>
      <c r="GQY149" s="22"/>
      <c r="GQZ149" s="22"/>
      <c r="GRA149" s="22"/>
      <c r="GRB149" s="22"/>
      <c r="GRC149" s="22"/>
      <c r="GRD149" s="22"/>
      <c r="GRE149" s="22"/>
      <c r="GRF149" s="22"/>
      <c r="GRG149" s="22"/>
      <c r="GRH149" s="22"/>
      <c r="GRI149" s="22"/>
      <c r="GRJ149" s="22"/>
      <c r="GRK149" s="22"/>
      <c r="GRL149" s="22"/>
      <c r="GRM149" s="22"/>
      <c r="GRN149" s="22"/>
      <c r="GRO149" s="22"/>
      <c r="GRP149" s="22"/>
      <c r="GRQ149" s="22"/>
      <c r="GRR149" s="22"/>
      <c r="GRS149" s="22"/>
      <c r="GRT149" s="22"/>
      <c r="GRU149" s="22"/>
      <c r="GRV149" s="22"/>
      <c r="GRW149" s="22"/>
      <c r="GRX149" s="22"/>
      <c r="GRY149" s="22"/>
      <c r="GRZ149" s="22"/>
      <c r="GSA149" s="22"/>
      <c r="GSB149" s="22"/>
      <c r="GSC149" s="22"/>
      <c r="GSD149" s="22"/>
      <c r="GSE149" s="22"/>
      <c r="GSF149" s="22"/>
      <c r="GSG149" s="22"/>
      <c r="GSH149" s="22"/>
      <c r="GSI149" s="22"/>
      <c r="GSJ149" s="22"/>
      <c r="GSK149" s="22"/>
      <c r="GSL149" s="22"/>
      <c r="GSM149" s="22"/>
      <c r="GSN149" s="22"/>
      <c r="GSO149" s="22"/>
      <c r="GSP149" s="22"/>
      <c r="GSQ149" s="22"/>
      <c r="GSR149" s="22"/>
      <c r="GSS149" s="22"/>
      <c r="GST149" s="22"/>
      <c r="GSU149" s="22"/>
      <c r="GSV149" s="22"/>
      <c r="GSW149" s="22"/>
      <c r="GSX149" s="22"/>
      <c r="GSY149" s="22"/>
      <c r="GSZ149" s="22"/>
      <c r="GTA149" s="22"/>
      <c r="GTB149" s="22"/>
      <c r="GTC149" s="22"/>
      <c r="GTD149" s="22"/>
      <c r="GTE149" s="22"/>
      <c r="GTF149" s="22"/>
      <c r="GTG149" s="22"/>
      <c r="GTH149" s="22"/>
      <c r="GTI149" s="22"/>
      <c r="GTJ149" s="22"/>
      <c r="GTK149" s="22"/>
      <c r="GTL149" s="22"/>
      <c r="GTM149" s="22"/>
      <c r="GTN149" s="22"/>
      <c r="GTO149" s="22"/>
      <c r="GTP149" s="22"/>
      <c r="GTQ149" s="22"/>
      <c r="GTR149" s="22"/>
      <c r="GTS149" s="22"/>
      <c r="GTT149" s="22"/>
      <c r="GTU149" s="22"/>
      <c r="GTV149" s="22"/>
      <c r="GTW149" s="22"/>
      <c r="GTX149" s="22"/>
      <c r="GTY149" s="22"/>
      <c r="GTZ149" s="22"/>
      <c r="GUA149" s="22"/>
      <c r="GUB149" s="22"/>
      <c r="GUC149" s="22"/>
      <c r="GUD149" s="22"/>
      <c r="GUE149" s="22"/>
      <c r="GUF149" s="22"/>
      <c r="GUG149" s="22"/>
      <c r="GUH149" s="22"/>
      <c r="GUI149" s="22"/>
      <c r="GUJ149" s="22"/>
      <c r="GUK149" s="22"/>
      <c r="GUL149" s="22"/>
      <c r="GUM149" s="22"/>
      <c r="GUN149" s="22"/>
      <c r="GUO149" s="22"/>
      <c r="GUP149" s="22"/>
      <c r="GUQ149" s="22"/>
      <c r="GUR149" s="22"/>
      <c r="GUS149" s="22"/>
      <c r="GUT149" s="22"/>
      <c r="GUU149" s="22"/>
      <c r="GUV149" s="22"/>
      <c r="GUW149" s="22"/>
      <c r="GUX149" s="22"/>
      <c r="GUY149" s="22"/>
      <c r="GUZ149" s="22"/>
      <c r="GVA149" s="22"/>
      <c r="GVB149" s="22"/>
      <c r="GVC149" s="22"/>
      <c r="GVD149" s="22"/>
      <c r="GVE149" s="22"/>
      <c r="GVF149" s="22"/>
      <c r="GVG149" s="22"/>
      <c r="GVH149" s="22"/>
      <c r="GVI149" s="22"/>
      <c r="GVJ149" s="22"/>
      <c r="GVK149" s="22"/>
      <c r="GVL149" s="22"/>
      <c r="GVM149" s="22"/>
      <c r="GVN149" s="22"/>
      <c r="GVO149" s="22"/>
      <c r="GVP149" s="22"/>
      <c r="GVQ149" s="22"/>
      <c r="GVR149" s="22"/>
      <c r="GVS149" s="22"/>
      <c r="GVT149" s="22"/>
      <c r="GVU149" s="22"/>
      <c r="GVV149" s="22"/>
      <c r="GVW149" s="22"/>
      <c r="GVX149" s="22"/>
      <c r="GVY149" s="22"/>
      <c r="GVZ149" s="22"/>
      <c r="GWA149" s="22"/>
      <c r="GWB149" s="22"/>
      <c r="GWC149" s="22"/>
      <c r="GWD149" s="22"/>
      <c r="GWE149" s="22"/>
      <c r="GWF149" s="22"/>
      <c r="GWG149" s="22"/>
      <c r="GWH149" s="22"/>
      <c r="GWI149" s="22"/>
      <c r="GWJ149" s="22"/>
      <c r="GWK149" s="22"/>
      <c r="GWL149" s="22"/>
      <c r="GWM149" s="22"/>
      <c r="GWN149" s="22"/>
      <c r="GWO149" s="22"/>
      <c r="GWP149" s="22"/>
      <c r="GWQ149" s="22"/>
      <c r="GWR149" s="22"/>
      <c r="GWS149" s="22"/>
      <c r="GWT149" s="22"/>
      <c r="GWU149" s="22"/>
      <c r="GWV149" s="22"/>
      <c r="GWW149" s="22"/>
      <c r="GWX149" s="22"/>
      <c r="GWY149" s="22"/>
      <c r="GWZ149" s="22"/>
      <c r="GXA149" s="22"/>
      <c r="GXB149" s="22"/>
      <c r="GXC149" s="22"/>
      <c r="GXD149" s="22"/>
      <c r="GXE149" s="22"/>
      <c r="GXF149" s="22"/>
      <c r="GXG149" s="22"/>
      <c r="GXH149" s="22"/>
      <c r="GXI149" s="22"/>
      <c r="GXJ149" s="22"/>
      <c r="GXK149" s="22"/>
      <c r="GXL149" s="22"/>
      <c r="GXM149" s="22"/>
      <c r="GXN149" s="22"/>
      <c r="GXO149" s="22"/>
      <c r="GXP149" s="22"/>
      <c r="GXQ149" s="22"/>
      <c r="GXR149" s="22"/>
      <c r="GXS149" s="22"/>
      <c r="GXT149" s="22"/>
      <c r="GXU149" s="22"/>
      <c r="GXV149" s="22"/>
      <c r="GXW149" s="22"/>
      <c r="GXX149" s="22"/>
      <c r="GXY149" s="22"/>
      <c r="GXZ149" s="22"/>
      <c r="GYA149" s="22"/>
      <c r="GYB149" s="22"/>
      <c r="GYC149" s="22"/>
      <c r="GYD149" s="22"/>
      <c r="GYE149" s="22"/>
      <c r="GYF149" s="22"/>
      <c r="GYG149" s="22"/>
      <c r="GYH149" s="22"/>
      <c r="GYI149" s="22"/>
      <c r="GYJ149" s="22"/>
      <c r="GYK149" s="22"/>
      <c r="GYL149" s="22"/>
      <c r="GYM149" s="22"/>
      <c r="GYN149" s="22"/>
      <c r="GYO149" s="22"/>
      <c r="GYP149" s="22"/>
      <c r="GYQ149" s="22"/>
      <c r="GYR149" s="22"/>
      <c r="GYS149" s="22"/>
      <c r="GYT149" s="22"/>
      <c r="GYU149" s="22"/>
      <c r="GYV149" s="22"/>
      <c r="GYW149" s="22"/>
      <c r="GYX149" s="22"/>
      <c r="GYY149" s="22"/>
      <c r="GYZ149" s="22"/>
      <c r="GZA149" s="22"/>
      <c r="GZB149" s="22"/>
      <c r="GZC149" s="22"/>
      <c r="GZD149" s="22"/>
      <c r="GZE149" s="22"/>
      <c r="GZF149" s="22"/>
      <c r="GZG149" s="22"/>
      <c r="GZH149" s="22"/>
      <c r="GZI149" s="22"/>
      <c r="GZJ149" s="22"/>
      <c r="GZK149" s="22"/>
      <c r="GZL149" s="22"/>
      <c r="GZM149" s="22"/>
      <c r="GZN149" s="22"/>
      <c r="GZO149" s="22"/>
      <c r="GZP149" s="22"/>
      <c r="GZQ149" s="22"/>
      <c r="GZR149" s="22"/>
      <c r="GZS149" s="22"/>
      <c r="GZT149" s="22"/>
      <c r="GZU149" s="22"/>
      <c r="GZV149" s="22"/>
      <c r="GZW149" s="22"/>
      <c r="GZX149" s="22"/>
      <c r="GZY149" s="22"/>
      <c r="GZZ149" s="22"/>
      <c r="HAA149" s="22"/>
      <c r="HAB149" s="22"/>
      <c r="HAC149" s="22"/>
      <c r="HAD149" s="22"/>
      <c r="HAE149" s="22"/>
      <c r="HAF149" s="22"/>
      <c r="HAG149" s="22"/>
      <c r="HAH149" s="22"/>
      <c r="HAI149" s="22"/>
      <c r="HAJ149" s="22"/>
      <c r="HAK149" s="22"/>
      <c r="HAL149" s="22"/>
      <c r="HAM149" s="22"/>
      <c r="HAN149" s="22"/>
      <c r="HAO149" s="22"/>
      <c r="HAP149" s="22"/>
      <c r="HAQ149" s="22"/>
      <c r="HAR149" s="22"/>
      <c r="HAS149" s="22"/>
      <c r="HAT149" s="22"/>
      <c r="HAU149" s="22"/>
      <c r="HAV149" s="22"/>
      <c r="HAW149" s="22"/>
      <c r="HAX149" s="22"/>
      <c r="HAY149" s="22"/>
      <c r="HAZ149" s="22"/>
      <c r="HBA149" s="22"/>
      <c r="HBB149" s="22"/>
      <c r="HBC149" s="22"/>
      <c r="HBD149" s="22"/>
      <c r="HBE149" s="22"/>
      <c r="HBF149" s="22"/>
      <c r="HBG149" s="22"/>
      <c r="HBH149" s="22"/>
      <c r="HBI149" s="22"/>
      <c r="HBJ149" s="22"/>
      <c r="HBK149" s="22"/>
      <c r="HBL149" s="22"/>
      <c r="HBM149" s="22"/>
      <c r="HBN149" s="22"/>
      <c r="HBO149" s="22"/>
      <c r="HBP149" s="22"/>
      <c r="HBQ149" s="22"/>
      <c r="HBR149" s="22"/>
      <c r="HBS149" s="22"/>
      <c r="HBT149" s="22"/>
      <c r="HBU149" s="22"/>
      <c r="HBV149" s="22"/>
      <c r="HBW149" s="22"/>
      <c r="HBX149" s="22"/>
      <c r="HBY149" s="22"/>
      <c r="HBZ149" s="22"/>
      <c r="HCA149" s="22"/>
      <c r="HCB149" s="22"/>
      <c r="HCC149" s="22"/>
      <c r="HCD149" s="22"/>
      <c r="HCE149" s="22"/>
      <c r="HCF149" s="22"/>
      <c r="HCG149" s="22"/>
      <c r="HCH149" s="22"/>
      <c r="HCI149" s="22"/>
      <c r="HCJ149" s="22"/>
      <c r="HCK149" s="22"/>
      <c r="HCL149" s="22"/>
      <c r="HCM149" s="22"/>
      <c r="HCN149" s="22"/>
      <c r="HCO149" s="22"/>
      <c r="HCP149" s="22"/>
      <c r="HCQ149" s="22"/>
      <c r="HCR149" s="22"/>
      <c r="HCS149" s="22"/>
      <c r="HCT149" s="22"/>
      <c r="HCU149" s="22"/>
      <c r="HCV149" s="22"/>
      <c r="HCW149" s="22"/>
      <c r="HCX149" s="22"/>
      <c r="HCY149" s="22"/>
      <c r="HCZ149" s="22"/>
      <c r="HDA149" s="22"/>
      <c r="HDB149" s="22"/>
      <c r="HDC149" s="22"/>
      <c r="HDD149" s="22"/>
      <c r="HDE149" s="22"/>
      <c r="HDF149" s="22"/>
      <c r="HDG149" s="22"/>
      <c r="HDH149" s="22"/>
      <c r="HDI149" s="22"/>
      <c r="HDJ149" s="22"/>
      <c r="HDK149" s="22"/>
      <c r="HDL149" s="22"/>
      <c r="HDM149" s="22"/>
      <c r="HDN149" s="22"/>
      <c r="HDO149" s="22"/>
      <c r="HDP149" s="22"/>
      <c r="HDQ149" s="22"/>
      <c r="HDR149" s="22"/>
      <c r="HDS149" s="22"/>
      <c r="HDT149" s="22"/>
      <c r="HDU149" s="22"/>
      <c r="HDV149" s="22"/>
      <c r="HDW149" s="22"/>
      <c r="HDX149" s="22"/>
      <c r="HDY149" s="22"/>
      <c r="HDZ149" s="22"/>
      <c r="HEA149" s="22"/>
      <c r="HEB149" s="22"/>
      <c r="HEC149" s="22"/>
      <c r="HED149" s="22"/>
      <c r="HEE149" s="22"/>
      <c r="HEF149" s="22"/>
      <c r="HEG149" s="22"/>
      <c r="HEH149" s="22"/>
      <c r="HEI149" s="22"/>
      <c r="HEJ149" s="22"/>
      <c r="HEK149" s="22"/>
      <c r="HEL149" s="22"/>
      <c r="HEM149" s="22"/>
      <c r="HEN149" s="22"/>
      <c r="HEO149" s="22"/>
      <c r="HEP149" s="22"/>
      <c r="HEQ149" s="22"/>
      <c r="HER149" s="22"/>
      <c r="HES149" s="22"/>
      <c r="HET149" s="22"/>
      <c r="HEU149" s="22"/>
      <c r="HEV149" s="22"/>
      <c r="HEW149" s="22"/>
      <c r="HEX149" s="22"/>
      <c r="HEY149" s="22"/>
      <c r="HEZ149" s="22"/>
      <c r="HFA149" s="22"/>
      <c r="HFB149" s="22"/>
      <c r="HFC149" s="22"/>
      <c r="HFD149" s="22"/>
      <c r="HFE149" s="22"/>
      <c r="HFF149" s="22"/>
      <c r="HFG149" s="22"/>
      <c r="HFH149" s="22"/>
      <c r="HFI149" s="22"/>
      <c r="HFJ149" s="22"/>
      <c r="HFK149" s="22"/>
      <c r="HFL149" s="22"/>
      <c r="HFM149" s="22"/>
      <c r="HFN149" s="22"/>
      <c r="HFO149" s="22"/>
      <c r="HFP149" s="22"/>
      <c r="HFQ149" s="22"/>
      <c r="HFR149" s="22"/>
      <c r="HFS149" s="22"/>
      <c r="HFT149" s="22"/>
      <c r="HFU149" s="22"/>
      <c r="HFV149" s="22"/>
      <c r="HFW149" s="22"/>
      <c r="HFX149" s="22"/>
      <c r="HFY149" s="22"/>
      <c r="HFZ149" s="22"/>
      <c r="HGA149" s="22"/>
      <c r="HGB149" s="22"/>
      <c r="HGC149" s="22"/>
      <c r="HGD149" s="22"/>
      <c r="HGE149" s="22"/>
      <c r="HGF149" s="22"/>
      <c r="HGG149" s="22"/>
      <c r="HGH149" s="22"/>
      <c r="HGI149" s="22"/>
      <c r="HGJ149" s="22"/>
      <c r="HGK149" s="22"/>
      <c r="HGL149" s="22"/>
      <c r="HGM149" s="22"/>
      <c r="HGN149" s="22"/>
      <c r="HGO149" s="22"/>
      <c r="HGP149" s="22"/>
      <c r="HGQ149" s="22"/>
      <c r="HGR149" s="22"/>
      <c r="HGS149" s="22"/>
      <c r="HGT149" s="22"/>
      <c r="HGU149" s="22"/>
      <c r="HGV149" s="22"/>
      <c r="HGW149" s="22"/>
      <c r="HGX149" s="22"/>
      <c r="HGY149" s="22"/>
      <c r="HGZ149" s="22"/>
      <c r="HHA149" s="22"/>
      <c r="HHB149" s="22"/>
      <c r="HHC149" s="22"/>
      <c r="HHD149" s="22"/>
      <c r="HHE149" s="22"/>
      <c r="HHF149" s="22"/>
      <c r="HHG149" s="22"/>
      <c r="HHH149" s="22"/>
      <c r="HHI149" s="22"/>
      <c r="HHJ149" s="22"/>
      <c r="HHK149" s="22"/>
      <c r="HHL149" s="22"/>
      <c r="HHM149" s="22"/>
      <c r="HHN149" s="22"/>
      <c r="HHO149" s="22"/>
      <c r="HHP149" s="22"/>
      <c r="HHQ149" s="22"/>
      <c r="HHR149" s="22"/>
      <c r="HHS149" s="22"/>
      <c r="HHT149" s="22"/>
      <c r="HHU149" s="22"/>
      <c r="HHV149" s="22"/>
      <c r="HHW149" s="22"/>
      <c r="HHX149" s="22"/>
      <c r="HHY149" s="22"/>
      <c r="HHZ149" s="22"/>
      <c r="HIA149" s="22"/>
      <c r="HIB149" s="22"/>
      <c r="HIC149" s="22"/>
      <c r="HID149" s="22"/>
      <c r="HIE149" s="22"/>
      <c r="HIF149" s="22"/>
      <c r="HIG149" s="22"/>
      <c r="HIH149" s="22"/>
      <c r="HII149" s="22"/>
      <c r="HIJ149" s="22"/>
      <c r="HIK149" s="22"/>
      <c r="HIL149" s="22"/>
      <c r="HIM149" s="22"/>
      <c r="HIN149" s="22"/>
      <c r="HIO149" s="22"/>
      <c r="HIP149" s="22"/>
      <c r="HIQ149" s="22"/>
      <c r="HIR149" s="22"/>
      <c r="HIS149" s="22"/>
      <c r="HIT149" s="22"/>
      <c r="HIU149" s="22"/>
      <c r="HIV149" s="22"/>
      <c r="HIW149" s="22"/>
      <c r="HIX149" s="22"/>
      <c r="HIY149" s="22"/>
      <c r="HIZ149" s="22"/>
      <c r="HJA149" s="22"/>
      <c r="HJB149" s="22"/>
      <c r="HJC149" s="22"/>
      <c r="HJD149" s="22"/>
      <c r="HJE149" s="22"/>
      <c r="HJF149" s="22"/>
      <c r="HJG149" s="22"/>
      <c r="HJH149" s="22"/>
      <c r="HJI149" s="22"/>
      <c r="HJJ149" s="22"/>
      <c r="HJK149" s="22"/>
      <c r="HJL149" s="22"/>
      <c r="HJM149" s="22"/>
      <c r="HJN149" s="22"/>
      <c r="HJO149" s="22"/>
      <c r="HJP149" s="22"/>
      <c r="HJQ149" s="22"/>
      <c r="HJR149" s="22"/>
      <c r="HJS149" s="22"/>
      <c r="HJT149" s="22"/>
      <c r="HJU149" s="22"/>
      <c r="HJV149" s="22"/>
      <c r="HJW149" s="22"/>
      <c r="HJX149" s="22"/>
      <c r="HJY149" s="22"/>
      <c r="HJZ149" s="22"/>
      <c r="HKA149" s="22"/>
      <c r="HKB149" s="22"/>
      <c r="HKC149" s="22"/>
      <c r="HKD149" s="22"/>
      <c r="HKE149" s="22"/>
      <c r="HKF149" s="22"/>
      <c r="HKG149" s="22"/>
      <c r="HKH149" s="22"/>
      <c r="HKI149" s="22"/>
      <c r="HKJ149" s="22"/>
      <c r="HKK149" s="22"/>
      <c r="HKL149" s="22"/>
      <c r="HKM149" s="22"/>
      <c r="HKN149" s="22"/>
      <c r="HKO149" s="22"/>
      <c r="HKP149" s="22"/>
      <c r="HKQ149" s="22"/>
      <c r="HKR149" s="22"/>
      <c r="HKS149" s="22"/>
      <c r="HKT149" s="22"/>
      <c r="HKU149" s="22"/>
      <c r="HKV149" s="22"/>
      <c r="HKW149" s="22"/>
      <c r="HKX149" s="22"/>
      <c r="HKY149" s="22"/>
      <c r="HKZ149" s="22"/>
      <c r="HLA149" s="22"/>
      <c r="HLB149" s="22"/>
      <c r="HLC149" s="22"/>
      <c r="HLD149" s="22"/>
      <c r="HLE149" s="22"/>
      <c r="HLF149" s="22"/>
      <c r="HLG149" s="22"/>
      <c r="HLH149" s="22"/>
      <c r="HLI149" s="22"/>
      <c r="HLJ149" s="22"/>
      <c r="HLK149" s="22"/>
      <c r="HLL149" s="22"/>
      <c r="HLM149" s="22"/>
      <c r="HLN149" s="22"/>
      <c r="HLO149" s="22"/>
      <c r="HLP149" s="22"/>
      <c r="HLQ149" s="22"/>
      <c r="HLR149" s="22"/>
      <c r="HLS149" s="22"/>
      <c r="HLT149" s="22"/>
      <c r="HLU149" s="22"/>
      <c r="HLV149" s="22"/>
      <c r="HLW149" s="22"/>
      <c r="HLX149" s="22"/>
      <c r="HLY149" s="22"/>
      <c r="HLZ149" s="22"/>
      <c r="HMA149" s="22"/>
      <c r="HMB149" s="22"/>
      <c r="HMC149" s="22"/>
      <c r="HMD149" s="22"/>
      <c r="HME149" s="22"/>
      <c r="HMF149" s="22"/>
      <c r="HMG149" s="22"/>
      <c r="HMH149" s="22"/>
      <c r="HMI149" s="22"/>
      <c r="HMJ149" s="22"/>
      <c r="HMK149" s="22"/>
      <c r="HML149" s="22"/>
      <c r="HMM149" s="22"/>
      <c r="HMN149" s="22"/>
      <c r="HMO149" s="22"/>
      <c r="HMP149" s="22"/>
      <c r="HMQ149" s="22"/>
      <c r="HMR149" s="22"/>
      <c r="HMS149" s="22"/>
      <c r="HMT149" s="22"/>
      <c r="HMU149" s="22"/>
      <c r="HMV149" s="22"/>
      <c r="HMW149" s="22"/>
      <c r="HMX149" s="22"/>
      <c r="HMY149" s="22"/>
      <c r="HMZ149" s="22"/>
      <c r="HNA149" s="22"/>
      <c r="HNB149" s="22"/>
      <c r="HNC149" s="22"/>
      <c r="HND149" s="22"/>
      <c r="HNE149" s="22"/>
      <c r="HNF149" s="22"/>
      <c r="HNG149" s="22"/>
      <c r="HNH149" s="22"/>
      <c r="HNI149" s="22"/>
      <c r="HNJ149" s="22"/>
      <c r="HNK149" s="22"/>
      <c r="HNL149" s="22"/>
      <c r="HNM149" s="22"/>
      <c r="HNN149" s="22"/>
      <c r="HNO149" s="22"/>
      <c r="HNP149" s="22"/>
      <c r="HNQ149" s="22"/>
      <c r="HNR149" s="22"/>
      <c r="HNS149" s="22"/>
      <c r="HNT149" s="22"/>
      <c r="HNU149" s="22"/>
      <c r="HNV149" s="22"/>
      <c r="HNW149" s="22"/>
      <c r="HNX149" s="22"/>
      <c r="HNY149" s="22"/>
      <c r="HNZ149" s="22"/>
      <c r="HOA149" s="22"/>
      <c r="HOB149" s="22"/>
      <c r="HOC149" s="22"/>
      <c r="HOD149" s="22"/>
      <c r="HOE149" s="22"/>
      <c r="HOF149" s="22"/>
      <c r="HOG149" s="22"/>
      <c r="HOH149" s="22"/>
      <c r="HOI149" s="22"/>
      <c r="HOJ149" s="22"/>
      <c r="HOK149" s="22"/>
      <c r="HOL149" s="22"/>
      <c r="HOM149" s="22"/>
      <c r="HON149" s="22"/>
      <c r="HOO149" s="22"/>
      <c r="HOP149" s="22"/>
      <c r="HOQ149" s="22"/>
      <c r="HOR149" s="22"/>
      <c r="HOS149" s="22"/>
      <c r="HOT149" s="22"/>
      <c r="HOU149" s="22"/>
      <c r="HOV149" s="22"/>
      <c r="HOW149" s="22"/>
      <c r="HOX149" s="22"/>
      <c r="HOY149" s="22"/>
      <c r="HOZ149" s="22"/>
      <c r="HPA149" s="22"/>
      <c r="HPB149" s="22"/>
      <c r="HPC149" s="22"/>
      <c r="HPD149" s="22"/>
      <c r="HPE149" s="22"/>
      <c r="HPF149" s="22"/>
      <c r="HPG149" s="22"/>
      <c r="HPH149" s="22"/>
      <c r="HPI149" s="22"/>
      <c r="HPJ149" s="22"/>
      <c r="HPK149" s="22"/>
      <c r="HPL149" s="22"/>
      <c r="HPM149" s="22"/>
      <c r="HPN149" s="22"/>
      <c r="HPO149" s="22"/>
      <c r="HPP149" s="22"/>
      <c r="HPQ149" s="22"/>
      <c r="HPR149" s="22"/>
      <c r="HPS149" s="22"/>
      <c r="HPT149" s="22"/>
      <c r="HPU149" s="22"/>
      <c r="HPV149" s="22"/>
      <c r="HPW149" s="22"/>
      <c r="HPX149" s="22"/>
      <c r="HPY149" s="22"/>
      <c r="HPZ149" s="22"/>
      <c r="HQA149" s="22"/>
      <c r="HQB149" s="22"/>
      <c r="HQC149" s="22"/>
      <c r="HQD149" s="22"/>
      <c r="HQE149" s="22"/>
      <c r="HQF149" s="22"/>
      <c r="HQG149" s="22"/>
      <c r="HQH149" s="22"/>
      <c r="HQI149" s="22"/>
      <c r="HQJ149" s="22"/>
      <c r="HQK149" s="22"/>
      <c r="HQL149" s="22"/>
      <c r="HQM149" s="22"/>
      <c r="HQN149" s="22"/>
      <c r="HQO149" s="22"/>
      <c r="HQP149" s="22"/>
      <c r="HQQ149" s="22"/>
      <c r="HQR149" s="22"/>
      <c r="HQS149" s="22"/>
      <c r="HQT149" s="22"/>
      <c r="HQU149" s="22"/>
      <c r="HQV149" s="22"/>
      <c r="HQW149" s="22"/>
      <c r="HQX149" s="22"/>
      <c r="HQY149" s="22"/>
      <c r="HQZ149" s="22"/>
      <c r="HRA149" s="22"/>
      <c r="HRB149" s="22"/>
      <c r="HRC149" s="22"/>
      <c r="HRD149" s="22"/>
      <c r="HRE149" s="22"/>
      <c r="HRF149" s="22"/>
      <c r="HRG149" s="22"/>
      <c r="HRH149" s="22"/>
      <c r="HRI149" s="22"/>
      <c r="HRJ149" s="22"/>
      <c r="HRK149" s="22"/>
      <c r="HRL149" s="22"/>
      <c r="HRM149" s="22"/>
      <c r="HRN149" s="22"/>
      <c r="HRO149" s="22"/>
      <c r="HRP149" s="22"/>
      <c r="HRQ149" s="22"/>
      <c r="HRR149" s="22"/>
      <c r="HRS149" s="22"/>
      <c r="HRT149" s="22"/>
      <c r="HRU149" s="22"/>
      <c r="HRV149" s="22"/>
      <c r="HRW149" s="22"/>
      <c r="HRX149" s="22"/>
      <c r="HRY149" s="22"/>
      <c r="HRZ149" s="22"/>
      <c r="HSA149" s="22"/>
      <c r="HSB149" s="22"/>
      <c r="HSC149" s="22"/>
      <c r="HSD149" s="22"/>
      <c r="HSE149" s="22"/>
      <c r="HSF149" s="22"/>
      <c r="HSG149" s="22"/>
      <c r="HSH149" s="22"/>
      <c r="HSI149" s="22"/>
      <c r="HSJ149" s="22"/>
      <c r="HSK149" s="22"/>
      <c r="HSL149" s="22"/>
      <c r="HSM149" s="22"/>
      <c r="HSN149" s="22"/>
      <c r="HSO149" s="22"/>
      <c r="HSP149" s="22"/>
      <c r="HSQ149" s="22"/>
      <c r="HSR149" s="22"/>
      <c r="HSS149" s="22"/>
      <c r="HST149" s="22"/>
      <c r="HSU149" s="22"/>
      <c r="HSV149" s="22"/>
      <c r="HSW149" s="22"/>
      <c r="HSX149" s="22"/>
      <c r="HSY149" s="22"/>
      <c r="HSZ149" s="22"/>
      <c r="HTA149" s="22"/>
      <c r="HTB149" s="22"/>
      <c r="HTC149" s="22"/>
      <c r="HTD149" s="22"/>
      <c r="HTE149" s="22"/>
      <c r="HTF149" s="22"/>
      <c r="HTG149" s="22"/>
      <c r="HTH149" s="22"/>
      <c r="HTI149" s="22"/>
      <c r="HTJ149" s="22"/>
      <c r="HTK149" s="22"/>
      <c r="HTL149" s="22"/>
      <c r="HTM149" s="22"/>
      <c r="HTN149" s="22"/>
      <c r="HTO149" s="22"/>
      <c r="HTP149" s="22"/>
      <c r="HTQ149" s="22"/>
      <c r="HTR149" s="22"/>
      <c r="HTS149" s="22"/>
      <c r="HTT149" s="22"/>
      <c r="HTU149" s="22"/>
      <c r="HTV149" s="22"/>
      <c r="HTW149" s="22"/>
      <c r="HTX149" s="22"/>
      <c r="HTY149" s="22"/>
      <c r="HTZ149" s="22"/>
      <c r="HUA149" s="22"/>
      <c r="HUB149" s="22"/>
      <c r="HUC149" s="22"/>
      <c r="HUD149" s="22"/>
      <c r="HUE149" s="22"/>
      <c r="HUF149" s="22"/>
      <c r="HUG149" s="22"/>
      <c r="HUH149" s="22"/>
      <c r="HUI149" s="22"/>
      <c r="HUJ149" s="22"/>
      <c r="HUK149" s="22"/>
      <c r="HUL149" s="22"/>
      <c r="HUM149" s="22"/>
      <c r="HUN149" s="22"/>
      <c r="HUO149" s="22"/>
      <c r="HUP149" s="22"/>
      <c r="HUQ149" s="22"/>
      <c r="HUR149" s="22"/>
      <c r="HUS149" s="22"/>
      <c r="HUT149" s="22"/>
      <c r="HUU149" s="22"/>
      <c r="HUV149" s="22"/>
      <c r="HUW149" s="22"/>
      <c r="HUX149" s="22"/>
      <c r="HUY149" s="22"/>
      <c r="HUZ149" s="22"/>
      <c r="HVA149" s="22"/>
      <c r="HVB149" s="22"/>
      <c r="HVC149" s="22"/>
      <c r="HVD149" s="22"/>
      <c r="HVE149" s="22"/>
      <c r="HVF149" s="22"/>
      <c r="HVG149" s="22"/>
      <c r="HVH149" s="22"/>
      <c r="HVI149" s="22"/>
      <c r="HVJ149" s="22"/>
      <c r="HVK149" s="22"/>
      <c r="HVL149" s="22"/>
      <c r="HVM149" s="22"/>
      <c r="HVN149" s="22"/>
      <c r="HVO149" s="22"/>
      <c r="HVP149" s="22"/>
      <c r="HVQ149" s="22"/>
      <c r="HVR149" s="22"/>
      <c r="HVS149" s="22"/>
      <c r="HVT149" s="22"/>
      <c r="HVU149" s="22"/>
      <c r="HVV149" s="22"/>
      <c r="HVW149" s="22"/>
      <c r="HVX149" s="22"/>
      <c r="HVY149" s="22"/>
      <c r="HVZ149" s="22"/>
      <c r="HWA149" s="22"/>
      <c r="HWB149" s="22"/>
      <c r="HWC149" s="22"/>
      <c r="HWD149" s="22"/>
      <c r="HWE149" s="22"/>
      <c r="HWF149" s="22"/>
      <c r="HWG149" s="22"/>
      <c r="HWH149" s="22"/>
      <c r="HWI149" s="22"/>
      <c r="HWJ149" s="22"/>
      <c r="HWK149" s="22"/>
      <c r="HWL149" s="22"/>
      <c r="HWM149" s="22"/>
      <c r="HWN149" s="22"/>
      <c r="HWO149" s="22"/>
      <c r="HWP149" s="22"/>
      <c r="HWQ149" s="22"/>
      <c r="HWR149" s="22"/>
      <c r="HWS149" s="22"/>
      <c r="HWT149" s="22"/>
      <c r="HWU149" s="22"/>
      <c r="HWV149" s="22"/>
      <c r="HWW149" s="22"/>
      <c r="HWX149" s="22"/>
      <c r="HWY149" s="22"/>
      <c r="HWZ149" s="22"/>
      <c r="HXA149" s="22"/>
      <c r="HXB149" s="22"/>
      <c r="HXC149" s="22"/>
      <c r="HXD149" s="22"/>
      <c r="HXE149" s="22"/>
      <c r="HXF149" s="22"/>
      <c r="HXG149" s="22"/>
      <c r="HXH149" s="22"/>
      <c r="HXI149" s="22"/>
      <c r="HXJ149" s="22"/>
      <c r="HXK149" s="22"/>
      <c r="HXL149" s="22"/>
      <c r="HXM149" s="22"/>
      <c r="HXN149" s="22"/>
      <c r="HXO149" s="22"/>
      <c r="HXP149" s="22"/>
      <c r="HXQ149" s="22"/>
      <c r="HXR149" s="22"/>
      <c r="HXS149" s="22"/>
      <c r="HXT149" s="22"/>
      <c r="HXU149" s="22"/>
      <c r="HXV149" s="22"/>
      <c r="HXW149" s="22"/>
      <c r="HXX149" s="22"/>
      <c r="HXY149" s="22"/>
      <c r="HXZ149" s="22"/>
      <c r="HYA149" s="22"/>
      <c r="HYB149" s="22"/>
      <c r="HYC149" s="22"/>
      <c r="HYD149" s="22"/>
      <c r="HYE149" s="22"/>
      <c r="HYF149" s="22"/>
      <c r="HYG149" s="22"/>
      <c r="HYH149" s="22"/>
      <c r="HYI149" s="22"/>
      <c r="HYJ149" s="22"/>
      <c r="HYK149" s="22"/>
      <c r="HYL149" s="22"/>
      <c r="HYM149" s="22"/>
      <c r="HYN149" s="22"/>
      <c r="HYO149" s="22"/>
      <c r="HYP149" s="22"/>
      <c r="HYQ149" s="22"/>
      <c r="HYR149" s="22"/>
      <c r="HYS149" s="22"/>
      <c r="HYT149" s="22"/>
      <c r="HYU149" s="22"/>
      <c r="HYV149" s="22"/>
      <c r="HYW149" s="22"/>
      <c r="HYX149" s="22"/>
      <c r="HYY149" s="22"/>
      <c r="HYZ149" s="22"/>
      <c r="HZA149" s="22"/>
      <c r="HZB149" s="22"/>
      <c r="HZC149" s="22"/>
      <c r="HZD149" s="22"/>
      <c r="HZE149" s="22"/>
      <c r="HZF149" s="22"/>
      <c r="HZG149" s="22"/>
      <c r="HZH149" s="22"/>
      <c r="HZI149" s="22"/>
      <c r="HZJ149" s="22"/>
      <c r="HZK149" s="22"/>
      <c r="HZL149" s="22"/>
      <c r="HZM149" s="22"/>
      <c r="HZN149" s="22"/>
      <c r="HZO149" s="22"/>
      <c r="HZP149" s="22"/>
      <c r="HZQ149" s="22"/>
      <c r="HZR149" s="22"/>
      <c r="HZS149" s="22"/>
      <c r="HZT149" s="22"/>
      <c r="HZU149" s="22"/>
      <c r="HZV149" s="22"/>
      <c r="HZW149" s="22"/>
      <c r="HZX149" s="22"/>
      <c r="HZY149" s="22"/>
      <c r="HZZ149" s="22"/>
      <c r="IAA149" s="22"/>
      <c r="IAB149" s="22"/>
      <c r="IAC149" s="22"/>
      <c r="IAD149" s="22"/>
      <c r="IAE149" s="22"/>
      <c r="IAF149" s="22"/>
      <c r="IAG149" s="22"/>
      <c r="IAH149" s="22"/>
      <c r="IAI149" s="22"/>
      <c r="IAJ149" s="22"/>
      <c r="IAK149" s="22"/>
      <c r="IAL149" s="22"/>
      <c r="IAM149" s="22"/>
      <c r="IAN149" s="22"/>
      <c r="IAO149" s="22"/>
      <c r="IAP149" s="22"/>
      <c r="IAQ149" s="22"/>
      <c r="IAR149" s="22"/>
      <c r="IAS149" s="22"/>
      <c r="IAT149" s="22"/>
      <c r="IAU149" s="22"/>
      <c r="IAV149" s="22"/>
      <c r="IAW149" s="22"/>
      <c r="IAX149" s="22"/>
      <c r="IAY149" s="22"/>
      <c r="IAZ149" s="22"/>
      <c r="IBA149" s="22"/>
      <c r="IBB149" s="22"/>
      <c r="IBC149" s="22"/>
      <c r="IBD149" s="22"/>
      <c r="IBE149" s="22"/>
      <c r="IBF149" s="22"/>
      <c r="IBG149" s="22"/>
      <c r="IBH149" s="22"/>
      <c r="IBI149" s="22"/>
      <c r="IBJ149" s="22"/>
      <c r="IBK149" s="22"/>
      <c r="IBL149" s="22"/>
      <c r="IBM149" s="22"/>
      <c r="IBN149" s="22"/>
      <c r="IBO149" s="22"/>
      <c r="IBP149" s="22"/>
      <c r="IBQ149" s="22"/>
      <c r="IBR149" s="22"/>
      <c r="IBS149" s="22"/>
      <c r="IBT149" s="22"/>
      <c r="IBU149" s="22"/>
      <c r="IBV149" s="22"/>
      <c r="IBW149" s="22"/>
      <c r="IBX149" s="22"/>
      <c r="IBY149" s="22"/>
      <c r="IBZ149" s="22"/>
      <c r="ICA149" s="22"/>
      <c r="ICB149" s="22"/>
      <c r="ICC149" s="22"/>
      <c r="ICD149" s="22"/>
      <c r="ICE149" s="22"/>
      <c r="ICF149" s="22"/>
      <c r="ICG149" s="22"/>
      <c r="ICH149" s="22"/>
      <c r="ICI149" s="22"/>
      <c r="ICJ149" s="22"/>
      <c r="ICK149" s="22"/>
      <c r="ICL149" s="22"/>
      <c r="ICM149" s="22"/>
      <c r="ICN149" s="22"/>
      <c r="ICO149" s="22"/>
      <c r="ICP149" s="22"/>
      <c r="ICQ149" s="22"/>
      <c r="ICR149" s="22"/>
      <c r="ICS149" s="22"/>
      <c r="ICT149" s="22"/>
      <c r="ICU149" s="22"/>
      <c r="ICV149" s="22"/>
      <c r="ICW149" s="22"/>
      <c r="ICX149" s="22"/>
      <c r="ICY149" s="22"/>
      <c r="ICZ149" s="22"/>
      <c r="IDA149" s="22"/>
      <c r="IDB149" s="22"/>
      <c r="IDC149" s="22"/>
      <c r="IDD149" s="22"/>
      <c r="IDE149" s="22"/>
      <c r="IDF149" s="22"/>
      <c r="IDG149" s="22"/>
      <c r="IDH149" s="22"/>
      <c r="IDI149" s="22"/>
      <c r="IDJ149" s="22"/>
      <c r="IDK149" s="22"/>
      <c r="IDL149" s="22"/>
      <c r="IDM149" s="22"/>
      <c r="IDN149" s="22"/>
      <c r="IDO149" s="22"/>
      <c r="IDP149" s="22"/>
      <c r="IDQ149" s="22"/>
      <c r="IDR149" s="22"/>
      <c r="IDS149" s="22"/>
      <c r="IDT149" s="22"/>
      <c r="IDU149" s="22"/>
      <c r="IDV149" s="22"/>
      <c r="IDW149" s="22"/>
      <c r="IDX149" s="22"/>
      <c r="IDY149" s="22"/>
      <c r="IDZ149" s="22"/>
      <c r="IEA149" s="22"/>
      <c r="IEB149" s="22"/>
      <c r="IEC149" s="22"/>
      <c r="IED149" s="22"/>
      <c r="IEE149" s="22"/>
      <c r="IEF149" s="22"/>
      <c r="IEG149" s="22"/>
      <c r="IEH149" s="22"/>
      <c r="IEI149" s="22"/>
      <c r="IEJ149" s="22"/>
      <c r="IEK149" s="22"/>
      <c r="IEL149" s="22"/>
      <c r="IEM149" s="22"/>
      <c r="IEN149" s="22"/>
      <c r="IEO149" s="22"/>
      <c r="IEP149" s="22"/>
      <c r="IEQ149" s="22"/>
      <c r="IER149" s="22"/>
      <c r="IES149" s="22"/>
      <c r="IET149" s="22"/>
      <c r="IEU149" s="22"/>
      <c r="IEV149" s="22"/>
      <c r="IEW149" s="22"/>
      <c r="IEX149" s="22"/>
      <c r="IEY149" s="22"/>
      <c r="IEZ149" s="22"/>
      <c r="IFA149" s="22"/>
      <c r="IFB149" s="22"/>
      <c r="IFC149" s="22"/>
      <c r="IFD149" s="22"/>
      <c r="IFE149" s="22"/>
      <c r="IFF149" s="22"/>
      <c r="IFG149" s="22"/>
      <c r="IFH149" s="22"/>
      <c r="IFI149" s="22"/>
      <c r="IFJ149" s="22"/>
      <c r="IFK149" s="22"/>
      <c r="IFL149" s="22"/>
      <c r="IFM149" s="22"/>
      <c r="IFN149" s="22"/>
      <c r="IFO149" s="22"/>
      <c r="IFP149" s="22"/>
      <c r="IFQ149" s="22"/>
      <c r="IFR149" s="22"/>
      <c r="IFS149" s="22"/>
      <c r="IFT149" s="22"/>
      <c r="IFU149" s="22"/>
      <c r="IFV149" s="22"/>
      <c r="IFW149" s="22"/>
      <c r="IFX149" s="22"/>
      <c r="IFY149" s="22"/>
      <c r="IFZ149" s="22"/>
      <c r="IGA149" s="22"/>
      <c r="IGB149" s="22"/>
      <c r="IGC149" s="22"/>
      <c r="IGD149" s="22"/>
      <c r="IGE149" s="22"/>
      <c r="IGF149" s="22"/>
      <c r="IGG149" s="22"/>
      <c r="IGH149" s="22"/>
      <c r="IGI149" s="22"/>
      <c r="IGJ149" s="22"/>
      <c r="IGK149" s="22"/>
      <c r="IGL149" s="22"/>
      <c r="IGM149" s="22"/>
      <c r="IGN149" s="22"/>
      <c r="IGO149" s="22"/>
      <c r="IGP149" s="22"/>
      <c r="IGQ149" s="22"/>
      <c r="IGR149" s="22"/>
      <c r="IGS149" s="22"/>
      <c r="IGT149" s="22"/>
      <c r="IGU149" s="22"/>
      <c r="IGV149" s="22"/>
      <c r="IGW149" s="22"/>
      <c r="IGX149" s="22"/>
      <c r="IGY149" s="22"/>
      <c r="IGZ149" s="22"/>
      <c r="IHA149" s="22"/>
      <c r="IHB149" s="22"/>
      <c r="IHC149" s="22"/>
      <c r="IHD149" s="22"/>
      <c r="IHE149" s="22"/>
      <c r="IHF149" s="22"/>
      <c r="IHG149" s="22"/>
      <c r="IHH149" s="22"/>
      <c r="IHI149" s="22"/>
      <c r="IHJ149" s="22"/>
      <c r="IHK149" s="22"/>
      <c r="IHL149" s="22"/>
      <c r="IHM149" s="22"/>
      <c r="IHN149" s="22"/>
      <c r="IHO149" s="22"/>
      <c r="IHP149" s="22"/>
      <c r="IHQ149" s="22"/>
      <c r="IHR149" s="22"/>
      <c r="IHS149" s="22"/>
      <c r="IHT149" s="22"/>
      <c r="IHU149" s="22"/>
      <c r="IHV149" s="22"/>
      <c r="IHW149" s="22"/>
      <c r="IHX149" s="22"/>
      <c r="IHY149" s="22"/>
      <c r="IHZ149" s="22"/>
      <c r="IIA149" s="22"/>
      <c r="IIB149" s="22"/>
      <c r="IIC149" s="22"/>
      <c r="IID149" s="22"/>
      <c r="IIE149" s="22"/>
      <c r="IIF149" s="22"/>
      <c r="IIG149" s="22"/>
      <c r="IIH149" s="22"/>
      <c r="III149" s="22"/>
      <c r="IIJ149" s="22"/>
      <c r="IIK149" s="22"/>
      <c r="IIL149" s="22"/>
      <c r="IIM149" s="22"/>
      <c r="IIN149" s="22"/>
      <c r="IIO149" s="22"/>
      <c r="IIP149" s="22"/>
      <c r="IIQ149" s="22"/>
      <c r="IIR149" s="22"/>
      <c r="IIS149" s="22"/>
      <c r="IIT149" s="22"/>
      <c r="IIU149" s="22"/>
      <c r="IIV149" s="22"/>
      <c r="IIW149" s="22"/>
      <c r="IIX149" s="22"/>
      <c r="IIY149" s="22"/>
      <c r="IIZ149" s="22"/>
      <c r="IJA149" s="22"/>
      <c r="IJB149" s="22"/>
      <c r="IJC149" s="22"/>
      <c r="IJD149" s="22"/>
      <c r="IJE149" s="22"/>
      <c r="IJF149" s="22"/>
      <c r="IJG149" s="22"/>
      <c r="IJH149" s="22"/>
      <c r="IJI149" s="22"/>
      <c r="IJJ149" s="22"/>
      <c r="IJK149" s="22"/>
      <c r="IJL149" s="22"/>
      <c r="IJM149" s="22"/>
      <c r="IJN149" s="22"/>
      <c r="IJO149" s="22"/>
      <c r="IJP149" s="22"/>
      <c r="IJQ149" s="22"/>
      <c r="IJR149" s="22"/>
      <c r="IJS149" s="22"/>
      <c r="IJT149" s="22"/>
      <c r="IJU149" s="22"/>
      <c r="IJV149" s="22"/>
      <c r="IJW149" s="22"/>
      <c r="IJX149" s="22"/>
      <c r="IJY149" s="22"/>
      <c r="IJZ149" s="22"/>
      <c r="IKA149" s="22"/>
      <c r="IKB149" s="22"/>
      <c r="IKC149" s="22"/>
      <c r="IKD149" s="22"/>
      <c r="IKE149" s="22"/>
      <c r="IKF149" s="22"/>
      <c r="IKG149" s="22"/>
      <c r="IKH149" s="22"/>
      <c r="IKI149" s="22"/>
      <c r="IKJ149" s="22"/>
      <c r="IKK149" s="22"/>
      <c r="IKL149" s="22"/>
      <c r="IKM149" s="22"/>
      <c r="IKN149" s="22"/>
      <c r="IKO149" s="22"/>
      <c r="IKP149" s="22"/>
      <c r="IKQ149" s="22"/>
      <c r="IKR149" s="22"/>
      <c r="IKS149" s="22"/>
      <c r="IKT149" s="22"/>
      <c r="IKU149" s="22"/>
      <c r="IKV149" s="22"/>
      <c r="IKW149" s="22"/>
      <c r="IKX149" s="22"/>
      <c r="IKY149" s="22"/>
      <c r="IKZ149" s="22"/>
      <c r="ILA149" s="22"/>
      <c r="ILB149" s="22"/>
      <c r="ILC149" s="22"/>
      <c r="ILD149" s="22"/>
      <c r="ILE149" s="22"/>
      <c r="ILF149" s="22"/>
      <c r="ILG149" s="22"/>
      <c r="ILH149" s="22"/>
      <c r="ILI149" s="22"/>
      <c r="ILJ149" s="22"/>
      <c r="ILK149" s="22"/>
      <c r="ILL149" s="22"/>
      <c r="ILM149" s="22"/>
      <c r="ILN149" s="22"/>
      <c r="ILO149" s="22"/>
      <c r="ILP149" s="22"/>
      <c r="ILQ149" s="22"/>
      <c r="ILR149" s="22"/>
      <c r="ILS149" s="22"/>
      <c r="ILT149" s="22"/>
      <c r="ILU149" s="22"/>
      <c r="ILV149" s="22"/>
      <c r="ILW149" s="22"/>
      <c r="ILX149" s="22"/>
      <c r="ILY149" s="22"/>
      <c r="ILZ149" s="22"/>
      <c r="IMA149" s="22"/>
      <c r="IMB149" s="22"/>
      <c r="IMC149" s="22"/>
      <c r="IMD149" s="22"/>
      <c r="IME149" s="22"/>
      <c r="IMF149" s="22"/>
      <c r="IMG149" s="22"/>
      <c r="IMH149" s="22"/>
      <c r="IMI149" s="22"/>
      <c r="IMJ149" s="22"/>
      <c r="IMK149" s="22"/>
      <c r="IML149" s="22"/>
      <c r="IMM149" s="22"/>
      <c r="IMN149" s="22"/>
      <c r="IMO149" s="22"/>
      <c r="IMP149" s="22"/>
      <c r="IMQ149" s="22"/>
      <c r="IMR149" s="22"/>
      <c r="IMS149" s="22"/>
      <c r="IMT149" s="22"/>
      <c r="IMU149" s="22"/>
      <c r="IMV149" s="22"/>
      <c r="IMW149" s="22"/>
      <c r="IMX149" s="22"/>
      <c r="IMY149" s="22"/>
      <c r="IMZ149" s="22"/>
      <c r="INA149" s="22"/>
      <c r="INB149" s="22"/>
      <c r="INC149" s="22"/>
      <c r="IND149" s="22"/>
      <c r="INE149" s="22"/>
      <c r="INF149" s="22"/>
      <c r="ING149" s="22"/>
      <c r="INH149" s="22"/>
      <c r="INI149" s="22"/>
      <c r="INJ149" s="22"/>
      <c r="INK149" s="22"/>
      <c r="INL149" s="22"/>
      <c r="INM149" s="22"/>
      <c r="INN149" s="22"/>
      <c r="INO149" s="22"/>
      <c r="INP149" s="22"/>
      <c r="INQ149" s="22"/>
      <c r="INR149" s="22"/>
      <c r="INS149" s="22"/>
      <c r="INT149" s="22"/>
      <c r="INU149" s="22"/>
      <c r="INV149" s="22"/>
      <c r="INW149" s="22"/>
      <c r="INX149" s="22"/>
      <c r="INY149" s="22"/>
      <c r="INZ149" s="22"/>
      <c r="IOA149" s="22"/>
      <c r="IOB149" s="22"/>
      <c r="IOC149" s="22"/>
      <c r="IOD149" s="22"/>
      <c r="IOE149" s="22"/>
      <c r="IOF149" s="22"/>
      <c r="IOG149" s="22"/>
      <c r="IOH149" s="22"/>
      <c r="IOI149" s="22"/>
      <c r="IOJ149" s="22"/>
      <c r="IOK149" s="22"/>
      <c r="IOL149" s="22"/>
      <c r="IOM149" s="22"/>
      <c r="ION149" s="22"/>
      <c r="IOO149" s="22"/>
      <c r="IOP149" s="22"/>
      <c r="IOQ149" s="22"/>
      <c r="IOR149" s="22"/>
      <c r="IOS149" s="22"/>
      <c r="IOT149" s="22"/>
      <c r="IOU149" s="22"/>
      <c r="IOV149" s="22"/>
      <c r="IOW149" s="22"/>
      <c r="IOX149" s="22"/>
      <c r="IOY149" s="22"/>
      <c r="IOZ149" s="22"/>
      <c r="IPA149" s="22"/>
      <c r="IPB149" s="22"/>
      <c r="IPC149" s="22"/>
      <c r="IPD149" s="22"/>
      <c r="IPE149" s="22"/>
      <c r="IPF149" s="22"/>
      <c r="IPG149" s="22"/>
      <c r="IPH149" s="22"/>
      <c r="IPI149" s="22"/>
      <c r="IPJ149" s="22"/>
      <c r="IPK149" s="22"/>
      <c r="IPL149" s="22"/>
      <c r="IPM149" s="22"/>
      <c r="IPN149" s="22"/>
      <c r="IPO149" s="22"/>
      <c r="IPP149" s="22"/>
      <c r="IPQ149" s="22"/>
      <c r="IPR149" s="22"/>
      <c r="IPS149" s="22"/>
      <c r="IPT149" s="22"/>
      <c r="IPU149" s="22"/>
      <c r="IPV149" s="22"/>
      <c r="IPW149" s="22"/>
      <c r="IPX149" s="22"/>
      <c r="IPY149" s="22"/>
      <c r="IPZ149" s="22"/>
      <c r="IQA149" s="22"/>
      <c r="IQB149" s="22"/>
      <c r="IQC149" s="22"/>
      <c r="IQD149" s="22"/>
      <c r="IQE149" s="22"/>
      <c r="IQF149" s="22"/>
      <c r="IQG149" s="22"/>
      <c r="IQH149" s="22"/>
      <c r="IQI149" s="22"/>
      <c r="IQJ149" s="22"/>
      <c r="IQK149" s="22"/>
      <c r="IQL149" s="22"/>
      <c r="IQM149" s="22"/>
      <c r="IQN149" s="22"/>
      <c r="IQO149" s="22"/>
      <c r="IQP149" s="22"/>
      <c r="IQQ149" s="22"/>
      <c r="IQR149" s="22"/>
      <c r="IQS149" s="22"/>
      <c r="IQT149" s="22"/>
      <c r="IQU149" s="22"/>
      <c r="IQV149" s="22"/>
      <c r="IQW149" s="22"/>
      <c r="IQX149" s="22"/>
      <c r="IQY149" s="22"/>
      <c r="IQZ149" s="22"/>
      <c r="IRA149" s="22"/>
      <c r="IRB149" s="22"/>
      <c r="IRC149" s="22"/>
      <c r="IRD149" s="22"/>
      <c r="IRE149" s="22"/>
      <c r="IRF149" s="22"/>
      <c r="IRG149" s="22"/>
      <c r="IRH149" s="22"/>
      <c r="IRI149" s="22"/>
      <c r="IRJ149" s="22"/>
      <c r="IRK149" s="22"/>
      <c r="IRL149" s="22"/>
      <c r="IRM149" s="22"/>
      <c r="IRN149" s="22"/>
      <c r="IRO149" s="22"/>
      <c r="IRP149" s="22"/>
      <c r="IRQ149" s="22"/>
      <c r="IRR149" s="22"/>
      <c r="IRS149" s="22"/>
      <c r="IRT149" s="22"/>
      <c r="IRU149" s="22"/>
      <c r="IRV149" s="22"/>
      <c r="IRW149" s="22"/>
      <c r="IRX149" s="22"/>
      <c r="IRY149" s="22"/>
      <c r="IRZ149" s="22"/>
      <c r="ISA149" s="22"/>
      <c r="ISB149" s="22"/>
      <c r="ISC149" s="22"/>
      <c r="ISD149" s="22"/>
      <c r="ISE149" s="22"/>
      <c r="ISF149" s="22"/>
      <c r="ISG149" s="22"/>
      <c r="ISH149" s="22"/>
      <c r="ISI149" s="22"/>
      <c r="ISJ149" s="22"/>
      <c r="ISK149" s="22"/>
      <c r="ISL149" s="22"/>
      <c r="ISM149" s="22"/>
      <c r="ISN149" s="22"/>
      <c r="ISO149" s="22"/>
      <c r="ISP149" s="22"/>
      <c r="ISQ149" s="22"/>
      <c r="ISR149" s="22"/>
      <c r="ISS149" s="22"/>
      <c r="IST149" s="22"/>
      <c r="ISU149" s="22"/>
      <c r="ISV149" s="22"/>
      <c r="ISW149" s="22"/>
      <c r="ISX149" s="22"/>
      <c r="ISY149" s="22"/>
      <c r="ISZ149" s="22"/>
      <c r="ITA149" s="22"/>
      <c r="ITB149" s="22"/>
      <c r="ITC149" s="22"/>
      <c r="ITD149" s="22"/>
      <c r="ITE149" s="22"/>
      <c r="ITF149" s="22"/>
      <c r="ITG149" s="22"/>
      <c r="ITH149" s="22"/>
      <c r="ITI149" s="22"/>
      <c r="ITJ149" s="22"/>
      <c r="ITK149" s="22"/>
      <c r="ITL149" s="22"/>
      <c r="ITM149" s="22"/>
      <c r="ITN149" s="22"/>
      <c r="ITO149" s="22"/>
      <c r="ITP149" s="22"/>
      <c r="ITQ149" s="22"/>
      <c r="ITR149" s="22"/>
      <c r="ITS149" s="22"/>
      <c r="ITT149" s="22"/>
      <c r="ITU149" s="22"/>
      <c r="ITV149" s="22"/>
      <c r="ITW149" s="22"/>
      <c r="ITX149" s="22"/>
      <c r="ITY149" s="22"/>
      <c r="ITZ149" s="22"/>
      <c r="IUA149" s="22"/>
      <c r="IUB149" s="22"/>
      <c r="IUC149" s="22"/>
      <c r="IUD149" s="22"/>
      <c r="IUE149" s="22"/>
      <c r="IUF149" s="22"/>
      <c r="IUG149" s="22"/>
      <c r="IUH149" s="22"/>
      <c r="IUI149" s="22"/>
      <c r="IUJ149" s="22"/>
      <c r="IUK149" s="22"/>
      <c r="IUL149" s="22"/>
      <c r="IUM149" s="22"/>
      <c r="IUN149" s="22"/>
      <c r="IUO149" s="22"/>
      <c r="IUP149" s="22"/>
      <c r="IUQ149" s="22"/>
      <c r="IUR149" s="22"/>
      <c r="IUS149" s="22"/>
      <c r="IUT149" s="22"/>
      <c r="IUU149" s="22"/>
      <c r="IUV149" s="22"/>
      <c r="IUW149" s="22"/>
      <c r="IUX149" s="22"/>
      <c r="IUY149" s="22"/>
      <c r="IUZ149" s="22"/>
      <c r="IVA149" s="22"/>
      <c r="IVB149" s="22"/>
      <c r="IVC149" s="22"/>
      <c r="IVD149" s="22"/>
      <c r="IVE149" s="22"/>
      <c r="IVF149" s="22"/>
      <c r="IVG149" s="22"/>
      <c r="IVH149" s="22"/>
      <c r="IVI149" s="22"/>
      <c r="IVJ149" s="22"/>
      <c r="IVK149" s="22"/>
      <c r="IVL149" s="22"/>
      <c r="IVM149" s="22"/>
      <c r="IVN149" s="22"/>
      <c r="IVO149" s="22"/>
      <c r="IVP149" s="22"/>
      <c r="IVQ149" s="22"/>
      <c r="IVR149" s="22"/>
      <c r="IVS149" s="22"/>
      <c r="IVT149" s="22"/>
      <c r="IVU149" s="22"/>
      <c r="IVV149" s="22"/>
      <c r="IVW149" s="22"/>
      <c r="IVX149" s="22"/>
      <c r="IVY149" s="22"/>
      <c r="IVZ149" s="22"/>
      <c r="IWA149" s="22"/>
      <c r="IWB149" s="22"/>
      <c r="IWC149" s="22"/>
      <c r="IWD149" s="22"/>
      <c r="IWE149" s="22"/>
      <c r="IWF149" s="22"/>
      <c r="IWG149" s="22"/>
      <c r="IWH149" s="22"/>
      <c r="IWI149" s="22"/>
      <c r="IWJ149" s="22"/>
      <c r="IWK149" s="22"/>
      <c r="IWL149" s="22"/>
      <c r="IWM149" s="22"/>
      <c r="IWN149" s="22"/>
      <c r="IWO149" s="22"/>
      <c r="IWP149" s="22"/>
      <c r="IWQ149" s="22"/>
      <c r="IWR149" s="22"/>
      <c r="IWS149" s="22"/>
      <c r="IWT149" s="22"/>
      <c r="IWU149" s="22"/>
      <c r="IWV149" s="22"/>
      <c r="IWW149" s="22"/>
      <c r="IWX149" s="22"/>
      <c r="IWY149" s="22"/>
      <c r="IWZ149" s="22"/>
      <c r="IXA149" s="22"/>
      <c r="IXB149" s="22"/>
      <c r="IXC149" s="22"/>
      <c r="IXD149" s="22"/>
      <c r="IXE149" s="22"/>
      <c r="IXF149" s="22"/>
      <c r="IXG149" s="22"/>
      <c r="IXH149" s="22"/>
      <c r="IXI149" s="22"/>
      <c r="IXJ149" s="22"/>
      <c r="IXK149" s="22"/>
      <c r="IXL149" s="22"/>
      <c r="IXM149" s="22"/>
      <c r="IXN149" s="22"/>
      <c r="IXO149" s="22"/>
      <c r="IXP149" s="22"/>
      <c r="IXQ149" s="22"/>
      <c r="IXR149" s="22"/>
      <c r="IXS149" s="22"/>
      <c r="IXT149" s="22"/>
      <c r="IXU149" s="22"/>
      <c r="IXV149" s="22"/>
      <c r="IXW149" s="22"/>
      <c r="IXX149" s="22"/>
      <c r="IXY149" s="22"/>
      <c r="IXZ149" s="22"/>
      <c r="IYA149" s="22"/>
      <c r="IYB149" s="22"/>
      <c r="IYC149" s="22"/>
      <c r="IYD149" s="22"/>
      <c r="IYE149" s="22"/>
      <c r="IYF149" s="22"/>
      <c r="IYG149" s="22"/>
      <c r="IYH149" s="22"/>
      <c r="IYI149" s="22"/>
      <c r="IYJ149" s="22"/>
      <c r="IYK149" s="22"/>
      <c r="IYL149" s="22"/>
      <c r="IYM149" s="22"/>
      <c r="IYN149" s="22"/>
      <c r="IYO149" s="22"/>
      <c r="IYP149" s="22"/>
      <c r="IYQ149" s="22"/>
      <c r="IYR149" s="22"/>
      <c r="IYS149" s="22"/>
      <c r="IYT149" s="22"/>
      <c r="IYU149" s="22"/>
      <c r="IYV149" s="22"/>
      <c r="IYW149" s="22"/>
      <c r="IYX149" s="22"/>
      <c r="IYY149" s="22"/>
      <c r="IYZ149" s="22"/>
      <c r="IZA149" s="22"/>
      <c r="IZB149" s="22"/>
      <c r="IZC149" s="22"/>
      <c r="IZD149" s="22"/>
      <c r="IZE149" s="22"/>
      <c r="IZF149" s="22"/>
      <c r="IZG149" s="22"/>
      <c r="IZH149" s="22"/>
      <c r="IZI149" s="22"/>
      <c r="IZJ149" s="22"/>
      <c r="IZK149" s="22"/>
      <c r="IZL149" s="22"/>
      <c r="IZM149" s="22"/>
      <c r="IZN149" s="22"/>
      <c r="IZO149" s="22"/>
      <c r="IZP149" s="22"/>
      <c r="IZQ149" s="22"/>
      <c r="IZR149" s="22"/>
      <c r="IZS149" s="22"/>
      <c r="IZT149" s="22"/>
      <c r="IZU149" s="22"/>
      <c r="IZV149" s="22"/>
      <c r="IZW149" s="22"/>
      <c r="IZX149" s="22"/>
      <c r="IZY149" s="22"/>
      <c r="IZZ149" s="22"/>
      <c r="JAA149" s="22"/>
      <c r="JAB149" s="22"/>
      <c r="JAC149" s="22"/>
      <c r="JAD149" s="22"/>
      <c r="JAE149" s="22"/>
      <c r="JAF149" s="22"/>
      <c r="JAG149" s="22"/>
      <c r="JAH149" s="22"/>
      <c r="JAI149" s="22"/>
      <c r="JAJ149" s="22"/>
      <c r="JAK149" s="22"/>
      <c r="JAL149" s="22"/>
      <c r="JAM149" s="22"/>
      <c r="JAN149" s="22"/>
      <c r="JAO149" s="22"/>
      <c r="JAP149" s="22"/>
      <c r="JAQ149" s="22"/>
      <c r="JAR149" s="22"/>
      <c r="JAS149" s="22"/>
      <c r="JAT149" s="22"/>
      <c r="JAU149" s="22"/>
      <c r="JAV149" s="22"/>
      <c r="JAW149" s="22"/>
      <c r="JAX149" s="22"/>
      <c r="JAY149" s="22"/>
      <c r="JAZ149" s="22"/>
      <c r="JBA149" s="22"/>
      <c r="JBB149" s="22"/>
      <c r="JBC149" s="22"/>
      <c r="JBD149" s="22"/>
      <c r="JBE149" s="22"/>
      <c r="JBF149" s="22"/>
      <c r="JBG149" s="22"/>
      <c r="JBH149" s="22"/>
      <c r="JBI149" s="22"/>
      <c r="JBJ149" s="22"/>
      <c r="JBK149" s="22"/>
      <c r="JBL149" s="22"/>
      <c r="JBM149" s="22"/>
      <c r="JBN149" s="22"/>
      <c r="JBO149" s="22"/>
      <c r="JBP149" s="22"/>
      <c r="JBQ149" s="22"/>
      <c r="JBR149" s="22"/>
      <c r="JBS149" s="22"/>
      <c r="JBT149" s="22"/>
      <c r="JBU149" s="22"/>
      <c r="JBV149" s="22"/>
      <c r="JBW149" s="22"/>
      <c r="JBX149" s="22"/>
      <c r="JBY149" s="22"/>
      <c r="JBZ149" s="22"/>
      <c r="JCA149" s="22"/>
      <c r="JCB149" s="22"/>
      <c r="JCC149" s="22"/>
      <c r="JCD149" s="22"/>
      <c r="JCE149" s="22"/>
      <c r="JCF149" s="22"/>
      <c r="JCG149" s="22"/>
      <c r="JCH149" s="22"/>
      <c r="JCI149" s="22"/>
      <c r="JCJ149" s="22"/>
      <c r="JCK149" s="22"/>
      <c r="JCL149" s="22"/>
      <c r="JCM149" s="22"/>
      <c r="JCN149" s="22"/>
      <c r="JCO149" s="22"/>
      <c r="JCP149" s="22"/>
      <c r="JCQ149" s="22"/>
      <c r="JCR149" s="22"/>
      <c r="JCS149" s="22"/>
      <c r="JCT149" s="22"/>
      <c r="JCU149" s="22"/>
      <c r="JCV149" s="22"/>
      <c r="JCW149" s="22"/>
      <c r="JCX149" s="22"/>
      <c r="JCY149" s="22"/>
      <c r="JCZ149" s="22"/>
      <c r="JDA149" s="22"/>
      <c r="JDB149" s="22"/>
      <c r="JDC149" s="22"/>
      <c r="JDD149" s="22"/>
      <c r="JDE149" s="22"/>
      <c r="JDF149" s="22"/>
      <c r="JDG149" s="22"/>
      <c r="JDH149" s="22"/>
      <c r="JDI149" s="22"/>
      <c r="JDJ149" s="22"/>
      <c r="JDK149" s="22"/>
      <c r="JDL149" s="22"/>
      <c r="JDM149" s="22"/>
      <c r="JDN149" s="22"/>
      <c r="JDO149" s="22"/>
      <c r="JDP149" s="22"/>
      <c r="JDQ149" s="22"/>
      <c r="JDR149" s="22"/>
      <c r="JDS149" s="22"/>
      <c r="JDT149" s="22"/>
      <c r="JDU149" s="22"/>
      <c r="JDV149" s="22"/>
      <c r="JDW149" s="22"/>
      <c r="JDX149" s="22"/>
      <c r="JDY149" s="22"/>
      <c r="JDZ149" s="22"/>
      <c r="JEA149" s="22"/>
      <c r="JEB149" s="22"/>
      <c r="JEC149" s="22"/>
      <c r="JED149" s="22"/>
      <c r="JEE149" s="22"/>
      <c r="JEF149" s="22"/>
      <c r="JEG149" s="22"/>
      <c r="JEH149" s="22"/>
      <c r="JEI149" s="22"/>
      <c r="JEJ149" s="22"/>
      <c r="JEK149" s="22"/>
      <c r="JEL149" s="22"/>
      <c r="JEM149" s="22"/>
      <c r="JEN149" s="22"/>
      <c r="JEO149" s="22"/>
      <c r="JEP149" s="22"/>
      <c r="JEQ149" s="22"/>
      <c r="JER149" s="22"/>
      <c r="JES149" s="22"/>
      <c r="JET149" s="22"/>
      <c r="JEU149" s="22"/>
      <c r="JEV149" s="22"/>
      <c r="JEW149" s="22"/>
      <c r="JEX149" s="22"/>
      <c r="JEY149" s="22"/>
      <c r="JEZ149" s="22"/>
      <c r="JFA149" s="22"/>
      <c r="JFB149" s="22"/>
      <c r="JFC149" s="22"/>
      <c r="JFD149" s="22"/>
      <c r="JFE149" s="22"/>
      <c r="JFF149" s="22"/>
      <c r="JFG149" s="22"/>
      <c r="JFH149" s="22"/>
      <c r="JFI149" s="22"/>
      <c r="JFJ149" s="22"/>
      <c r="JFK149" s="22"/>
      <c r="JFL149" s="22"/>
      <c r="JFM149" s="22"/>
      <c r="JFN149" s="22"/>
      <c r="JFO149" s="22"/>
      <c r="JFP149" s="22"/>
      <c r="JFQ149" s="22"/>
      <c r="JFR149" s="22"/>
      <c r="JFS149" s="22"/>
      <c r="JFT149" s="22"/>
      <c r="JFU149" s="22"/>
      <c r="JFV149" s="22"/>
      <c r="JFW149" s="22"/>
      <c r="JFX149" s="22"/>
      <c r="JFY149" s="22"/>
      <c r="JFZ149" s="22"/>
      <c r="JGA149" s="22"/>
      <c r="JGB149" s="22"/>
      <c r="JGC149" s="22"/>
      <c r="JGD149" s="22"/>
      <c r="JGE149" s="22"/>
      <c r="JGF149" s="22"/>
      <c r="JGG149" s="22"/>
      <c r="JGH149" s="22"/>
      <c r="JGI149" s="22"/>
      <c r="JGJ149" s="22"/>
      <c r="JGK149" s="22"/>
      <c r="JGL149" s="22"/>
      <c r="JGM149" s="22"/>
      <c r="JGN149" s="22"/>
      <c r="JGO149" s="22"/>
      <c r="JGP149" s="22"/>
      <c r="JGQ149" s="22"/>
      <c r="JGR149" s="22"/>
      <c r="JGS149" s="22"/>
      <c r="JGT149" s="22"/>
      <c r="JGU149" s="22"/>
      <c r="JGV149" s="22"/>
      <c r="JGW149" s="22"/>
      <c r="JGX149" s="22"/>
      <c r="JGY149" s="22"/>
      <c r="JGZ149" s="22"/>
      <c r="JHA149" s="22"/>
      <c r="JHB149" s="22"/>
      <c r="JHC149" s="22"/>
      <c r="JHD149" s="22"/>
      <c r="JHE149" s="22"/>
      <c r="JHF149" s="22"/>
      <c r="JHG149" s="22"/>
      <c r="JHH149" s="22"/>
      <c r="JHI149" s="22"/>
      <c r="JHJ149" s="22"/>
      <c r="JHK149" s="22"/>
      <c r="JHL149" s="22"/>
      <c r="JHM149" s="22"/>
      <c r="JHN149" s="22"/>
      <c r="JHO149" s="22"/>
      <c r="JHP149" s="22"/>
      <c r="JHQ149" s="22"/>
      <c r="JHR149" s="22"/>
      <c r="JHS149" s="22"/>
      <c r="JHT149" s="22"/>
      <c r="JHU149" s="22"/>
      <c r="JHV149" s="22"/>
      <c r="JHW149" s="22"/>
      <c r="JHX149" s="22"/>
      <c r="JHY149" s="22"/>
      <c r="JHZ149" s="22"/>
      <c r="JIA149" s="22"/>
      <c r="JIB149" s="22"/>
      <c r="JIC149" s="22"/>
      <c r="JID149" s="22"/>
      <c r="JIE149" s="22"/>
      <c r="JIF149" s="22"/>
      <c r="JIG149" s="22"/>
      <c r="JIH149" s="22"/>
      <c r="JII149" s="22"/>
      <c r="JIJ149" s="22"/>
      <c r="JIK149" s="22"/>
      <c r="JIL149" s="22"/>
      <c r="JIM149" s="22"/>
      <c r="JIN149" s="22"/>
      <c r="JIO149" s="22"/>
      <c r="JIP149" s="22"/>
      <c r="JIQ149" s="22"/>
      <c r="JIR149" s="22"/>
      <c r="JIS149" s="22"/>
      <c r="JIT149" s="22"/>
      <c r="JIU149" s="22"/>
      <c r="JIV149" s="22"/>
      <c r="JIW149" s="22"/>
      <c r="JIX149" s="22"/>
      <c r="JIY149" s="22"/>
      <c r="JIZ149" s="22"/>
      <c r="JJA149" s="22"/>
      <c r="JJB149" s="22"/>
      <c r="JJC149" s="22"/>
      <c r="JJD149" s="22"/>
      <c r="JJE149" s="22"/>
      <c r="JJF149" s="22"/>
      <c r="JJG149" s="22"/>
      <c r="JJH149" s="22"/>
      <c r="JJI149" s="22"/>
      <c r="JJJ149" s="22"/>
      <c r="JJK149" s="22"/>
      <c r="JJL149" s="22"/>
      <c r="JJM149" s="22"/>
      <c r="JJN149" s="22"/>
      <c r="JJO149" s="22"/>
      <c r="JJP149" s="22"/>
      <c r="JJQ149" s="22"/>
      <c r="JJR149" s="22"/>
      <c r="JJS149" s="22"/>
      <c r="JJT149" s="22"/>
      <c r="JJU149" s="22"/>
      <c r="JJV149" s="22"/>
      <c r="JJW149" s="22"/>
      <c r="JJX149" s="22"/>
      <c r="JJY149" s="22"/>
      <c r="JJZ149" s="22"/>
      <c r="JKA149" s="22"/>
      <c r="JKB149" s="22"/>
      <c r="JKC149" s="22"/>
      <c r="JKD149" s="22"/>
      <c r="JKE149" s="22"/>
      <c r="JKF149" s="22"/>
      <c r="JKG149" s="22"/>
      <c r="JKH149" s="22"/>
      <c r="JKI149" s="22"/>
      <c r="JKJ149" s="22"/>
      <c r="JKK149" s="22"/>
      <c r="JKL149" s="22"/>
      <c r="JKM149" s="22"/>
      <c r="JKN149" s="22"/>
      <c r="JKO149" s="22"/>
      <c r="JKP149" s="22"/>
      <c r="JKQ149" s="22"/>
      <c r="JKR149" s="22"/>
      <c r="JKS149" s="22"/>
      <c r="JKT149" s="22"/>
      <c r="JKU149" s="22"/>
      <c r="JKV149" s="22"/>
      <c r="JKW149" s="22"/>
      <c r="JKX149" s="22"/>
      <c r="JKY149" s="22"/>
      <c r="JKZ149" s="22"/>
      <c r="JLA149" s="22"/>
      <c r="JLB149" s="22"/>
      <c r="JLC149" s="22"/>
      <c r="JLD149" s="22"/>
      <c r="JLE149" s="22"/>
      <c r="JLF149" s="22"/>
      <c r="JLG149" s="22"/>
      <c r="JLH149" s="22"/>
      <c r="JLI149" s="22"/>
      <c r="JLJ149" s="22"/>
      <c r="JLK149" s="22"/>
      <c r="JLL149" s="22"/>
      <c r="JLM149" s="22"/>
      <c r="JLN149" s="22"/>
      <c r="JLO149" s="22"/>
      <c r="JLP149" s="22"/>
      <c r="JLQ149" s="22"/>
      <c r="JLR149" s="22"/>
      <c r="JLS149" s="22"/>
      <c r="JLT149" s="22"/>
      <c r="JLU149" s="22"/>
      <c r="JLV149" s="22"/>
      <c r="JLW149" s="22"/>
      <c r="JLX149" s="22"/>
      <c r="JLY149" s="22"/>
      <c r="JLZ149" s="22"/>
      <c r="JMA149" s="22"/>
      <c r="JMB149" s="22"/>
      <c r="JMC149" s="22"/>
      <c r="JMD149" s="22"/>
      <c r="JME149" s="22"/>
      <c r="JMF149" s="22"/>
      <c r="JMG149" s="22"/>
      <c r="JMH149" s="22"/>
      <c r="JMI149" s="22"/>
      <c r="JMJ149" s="22"/>
      <c r="JMK149" s="22"/>
      <c r="JML149" s="22"/>
      <c r="JMM149" s="22"/>
      <c r="JMN149" s="22"/>
      <c r="JMO149" s="22"/>
      <c r="JMP149" s="22"/>
      <c r="JMQ149" s="22"/>
      <c r="JMR149" s="22"/>
      <c r="JMS149" s="22"/>
      <c r="JMT149" s="22"/>
      <c r="JMU149" s="22"/>
      <c r="JMV149" s="22"/>
      <c r="JMW149" s="22"/>
      <c r="JMX149" s="22"/>
      <c r="JMY149" s="22"/>
      <c r="JMZ149" s="22"/>
      <c r="JNA149" s="22"/>
      <c r="JNB149" s="22"/>
      <c r="JNC149" s="22"/>
      <c r="JND149" s="22"/>
      <c r="JNE149" s="22"/>
      <c r="JNF149" s="22"/>
      <c r="JNG149" s="22"/>
      <c r="JNH149" s="22"/>
      <c r="JNI149" s="22"/>
      <c r="JNJ149" s="22"/>
      <c r="JNK149" s="22"/>
      <c r="JNL149" s="22"/>
      <c r="JNM149" s="22"/>
      <c r="JNN149" s="22"/>
      <c r="JNO149" s="22"/>
      <c r="JNP149" s="22"/>
      <c r="JNQ149" s="22"/>
      <c r="JNR149" s="22"/>
      <c r="JNS149" s="22"/>
      <c r="JNT149" s="22"/>
      <c r="JNU149" s="22"/>
      <c r="JNV149" s="22"/>
      <c r="JNW149" s="22"/>
      <c r="JNX149" s="22"/>
      <c r="JNY149" s="22"/>
      <c r="JNZ149" s="22"/>
      <c r="JOA149" s="22"/>
      <c r="JOB149" s="22"/>
      <c r="JOC149" s="22"/>
      <c r="JOD149" s="22"/>
      <c r="JOE149" s="22"/>
      <c r="JOF149" s="22"/>
      <c r="JOG149" s="22"/>
      <c r="JOH149" s="22"/>
      <c r="JOI149" s="22"/>
      <c r="JOJ149" s="22"/>
      <c r="JOK149" s="22"/>
      <c r="JOL149" s="22"/>
      <c r="JOM149" s="22"/>
      <c r="JON149" s="22"/>
      <c r="JOO149" s="22"/>
      <c r="JOP149" s="22"/>
      <c r="JOQ149" s="22"/>
      <c r="JOR149" s="22"/>
      <c r="JOS149" s="22"/>
      <c r="JOT149" s="22"/>
      <c r="JOU149" s="22"/>
      <c r="JOV149" s="22"/>
      <c r="JOW149" s="22"/>
      <c r="JOX149" s="22"/>
      <c r="JOY149" s="22"/>
      <c r="JOZ149" s="22"/>
      <c r="JPA149" s="22"/>
      <c r="JPB149" s="22"/>
      <c r="JPC149" s="22"/>
      <c r="JPD149" s="22"/>
      <c r="JPE149" s="22"/>
      <c r="JPF149" s="22"/>
      <c r="JPG149" s="22"/>
      <c r="JPH149" s="22"/>
      <c r="JPI149" s="22"/>
      <c r="JPJ149" s="22"/>
      <c r="JPK149" s="22"/>
      <c r="JPL149" s="22"/>
      <c r="JPM149" s="22"/>
      <c r="JPN149" s="22"/>
      <c r="JPO149" s="22"/>
      <c r="JPP149" s="22"/>
      <c r="JPQ149" s="22"/>
      <c r="JPR149" s="22"/>
      <c r="JPS149" s="22"/>
      <c r="JPT149" s="22"/>
      <c r="JPU149" s="22"/>
      <c r="JPV149" s="22"/>
      <c r="JPW149" s="22"/>
      <c r="JPX149" s="22"/>
      <c r="JPY149" s="22"/>
      <c r="JPZ149" s="22"/>
      <c r="JQA149" s="22"/>
      <c r="JQB149" s="22"/>
      <c r="JQC149" s="22"/>
      <c r="JQD149" s="22"/>
      <c r="JQE149" s="22"/>
      <c r="JQF149" s="22"/>
      <c r="JQG149" s="22"/>
      <c r="JQH149" s="22"/>
      <c r="JQI149" s="22"/>
      <c r="JQJ149" s="22"/>
      <c r="JQK149" s="22"/>
      <c r="JQL149" s="22"/>
      <c r="JQM149" s="22"/>
      <c r="JQN149" s="22"/>
      <c r="JQO149" s="22"/>
      <c r="JQP149" s="22"/>
      <c r="JQQ149" s="22"/>
      <c r="JQR149" s="22"/>
      <c r="JQS149" s="22"/>
      <c r="JQT149" s="22"/>
      <c r="JQU149" s="22"/>
      <c r="JQV149" s="22"/>
      <c r="JQW149" s="22"/>
      <c r="JQX149" s="22"/>
      <c r="JQY149" s="22"/>
      <c r="JQZ149" s="22"/>
      <c r="JRA149" s="22"/>
      <c r="JRB149" s="22"/>
      <c r="JRC149" s="22"/>
      <c r="JRD149" s="22"/>
      <c r="JRE149" s="22"/>
      <c r="JRF149" s="22"/>
      <c r="JRG149" s="22"/>
      <c r="JRH149" s="22"/>
      <c r="JRI149" s="22"/>
      <c r="JRJ149" s="22"/>
      <c r="JRK149" s="22"/>
      <c r="JRL149" s="22"/>
      <c r="JRM149" s="22"/>
      <c r="JRN149" s="22"/>
      <c r="JRO149" s="22"/>
      <c r="JRP149" s="22"/>
      <c r="JRQ149" s="22"/>
      <c r="JRR149" s="22"/>
      <c r="JRS149" s="22"/>
      <c r="JRT149" s="22"/>
      <c r="JRU149" s="22"/>
      <c r="JRV149" s="22"/>
      <c r="JRW149" s="22"/>
      <c r="JRX149" s="22"/>
      <c r="JRY149" s="22"/>
      <c r="JRZ149" s="22"/>
      <c r="JSA149" s="22"/>
      <c r="JSB149" s="22"/>
      <c r="JSC149" s="22"/>
      <c r="JSD149" s="22"/>
      <c r="JSE149" s="22"/>
      <c r="JSF149" s="22"/>
      <c r="JSG149" s="22"/>
      <c r="JSH149" s="22"/>
      <c r="JSI149" s="22"/>
      <c r="JSJ149" s="22"/>
      <c r="JSK149" s="22"/>
      <c r="JSL149" s="22"/>
      <c r="JSM149" s="22"/>
      <c r="JSN149" s="22"/>
      <c r="JSO149" s="22"/>
      <c r="JSP149" s="22"/>
      <c r="JSQ149" s="22"/>
      <c r="JSR149" s="22"/>
      <c r="JSS149" s="22"/>
      <c r="JST149" s="22"/>
      <c r="JSU149" s="22"/>
      <c r="JSV149" s="22"/>
      <c r="JSW149" s="22"/>
      <c r="JSX149" s="22"/>
      <c r="JSY149" s="22"/>
      <c r="JSZ149" s="22"/>
      <c r="JTA149" s="22"/>
      <c r="JTB149" s="22"/>
      <c r="JTC149" s="22"/>
      <c r="JTD149" s="22"/>
      <c r="JTE149" s="22"/>
      <c r="JTF149" s="22"/>
      <c r="JTG149" s="22"/>
      <c r="JTH149" s="22"/>
      <c r="JTI149" s="22"/>
      <c r="JTJ149" s="22"/>
      <c r="JTK149" s="22"/>
      <c r="JTL149" s="22"/>
      <c r="JTM149" s="22"/>
      <c r="JTN149" s="22"/>
      <c r="JTO149" s="22"/>
      <c r="JTP149" s="22"/>
      <c r="JTQ149" s="22"/>
      <c r="JTR149" s="22"/>
      <c r="JTS149" s="22"/>
      <c r="JTT149" s="22"/>
      <c r="JTU149" s="22"/>
      <c r="JTV149" s="22"/>
      <c r="JTW149" s="22"/>
      <c r="JTX149" s="22"/>
      <c r="JTY149" s="22"/>
      <c r="JTZ149" s="22"/>
      <c r="JUA149" s="22"/>
      <c r="JUB149" s="22"/>
      <c r="JUC149" s="22"/>
      <c r="JUD149" s="22"/>
      <c r="JUE149" s="22"/>
      <c r="JUF149" s="22"/>
      <c r="JUG149" s="22"/>
      <c r="JUH149" s="22"/>
      <c r="JUI149" s="22"/>
      <c r="JUJ149" s="22"/>
      <c r="JUK149" s="22"/>
      <c r="JUL149" s="22"/>
      <c r="JUM149" s="22"/>
      <c r="JUN149" s="22"/>
      <c r="JUO149" s="22"/>
      <c r="JUP149" s="22"/>
      <c r="JUQ149" s="22"/>
      <c r="JUR149" s="22"/>
      <c r="JUS149" s="22"/>
      <c r="JUT149" s="22"/>
      <c r="JUU149" s="22"/>
      <c r="JUV149" s="22"/>
      <c r="JUW149" s="22"/>
      <c r="JUX149" s="22"/>
      <c r="JUY149" s="22"/>
      <c r="JUZ149" s="22"/>
      <c r="JVA149" s="22"/>
      <c r="JVB149" s="22"/>
      <c r="JVC149" s="22"/>
      <c r="JVD149" s="22"/>
      <c r="JVE149" s="22"/>
      <c r="JVF149" s="22"/>
      <c r="JVG149" s="22"/>
      <c r="JVH149" s="22"/>
      <c r="JVI149" s="22"/>
      <c r="JVJ149" s="22"/>
      <c r="JVK149" s="22"/>
      <c r="JVL149" s="22"/>
      <c r="JVM149" s="22"/>
      <c r="JVN149" s="22"/>
      <c r="JVO149" s="22"/>
      <c r="JVP149" s="22"/>
      <c r="JVQ149" s="22"/>
      <c r="JVR149" s="22"/>
      <c r="JVS149" s="22"/>
      <c r="JVT149" s="22"/>
      <c r="JVU149" s="22"/>
      <c r="JVV149" s="22"/>
      <c r="JVW149" s="22"/>
      <c r="JVX149" s="22"/>
      <c r="JVY149" s="22"/>
      <c r="JVZ149" s="22"/>
      <c r="JWA149" s="22"/>
      <c r="JWB149" s="22"/>
      <c r="JWC149" s="22"/>
      <c r="JWD149" s="22"/>
      <c r="JWE149" s="22"/>
      <c r="JWF149" s="22"/>
      <c r="JWG149" s="22"/>
      <c r="JWH149" s="22"/>
      <c r="JWI149" s="22"/>
      <c r="JWJ149" s="22"/>
      <c r="JWK149" s="22"/>
      <c r="JWL149" s="22"/>
      <c r="JWM149" s="22"/>
      <c r="JWN149" s="22"/>
      <c r="JWO149" s="22"/>
      <c r="JWP149" s="22"/>
      <c r="JWQ149" s="22"/>
      <c r="JWR149" s="22"/>
      <c r="JWS149" s="22"/>
      <c r="JWT149" s="22"/>
      <c r="JWU149" s="22"/>
      <c r="JWV149" s="22"/>
      <c r="JWW149" s="22"/>
      <c r="JWX149" s="22"/>
      <c r="JWY149" s="22"/>
      <c r="JWZ149" s="22"/>
      <c r="JXA149" s="22"/>
      <c r="JXB149" s="22"/>
      <c r="JXC149" s="22"/>
      <c r="JXD149" s="22"/>
      <c r="JXE149" s="22"/>
      <c r="JXF149" s="22"/>
      <c r="JXG149" s="22"/>
      <c r="JXH149" s="22"/>
      <c r="JXI149" s="22"/>
      <c r="JXJ149" s="22"/>
      <c r="JXK149" s="22"/>
      <c r="JXL149" s="22"/>
      <c r="JXM149" s="22"/>
      <c r="JXN149" s="22"/>
      <c r="JXO149" s="22"/>
      <c r="JXP149" s="22"/>
      <c r="JXQ149" s="22"/>
      <c r="JXR149" s="22"/>
      <c r="JXS149" s="22"/>
      <c r="JXT149" s="22"/>
      <c r="JXU149" s="22"/>
      <c r="JXV149" s="22"/>
      <c r="JXW149" s="22"/>
      <c r="JXX149" s="22"/>
      <c r="JXY149" s="22"/>
      <c r="JXZ149" s="22"/>
      <c r="JYA149" s="22"/>
      <c r="JYB149" s="22"/>
      <c r="JYC149" s="22"/>
      <c r="JYD149" s="22"/>
      <c r="JYE149" s="22"/>
      <c r="JYF149" s="22"/>
      <c r="JYG149" s="22"/>
      <c r="JYH149" s="22"/>
      <c r="JYI149" s="22"/>
      <c r="JYJ149" s="22"/>
      <c r="JYK149" s="22"/>
      <c r="JYL149" s="22"/>
      <c r="JYM149" s="22"/>
      <c r="JYN149" s="22"/>
      <c r="JYO149" s="22"/>
      <c r="JYP149" s="22"/>
      <c r="JYQ149" s="22"/>
      <c r="JYR149" s="22"/>
      <c r="JYS149" s="22"/>
      <c r="JYT149" s="22"/>
      <c r="JYU149" s="22"/>
      <c r="JYV149" s="22"/>
      <c r="JYW149" s="22"/>
      <c r="JYX149" s="22"/>
      <c r="JYY149" s="22"/>
      <c r="JYZ149" s="22"/>
      <c r="JZA149" s="22"/>
      <c r="JZB149" s="22"/>
      <c r="JZC149" s="22"/>
      <c r="JZD149" s="22"/>
      <c r="JZE149" s="22"/>
      <c r="JZF149" s="22"/>
      <c r="JZG149" s="22"/>
      <c r="JZH149" s="22"/>
      <c r="JZI149" s="22"/>
      <c r="JZJ149" s="22"/>
      <c r="JZK149" s="22"/>
      <c r="JZL149" s="22"/>
      <c r="JZM149" s="22"/>
      <c r="JZN149" s="22"/>
      <c r="JZO149" s="22"/>
      <c r="JZP149" s="22"/>
      <c r="JZQ149" s="22"/>
      <c r="JZR149" s="22"/>
      <c r="JZS149" s="22"/>
      <c r="JZT149" s="22"/>
      <c r="JZU149" s="22"/>
      <c r="JZV149" s="22"/>
      <c r="JZW149" s="22"/>
      <c r="JZX149" s="22"/>
      <c r="JZY149" s="22"/>
      <c r="JZZ149" s="22"/>
      <c r="KAA149" s="22"/>
      <c r="KAB149" s="22"/>
      <c r="KAC149" s="22"/>
      <c r="KAD149" s="22"/>
      <c r="KAE149" s="22"/>
      <c r="KAF149" s="22"/>
      <c r="KAG149" s="22"/>
      <c r="KAH149" s="22"/>
      <c r="KAI149" s="22"/>
      <c r="KAJ149" s="22"/>
      <c r="KAK149" s="22"/>
      <c r="KAL149" s="22"/>
      <c r="KAM149" s="22"/>
      <c r="KAN149" s="22"/>
      <c r="KAO149" s="22"/>
      <c r="KAP149" s="22"/>
      <c r="KAQ149" s="22"/>
      <c r="KAR149" s="22"/>
      <c r="KAS149" s="22"/>
      <c r="KAT149" s="22"/>
      <c r="KAU149" s="22"/>
      <c r="KAV149" s="22"/>
      <c r="KAW149" s="22"/>
      <c r="KAX149" s="22"/>
      <c r="KAY149" s="22"/>
      <c r="KAZ149" s="22"/>
      <c r="KBA149" s="22"/>
      <c r="KBB149" s="22"/>
      <c r="KBC149" s="22"/>
      <c r="KBD149" s="22"/>
      <c r="KBE149" s="22"/>
      <c r="KBF149" s="22"/>
      <c r="KBG149" s="22"/>
      <c r="KBH149" s="22"/>
      <c r="KBI149" s="22"/>
      <c r="KBJ149" s="22"/>
      <c r="KBK149" s="22"/>
      <c r="KBL149" s="22"/>
      <c r="KBM149" s="22"/>
      <c r="KBN149" s="22"/>
      <c r="KBO149" s="22"/>
      <c r="KBP149" s="22"/>
      <c r="KBQ149" s="22"/>
      <c r="KBR149" s="22"/>
      <c r="KBS149" s="22"/>
      <c r="KBT149" s="22"/>
      <c r="KBU149" s="22"/>
      <c r="KBV149" s="22"/>
      <c r="KBW149" s="22"/>
      <c r="KBX149" s="22"/>
      <c r="KBY149" s="22"/>
      <c r="KBZ149" s="22"/>
      <c r="KCA149" s="22"/>
      <c r="KCB149" s="22"/>
      <c r="KCC149" s="22"/>
      <c r="KCD149" s="22"/>
      <c r="KCE149" s="22"/>
      <c r="KCF149" s="22"/>
      <c r="KCG149" s="22"/>
      <c r="KCH149" s="22"/>
      <c r="KCI149" s="22"/>
      <c r="KCJ149" s="22"/>
      <c r="KCK149" s="22"/>
      <c r="KCL149" s="22"/>
      <c r="KCM149" s="22"/>
      <c r="KCN149" s="22"/>
      <c r="KCO149" s="22"/>
      <c r="KCP149" s="22"/>
      <c r="KCQ149" s="22"/>
      <c r="KCR149" s="22"/>
      <c r="KCS149" s="22"/>
      <c r="KCT149" s="22"/>
      <c r="KCU149" s="22"/>
      <c r="KCV149" s="22"/>
      <c r="KCW149" s="22"/>
      <c r="KCX149" s="22"/>
      <c r="KCY149" s="22"/>
      <c r="KCZ149" s="22"/>
      <c r="KDA149" s="22"/>
      <c r="KDB149" s="22"/>
      <c r="KDC149" s="22"/>
      <c r="KDD149" s="22"/>
      <c r="KDE149" s="22"/>
      <c r="KDF149" s="22"/>
      <c r="KDG149" s="22"/>
      <c r="KDH149" s="22"/>
      <c r="KDI149" s="22"/>
      <c r="KDJ149" s="22"/>
      <c r="KDK149" s="22"/>
      <c r="KDL149" s="22"/>
      <c r="KDM149" s="22"/>
      <c r="KDN149" s="22"/>
      <c r="KDO149" s="22"/>
      <c r="KDP149" s="22"/>
      <c r="KDQ149" s="22"/>
      <c r="KDR149" s="22"/>
      <c r="KDS149" s="22"/>
      <c r="KDT149" s="22"/>
      <c r="KDU149" s="22"/>
      <c r="KDV149" s="22"/>
      <c r="KDW149" s="22"/>
      <c r="KDX149" s="22"/>
      <c r="KDY149" s="22"/>
      <c r="KDZ149" s="22"/>
      <c r="KEA149" s="22"/>
      <c r="KEB149" s="22"/>
      <c r="KEC149" s="22"/>
      <c r="KED149" s="22"/>
      <c r="KEE149" s="22"/>
      <c r="KEF149" s="22"/>
      <c r="KEG149" s="22"/>
      <c r="KEH149" s="22"/>
      <c r="KEI149" s="22"/>
      <c r="KEJ149" s="22"/>
      <c r="KEK149" s="22"/>
      <c r="KEL149" s="22"/>
      <c r="KEM149" s="22"/>
      <c r="KEN149" s="22"/>
      <c r="KEO149" s="22"/>
      <c r="KEP149" s="22"/>
      <c r="KEQ149" s="22"/>
      <c r="KER149" s="22"/>
      <c r="KES149" s="22"/>
      <c r="KET149" s="22"/>
      <c r="KEU149" s="22"/>
      <c r="KEV149" s="22"/>
      <c r="KEW149" s="22"/>
      <c r="KEX149" s="22"/>
      <c r="KEY149" s="22"/>
      <c r="KEZ149" s="22"/>
      <c r="KFA149" s="22"/>
      <c r="KFB149" s="22"/>
      <c r="KFC149" s="22"/>
      <c r="KFD149" s="22"/>
      <c r="KFE149" s="22"/>
      <c r="KFF149" s="22"/>
      <c r="KFG149" s="22"/>
      <c r="KFH149" s="22"/>
      <c r="KFI149" s="22"/>
      <c r="KFJ149" s="22"/>
      <c r="KFK149" s="22"/>
      <c r="KFL149" s="22"/>
      <c r="KFM149" s="22"/>
      <c r="KFN149" s="22"/>
      <c r="KFO149" s="22"/>
      <c r="KFP149" s="22"/>
      <c r="KFQ149" s="22"/>
      <c r="KFR149" s="22"/>
      <c r="KFS149" s="22"/>
      <c r="KFT149" s="22"/>
      <c r="KFU149" s="22"/>
      <c r="KFV149" s="22"/>
      <c r="KFW149" s="22"/>
      <c r="KFX149" s="22"/>
      <c r="KFY149" s="22"/>
      <c r="KFZ149" s="22"/>
      <c r="KGA149" s="22"/>
      <c r="KGB149" s="22"/>
      <c r="KGC149" s="22"/>
      <c r="KGD149" s="22"/>
      <c r="KGE149" s="22"/>
      <c r="KGF149" s="22"/>
      <c r="KGG149" s="22"/>
      <c r="KGH149" s="22"/>
      <c r="KGI149" s="22"/>
      <c r="KGJ149" s="22"/>
      <c r="KGK149" s="22"/>
      <c r="KGL149" s="22"/>
      <c r="KGM149" s="22"/>
      <c r="KGN149" s="22"/>
      <c r="KGO149" s="22"/>
      <c r="KGP149" s="22"/>
      <c r="KGQ149" s="22"/>
      <c r="KGR149" s="22"/>
      <c r="KGS149" s="22"/>
      <c r="KGT149" s="22"/>
      <c r="KGU149" s="22"/>
      <c r="KGV149" s="22"/>
      <c r="KGW149" s="22"/>
      <c r="KGX149" s="22"/>
      <c r="KGY149" s="22"/>
      <c r="KGZ149" s="22"/>
      <c r="KHA149" s="22"/>
      <c r="KHB149" s="22"/>
      <c r="KHC149" s="22"/>
      <c r="KHD149" s="22"/>
      <c r="KHE149" s="22"/>
      <c r="KHF149" s="22"/>
      <c r="KHG149" s="22"/>
      <c r="KHH149" s="22"/>
      <c r="KHI149" s="22"/>
      <c r="KHJ149" s="22"/>
      <c r="KHK149" s="22"/>
      <c r="KHL149" s="22"/>
      <c r="KHM149" s="22"/>
      <c r="KHN149" s="22"/>
      <c r="KHO149" s="22"/>
      <c r="KHP149" s="22"/>
      <c r="KHQ149" s="22"/>
      <c r="KHR149" s="22"/>
      <c r="KHS149" s="22"/>
      <c r="KHT149" s="22"/>
      <c r="KHU149" s="22"/>
      <c r="KHV149" s="22"/>
      <c r="KHW149" s="22"/>
      <c r="KHX149" s="22"/>
      <c r="KHY149" s="22"/>
      <c r="KHZ149" s="22"/>
      <c r="KIA149" s="22"/>
      <c r="KIB149" s="22"/>
      <c r="KIC149" s="22"/>
      <c r="KID149" s="22"/>
      <c r="KIE149" s="22"/>
      <c r="KIF149" s="22"/>
      <c r="KIG149" s="22"/>
      <c r="KIH149" s="22"/>
      <c r="KII149" s="22"/>
      <c r="KIJ149" s="22"/>
      <c r="KIK149" s="22"/>
      <c r="KIL149" s="22"/>
      <c r="KIM149" s="22"/>
      <c r="KIN149" s="22"/>
      <c r="KIO149" s="22"/>
      <c r="KIP149" s="22"/>
      <c r="KIQ149" s="22"/>
      <c r="KIR149" s="22"/>
      <c r="KIS149" s="22"/>
      <c r="KIT149" s="22"/>
      <c r="KIU149" s="22"/>
      <c r="KIV149" s="22"/>
      <c r="KIW149" s="22"/>
      <c r="KIX149" s="22"/>
      <c r="KIY149" s="22"/>
      <c r="KIZ149" s="22"/>
      <c r="KJA149" s="22"/>
      <c r="KJB149" s="22"/>
      <c r="KJC149" s="22"/>
      <c r="KJD149" s="22"/>
      <c r="KJE149" s="22"/>
      <c r="KJF149" s="22"/>
      <c r="KJG149" s="22"/>
      <c r="KJH149" s="22"/>
      <c r="KJI149" s="22"/>
      <c r="KJJ149" s="22"/>
      <c r="KJK149" s="22"/>
      <c r="KJL149" s="22"/>
      <c r="KJM149" s="22"/>
      <c r="KJN149" s="22"/>
      <c r="KJO149" s="22"/>
      <c r="KJP149" s="22"/>
      <c r="KJQ149" s="22"/>
      <c r="KJR149" s="22"/>
      <c r="KJS149" s="22"/>
      <c r="KJT149" s="22"/>
      <c r="KJU149" s="22"/>
      <c r="KJV149" s="22"/>
      <c r="KJW149" s="22"/>
      <c r="KJX149" s="22"/>
      <c r="KJY149" s="22"/>
      <c r="KJZ149" s="22"/>
      <c r="KKA149" s="22"/>
      <c r="KKB149" s="22"/>
      <c r="KKC149" s="22"/>
      <c r="KKD149" s="22"/>
      <c r="KKE149" s="22"/>
      <c r="KKF149" s="22"/>
      <c r="KKG149" s="22"/>
      <c r="KKH149" s="22"/>
      <c r="KKI149" s="22"/>
      <c r="KKJ149" s="22"/>
      <c r="KKK149" s="22"/>
      <c r="KKL149" s="22"/>
      <c r="KKM149" s="22"/>
      <c r="KKN149" s="22"/>
      <c r="KKO149" s="22"/>
      <c r="KKP149" s="22"/>
      <c r="KKQ149" s="22"/>
      <c r="KKR149" s="22"/>
      <c r="KKS149" s="22"/>
      <c r="KKT149" s="22"/>
      <c r="KKU149" s="22"/>
      <c r="KKV149" s="22"/>
      <c r="KKW149" s="22"/>
      <c r="KKX149" s="22"/>
      <c r="KKY149" s="22"/>
      <c r="KKZ149" s="22"/>
      <c r="KLA149" s="22"/>
      <c r="KLB149" s="22"/>
      <c r="KLC149" s="22"/>
      <c r="KLD149" s="22"/>
      <c r="KLE149" s="22"/>
      <c r="KLF149" s="22"/>
      <c r="KLG149" s="22"/>
      <c r="KLH149" s="22"/>
      <c r="KLI149" s="22"/>
      <c r="KLJ149" s="22"/>
      <c r="KLK149" s="22"/>
      <c r="KLL149" s="22"/>
      <c r="KLM149" s="22"/>
      <c r="KLN149" s="22"/>
      <c r="KLO149" s="22"/>
      <c r="KLP149" s="22"/>
      <c r="KLQ149" s="22"/>
      <c r="KLR149" s="22"/>
      <c r="KLS149" s="22"/>
      <c r="KLT149" s="22"/>
      <c r="KLU149" s="22"/>
      <c r="KLV149" s="22"/>
      <c r="KLW149" s="22"/>
      <c r="KLX149" s="22"/>
      <c r="KLY149" s="22"/>
      <c r="KLZ149" s="22"/>
      <c r="KMA149" s="22"/>
      <c r="KMB149" s="22"/>
      <c r="KMC149" s="22"/>
      <c r="KMD149" s="22"/>
      <c r="KME149" s="22"/>
      <c r="KMF149" s="22"/>
      <c r="KMG149" s="22"/>
      <c r="KMH149" s="22"/>
      <c r="KMI149" s="22"/>
      <c r="KMJ149" s="22"/>
      <c r="KMK149" s="22"/>
      <c r="KML149" s="22"/>
      <c r="KMM149" s="22"/>
      <c r="KMN149" s="22"/>
      <c r="KMO149" s="22"/>
      <c r="KMP149" s="22"/>
      <c r="KMQ149" s="22"/>
      <c r="KMR149" s="22"/>
      <c r="KMS149" s="22"/>
      <c r="KMT149" s="22"/>
      <c r="KMU149" s="22"/>
      <c r="KMV149" s="22"/>
      <c r="KMW149" s="22"/>
      <c r="KMX149" s="22"/>
      <c r="KMY149" s="22"/>
      <c r="KMZ149" s="22"/>
      <c r="KNA149" s="22"/>
      <c r="KNB149" s="22"/>
      <c r="KNC149" s="22"/>
      <c r="KND149" s="22"/>
      <c r="KNE149" s="22"/>
      <c r="KNF149" s="22"/>
      <c r="KNG149" s="22"/>
      <c r="KNH149" s="22"/>
      <c r="KNI149" s="22"/>
      <c r="KNJ149" s="22"/>
      <c r="KNK149" s="22"/>
      <c r="KNL149" s="22"/>
      <c r="KNM149" s="22"/>
      <c r="KNN149" s="22"/>
      <c r="KNO149" s="22"/>
      <c r="KNP149" s="22"/>
      <c r="KNQ149" s="22"/>
      <c r="KNR149" s="22"/>
      <c r="KNS149" s="22"/>
      <c r="KNT149" s="22"/>
      <c r="KNU149" s="22"/>
      <c r="KNV149" s="22"/>
      <c r="KNW149" s="22"/>
      <c r="KNX149" s="22"/>
      <c r="KNY149" s="22"/>
      <c r="KNZ149" s="22"/>
      <c r="KOA149" s="22"/>
      <c r="KOB149" s="22"/>
      <c r="KOC149" s="22"/>
      <c r="KOD149" s="22"/>
      <c r="KOE149" s="22"/>
      <c r="KOF149" s="22"/>
      <c r="KOG149" s="22"/>
      <c r="KOH149" s="22"/>
      <c r="KOI149" s="22"/>
      <c r="KOJ149" s="22"/>
      <c r="KOK149" s="22"/>
      <c r="KOL149" s="22"/>
      <c r="KOM149" s="22"/>
      <c r="KON149" s="22"/>
      <c r="KOO149" s="22"/>
      <c r="KOP149" s="22"/>
      <c r="KOQ149" s="22"/>
      <c r="KOR149" s="22"/>
      <c r="KOS149" s="22"/>
      <c r="KOT149" s="22"/>
      <c r="KOU149" s="22"/>
      <c r="KOV149" s="22"/>
      <c r="KOW149" s="22"/>
      <c r="KOX149" s="22"/>
      <c r="KOY149" s="22"/>
      <c r="KOZ149" s="22"/>
      <c r="KPA149" s="22"/>
      <c r="KPB149" s="22"/>
      <c r="KPC149" s="22"/>
      <c r="KPD149" s="22"/>
      <c r="KPE149" s="22"/>
      <c r="KPF149" s="22"/>
      <c r="KPG149" s="22"/>
      <c r="KPH149" s="22"/>
      <c r="KPI149" s="22"/>
      <c r="KPJ149" s="22"/>
      <c r="KPK149" s="22"/>
      <c r="KPL149" s="22"/>
      <c r="KPM149" s="22"/>
      <c r="KPN149" s="22"/>
      <c r="KPO149" s="22"/>
      <c r="KPP149" s="22"/>
      <c r="KPQ149" s="22"/>
      <c r="KPR149" s="22"/>
      <c r="KPS149" s="22"/>
      <c r="KPT149" s="22"/>
      <c r="KPU149" s="22"/>
      <c r="KPV149" s="22"/>
      <c r="KPW149" s="22"/>
      <c r="KPX149" s="22"/>
      <c r="KPY149" s="22"/>
      <c r="KPZ149" s="22"/>
      <c r="KQA149" s="22"/>
      <c r="KQB149" s="22"/>
      <c r="KQC149" s="22"/>
      <c r="KQD149" s="22"/>
      <c r="KQE149" s="22"/>
      <c r="KQF149" s="22"/>
      <c r="KQG149" s="22"/>
      <c r="KQH149" s="22"/>
      <c r="KQI149" s="22"/>
      <c r="KQJ149" s="22"/>
      <c r="KQK149" s="22"/>
      <c r="KQL149" s="22"/>
      <c r="KQM149" s="22"/>
      <c r="KQN149" s="22"/>
      <c r="KQO149" s="22"/>
      <c r="KQP149" s="22"/>
      <c r="KQQ149" s="22"/>
      <c r="KQR149" s="22"/>
      <c r="KQS149" s="22"/>
      <c r="KQT149" s="22"/>
      <c r="KQU149" s="22"/>
      <c r="KQV149" s="22"/>
      <c r="KQW149" s="22"/>
      <c r="KQX149" s="22"/>
      <c r="KQY149" s="22"/>
      <c r="KQZ149" s="22"/>
      <c r="KRA149" s="22"/>
      <c r="KRB149" s="22"/>
      <c r="KRC149" s="22"/>
      <c r="KRD149" s="22"/>
      <c r="KRE149" s="22"/>
      <c r="KRF149" s="22"/>
      <c r="KRG149" s="22"/>
      <c r="KRH149" s="22"/>
      <c r="KRI149" s="22"/>
      <c r="KRJ149" s="22"/>
      <c r="KRK149" s="22"/>
      <c r="KRL149" s="22"/>
      <c r="KRM149" s="22"/>
      <c r="KRN149" s="22"/>
      <c r="KRO149" s="22"/>
      <c r="KRP149" s="22"/>
      <c r="KRQ149" s="22"/>
      <c r="KRR149" s="22"/>
      <c r="KRS149" s="22"/>
      <c r="KRT149" s="22"/>
      <c r="KRU149" s="22"/>
      <c r="KRV149" s="22"/>
      <c r="KRW149" s="22"/>
      <c r="KRX149" s="22"/>
      <c r="KRY149" s="22"/>
      <c r="KRZ149" s="22"/>
      <c r="KSA149" s="22"/>
      <c r="KSB149" s="22"/>
      <c r="KSC149" s="22"/>
      <c r="KSD149" s="22"/>
      <c r="KSE149" s="22"/>
      <c r="KSF149" s="22"/>
      <c r="KSG149" s="22"/>
      <c r="KSH149" s="22"/>
      <c r="KSI149" s="22"/>
      <c r="KSJ149" s="22"/>
      <c r="KSK149" s="22"/>
      <c r="KSL149" s="22"/>
      <c r="KSM149" s="22"/>
      <c r="KSN149" s="22"/>
      <c r="KSO149" s="22"/>
      <c r="KSP149" s="22"/>
      <c r="KSQ149" s="22"/>
      <c r="KSR149" s="22"/>
      <c r="KSS149" s="22"/>
      <c r="KST149" s="22"/>
      <c r="KSU149" s="22"/>
      <c r="KSV149" s="22"/>
      <c r="KSW149" s="22"/>
      <c r="KSX149" s="22"/>
      <c r="KSY149" s="22"/>
      <c r="KSZ149" s="22"/>
      <c r="KTA149" s="22"/>
      <c r="KTB149" s="22"/>
      <c r="KTC149" s="22"/>
      <c r="KTD149" s="22"/>
      <c r="KTE149" s="22"/>
      <c r="KTF149" s="22"/>
      <c r="KTG149" s="22"/>
      <c r="KTH149" s="22"/>
      <c r="KTI149" s="22"/>
      <c r="KTJ149" s="22"/>
      <c r="KTK149" s="22"/>
      <c r="KTL149" s="22"/>
      <c r="KTM149" s="22"/>
      <c r="KTN149" s="22"/>
      <c r="KTO149" s="22"/>
      <c r="KTP149" s="22"/>
      <c r="KTQ149" s="22"/>
      <c r="KTR149" s="22"/>
      <c r="KTS149" s="22"/>
      <c r="KTT149" s="22"/>
      <c r="KTU149" s="22"/>
      <c r="KTV149" s="22"/>
      <c r="KTW149" s="22"/>
      <c r="KTX149" s="22"/>
      <c r="KTY149" s="22"/>
      <c r="KTZ149" s="22"/>
      <c r="KUA149" s="22"/>
      <c r="KUB149" s="22"/>
      <c r="KUC149" s="22"/>
      <c r="KUD149" s="22"/>
      <c r="KUE149" s="22"/>
      <c r="KUF149" s="22"/>
      <c r="KUG149" s="22"/>
      <c r="KUH149" s="22"/>
      <c r="KUI149" s="22"/>
      <c r="KUJ149" s="22"/>
      <c r="KUK149" s="22"/>
      <c r="KUL149" s="22"/>
      <c r="KUM149" s="22"/>
      <c r="KUN149" s="22"/>
      <c r="KUO149" s="22"/>
      <c r="KUP149" s="22"/>
      <c r="KUQ149" s="22"/>
      <c r="KUR149" s="22"/>
      <c r="KUS149" s="22"/>
      <c r="KUT149" s="22"/>
      <c r="KUU149" s="22"/>
      <c r="KUV149" s="22"/>
      <c r="KUW149" s="22"/>
      <c r="KUX149" s="22"/>
      <c r="KUY149" s="22"/>
      <c r="KUZ149" s="22"/>
      <c r="KVA149" s="22"/>
      <c r="KVB149" s="22"/>
      <c r="KVC149" s="22"/>
      <c r="KVD149" s="22"/>
      <c r="KVE149" s="22"/>
      <c r="KVF149" s="22"/>
      <c r="KVG149" s="22"/>
      <c r="KVH149" s="22"/>
      <c r="KVI149" s="22"/>
      <c r="KVJ149" s="22"/>
      <c r="KVK149" s="22"/>
      <c r="KVL149" s="22"/>
      <c r="KVM149" s="22"/>
      <c r="KVN149" s="22"/>
      <c r="KVO149" s="22"/>
      <c r="KVP149" s="22"/>
      <c r="KVQ149" s="22"/>
      <c r="KVR149" s="22"/>
      <c r="KVS149" s="22"/>
      <c r="KVT149" s="22"/>
      <c r="KVU149" s="22"/>
      <c r="KVV149" s="22"/>
      <c r="KVW149" s="22"/>
      <c r="KVX149" s="22"/>
      <c r="KVY149" s="22"/>
      <c r="KVZ149" s="22"/>
      <c r="KWA149" s="22"/>
      <c r="KWB149" s="22"/>
      <c r="KWC149" s="22"/>
      <c r="KWD149" s="22"/>
      <c r="KWE149" s="22"/>
      <c r="KWF149" s="22"/>
      <c r="KWG149" s="22"/>
      <c r="KWH149" s="22"/>
      <c r="KWI149" s="22"/>
      <c r="KWJ149" s="22"/>
      <c r="KWK149" s="22"/>
      <c r="KWL149" s="22"/>
      <c r="KWM149" s="22"/>
      <c r="KWN149" s="22"/>
      <c r="KWO149" s="22"/>
      <c r="KWP149" s="22"/>
      <c r="KWQ149" s="22"/>
      <c r="KWR149" s="22"/>
      <c r="KWS149" s="22"/>
      <c r="KWT149" s="22"/>
      <c r="KWU149" s="22"/>
      <c r="KWV149" s="22"/>
      <c r="KWW149" s="22"/>
      <c r="KWX149" s="22"/>
      <c r="KWY149" s="22"/>
      <c r="KWZ149" s="22"/>
      <c r="KXA149" s="22"/>
      <c r="KXB149" s="22"/>
      <c r="KXC149" s="22"/>
      <c r="KXD149" s="22"/>
      <c r="KXE149" s="22"/>
      <c r="KXF149" s="22"/>
      <c r="KXG149" s="22"/>
      <c r="KXH149" s="22"/>
      <c r="KXI149" s="22"/>
      <c r="KXJ149" s="22"/>
      <c r="KXK149" s="22"/>
      <c r="KXL149" s="22"/>
      <c r="KXM149" s="22"/>
      <c r="KXN149" s="22"/>
      <c r="KXO149" s="22"/>
      <c r="KXP149" s="22"/>
      <c r="KXQ149" s="22"/>
      <c r="KXR149" s="22"/>
      <c r="KXS149" s="22"/>
      <c r="KXT149" s="22"/>
      <c r="KXU149" s="22"/>
      <c r="KXV149" s="22"/>
      <c r="KXW149" s="22"/>
      <c r="KXX149" s="22"/>
      <c r="KXY149" s="22"/>
      <c r="KXZ149" s="22"/>
      <c r="KYA149" s="22"/>
      <c r="KYB149" s="22"/>
      <c r="KYC149" s="22"/>
      <c r="KYD149" s="22"/>
      <c r="KYE149" s="22"/>
      <c r="KYF149" s="22"/>
      <c r="KYG149" s="22"/>
      <c r="KYH149" s="22"/>
      <c r="KYI149" s="22"/>
      <c r="KYJ149" s="22"/>
      <c r="KYK149" s="22"/>
      <c r="KYL149" s="22"/>
      <c r="KYM149" s="22"/>
      <c r="KYN149" s="22"/>
      <c r="KYO149" s="22"/>
      <c r="KYP149" s="22"/>
      <c r="KYQ149" s="22"/>
      <c r="KYR149" s="22"/>
      <c r="KYS149" s="22"/>
      <c r="KYT149" s="22"/>
      <c r="KYU149" s="22"/>
      <c r="KYV149" s="22"/>
      <c r="KYW149" s="22"/>
      <c r="KYX149" s="22"/>
      <c r="KYY149" s="22"/>
      <c r="KYZ149" s="22"/>
      <c r="KZA149" s="22"/>
      <c r="KZB149" s="22"/>
      <c r="KZC149" s="22"/>
      <c r="KZD149" s="22"/>
      <c r="KZE149" s="22"/>
      <c r="KZF149" s="22"/>
      <c r="KZG149" s="22"/>
      <c r="KZH149" s="22"/>
      <c r="KZI149" s="22"/>
      <c r="KZJ149" s="22"/>
      <c r="KZK149" s="22"/>
      <c r="KZL149" s="22"/>
      <c r="KZM149" s="22"/>
      <c r="KZN149" s="22"/>
      <c r="KZO149" s="22"/>
      <c r="KZP149" s="22"/>
      <c r="KZQ149" s="22"/>
      <c r="KZR149" s="22"/>
      <c r="KZS149" s="22"/>
      <c r="KZT149" s="22"/>
      <c r="KZU149" s="22"/>
      <c r="KZV149" s="22"/>
      <c r="KZW149" s="22"/>
      <c r="KZX149" s="22"/>
      <c r="KZY149" s="22"/>
      <c r="KZZ149" s="22"/>
      <c r="LAA149" s="22"/>
      <c r="LAB149" s="22"/>
      <c r="LAC149" s="22"/>
      <c r="LAD149" s="22"/>
      <c r="LAE149" s="22"/>
      <c r="LAF149" s="22"/>
      <c r="LAG149" s="22"/>
      <c r="LAH149" s="22"/>
      <c r="LAI149" s="22"/>
      <c r="LAJ149" s="22"/>
      <c r="LAK149" s="22"/>
      <c r="LAL149" s="22"/>
      <c r="LAM149" s="22"/>
      <c r="LAN149" s="22"/>
      <c r="LAO149" s="22"/>
      <c r="LAP149" s="22"/>
      <c r="LAQ149" s="22"/>
      <c r="LAR149" s="22"/>
      <c r="LAS149" s="22"/>
      <c r="LAT149" s="22"/>
      <c r="LAU149" s="22"/>
      <c r="LAV149" s="22"/>
      <c r="LAW149" s="22"/>
      <c r="LAX149" s="22"/>
      <c r="LAY149" s="22"/>
      <c r="LAZ149" s="22"/>
      <c r="LBA149" s="22"/>
      <c r="LBB149" s="22"/>
      <c r="LBC149" s="22"/>
      <c r="LBD149" s="22"/>
      <c r="LBE149" s="22"/>
      <c r="LBF149" s="22"/>
      <c r="LBG149" s="22"/>
      <c r="LBH149" s="22"/>
      <c r="LBI149" s="22"/>
      <c r="LBJ149" s="22"/>
      <c r="LBK149" s="22"/>
      <c r="LBL149" s="22"/>
      <c r="LBM149" s="22"/>
      <c r="LBN149" s="22"/>
      <c r="LBO149" s="22"/>
      <c r="LBP149" s="22"/>
      <c r="LBQ149" s="22"/>
      <c r="LBR149" s="22"/>
      <c r="LBS149" s="22"/>
      <c r="LBT149" s="22"/>
      <c r="LBU149" s="22"/>
      <c r="LBV149" s="22"/>
      <c r="LBW149" s="22"/>
      <c r="LBX149" s="22"/>
      <c r="LBY149" s="22"/>
      <c r="LBZ149" s="22"/>
      <c r="LCA149" s="22"/>
      <c r="LCB149" s="22"/>
      <c r="LCC149" s="22"/>
      <c r="LCD149" s="22"/>
      <c r="LCE149" s="22"/>
      <c r="LCF149" s="22"/>
      <c r="LCG149" s="22"/>
      <c r="LCH149" s="22"/>
      <c r="LCI149" s="22"/>
      <c r="LCJ149" s="22"/>
      <c r="LCK149" s="22"/>
      <c r="LCL149" s="22"/>
      <c r="LCM149" s="22"/>
      <c r="LCN149" s="22"/>
      <c r="LCO149" s="22"/>
      <c r="LCP149" s="22"/>
      <c r="LCQ149" s="22"/>
      <c r="LCR149" s="22"/>
      <c r="LCS149" s="22"/>
      <c r="LCT149" s="22"/>
      <c r="LCU149" s="22"/>
      <c r="LCV149" s="22"/>
      <c r="LCW149" s="22"/>
      <c r="LCX149" s="22"/>
      <c r="LCY149" s="22"/>
      <c r="LCZ149" s="22"/>
      <c r="LDA149" s="22"/>
      <c r="LDB149" s="22"/>
      <c r="LDC149" s="22"/>
      <c r="LDD149" s="22"/>
      <c r="LDE149" s="22"/>
      <c r="LDF149" s="22"/>
      <c r="LDG149" s="22"/>
      <c r="LDH149" s="22"/>
      <c r="LDI149" s="22"/>
      <c r="LDJ149" s="22"/>
      <c r="LDK149" s="22"/>
      <c r="LDL149" s="22"/>
      <c r="LDM149" s="22"/>
      <c r="LDN149" s="22"/>
      <c r="LDO149" s="22"/>
      <c r="LDP149" s="22"/>
      <c r="LDQ149" s="22"/>
      <c r="LDR149" s="22"/>
      <c r="LDS149" s="22"/>
      <c r="LDT149" s="22"/>
      <c r="LDU149" s="22"/>
      <c r="LDV149" s="22"/>
      <c r="LDW149" s="22"/>
      <c r="LDX149" s="22"/>
      <c r="LDY149" s="22"/>
      <c r="LDZ149" s="22"/>
      <c r="LEA149" s="22"/>
      <c r="LEB149" s="22"/>
      <c r="LEC149" s="22"/>
      <c r="LED149" s="22"/>
      <c r="LEE149" s="22"/>
      <c r="LEF149" s="22"/>
      <c r="LEG149" s="22"/>
      <c r="LEH149" s="22"/>
      <c r="LEI149" s="22"/>
      <c r="LEJ149" s="22"/>
      <c r="LEK149" s="22"/>
      <c r="LEL149" s="22"/>
      <c r="LEM149" s="22"/>
      <c r="LEN149" s="22"/>
      <c r="LEO149" s="22"/>
      <c r="LEP149" s="22"/>
      <c r="LEQ149" s="22"/>
      <c r="LER149" s="22"/>
      <c r="LES149" s="22"/>
      <c r="LET149" s="22"/>
      <c r="LEU149" s="22"/>
      <c r="LEV149" s="22"/>
      <c r="LEW149" s="22"/>
      <c r="LEX149" s="22"/>
      <c r="LEY149" s="22"/>
      <c r="LEZ149" s="22"/>
      <c r="LFA149" s="22"/>
      <c r="LFB149" s="22"/>
      <c r="LFC149" s="22"/>
      <c r="LFD149" s="22"/>
      <c r="LFE149" s="22"/>
      <c r="LFF149" s="22"/>
      <c r="LFG149" s="22"/>
      <c r="LFH149" s="22"/>
      <c r="LFI149" s="22"/>
      <c r="LFJ149" s="22"/>
      <c r="LFK149" s="22"/>
      <c r="LFL149" s="22"/>
      <c r="LFM149" s="22"/>
      <c r="LFN149" s="22"/>
      <c r="LFO149" s="22"/>
      <c r="LFP149" s="22"/>
      <c r="LFQ149" s="22"/>
      <c r="LFR149" s="22"/>
      <c r="LFS149" s="22"/>
      <c r="LFT149" s="22"/>
      <c r="LFU149" s="22"/>
      <c r="LFV149" s="22"/>
      <c r="LFW149" s="22"/>
      <c r="LFX149" s="22"/>
      <c r="LFY149" s="22"/>
      <c r="LFZ149" s="22"/>
      <c r="LGA149" s="22"/>
      <c r="LGB149" s="22"/>
      <c r="LGC149" s="22"/>
      <c r="LGD149" s="22"/>
      <c r="LGE149" s="22"/>
      <c r="LGF149" s="22"/>
      <c r="LGG149" s="22"/>
      <c r="LGH149" s="22"/>
      <c r="LGI149" s="22"/>
      <c r="LGJ149" s="22"/>
      <c r="LGK149" s="22"/>
      <c r="LGL149" s="22"/>
      <c r="LGM149" s="22"/>
      <c r="LGN149" s="22"/>
      <c r="LGO149" s="22"/>
      <c r="LGP149" s="22"/>
      <c r="LGQ149" s="22"/>
      <c r="LGR149" s="22"/>
      <c r="LGS149" s="22"/>
      <c r="LGT149" s="22"/>
      <c r="LGU149" s="22"/>
      <c r="LGV149" s="22"/>
      <c r="LGW149" s="22"/>
      <c r="LGX149" s="22"/>
      <c r="LGY149" s="22"/>
      <c r="LGZ149" s="22"/>
      <c r="LHA149" s="22"/>
      <c r="LHB149" s="22"/>
      <c r="LHC149" s="22"/>
      <c r="LHD149" s="22"/>
      <c r="LHE149" s="22"/>
      <c r="LHF149" s="22"/>
      <c r="LHG149" s="22"/>
      <c r="LHH149" s="22"/>
      <c r="LHI149" s="22"/>
      <c r="LHJ149" s="22"/>
      <c r="LHK149" s="22"/>
      <c r="LHL149" s="22"/>
      <c r="LHM149" s="22"/>
      <c r="LHN149" s="22"/>
      <c r="LHO149" s="22"/>
      <c r="LHP149" s="22"/>
      <c r="LHQ149" s="22"/>
      <c r="LHR149" s="22"/>
      <c r="LHS149" s="22"/>
      <c r="LHT149" s="22"/>
      <c r="LHU149" s="22"/>
      <c r="LHV149" s="22"/>
      <c r="LHW149" s="22"/>
      <c r="LHX149" s="22"/>
      <c r="LHY149" s="22"/>
      <c r="LHZ149" s="22"/>
      <c r="LIA149" s="22"/>
      <c r="LIB149" s="22"/>
      <c r="LIC149" s="22"/>
      <c r="LID149" s="22"/>
      <c r="LIE149" s="22"/>
      <c r="LIF149" s="22"/>
      <c r="LIG149" s="22"/>
      <c r="LIH149" s="22"/>
      <c r="LII149" s="22"/>
      <c r="LIJ149" s="22"/>
      <c r="LIK149" s="22"/>
      <c r="LIL149" s="22"/>
      <c r="LIM149" s="22"/>
      <c r="LIN149" s="22"/>
      <c r="LIO149" s="22"/>
      <c r="LIP149" s="22"/>
      <c r="LIQ149" s="22"/>
      <c r="LIR149" s="22"/>
      <c r="LIS149" s="22"/>
      <c r="LIT149" s="22"/>
      <c r="LIU149" s="22"/>
      <c r="LIV149" s="22"/>
      <c r="LIW149" s="22"/>
      <c r="LIX149" s="22"/>
      <c r="LIY149" s="22"/>
      <c r="LIZ149" s="22"/>
      <c r="LJA149" s="22"/>
      <c r="LJB149" s="22"/>
      <c r="LJC149" s="22"/>
      <c r="LJD149" s="22"/>
      <c r="LJE149" s="22"/>
      <c r="LJF149" s="22"/>
      <c r="LJG149" s="22"/>
      <c r="LJH149" s="22"/>
      <c r="LJI149" s="22"/>
      <c r="LJJ149" s="22"/>
      <c r="LJK149" s="22"/>
      <c r="LJL149" s="22"/>
      <c r="LJM149" s="22"/>
      <c r="LJN149" s="22"/>
      <c r="LJO149" s="22"/>
      <c r="LJP149" s="22"/>
      <c r="LJQ149" s="22"/>
      <c r="LJR149" s="22"/>
      <c r="LJS149" s="22"/>
      <c r="LJT149" s="22"/>
      <c r="LJU149" s="22"/>
      <c r="LJV149" s="22"/>
      <c r="LJW149" s="22"/>
      <c r="LJX149" s="22"/>
      <c r="LJY149" s="22"/>
      <c r="LJZ149" s="22"/>
      <c r="LKA149" s="22"/>
      <c r="LKB149" s="22"/>
      <c r="LKC149" s="22"/>
      <c r="LKD149" s="22"/>
      <c r="LKE149" s="22"/>
      <c r="LKF149" s="22"/>
      <c r="LKG149" s="22"/>
      <c r="LKH149" s="22"/>
      <c r="LKI149" s="22"/>
      <c r="LKJ149" s="22"/>
      <c r="LKK149" s="22"/>
      <c r="LKL149" s="22"/>
      <c r="LKM149" s="22"/>
      <c r="LKN149" s="22"/>
      <c r="LKO149" s="22"/>
      <c r="LKP149" s="22"/>
      <c r="LKQ149" s="22"/>
      <c r="LKR149" s="22"/>
      <c r="LKS149" s="22"/>
      <c r="LKT149" s="22"/>
      <c r="LKU149" s="22"/>
      <c r="LKV149" s="22"/>
      <c r="LKW149" s="22"/>
      <c r="LKX149" s="22"/>
      <c r="LKY149" s="22"/>
      <c r="LKZ149" s="22"/>
      <c r="LLA149" s="22"/>
      <c r="LLB149" s="22"/>
      <c r="LLC149" s="22"/>
      <c r="LLD149" s="22"/>
      <c r="LLE149" s="22"/>
      <c r="LLF149" s="22"/>
      <c r="LLG149" s="22"/>
      <c r="LLH149" s="22"/>
      <c r="LLI149" s="22"/>
      <c r="LLJ149" s="22"/>
      <c r="LLK149" s="22"/>
      <c r="LLL149" s="22"/>
      <c r="LLM149" s="22"/>
      <c r="LLN149" s="22"/>
      <c r="LLO149" s="22"/>
      <c r="LLP149" s="22"/>
      <c r="LLQ149" s="22"/>
      <c r="LLR149" s="22"/>
      <c r="LLS149" s="22"/>
      <c r="LLT149" s="22"/>
      <c r="LLU149" s="22"/>
      <c r="LLV149" s="22"/>
      <c r="LLW149" s="22"/>
      <c r="LLX149" s="22"/>
      <c r="LLY149" s="22"/>
      <c r="LLZ149" s="22"/>
      <c r="LMA149" s="22"/>
      <c r="LMB149" s="22"/>
      <c r="LMC149" s="22"/>
      <c r="LMD149" s="22"/>
      <c r="LME149" s="22"/>
      <c r="LMF149" s="22"/>
      <c r="LMG149" s="22"/>
      <c r="LMH149" s="22"/>
      <c r="LMI149" s="22"/>
      <c r="LMJ149" s="22"/>
      <c r="LMK149" s="22"/>
      <c r="LML149" s="22"/>
      <c r="LMM149" s="22"/>
      <c r="LMN149" s="22"/>
      <c r="LMO149" s="22"/>
      <c r="LMP149" s="22"/>
      <c r="LMQ149" s="22"/>
      <c r="LMR149" s="22"/>
      <c r="LMS149" s="22"/>
      <c r="LMT149" s="22"/>
      <c r="LMU149" s="22"/>
      <c r="LMV149" s="22"/>
      <c r="LMW149" s="22"/>
      <c r="LMX149" s="22"/>
      <c r="LMY149" s="22"/>
      <c r="LMZ149" s="22"/>
      <c r="LNA149" s="22"/>
      <c r="LNB149" s="22"/>
      <c r="LNC149" s="22"/>
      <c r="LND149" s="22"/>
      <c r="LNE149" s="22"/>
      <c r="LNF149" s="22"/>
      <c r="LNG149" s="22"/>
      <c r="LNH149" s="22"/>
      <c r="LNI149" s="22"/>
      <c r="LNJ149" s="22"/>
      <c r="LNK149" s="22"/>
      <c r="LNL149" s="22"/>
      <c r="LNM149" s="22"/>
      <c r="LNN149" s="22"/>
      <c r="LNO149" s="22"/>
      <c r="LNP149" s="22"/>
      <c r="LNQ149" s="22"/>
      <c r="LNR149" s="22"/>
      <c r="LNS149" s="22"/>
      <c r="LNT149" s="22"/>
      <c r="LNU149" s="22"/>
      <c r="LNV149" s="22"/>
      <c r="LNW149" s="22"/>
      <c r="LNX149" s="22"/>
      <c r="LNY149" s="22"/>
      <c r="LNZ149" s="22"/>
      <c r="LOA149" s="22"/>
      <c r="LOB149" s="22"/>
      <c r="LOC149" s="22"/>
      <c r="LOD149" s="22"/>
      <c r="LOE149" s="22"/>
      <c r="LOF149" s="22"/>
      <c r="LOG149" s="22"/>
      <c r="LOH149" s="22"/>
      <c r="LOI149" s="22"/>
      <c r="LOJ149" s="22"/>
      <c r="LOK149" s="22"/>
      <c r="LOL149" s="22"/>
      <c r="LOM149" s="22"/>
      <c r="LON149" s="22"/>
      <c r="LOO149" s="22"/>
      <c r="LOP149" s="22"/>
      <c r="LOQ149" s="22"/>
      <c r="LOR149" s="22"/>
      <c r="LOS149" s="22"/>
      <c r="LOT149" s="22"/>
      <c r="LOU149" s="22"/>
      <c r="LOV149" s="22"/>
      <c r="LOW149" s="22"/>
      <c r="LOX149" s="22"/>
      <c r="LOY149" s="22"/>
      <c r="LOZ149" s="22"/>
      <c r="LPA149" s="22"/>
      <c r="LPB149" s="22"/>
      <c r="LPC149" s="22"/>
      <c r="LPD149" s="22"/>
      <c r="LPE149" s="22"/>
      <c r="LPF149" s="22"/>
      <c r="LPG149" s="22"/>
      <c r="LPH149" s="22"/>
      <c r="LPI149" s="22"/>
      <c r="LPJ149" s="22"/>
      <c r="LPK149" s="22"/>
      <c r="LPL149" s="22"/>
      <c r="LPM149" s="22"/>
      <c r="LPN149" s="22"/>
      <c r="LPO149" s="22"/>
      <c r="LPP149" s="22"/>
      <c r="LPQ149" s="22"/>
      <c r="LPR149" s="22"/>
      <c r="LPS149" s="22"/>
      <c r="LPT149" s="22"/>
      <c r="LPU149" s="22"/>
      <c r="LPV149" s="22"/>
      <c r="LPW149" s="22"/>
      <c r="LPX149" s="22"/>
      <c r="LPY149" s="22"/>
      <c r="LPZ149" s="22"/>
      <c r="LQA149" s="22"/>
      <c r="LQB149" s="22"/>
      <c r="LQC149" s="22"/>
      <c r="LQD149" s="22"/>
      <c r="LQE149" s="22"/>
      <c r="LQF149" s="22"/>
      <c r="LQG149" s="22"/>
      <c r="LQH149" s="22"/>
      <c r="LQI149" s="22"/>
      <c r="LQJ149" s="22"/>
      <c r="LQK149" s="22"/>
      <c r="LQL149" s="22"/>
      <c r="LQM149" s="22"/>
      <c r="LQN149" s="22"/>
      <c r="LQO149" s="22"/>
      <c r="LQP149" s="22"/>
      <c r="LQQ149" s="22"/>
      <c r="LQR149" s="22"/>
      <c r="LQS149" s="22"/>
      <c r="LQT149" s="22"/>
      <c r="LQU149" s="22"/>
      <c r="LQV149" s="22"/>
      <c r="LQW149" s="22"/>
      <c r="LQX149" s="22"/>
      <c r="LQY149" s="22"/>
      <c r="LQZ149" s="22"/>
      <c r="LRA149" s="22"/>
      <c r="LRB149" s="22"/>
      <c r="LRC149" s="22"/>
      <c r="LRD149" s="22"/>
      <c r="LRE149" s="22"/>
      <c r="LRF149" s="22"/>
      <c r="LRG149" s="22"/>
      <c r="LRH149" s="22"/>
      <c r="LRI149" s="22"/>
      <c r="LRJ149" s="22"/>
      <c r="LRK149" s="22"/>
      <c r="LRL149" s="22"/>
      <c r="LRM149" s="22"/>
      <c r="LRN149" s="22"/>
      <c r="LRO149" s="22"/>
      <c r="LRP149" s="22"/>
      <c r="LRQ149" s="22"/>
      <c r="LRR149" s="22"/>
      <c r="LRS149" s="22"/>
      <c r="LRT149" s="22"/>
      <c r="LRU149" s="22"/>
      <c r="LRV149" s="22"/>
      <c r="LRW149" s="22"/>
      <c r="LRX149" s="22"/>
      <c r="LRY149" s="22"/>
      <c r="LRZ149" s="22"/>
      <c r="LSA149" s="22"/>
      <c r="LSB149" s="22"/>
      <c r="LSC149" s="22"/>
      <c r="LSD149" s="22"/>
      <c r="LSE149" s="22"/>
      <c r="LSF149" s="22"/>
      <c r="LSG149" s="22"/>
      <c r="LSH149" s="22"/>
      <c r="LSI149" s="22"/>
      <c r="LSJ149" s="22"/>
      <c r="LSK149" s="22"/>
      <c r="LSL149" s="22"/>
      <c r="LSM149" s="22"/>
      <c r="LSN149" s="22"/>
      <c r="LSO149" s="22"/>
      <c r="LSP149" s="22"/>
      <c r="LSQ149" s="22"/>
      <c r="LSR149" s="22"/>
      <c r="LSS149" s="22"/>
      <c r="LST149" s="22"/>
      <c r="LSU149" s="22"/>
      <c r="LSV149" s="22"/>
      <c r="LSW149" s="22"/>
      <c r="LSX149" s="22"/>
      <c r="LSY149" s="22"/>
      <c r="LSZ149" s="22"/>
      <c r="LTA149" s="22"/>
      <c r="LTB149" s="22"/>
      <c r="LTC149" s="22"/>
      <c r="LTD149" s="22"/>
      <c r="LTE149" s="22"/>
      <c r="LTF149" s="22"/>
      <c r="LTG149" s="22"/>
      <c r="LTH149" s="22"/>
      <c r="LTI149" s="22"/>
      <c r="LTJ149" s="22"/>
      <c r="LTK149" s="22"/>
      <c r="LTL149" s="22"/>
      <c r="LTM149" s="22"/>
      <c r="LTN149" s="22"/>
      <c r="LTO149" s="22"/>
      <c r="LTP149" s="22"/>
      <c r="LTQ149" s="22"/>
      <c r="LTR149" s="22"/>
      <c r="LTS149" s="22"/>
      <c r="LTT149" s="22"/>
      <c r="LTU149" s="22"/>
      <c r="LTV149" s="22"/>
      <c r="LTW149" s="22"/>
      <c r="LTX149" s="22"/>
      <c r="LTY149" s="22"/>
      <c r="LTZ149" s="22"/>
      <c r="LUA149" s="22"/>
      <c r="LUB149" s="22"/>
      <c r="LUC149" s="22"/>
      <c r="LUD149" s="22"/>
      <c r="LUE149" s="22"/>
      <c r="LUF149" s="22"/>
      <c r="LUG149" s="22"/>
      <c r="LUH149" s="22"/>
      <c r="LUI149" s="22"/>
      <c r="LUJ149" s="22"/>
      <c r="LUK149" s="22"/>
      <c r="LUL149" s="22"/>
      <c r="LUM149" s="22"/>
      <c r="LUN149" s="22"/>
      <c r="LUO149" s="22"/>
      <c r="LUP149" s="22"/>
      <c r="LUQ149" s="22"/>
      <c r="LUR149" s="22"/>
      <c r="LUS149" s="22"/>
      <c r="LUT149" s="22"/>
      <c r="LUU149" s="22"/>
      <c r="LUV149" s="22"/>
      <c r="LUW149" s="22"/>
      <c r="LUX149" s="22"/>
      <c r="LUY149" s="22"/>
      <c r="LUZ149" s="22"/>
      <c r="LVA149" s="22"/>
      <c r="LVB149" s="22"/>
      <c r="LVC149" s="22"/>
      <c r="LVD149" s="22"/>
      <c r="LVE149" s="22"/>
      <c r="LVF149" s="22"/>
      <c r="LVG149" s="22"/>
      <c r="LVH149" s="22"/>
      <c r="LVI149" s="22"/>
      <c r="LVJ149" s="22"/>
      <c r="LVK149" s="22"/>
      <c r="LVL149" s="22"/>
      <c r="LVM149" s="22"/>
      <c r="LVN149" s="22"/>
      <c r="LVO149" s="22"/>
      <c r="LVP149" s="22"/>
      <c r="LVQ149" s="22"/>
      <c r="LVR149" s="22"/>
      <c r="LVS149" s="22"/>
      <c r="LVT149" s="22"/>
      <c r="LVU149" s="22"/>
      <c r="LVV149" s="22"/>
      <c r="LVW149" s="22"/>
      <c r="LVX149" s="22"/>
      <c r="LVY149" s="22"/>
      <c r="LVZ149" s="22"/>
      <c r="LWA149" s="22"/>
      <c r="LWB149" s="22"/>
      <c r="LWC149" s="22"/>
      <c r="LWD149" s="22"/>
      <c r="LWE149" s="22"/>
      <c r="LWF149" s="22"/>
      <c r="LWG149" s="22"/>
      <c r="LWH149" s="22"/>
      <c r="LWI149" s="22"/>
      <c r="LWJ149" s="22"/>
      <c r="LWK149" s="22"/>
      <c r="LWL149" s="22"/>
      <c r="LWM149" s="22"/>
      <c r="LWN149" s="22"/>
      <c r="LWO149" s="22"/>
      <c r="LWP149" s="22"/>
      <c r="LWQ149" s="22"/>
      <c r="LWR149" s="22"/>
      <c r="LWS149" s="22"/>
      <c r="LWT149" s="22"/>
      <c r="LWU149" s="22"/>
      <c r="LWV149" s="22"/>
      <c r="LWW149" s="22"/>
      <c r="LWX149" s="22"/>
      <c r="LWY149" s="22"/>
      <c r="LWZ149" s="22"/>
      <c r="LXA149" s="22"/>
      <c r="LXB149" s="22"/>
      <c r="LXC149" s="22"/>
      <c r="LXD149" s="22"/>
      <c r="LXE149" s="22"/>
      <c r="LXF149" s="22"/>
      <c r="LXG149" s="22"/>
      <c r="LXH149" s="22"/>
      <c r="LXI149" s="22"/>
      <c r="LXJ149" s="22"/>
      <c r="LXK149" s="22"/>
      <c r="LXL149" s="22"/>
      <c r="LXM149" s="22"/>
      <c r="LXN149" s="22"/>
      <c r="LXO149" s="22"/>
      <c r="LXP149" s="22"/>
      <c r="LXQ149" s="22"/>
      <c r="LXR149" s="22"/>
      <c r="LXS149" s="22"/>
      <c r="LXT149" s="22"/>
      <c r="LXU149" s="22"/>
      <c r="LXV149" s="22"/>
      <c r="LXW149" s="22"/>
      <c r="LXX149" s="22"/>
      <c r="LXY149" s="22"/>
      <c r="LXZ149" s="22"/>
      <c r="LYA149" s="22"/>
      <c r="LYB149" s="22"/>
      <c r="LYC149" s="22"/>
      <c r="LYD149" s="22"/>
      <c r="LYE149" s="22"/>
      <c r="LYF149" s="22"/>
      <c r="LYG149" s="22"/>
      <c r="LYH149" s="22"/>
      <c r="LYI149" s="22"/>
      <c r="LYJ149" s="22"/>
      <c r="LYK149" s="22"/>
      <c r="LYL149" s="22"/>
      <c r="LYM149" s="22"/>
      <c r="LYN149" s="22"/>
      <c r="LYO149" s="22"/>
      <c r="LYP149" s="22"/>
      <c r="LYQ149" s="22"/>
      <c r="LYR149" s="22"/>
      <c r="LYS149" s="22"/>
      <c r="LYT149" s="22"/>
      <c r="LYU149" s="22"/>
      <c r="LYV149" s="22"/>
      <c r="LYW149" s="22"/>
      <c r="LYX149" s="22"/>
      <c r="LYY149" s="22"/>
      <c r="LYZ149" s="22"/>
      <c r="LZA149" s="22"/>
      <c r="LZB149" s="22"/>
      <c r="LZC149" s="22"/>
      <c r="LZD149" s="22"/>
      <c r="LZE149" s="22"/>
      <c r="LZF149" s="22"/>
      <c r="LZG149" s="22"/>
      <c r="LZH149" s="22"/>
      <c r="LZI149" s="22"/>
      <c r="LZJ149" s="22"/>
      <c r="LZK149" s="22"/>
      <c r="LZL149" s="22"/>
      <c r="LZM149" s="22"/>
      <c r="LZN149" s="22"/>
      <c r="LZO149" s="22"/>
      <c r="LZP149" s="22"/>
      <c r="LZQ149" s="22"/>
      <c r="LZR149" s="22"/>
      <c r="LZS149" s="22"/>
      <c r="LZT149" s="22"/>
      <c r="LZU149" s="22"/>
      <c r="LZV149" s="22"/>
      <c r="LZW149" s="22"/>
      <c r="LZX149" s="22"/>
      <c r="LZY149" s="22"/>
      <c r="LZZ149" s="22"/>
      <c r="MAA149" s="22"/>
      <c r="MAB149" s="22"/>
      <c r="MAC149" s="22"/>
      <c r="MAD149" s="22"/>
      <c r="MAE149" s="22"/>
      <c r="MAF149" s="22"/>
      <c r="MAG149" s="22"/>
      <c r="MAH149" s="22"/>
      <c r="MAI149" s="22"/>
      <c r="MAJ149" s="22"/>
      <c r="MAK149" s="22"/>
      <c r="MAL149" s="22"/>
      <c r="MAM149" s="22"/>
      <c r="MAN149" s="22"/>
      <c r="MAO149" s="22"/>
      <c r="MAP149" s="22"/>
      <c r="MAQ149" s="22"/>
      <c r="MAR149" s="22"/>
      <c r="MAS149" s="22"/>
      <c r="MAT149" s="22"/>
      <c r="MAU149" s="22"/>
      <c r="MAV149" s="22"/>
      <c r="MAW149" s="22"/>
      <c r="MAX149" s="22"/>
      <c r="MAY149" s="22"/>
      <c r="MAZ149" s="22"/>
      <c r="MBA149" s="22"/>
      <c r="MBB149" s="22"/>
      <c r="MBC149" s="22"/>
      <c r="MBD149" s="22"/>
      <c r="MBE149" s="22"/>
      <c r="MBF149" s="22"/>
      <c r="MBG149" s="22"/>
      <c r="MBH149" s="22"/>
      <c r="MBI149" s="22"/>
      <c r="MBJ149" s="22"/>
      <c r="MBK149" s="22"/>
      <c r="MBL149" s="22"/>
      <c r="MBM149" s="22"/>
      <c r="MBN149" s="22"/>
      <c r="MBO149" s="22"/>
      <c r="MBP149" s="22"/>
      <c r="MBQ149" s="22"/>
      <c r="MBR149" s="22"/>
      <c r="MBS149" s="22"/>
      <c r="MBT149" s="22"/>
      <c r="MBU149" s="22"/>
      <c r="MBV149" s="22"/>
      <c r="MBW149" s="22"/>
      <c r="MBX149" s="22"/>
      <c r="MBY149" s="22"/>
      <c r="MBZ149" s="22"/>
      <c r="MCA149" s="22"/>
      <c r="MCB149" s="22"/>
      <c r="MCC149" s="22"/>
      <c r="MCD149" s="22"/>
      <c r="MCE149" s="22"/>
      <c r="MCF149" s="22"/>
      <c r="MCG149" s="22"/>
      <c r="MCH149" s="22"/>
      <c r="MCI149" s="22"/>
      <c r="MCJ149" s="22"/>
      <c r="MCK149" s="22"/>
      <c r="MCL149" s="22"/>
      <c r="MCM149" s="22"/>
      <c r="MCN149" s="22"/>
      <c r="MCO149" s="22"/>
      <c r="MCP149" s="22"/>
      <c r="MCQ149" s="22"/>
      <c r="MCR149" s="22"/>
      <c r="MCS149" s="22"/>
      <c r="MCT149" s="22"/>
      <c r="MCU149" s="22"/>
      <c r="MCV149" s="22"/>
      <c r="MCW149" s="22"/>
      <c r="MCX149" s="22"/>
      <c r="MCY149" s="22"/>
      <c r="MCZ149" s="22"/>
      <c r="MDA149" s="22"/>
      <c r="MDB149" s="22"/>
      <c r="MDC149" s="22"/>
      <c r="MDD149" s="22"/>
      <c r="MDE149" s="22"/>
      <c r="MDF149" s="22"/>
      <c r="MDG149" s="22"/>
      <c r="MDH149" s="22"/>
      <c r="MDI149" s="22"/>
      <c r="MDJ149" s="22"/>
      <c r="MDK149" s="22"/>
      <c r="MDL149" s="22"/>
      <c r="MDM149" s="22"/>
      <c r="MDN149" s="22"/>
      <c r="MDO149" s="22"/>
      <c r="MDP149" s="22"/>
      <c r="MDQ149" s="22"/>
      <c r="MDR149" s="22"/>
      <c r="MDS149" s="22"/>
      <c r="MDT149" s="22"/>
      <c r="MDU149" s="22"/>
      <c r="MDV149" s="22"/>
      <c r="MDW149" s="22"/>
      <c r="MDX149" s="22"/>
      <c r="MDY149" s="22"/>
      <c r="MDZ149" s="22"/>
      <c r="MEA149" s="22"/>
      <c r="MEB149" s="22"/>
      <c r="MEC149" s="22"/>
      <c r="MED149" s="22"/>
      <c r="MEE149" s="22"/>
      <c r="MEF149" s="22"/>
      <c r="MEG149" s="22"/>
      <c r="MEH149" s="22"/>
      <c r="MEI149" s="22"/>
      <c r="MEJ149" s="22"/>
      <c r="MEK149" s="22"/>
      <c r="MEL149" s="22"/>
      <c r="MEM149" s="22"/>
      <c r="MEN149" s="22"/>
      <c r="MEO149" s="22"/>
      <c r="MEP149" s="22"/>
      <c r="MEQ149" s="22"/>
      <c r="MER149" s="22"/>
      <c r="MES149" s="22"/>
      <c r="MET149" s="22"/>
      <c r="MEU149" s="22"/>
      <c r="MEV149" s="22"/>
      <c r="MEW149" s="22"/>
      <c r="MEX149" s="22"/>
      <c r="MEY149" s="22"/>
      <c r="MEZ149" s="22"/>
      <c r="MFA149" s="22"/>
      <c r="MFB149" s="22"/>
      <c r="MFC149" s="22"/>
      <c r="MFD149" s="22"/>
      <c r="MFE149" s="22"/>
      <c r="MFF149" s="22"/>
      <c r="MFG149" s="22"/>
      <c r="MFH149" s="22"/>
      <c r="MFI149" s="22"/>
      <c r="MFJ149" s="22"/>
      <c r="MFK149" s="22"/>
      <c r="MFL149" s="22"/>
      <c r="MFM149" s="22"/>
      <c r="MFN149" s="22"/>
      <c r="MFO149" s="22"/>
      <c r="MFP149" s="22"/>
      <c r="MFQ149" s="22"/>
      <c r="MFR149" s="22"/>
      <c r="MFS149" s="22"/>
      <c r="MFT149" s="22"/>
      <c r="MFU149" s="22"/>
      <c r="MFV149" s="22"/>
      <c r="MFW149" s="22"/>
      <c r="MFX149" s="22"/>
      <c r="MFY149" s="22"/>
      <c r="MFZ149" s="22"/>
      <c r="MGA149" s="22"/>
      <c r="MGB149" s="22"/>
      <c r="MGC149" s="22"/>
      <c r="MGD149" s="22"/>
      <c r="MGE149" s="22"/>
      <c r="MGF149" s="22"/>
      <c r="MGG149" s="22"/>
      <c r="MGH149" s="22"/>
      <c r="MGI149" s="22"/>
      <c r="MGJ149" s="22"/>
      <c r="MGK149" s="22"/>
      <c r="MGL149" s="22"/>
      <c r="MGM149" s="22"/>
      <c r="MGN149" s="22"/>
      <c r="MGO149" s="22"/>
      <c r="MGP149" s="22"/>
      <c r="MGQ149" s="22"/>
      <c r="MGR149" s="22"/>
      <c r="MGS149" s="22"/>
      <c r="MGT149" s="22"/>
      <c r="MGU149" s="22"/>
      <c r="MGV149" s="22"/>
      <c r="MGW149" s="22"/>
      <c r="MGX149" s="22"/>
      <c r="MGY149" s="22"/>
      <c r="MGZ149" s="22"/>
      <c r="MHA149" s="22"/>
      <c r="MHB149" s="22"/>
      <c r="MHC149" s="22"/>
      <c r="MHD149" s="22"/>
      <c r="MHE149" s="22"/>
      <c r="MHF149" s="22"/>
      <c r="MHG149" s="22"/>
      <c r="MHH149" s="22"/>
      <c r="MHI149" s="22"/>
      <c r="MHJ149" s="22"/>
      <c r="MHK149" s="22"/>
      <c r="MHL149" s="22"/>
      <c r="MHM149" s="22"/>
      <c r="MHN149" s="22"/>
      <c r="MHO149" s="22"/>
      <c r="MHP149" s="22"/>
      <c r="MHQ149" s="22"/>
      <c r="MHR149" s="22"/>
      <c r="MHS149" s="22"/>
      <c r="MHT149" s="22"/>
      <c r="MHU149" s="22"/>
      <c r="MHV149" s="22"/>
      <c r="MHW149" s="22"/>
      <c r="MHX149" s="22"/>
      <c r="MHY149" s="22"/>
      <c r="MHZ149" s="22"/>
      <c r="MIA149" s="22"/>
      <c r="MIB149" s="22"/>
      <c r="MIC149" s="22"/>
      <c r="MID149" s="22"/>
      <c r="MIE149" s="22"/>
      <c r="MIF149" s="22"/>
      <c r="MIG149" s="22"/>
      <c r="MIH149" s="22"/>
      <c r="MII149" s="22"/>
      <c r="MIJ149" s="22"/>
      <c r="MIK149" s="22"/>
      <c r="MIL149" s="22"/>
      <c r="MIM149" s="22"/>
      <c r="MIN149" s="22"/>
      <c r="MIO149" s="22"/>
      <c r="MIP149" s="22"/>
      <c r="MIQ149" s="22"/>
      <c r="MIR149" s="22"/>
      <c r="MIS149" s="22"/>
      <c r="MIT149" s="22"/>
      <c r="MIU149" s="22"/>
      <c r="MIV149" s="22"/>
      <c r="MIW149" s="22"/>
      <c r="MIX149" s="22"/>
      <c r="MIY149" s="22"/>
      <c r="MIZ149" s="22"/>
      <c r="MJA149" s="22"/>
      <c r="MJB149" s="22"/>
      <c r="MJC149" s="22"/>
      <c r="MJD149" s="22"/>
      <c r="MJE149" s="22"/>
      <c r="MJF149" s="22"/>
      <c r="MJG149" s="22"/>
      <c r="MJH149" s="22"/>
      <c r="MJI149" s="22"/>
      <c r="MJJ149" s="22"/>
      <c r="MJK149" s="22"/>
      <c r="MJL149" s="22"/>
      <c r="MJM149" s="22"/>
      <c r="MJN149" s="22"/>
      <c r="MJO149" s="22"/>
      <c r="MJP149" s="22"/>
      <c r="MJQ149" s="22"/>
      <c r="MJR149" s="22"/>
      <c r="MJS149" s="22"/>
      <c r="MJT149" s="22"/>
      <c r="MJU149" s="22"/>
      <c r="MJV149" s="22"/>
      <c r="MJW149" s="22"/>
      <c r="MJX149" s="22"/>
      <c r="MJY149" s="22"/>
      <c r="MJZ149" s="22"/>
      <c r="MKA149" s="22"/>
      <c r="MKB149" s="22"/>
      <c r="MKC149" s="22"/>
      <c r="MKD149" s="22"/>
      <c r="MKE149" s="22"/>
      <c r="MKF149" s="22"/>
      <c r="MKG149" s="22"/>
      <c r="MKH149" s="22"/>
      <c r="MKI149" s="22"/>
      <c r="MKJ149" s="22"/>
      <c r="MKK149" s="22"/>
      <c r="MKL149" s="22"/>
      <c r="MKM149" s="22"/>
      <c r="MKN149" s="22"/>
      <c r="MKO149" s="22"/>
      <c r="MKP149" s="22"/>
      <c r="MKQ149" s="22"/>
      <c r="MKR149" s="22"/>
      <c r="MKS149" s="22"/>
      <c r="MKT149" s="22"/>
      <c r="MKU149" s="22"/>
      <c r="MKV149" s="22"/>
      <c r="MKW149" s="22"/>
      <c r="MKX149" s="22"/>
      <c r="MKY149" s="22"/>
      <c r="MKZ149" s="22"/>
      <c r="MLA149" s="22"/>
      <c r="MLB149" s="22"/>
      <c r="MLC149" s="22"/>
      <c r="MLD149" s="22"/>
      <c r="MLE149" s="22"/>
      <c r="MLF149" s="22"/>
      <c r="MLG149" s="22"/>
      <c r="MLH149" s="22"/>
      <c r="MLI149" s="22"/>
      <c r="MLJ149" s="22"/>
      <c r="MLK149" s="22"/>
      <c r="MLL149" s="22"/>
      <c r="MLM149" s="22"/>
      <c r="MLN149" s="22"/>
      <c r="MLO149" s="22"/>
      <c r="MLP149" s="22"/>
      <c r="MLQ149" s="22"/>
      <c r="MLR149" s="22"/>
      <c r="MLS149" s="22"/>
      <c r="MLT149" s="22"/>
      <c r="MLU149" s="22"/>
      <c r="MLV149" s="22"/>
      <c r="MLW149" s="22"/>
      <c r="MLX149" s="22"/>
      <c r="MLY149" s="22"/>
      <c r="MLZ149" s="22"/>
      <c r="MMA149" s="22"/>
      <c r="MMB149" s="22"/>
      <c r="MMC149" s="22"/>
      <c r="MMD149" s="22"/>
      <c r="MME149" s="22"/>
      <c r="MMF149" s="22"/>
      <c r="MMG149" s="22"/>
      <c r="MMH149" s="22"/>
      <c r="MMI149" s="22"/>
      <c r="MMJ149" s="22"/>
      <c r="MMK149" s="22"/>
      <c r="MML149" s="22"/>
      <c r="MMM149" s="22"/>
      <c r="MMN149" s="22"/>
      <c r="MMO149" s="22"/>
      <c r="MMP149" s="22"/>
      <c r="MMQ149" s="22"/>
      <c r="MMR149" s="22"/>
      <c r="MMS149" s="22"/>
      <c r="MMT149" s="22"/>
      <c r="MMU149" s="22"/>
      <c r="MMV149" s="22"/>
      <c r="MMW149" s="22"/>
      <c r="MMX149" s="22"/>
      <c r="MMY149" s="22"/>
      <c r="MMZ149" s="22"/>
      <c r="MNA149" s="22"/>
      <c r="MNB149" s="22"/>
      <c r="MNC149" s="22"/>
      <c r="MND149" s="22"/>
      <c r="MNE149" s="22"/>
      <c r="MNF149" s="22"/>
      <c r="MNG149" s="22"/>
      <c r="MNH149" s="22"/>
      <c r="MNI149" s="22"/>
      <c r="MNJ149" s="22"/>
      <c r="MNK149" s="22"/>
      <c r="MNL149" s="22"/>
      <c r="MNM149" s="22"/>
      <c r="MNN149" s="22"/>
      <c r="MNO149" s="22"/>
      <c r="MNP149" s="22"/>
      <c r="MNQ149" s="22"/>
      <c r="MNR149" s="22"/>
      <c r="MNS149" s="22"/>
      <c r="MNT149" s="22"/>
      <c r="MNU149" s="22"/>
      <c r="MNV149" s="22"/>
      <c r="MNW149" s="22"/>
      <c r="MNX149" s="22"/>
      <c r="MNY149" s="22"/>
      <c r="MNZ149" s="22"/>
      <c r="MOA149" s="22"/>
      <c r="MOB149" s="22"/>
      <c r="MOC149" s="22"/>
      <c r="MOD149" s="22"/>
      <c r="MOE149" s="22"/>
      <c r="MOF149" s="22"/>
      <c r="MOG149" s="22"/>
      <c r="MOH149" s="22"/>
      <c r="MOI149" s="22"/>
      <c r="MOJ149" s="22"/>
      <c r="MOK149" s="22"/>
      <c r="MOL149" s="22"/>
      <c r="MOM149" s="22"/>
      <c r="MON149" s="22"/>
      <c r="MOO149" s="22"/>
      <c r="MOP149" s="22"/>
      <c r="MOQ149" s="22"/>
      <c r="MOR149" s="22"/>
      <c r="MOS149" s="22"/>
      <c r="MOT149" s="22"/>
      <c r="MOU149" s="22"/>
      <c r="MOV149" s="22"/>
      <c r="MOW149" s="22"/>
      <c r="MOX149" s="22"/>
      <c r="MOY149" s="22"/>
      <c r="MOZ149" s="22"/>
      <c r="MPA149" s="22"/>
      <c r="MPB149" s="22"/>
      <c r="MPC149" s="22"/>
      <c r="MPD149" s="22"/>
      <c r="MPE149" s="22"/>
      <c r="MPF149" s="22"/>
      <c r="MPG149" s="22"/>
      <c r="MPH149" s="22"/>
      <c r="MPI149" s="22"/>
      <c r="MPJ149" s="22"/>
      <c r="MPK149" s="22"/>
      <c r="MPL149" s="22"/>
      <c r="MPM149" s="22"/>
      <c r="MPN149" s="22"/>
      <c r="MPO149" s="22"/>
      <c r="MPP149" s="22"/>
      <c r="MPQ149" s="22"/>
      <c r="MPR149" s="22"/>
      <c r="MPS149" s="22"/>
      <c r="MPT149" s="22"/>
      <c r="MPU149" s="22"/>
      <c r="MPV149" s="22"/>
      <c r="MPW149" s="22"/>
      <c r="MPX149" s="22"/>
      <c r="MPY149" s="22"/>
      <c r="MPZ149" s="22"/>
      <c r="MQA149" s="22"/>
      <c r="MQB149" s="22"/>
      <c r="MQC149" s="22"/>
      <c r="MQD149" s="22"/>
      <c r="MQE149" s="22"/>
      <c r="MQF149" s="22"/>
      <c r="MQG149" s="22"/>
      <c r="MQH149" s="22"/>
      <c r="MQI149" s="22"/>
      <c r="MQJ149" s="22"/>
      <c r="MQK149" s="22"/>
      <c r="MQL149" s="22"/>
      <c r="MQM149" s="22"/>
      <c r="MQN149" s="22"/>
      <c r="MQO149" s="22"/>
      <c r="MQP149" s="22"/>
      <c r="MQQ149" s="22"/>
      <c r="MQR149" s="22"/>
      <c r="MQS149" s="22"/>
      <c r="MQT149" s="22"/>
      <c r="MQU149" s="22"/>
      <c r="MQV149" s="22"/>
      <c r="MQW149" s="22"/>
      <c r="MQX149" s="22"/>
      <c r="MQY149" s="22"/>
      <c r="MQZ149" s="22"/>
      <c r="MRA149" s="22"/>
      <c r="MRB149" s="22"/>
      <c r="MRC149" s="22"/>
      <c r="MRD149" s="22"/>
      <c r="MRE149" s="22"/>
      <c r="MRF149" s="22"/>
      <c r="MRG149" s="22"/>
      <c r="MRH149" s="22"/>
      <c r="MRI149" s="22"/>
      <c r="MRJ149" s="22"/>
      <c r="MRK149" s="22"/>
      <c r="MRL149" s="22"/>
      <c r="MRM149" s="22"/>
      <c r="MRN149" s="22"/>
      <c r="MRO149" s="22"/>
      <c r="MRP149" s="22"/>
      <c r="MRQ149" s="22"/>
      <c r="MRR149" s="22"/>
      <c r="MRS149" s="22"/>
      <c r="MRT149" s="22"/>
      <c r="MRU149" s="22"/>
      <c r="MRV149" s="22"/>
      <c r="MRW149" s="22"/>
      <c r="MRX149" s="22"/>
      <c r="MRY149" s="22"/>
      <c r="MRZ149" s="22"/>
      <c r="MSA149" s="22"/>
      <c r="MSB149" s="22"/>
      <c r="MSC149" s="22"/>
      <c r="MSD149" s="22"/>
      <c r="MSE149" s="22"/>
      <c r="MSF149" s="22"/>
      <c r="MSG149" s="22"/>
      <c r="MSH149" s="22"/>
      <c r="MSI149" s="22"/>
      <c r="MSJ149" s="22"/>
      <c r="MSK149" s="22"/>
      <c r="MSL149" s="22"/>
      <c r="MSM149" s="22"/>
      <c r="MSN149" s="22"/>
      <c r="MSO149" s="22"/>
      <c r="MSP149" s="22"/>
      <c r="MSQ149" s="22"/>
      <c r="MSR149" s="22"/>
      <c r="MSS149" s="22"/>
      <c r="MST149" s="22"/>
      <c r="MSU149" s="22"/>
      <c r="MSV149" s="22"/>
      <c r="MSW149" s="22"/>
      <c r="MSX149" s="22"/>
      <c r="MSY149" s="22"/>
      <c r="MSZ149" s="22"/>
      <c r="MTA149" s="22"/>
      <c r="MTB149" s="22"/>
      <c r="MTC149" s="22"/>
      <c r="MTD149" s="22"/>
      <c r="MTE149" s="22"/>
      <c r="MTF149" s="22"/>
      <c r="MTG149" s="22"/>
      <c r="MTH149" s="22"/>
      <c r="MTI149" s="22"/>
      <c r="MTJ149" s="22"/>
      <c r="MTK149" s="22"/>
      <c r="MTL149" s="22"/>
      <c r="MTM149" s="22"/>
      <c r="MTN149" s="22"/>
      <c r="MTO149" s="22"/>
      <c r="MTP149" s="22"/>
      <c r="MTQ149" s="22"/>
      <c r="MTR149" s="22"/>
      <c r="MTS149" s="22"/>
      <c r="MTT149" s="22"/>
      <c r="MTU149" s="22"/>
      <c r="MTV149" s="22"/>
      <c r="MTW149" s="22"/>
      <c r="MTX149" s="22"/>
      <c r="MTY149" s="22"/>
      <c r="MTZ149" s="22"/>
      <c r="MUA149" s="22"/>
      <c r="MUB149" s="22"/>
      <c r="MUC149" s="22"/>
      <c r="MUD149" s="22"/>
      <c r="MUE149" s="22"/>
      <c r="MUF149" s="22"/>
      <c r="MUG149" s="22"/>
      <c r="MUH149" s="22"/>
      <c r="MUI149" s="22"/>
      <c r="MUJ149" s="22"/>
      <c r="MUK149" s="22"/>
      <c r="MUL149" s="22"/>
      <c r="MUM149" s="22"/>
      <c r="MUN149" s="22"/>
      <c r="MUO149" s="22"/>
      <c r="MUP149" s="22"/>
      <c r="MUQ149" s="22"/>
      <c r="MUR149" s="22"/>
      <c r="MUS149" s="22"/>
      <c r="MUT149" s="22"/>
      <c r="MUU149" s="22"/>
      <c r="MUV149" s="22"/>
      <c r="MUW149" s="22"/>
      <c r="MUX149" s="22"/>
      <c r="MUY149" s="22"/>
      <c r="MUZ149" s="22"/>
      <c r="MVA149" s="22"/>
      <c r="MVB149" s="22"/>
      <c r="MVC149" s="22"/>
      <c r="MVD149" s="22"/>
      <c r="MVE149" s="22"/>
      <c r="MVF149" s="22"/>
      <c r="MVG149" s="22"/>
      <c r="MVH149" s="22"/>
      <c r="MVI149" s="22"/>
      <c r="MVJ149" s="22"/>
      <c r="MVK149" s="22"/>
      <c r="MVL149" s="22"/>
      <c r="MVM149" s="22"/>
      <c r="MVN149" s="22"/>
      <c r="MVO149" s="22"/>
      <c r="MVP149" s="22"/>
      <c r="MVQ149" s="22"/>
      <c r="MVR149" s="22"/>
      <c r="MVS149" s="22"/>
      <c r="MVT149" s="22"/>
      <c r="MVU149" s="22"/>
      <c r="MVV149" s="22"/>
      <c r="MVW149" s="22"/>
      <c r="MVX149" s="22"/>
      <c r="MVY149" s="22"/>
      <c r="MVZ149" s="22"/>
      <c r="MWA149" s="22"/>
      <c r="MWB149" s="22"/>
      <c r="MWC149" s="22"/>
      <c r="MWD149" s="22"/>
      <c r="MWE149" s="22"/>
      <c r="MWF149" s="22"/>
      <c r="MWG149" s="22"/>
      <c r="MWH149" s="22"/>
      <c r="MWI149" s="22"/>
      <c r="MWJ149" s="22"/>
      <c r="MWK149" s="22"/>
      <c r="MWL149" s="22"/>
      <c r="MWM149" s="22"/>
      <c r="MWN149" s="22"/>
      <c r="MWO149" s="22"/>
      <c r="MWP149" s="22"/>
      <c r="MWQ149" s="22"/>
      <c r="MWR149" s="22"/>
      <c r="MWS149" s="22"/>
      <c r="MWT149" s="22"/>
      <c r="MWU149" s="22"/>
      <c r="MWV149" s="22"/>
      <c r="MWW149" s="22"/>
      <c r="MWX149" s="22"/>
      <c r="MWY149" s="22"/>
      <c r="MWZ149" s="22"/>
      <c r="MXA149" s="22"/>
      <c r="MXB149" s="22"/>
      <c r="MXC149" s="22"/>
      <c r="MXD149" s="22"/>
      <c r="MXE149" s="22"/>
      <c r="MXF149" s="22"/>
      <c r="MXG149" s="22"/>
      <c r="MXH149" s="22"/>
      <c r="MXI149" s="22"/>
      <c r="MXJ149" s="22"/>
      <c r="MXK149" s="22"/>
      <c r="MXL149" s="22"/>
      <c r="MXM149" s="22"/>
      <c r="MXN149" s="22"/>
      <c r="MXO149" s="22"/>
      <c r="MXP149" s="22"/>
      <c r="MXQ149" s="22"/>
      <c r="MXR149" s="22"/>
      <c r="MXS149" s="22"/>
      <c r="MXT149" s="22"/>
      <c r="MXU149" s="22"/>
      <c r="MXV149" s="22"/>
      <c r="MXW149" s="22"/>
      <c r="MXX149" s="22"/>
      <c r="MXY149" s="22"/>
      <c r="MXZ149" s="22"/>
      <c r="MYA149" s="22"/>
      <c r="MYB149" s="22"/>
      <c r="MYC149" s="22"/>
      <c r="MYD149" s="22"/>
      <c r="MYE149" s="22"/>
      <c r="MYF149" s="22"/>
      <c r="MYG149" s="22"/>
      <c r="MYH149" s="22"/>
      <c r="MYI149" s="22"/>
      <c r="MYJ149" s="22"/>
      <c r="MYK149" s="22"/>
      <c r="MYL149" s="22"/>
      <c r="MYM149" s="22"/>
      <c r="MYN149" s="22"/>
      <c r="MYO149" s="22"/>
      <c r="MYP149" s="22"/>
      <c r="MYQ149" s="22"/>
      <c r="MYR149" s="22"/>
      <c r="MYS149" s="22"/>
      <c r="MYT149" s="22"/>
      <c r="MYU149" s="22"/>
      <c r="MYV149" s="22"/>
      <c r="MYW149" s="22"/>
      <c r="MYX149" s="22"/>
      <c r="MYY149" s="22"/>
      <c r="MYZ149" s="22"/>
      <c r="MZA149" s="22"/>
      <c r="MZB149" s="22"/>
      <c r="MZC149" s="22"/>
      <c r="MZD149" s="22"/>
      <c r="MZE149" s="22"/>
      <c r="MZF149" s="22"/>
      <c r="MZG149" s="22"/>
      <c r="MZH149" s="22"/>
      <c r="MZI149" s="22"/>
      <c r="MZJ149" s="22"/>
      <c r="MZK149" s="22"/>
      <c r="MZL149" s="22"/>
      <c r="MZM149" s="22"/>
      <c r="MZN149" s="22"/>
      <c r="MZO149" s="22"/>
      <c r="MZP149" s="22"/>
      <c r="MZQ149" s="22"/>
      <c r="MZR149" s="22"/>
      <c r="MZS149" s="22"/>
      <c r="MZT149" s="22"/>
      <c r="MZU149" s="22"/>
      <c r="MZV149" s="22"/>
      <c r="MZW149" s="22"/>
      <c r="MZX149" s="22"/>
      <c r="MZY149" s="22"/>
      <c r="MZZ149" s="22"/>
      <c r="NAA149" s="22"/>
      <c r="NAB149" s="22"/>
      <c r="NAC149" s="22"/>
      <c r="NAD149" s="22"/>
      <c r="NAE149" s="22"/>
      <c r="NAF149" s="22"/>
      <c r="NAG149" s="22"/>
      <c r="NAH149" s="22"/>
      <c r="NAI149" s="22"/>
      <c r="NAJ149" s="22"/>
      <c r="NAK149" s="22"/>
      <c r="NAL149" s="22"/>
      <c r="NAM149" s="22"/>
      <c r="NAN149" s="22"/>
      <c r="NAO149" s="22"/>
      <c r="NAP149" s="22"/>
      <c r="NAQ149" s="22"/>
      <c r="NAR149" s="22"/>
      <c r="NAS149" s="22"/>
      <c r="NAT149" s="22"/>
      <c r="NAU149" s="22"/>
      <c r="NAV149" s="22"/>
      <c r="NAW149" s="22"/>
      <c r="NAX149" s="22"/>
      <c r="NAY149" s="22"/>
      <c r="NAZ149" s="22"/>
      <c r="NBA149" s="22"/>
      <c r="NBB149" s="22"/>
      <c r="NBC149" s="22"/>
      <c r="NBD149" s="22"/>
      <c r="NBE149" s="22"/>
      <c r="NBF149" s="22"/>
      <c r="NBG149" s="22"/>
      <c r="NBH149" s="22"/>
      <c r="NBI149" s="22"/>
      <c r="NBJ149" s="22"/>
      <c r="NBK149" s="22"/>
      <c r="NBL149" s="22"/>
      <c r="NBM149" s="22"/>
      <c r="NBN149" s="22"/>
      <c r="NBO149" s="22"/>
      <c r="NBP149" s="22"/>
      <c r="NBQ149" s="22"/>
      <c r="NBR149" s="22"/>
      <c r="NBS149" s="22"/>
      <c r="NBT149" s="22"/>
      <c r="NBU149" s="22"/>
      <c r="NBV149" s="22"/>
      <c r="NBW149" s="22"/>
      <c r="NBX149" s="22"/>
      <c r="NBY149" s="22"/>
      <c r="NBZ149" s="22"/>
      <c r="NCA149" s="22"/>
      <c r="NCB149" s="22"/>
      <c r="NCC149" s="22"/>
      <c r="NCD149" s="22"/>
      <c r="NCE149" s="22"/>
      <c r="NCF149" s="22"/>
      <c r="NCG149" s="22"/>
      <c r="NCH149" s="22"/>
      <c r="NCI149" s="22"/>
      <c r="NCJ149" s="22"/>
      <c r="NCK149" s="22"/>
      <c r="NCL149" s="22"/>
      <c r="NCM149" s="22"/>
      <c r="NCN149" s="22"/>
      <c r="NCO149" s="22"/>
      <c r="NCP149" s="22"/>
      <c r="NCQ149" s="22"/>
      <c r="NCR149" s="22"/>
      <c r="NCS149" s="22"/>
      <c r="NCT149" s="22"/>
      <c r="NCU149" s="22"/>
      <c r="NCV149" s="22"/>
      <c r="NCW149" s="22"/>
      <c r="NCX149" s="22"/>
      <c r="NCY149" s="22"/>
      <c r="NCZ149" s="22"/>
      <c r="NDA149" s="22"/>
      <c r="NDB149" s="22"/>
      <c r="NDC149" s="22"/>
      <c r="NDD149" s="22"/>
      <c r="NDE149" s="22"/>
      <c r="NDF149" s="22"/>
      <c r="NDG149" s="22"/>
      <c r="NDH149" s="22"/>
      <c r="NDI149" s="22"/>
      <c r="NDJ149" s="22"/>
      <c r="NDK149" s="22"/>
      <c r="NDL149" s="22"/>
      <c r="NDM149" s="22"/>
      <c r="NDN149" s="22"/>
      <c r="NDO149" s="22"/>
      <c r="NDP149" s="22"/>
      <c r="NDQ149" s="22"/>
      <c r="NDR149" s="22"/>
      <c r="NDS149" s="22"/>
      <c r="NDT149" s="22"/>
      <c r="NDU149" s="22"/>
      <c r="NDV149" s="22"/>
      <c r="NDW149" s="22"/>
      <c r="NDX149" s="22"/>
      <c r="NDY149" s="22"/>
      <c r="NDZ149" s="22"/>
      <c r="NEA149" s="22"/>
      <c r="NEB149" s="22"/>
      <c r="NEC149" s="22"/>
      <c r="NED149" s="22"/>
      <c r="NEE149" s="22"/>
      <c r="NEF149" s="22"/>
      <c r="NEG149" s="22"/>
      <c r="NEH149" s="22"/>
      <c r="NEI149" s="22"/>
      <c r="NEJ149" s="22"/>
      <c r="NEK149" s="22"/>
      <c r="NEL149" s="22"/>
      <c r="NEM149" s="22"/>
      <c r="NEN149" s="22"/>
      <c r="NEO149" s="22"/>
      <c r="NEP149" s="22"/>
      <c r="NEQ149" s="22"/>
      <c r="NER149" s="22"/>
      <c r="NES149" s="22"/>
      <c r="NET149" s="22"/>
      <c r="NEU149" s="22"/>
      <c r="NEV149" s="22"/>
      <c r="NEW149" s="22"/>
      <c r="NEX149" s="22"/>
      <c r="NEY149" s="22"/>
      <c r="NEZ149" s="22"/>
      <c r="NFA149" s="22"/>
      <c r="NFB149" s="22"/>
      <c r="NFC149" s="22"/>
      <c r="NFD149" s="22"/>
      <c r="NFE149" s="22"/>
      <c r="NFF149" s="22"/>
      <c r="NFG149" s="22"/>
      <c r="NFH149" s="22"/>
      <c r="NFI149" s="22"/>
      <c r="NFJ149" s="22"/>
      <c r="NFK149" s="22"/>
      <c r="NFL149" s="22"/>
      <c r="NFM149" s="22"/>
      <c r="NFN149" s="22"/>
      <c r="NFO149" s="22"/>
      <c r="NFP149" s="22"/>
      <c r="NFQ149" s="22"/>
      <c r="NFR149" s="22"/>
      <c r="NFS149" s="22"/>
      <c r="NFT149" s="22"/>
      <c r="NFU149" s="22"/>
      <c r="NFV149" s="22"/>
      <c r="NFW149" s="22"/>
      <c r="NFX149" s="22"/>
      <c r="NFY149" s="22"/>
      <c r="NFZ149" s="22"/>
      <c r="NGA149" s="22"/>
      <c r="NGB149" s="22"/>
      <c r="NGC149" s="22"/>
      <c r="NGD149" s="22"/>
      <c r="NGE149" s="22"/>
      <c r="NGF149" s="22"/>
      <c r="NGG149" s="22"/>
      <c r="NGH149" s="22"/>
      <c r="NGI149" s="22"/>
      <c r="NGJ149" s="22"/>
      <c r="NGK149" s="22"/>
      <c r="NGL149" s="22"/>
      <c r="NGM149" s="22"/>
      <c r="NGN149" s="22"/>
      <c r="NGO149" s="22"/>
      <c r="NGP149" s="22"/>
      <c r="NGQ149" s="22"/>
      <c r="NGR149" s="22"/>
      <c r="NGS149" s="22"/>
      <c r="NGT149" s="22"/>
      <c r="NGU149" s="22"/>
      <c r="NGV149" s="22"/>
      <c r="NGW149" s="22"/>
      <c r="NGX149" s="22"/>
      <c r="NGY149" s="22"/>
      <c r="NGZ149" s="22"/>
      <c r="NHA149" s="22"/>
      <c r="NHB149" s="22"/>
      <c r="NHC149" s="22"/>
      <c r="NHD149" s="22"/>
      <c r="NHE149" s="22"/>
      <c r="NHF149" s="22"/>
      <c r="NHG149" s="22"/>
      <c r="NHH149" s="22"/>
      <c r="NHI149" s="22"/>
      <c r="NHJ149" s="22"/>
      <c r="NHK149" s="22"/>
      <c r="NHL149" s="22"/>
      <c r="NHM149" s="22"/>
      <c r="NHN149" s="22"/>
      <c r="NHO149" s="22"/>
      <c r="NHP149" s="22"/>
      <c r="NHQ149" s="22"/>
      <c r="NHR149" s="22"/>
      <c r="NHS149" s="22"/>
      <c r="NHT149" s="22"/>
      <c r="NHU149" s="22"/>
      <c r="NHV149" s="22"/>
      <c r="NHW149" s="22"/>
      <c r="NHX149" s="22"/>
      <c r="NHY149" s="22"/>
      <c r="NHZ149" s="22"/>
      <c r="NIA149" s="22"/>
      <c r="NIB149" s="22"/>
      <c r="NIC149" s="22"/>
      <c r="NID149" s="22"/>
      <c r="NIE149" s="22"/>
      <c r="NIF149" s="22"/>
      <c r="NIG149" s="22"/>
      <c r="NIH149" s="22"/>
      <c r="NII149" s="22"/>
      <c r="NIJ149" s="22"/>
      <c r="NIK149" s="22"/>
      <c r="NIL149" s="22"/>
      <c r="NIM149" s="22"/>
      <c r="NIN149" s="22"/>
      <c r="NIO149" s="22"/>
      <c r="NIP149" s="22"/>
      <c r="NIQ149" s="22"/>
      <c r="NIR149" s="22"/>
      <c r="NIS149" s="22"/>
      <c r="NIT149" s="22"/>
      <c r="NIU149" s="22"/>
      <c r="NIV149" s="22"/>
      <c r="NIW149" s="22"/>
      <c r="NIX149" s="22"/>
      <c r="NIY149" s="22"/>
      <c r="NIZ149" s="22"/>
      <c r="NJA149" s="22"/>
      <c r="NJB149" s="22"/>
      <c r="NJC149" s="22"/>
      <c r="NJD149" s="22"/>
      <c r="NJE149" s="22"/>
      <c r="NJF149" s="22"/>
      <c r="NJG149" s="22"/>
      <c r="NJH149" s="22"/>
      <c r="NJI149" s="22"/>
      <c r="NJJ149" s="22"/>
      <c r="NJK149" s="22"/>
      <c r="NJL149" s="22"/>
      <c r="NJM149" s="22"/>
      <c r="NJN149" s="22"/>
      <c r="NJO149" s="22"/>
      <c r="NJP149" s="22"/>
      <c r="NJQ149" s="22"/>
      <c r="NJR149" s="22"/>
      <c r="NJS149" s="22"/>
      <c r="NJT149" s="22"/>
      <c r="NJU149" s="22"/>
      <c r="NJV149" s="22"/>
      <c r="NJW149" s="22"/>
      <c r="NJX149" s="22"/>
      <c r="NJY149" s="22"/>
      <c r="NJZ149" s="22"/>
      <c r="NKA149" s="22"/>
      <c r="NKB149" s="22"/>
      <c r="NKC149" s="22"/>
      <c r="NKD149" s="22"/>
      <c r="NKE149" s="22"/>
      <c r="NKF149" s="22"/>
      <c r="NKG149" s="22"/>
      <c r="NKH149" s="22"/>
      <c r="NKI149" s="22"/>
      <c r="NKJ149" s="22"/>
      <c r="NKK149" s="22"/>
      <c r="NKL149" s="22"/>
      <c r="NKM149" s="22"/>
      <c r="NKN149" s="22"/>
      <c r="NKO149" s="22"/>
      <c r="NKP149" s="22"/>
      <c r="NKQ149" s="22"/>
      <c r="NKR149" s="22"/>
      <c r="NKS149" s="22"/>
      <c r="NKT149" s="22"/>
      <c r="NKU149" s="22"/>
      <c r="NKV149" s="22"/>
      <c r="NKW149" s="22"/>
      <c r="NKX149" s="22"/>
      <c r="NKY149" s="22"/>
      <c r="NKZ149" s="22"/>
      <c r="NLA149" s="22"/>
      <c r="NLB149" s="22"/>
      <c r="NLC149" s="22"/>
      <c r="NLD149" s="22"/>
      <c r="NLE149" s="22"/>
      <c r="NLF149" s="22"/>
      <c r="NLG149" s="22"/>
      <c r="NLH149" s="22"/>
      <c r="NLI149" s="22"/>
      <c r="NLJ149" s="22"/>
      <c r="NLK149" s="22"/>
      <c r="NLL149" s="22"/>
      <c r="NLM149" s="22"/>
      <c r="NLN149" s="22"/>
      <c r="NLO149" s="22"/>
      <c r="NLP149" s="22"/>
      <c r="NLQ149" s="22"/>
      <c r="NLR149" s="22"/>
      <c r="NLS149" s="22"/>
      <c r="NLT149" s="22"/>
      <c r="NLU149" s="22"/>
      <c r="NLV149" s="22"/>
      <c r="NLW149" s="22"/>
      <c r="NLX149" s="22"/>
      <c r="NLY149" s="22"/>
      <c r="NLZ149" s="22"/>
      <c r="NMA149" s="22"/>
      <c r="NMB149" s="22"/>
      <c r="NMC149" s="22"/>
      <c r="NMD149" s="22"/>
      <c r="NME149" s="22"/>
      <c r="NMF149" s="22"/>
      <c r="NMG149" s="22"/>
      <c r="NMH149" s="22"/>
      <c r="NMI149" s="22"/>
      <c r="NMJ149" s="22"/>
      <c r="NMK149" s="22"/>
      <c r="NML149" s="22"/>
      <c r="NMM149" s="22"/>
      <c r="NMN149" s="22"/>
      <c r="NMO149" s="22"/>
      <c r="NMP149" s="22"/>
      <c r="NMQ149" s="22"/>
      <c r="NMR149" s="22"/>
      <c r="NMS149" s="22"/>
      <c r="NMT149" s="22"/>
      <c r="NMU149" s="22"/>
      <c r="NMV149" s="22"/>
      <c r="NMW149" s="22"/>
      <c r="NMX149" s="22"/>
      <c r="NMY149" s="22"/>
      <c r="NMZ149" s="22"/>
      <c r="NNA149" s="22"/>
      <c r="NNB149" s="22"/>
      <c r="NNC149" s="22"/>
      <c r="NND149" s="22"/>
      <c r="NNE149" s="22"/>
      <c r="NNF149" s="22"/>
      <c r="NNG149" s="22"/>
      <c r="NNH149" s="22"/>
      <c r="NNI149" s="22"/>
      <c r="NNJ149" s="22"/>
      <c r="NNK149" s="22"/>
      <c r="NNL149" s="22"/>
      <c r="NNM149" s="22"/>
      <c r="NNN149" s="22"/>
      <c r="NNO149" s="22"/>
      <c r="NNP149" s="22"/>
      <c r="NNQ149" s="22"/>
      <c r="NNR149" s="22"/>
      <c r="NNS149" s="22"/>
      <c r="NNT149" s="22"/>
      <c r="NNU149" s="22"/>
      <c r="NNV149" s="22"/>
      <c r="NNW149" s="22"/>
      <c r="NNX149" s="22"/>
      <c r="NNY149" s="22"/>
      <c r="NNZ149" s="22"/>
      <c r="NOA149" s="22"/>
      <c r="NOB149" s="22"/>
      <c r="NOC149" s="22"/>
      <c r="NOD149" s="22"/>
      <c r="NOE149" s="22"/>
      <c r="NOF149" s="22"/>
      <c r="NOG149" s="22"/>
      <c r="NOH149" s="22"/>
      <c r="NOI149" s="22"/>
      <c r="NOJ149" s="22"/>
      <c r="NOK149" s="22"/>
      <c r="NOL149" s="22"/>
      <c r="NOM149" s="22"/>
      <c r="NON149" s="22"/>
      <c r="NOO149" s="22"/>
      <c r="NOP149" s="22"/>
      <c r="NOQ149" s="22"/>
      <c r="NOR149" s="22"/>
      <c r="NOS149" s="22"/>
      <c r="NOT149" s="22"/>
      <c r="NOU149" s="22"/>
      <c r="NOV149" s="22"/>
      <c r="NOW149" s="22"/>
      <c r="NOX149" s="22"/>
      <c r="NOY149" s="22"/>
      <c r="NOZ149" s="22"/>
      <c r="NPA149" s="22"/>
      <c r="NPB149" s="22"/>
      <c r="NPC149" s="22"/>
      <c r="NPD149" s="22"/>
      <c r="NPE149" s="22"/>
      <c r="NPF149" s="22"/>
      <c r="NPG149" s="22"/>
      <c r="NPH149" s="22"/>
      <c r="NPI149" s="22"/>
      <c r="NPJ149" s="22"/>
      <c r="NPK149" s="22"/>
      <c r="NPL149" s="22"/>
      <c r="NPM149" s="22"/>
      <c r="NPN149" s="22"/>
      <c r="NPO149" s="22"/>
      <c r="NPP149" s="22"/>
      <c r="NPQ149" s="22"/>
      <c r="NPR149" s="22"/>
      <c r="NPS149" s="22"/>
      <c r="NPT149" s="22"/>
      <c r="NPU149" s="22"/>
      <c r="NPV149" s="22"/>
      <c r="NPW149" s="22"/>
      <c r="NPX149" s="22"/>
      <c r="NPY149" s="22"/>
      <c r="NPZ149" s="22"/>
      <c r="NQA149" s="22"/>
      <c r="NQB149" s="22"/>
      <c r="NQC149" s="22"/>
      <c r="NQD149" s="22"/>
      <c r="NQE149" s="22"/>
      <c r="NQF149" s="22"/>
      <c r="NQG149" s="22"/>
      <c r="NQH149" s="22"/>
      <c r="NQI149" s="22"/>
      <c r="NQJ149" s="22"/>
      <c r="NQK149" s="22"/>
      <c r="NQL149" s="22"/>
      <c r="NQM149" s="22"/>
      <c r="NQN149" s="22"/>
      <c r="NQO149" s="22"/>
      <c r="NQP149" s="22"/>
      <c r="NQQ149" s="22"/>
      <c r="NQR149" s="22"/>
      <c r="NQS149" s="22"/>
      <c r="NQT149" s="22"/>
      <c r="NQU149" s="22"/>
      <c r="NQV149" s="22"/>
      <c r="NQW149" s="22"/>
      <c r="NQX149" s="22"/>
      <c r="NQY149" s="22"/>
      <c r="NQZ149" s="22"/>
      <c r="NRA149" s="22"/>
      <c r="NRB149" s="22"/>
      <c r="NRC149" s="22"/>
      <c r="NRD149" s="22"/>
      <c r="NRE149" s="22"/>
      <c r="NRF149" s="22"/>
      <c r="NRG149" s="22"/>
      <c r="NRH149" s="22"/>
      <c r="NRI149" s="22"/>
      <c r="NRJ149" s="22"/>
      <c r="NRK149" s="22"/>
      <c r="NRL149" s="22"/>
      <c r="NRM149" s="22"/>
      <c r="NRN149" s="22"/>
      <c r="NRO149" s="22"/>
      <c r="NRP149" s="22"/>
      <c r="NRQ149" s="22"/>
      <c r="NRR149" s="22"/>
      <c r="NRS149" s="22"/>
      <c r="NRT149" s="22"/>
      <c r="NRU149" s="22"/>
      <c r="NRV149" s="22"/>
      <c r="NRW149" s="22"/>
      <c r="NRX149" s="22"/>
      <c r="NRY149" s="22"/>
      <c r="NRZ149" s="22"/>
      <c r="NSA149" s="22"/>
      <c r="NSB149" s="22"/>
      <c r="NSC149" s="22"/>
      <c r="NSD149" s="22"/>
      <c r="NSE149" s="22"/>
      <c r="NSF149" s="22"/>
      <c r="NSG149" s="22"/>
      <c r="NSH149" s="22"/>
      <c r="NSI149" s="22"/>
      <c r="NSJ149" s="22"/>
      <c r="NSK149" s="22"/>
      <c r="NSL149" s="22"/>
      <c r="NSM149" s="22"/>
      <c r="NSN149" s="22"/>
      <c r="NSO149" s="22"/>
      <c r="NSP149" s="22"/>
      <c r="NSQ149" s="22"/>
      <c r="NSR149" s="22"/>
      <c r="NSS149" s="22"/>
      <c r="NST149" s="22"/>
      <c r="NSU149" s="22"/>
      <c r="NSV149" s="22"/>
      <c r="NSW149" s="22"/>
      <c r="NSX149" s="22"/>
      <c r="NSY149" s="22"/>
      <c r="NSZ149" s="22"/>
      <c r="NTA149" s="22"/>
      <c r="NTB149" s="22"/>
      <c r="NTC149" s="22"/>
      <c r="NTD149" s="22"/>
      <c r="NTE149" s="22"/>
      <c r="NTF149" s="22"/>
      <c r="NTG149" s="22"/>
      <c r="NTH149" s="22"/>
      <c r="NTI149" s="22"/>
      <c r="NTJ149" s="22"/>
      <c r="NTK149" s="22"/>
      <c r="NTL149" s="22"/>
      <c r="NTM149" s="22"/>
      <c r="NTN149" s="22"/>
      <c r="NTO149" s="22"/>
      <c r="NTP149" s="22"/>
      <c r="NTQ149" s="22"/>
      <c r="NTR149" s="22"/>
      <c r="NTS149" s="22"/>
      <c r="NTT149" s="22"/>
      <c r="NTU149" s="22"/>
      <c r="NTV149" s="22"/>
      <c r="NTW149" s="22"/>
      <c r="NTX149" s="22"/>
      <c r="NTY149" s="22"/>
      <c r="NTZ149" s="22"/>
      <c r="NUA149" s="22"/>
      <c r="NUB149" s="22"/>
      <c r="NUC149" s="22"/>
      <c r="NUD149" s="22"/>
      <c r="NUE149" s="22"/>
      <c r="NUF149" s="22"/>
      <c r="NUG149" s="22"/>
      <c r="NUH149" s="22"/>
      <c r="NUI149" s="22"/>
      <c r="NUJ149" s="22"/>
      <c r="NUK149" s="22"/>
      <c r="NUL149" s="22"/>
      <c r="NUM149" s="22"/>
      <c r="NUN149" s="22"/>
      <c r="NUO149" s="22"/>
      <c r="NUP149" s="22"/>
      <c r="NUQ149" s="22"/>
      <c r="NUR149" s="22"/>
      <c r="NUS149" s="22"/>
      <c r="NUT149" s="22"/>
      <c r="NUU149" s="22"/>
      <c r="NUV149" s="22"/>
      <c r="NUW149" s="22"/>
      <c r="NUX149" s="22"/>
      <c r="NUY149" s="22"/>
      <c r="NUZ149" s="22"/>
      <c r="NVA149" s="22"/>
      <c r="NVB149" s="22"/>
      <c r="NVC149" s="22"/>
      <c r="NVD149" s="22"/>
      <c r="NVE149" s="22"/>
      <c r="NVF149" s="22"/>
      <c r="NVG149" s="22"/>
      <c r="NVH149" s="22"/>
      <c r="NVI149" s="22"/>
      <c r="NVJ149" s="22"/>
      <c r="NVK149" s="22"/>
      <c r="NVL149" s="22"/>
      <c r="NVM149" s="22"/>
      <c r="NVN149" s="22"/>
      <c r="NVO149" s="22"/>
      <c r="NVP149" s="22"/>
      <c r="NVQ149" s="22"/>
      <c r="NVR149" s="22"/>
      <c r="NVS149" s="22"/>
      <c r="NVT149" s="22"/>
      <c r="NVU149" s="22"/>
      <c r="NVV149" s="22"/>
      <c r="NVW149" s="22"/>
      <c r="NVX149" s="22"/>
      <c r="NVY149" s="22"/>
      <c r="NVZ149" s="22"/>
      <c r="NWA149" s="22"/>
      <c r="NWB149" s="22"/>
      <c r="NWC149" s="22"/>
      <c r="NWD149" s="22"/>
      <c r="NWE149" s="22"/>
      <c r="NWF149" s="22"/>
      <c r="NWG149" s="22"/>
      <c r="NWH149" s="22"/>
      <c r="NWI149" s="22"/>
      <c r="NWJ149" s="22"/>
      <c r="NWK149" s="22"/>
      <c r="NWL149" s="22"/>
      <c r="NWM149" s="22"/>
      <c r="NWN149" s="22"/>
      <c r="NWO149" s="22"/>
      <c r="NWP149" s="22"/>
      <c r="NWQ149" s="22"/>
      <c r="NWR149" s="22"/>
      <c r="NWS149" s="22"/>
      <c r="NWT149" s="22"/>
      <c r="NWU149" s="22"/>
      <c r="NWV149" s="22"/>
      <c r="NWW149" s="22"/>
      <c r="NWX149" s="22"/>
      <c r="NWY149" s="22"/>
      <c r="NWZ149" s="22"/>
      <c r="NXA149" s="22"/>
      <c r="NXB149" s="22"/>
      <c r="NXC149" s="22"/>
      <c r="NXD149" s="22"/>
      <c r="NXE149" s="22"/>
      <c r="NXF149" s="22"/>
      <c r="NXG149" s="22"/>
      <c r="NXH149" s="22"/>
      <c r="NXI149" s="22"/>
      <c r="NXJ149" s="22"/>
      <c r="NXK149" s="22"/>
      <c r="NXL149" s="22"/>
      <c r="NXM149" s="22"/>
      <c r="NXN149" s="22"/>
      <c r="NXO149" s="22"/>
      <c r="NXP149" s="22"/>
      <c r="NXQ149" s="22"/>
      <c r="NXR149" s="22"/>
      <c r="NXS149" s="22"/>
      <c r="NXT149" s="22"/>
      <c r="NXU149" s="22"/>
      <c r="NXV149" s="22"/>
      <c r="NXW149" s="22"/>
      <c r="NXX149" s="22"/>
      <c r="NXY149" s="22"/>
      <c r="NXZ149" s="22"/>
      <c r="NYA149" s="22"/>
      <c r="NYB149" s="22"/>
      <c r="NYC149" s="22"/>
      <c r="NYD149" s="22"/>
      <c r="NYE149" s="22"/>
      <c r="NYF149" s="22"/>
      <c r="NYG149" s="22"/>
      <c r="NYH149" s="22"/>
      <c r="NYI149" s="22"/>
      <c r="NYJ149" s="22"/>
      <c r="NYK149" s="22"/>
      <c r="NYL149" s="22"/>
      <c r="NYM149" s="22"/>
      <c r="NYN149" s="22"/>
      <c r="NYO149" s="22"/>
      <c r="NYP149" s="22"/>
      <c r="NYQ149" s="22"/>
      <c r="NYR149" s="22"/>
      <c r="NYS149" s="22"/>
      <c r="NYT149" s="22"/>
      <c r="NYU149" s="22"/>
      <c r="NYV149" s="22"/>
      <c r="NYW149" s="22"/>
      <c r="NYX149" s="22"/>
      <c r="NYY149" s="22"/>
      <c r="NYZ149" s="22"/>
      <c r="NZA149" s="22"/>
      <c r="NZB149" s="22"/>
      <c r="NZC149" s="22"/>
      <c r="NZD149" s="22"/>
      <c r="NZE149" s="22"/>
      <c r="NZF149" s="22"/>
      <c r="NZG149" s="22"/>
      <c r="NZH149" s="22"/>
      <c r="NZI149" s="22"/>
      <c r="NZJ149" s="22"/>
      <c r="NZK149" s="22"/>
      <c r="NZL149" s="22"/>
      <c r="NZM149" s="22"/>
      <c r="NZN149" s="22"/>
      <c r="NZO149" s="22"/>
      <c r="NZP149" s="22"/>
      <c r="NZQ149" s="22"/>
      <c r="NZR149" s="22"/>
      <c r="NZS149" s="22"/>
      <c r="NZT149" s="22"/>
      <c r="NZU149" s="22"/>
      <c r="NZV149" s="22"/>
      <c r="NZW149" s="22"/>
      <c r="NZX149" s="22"/>
      <c r="NZY149" s="22"/>
      <c r="NZZ149" s="22"/>
      <c r="OAA149" s="22"/>
      <c r="OAB149" s="22"/>
      <c r="OAC149" s="22"/>
      <c r="OAD149" s="22"/>
      <c r="OAE149" s="22"/>
      <c r="OAF149" s="22"/>
      <c r="OAG149" s="22"/>
      <c r="OAH149" s="22"/>
      <c r="OAI149" s="22"/>
      <c r="OAJ149" s="22"/>
      <c r="OAK149" s="22"/>
      <c r="OAL149" s="22"/>
      <c r="OAM149" s="22"/>
      <c r="OAN149" s="22"/>
      <c r="OAO149" s="22"/>
      <c r="OAP149" s="22"/>
      <c r="OAQ149" s="22"/>
      <c r="OAR149" s="22"/>
      <c r="OAS149" s="22"/>
      <c r="OAT149" s="22"/>
      <c r="OAU149" s="22"/>
      <c r="OAV149" s="22"/>
      <c r="OAW149" s="22"/>
      <c r="OAX149" s="22"/>
      <c r="OAY149" s="22"/>
      <c r="OAZ149" s="22"/>
      <c r="OBA149" s="22"/>
      <c r="OBB149" s="22"/>
      <c r="OBC149" s="22"/>
      <c r="OBD149" s="22"/>
      <c r="OBE149" s="22"/>
      <c r="OBF149" s="22"/>
      <c r="OBG149" s="22"/>
      <c r="OBH149" s="22"/>
      <c r="OBI149" s="22"/>
      <c r="OBJ149" s="22"/>
      <c r="OBK149" s="22"/>
      <c r="OBL149" s="22"/>
      <c r="OBM149" s="22"/>
      <c r="OBN149" s="22"/>
      <c r="OBO149" s="22"/>
      <c r="OBP149" s="22"/>
      <c r="OBQ149" s="22"/>
      <c r="OBR149" s="22"/>
      <c r="OBS149" s="22"/>
      <c r="OBT149" s="22"/>
      <c r="OBU149" s="22"/>
      <c r="OBV149" s="22"/>
      <c r="OBW149" s="22"/>
      <c r="OBX149" s="22"/>
      <c r="OBY149" s="22"/>
      <c r="OBZ149" s="22"/>
      <c r="OCA149" s="22"/>
      <c r="OCB149" s="22"/>
      <c r="OCC149" s="22"/>
      <c r="OCD149" s="22"/>
      <c r="OCE149" s="22"/>
      <c r="OCF149" s="22"/>
      <c r="OCG149" s="22"/>
      <c r="OCH149" s="22"/>
      <c r="OCI149" s="22"/>
      <c r="OCJ149" s="22"/>
      <c r="OCK149" s="22"/>
      <c r="OCL149" s="22"/>
      <c r="OCM149" s="22"/>
      <c r="OCN149" s="22"/>
      <c r="OCO149" s="22"/>
      <c r="OCP149" s="22"/>
      <c r="OCQ149" s="22"/>
      <c r="OCR149" s="22"/>
      <c r="OCS149" s="22"/>
      <c r="OCT149" s="22"/>
      <c r="OCU149" s="22"/>
      <c r="OCV149" s="22"/>
      <c r="OCW149" s="22"/>
      <c r="OCX149" s="22"/>
      <c r="OCY149" s="22"/>
      <c r="OCZ149" s="22"/>
      <c r="ODA149" s="22"/>
      <c r="ODB149" s="22"/>
      <c r="ODC149" s="22"/>
      <c r="ODD149" s="22"/>
      <c r="ODE149" s="22"/>
      <c r="ODF149" s="22"/>
      <c r="ODG149" s="22"/>
      <c r="ODH149" s="22"/>
      <c r="ODI149" s="22"/>
      <c r="ODJ149" s="22"/>
      <c r="ODK149" s="22"/>
      <c r="ODL149" s="22"/>
      <c r="ODM149" s="22"/>
      <c r="ODN149" s="22"/>
      <c r="ODO149" s="22"/>
      <c r="ODP149" s="22"/>
      <c r="ODQ149" s="22"/>
      <c r="ODR149" s="22"/>
      <c r="ODS149" s="22"/>
      <c r="ODT149" s="22"/>
      <c r="ODU149" s="22"/>
      <c r="ODV149" s="22"/>
      <c r="ODW149" s="22"/>
      <c r="ODX149" s="22"/>
      <c r="ODY149" s="22"/>
      <c r="ODZ149" s="22"/>
      <c r="OEA149" s="22"/>
      <c r="OEB149" s="22"/>
      <c r="OEC149" s="22"/>
      <c r="OED149" s="22"/>
      <c r="OEE149" s="22"/>
      <c r="OEF149" s="22"/>
      <c r="OEG149" s="22"/>
      <c r="OEH149" s="22"/>
      <c r="OEI149" s="22"/>
      <c r="OEJ149" s="22"/>
      <c r="OEK149" s="22"/>
      <c r="OEL149" s="22"/>
      <c r="OEM149" s="22"/>
      <c r="OEN149" s="22"/>
      <c r="OEO149" s="22"/>
      <c r="OEP149" s="22"/>
      <c r="OEQ149" s="22"/>
      <c r="OER149" s="22"/>
      <c r="OES149" s="22"/>
      <c r="OET149" s="22"/>
      <c r="OEU149" s="22"/>
      <c r="OEV149" s="22"/>
      <c r="OEW149" s="22"/>
      <c r="OEX149" s="22"/>
      <c r="OEY149" s="22"/>
      <c r="OEZ149" s="22"/>
      <c r="OFA149" s="22"/>
      <c r="OFB149" s="22"/>
      <c r="OFC149" s="22"/>
      <c r="OFD149" s="22"/>
      <c r="OFE149" s="22"/>
      <c r="OFF149" s="22"/>
      <c r="OFG149" s="22"/>
      <c r="OFH149" s="22"/>
      <c r="OFI149" s="22"/>
      <c r="OFJ149" s="22"/>
      <c r="OFK149" s="22"/>
      <c r="OFL149" s="22"/>
      <c r="OFM149" s="22"/>
      <c r="OFN149" s="22"/>
      <c r="OFO149" s="22"/>
      <c r="OFP149" s="22"/>
      <c r="OFQ149" s="22"/>
      <c r="OFR149" s="22"/>
      <c r="OFS149" s="22"/>
      <c r="OFT149" s="22"/>
      <c r="OFU149" s="22"/>
      <c r="OFV149" s="22"/>
      <c r="OFW149" s="22"/>
      <c r="OFX149" s="22"/>
      <c r="OFY149" s="22"/>
      <c r="OFZ149" s="22"/>
      <c r="OGA149" s="22"/>
      <c r="OGB149" s="22"/>
      <c r="OGC149" s="22"/>
      <c r="OGD149" s="22"/>
      <c r="OGE149" s="22"/>
      <c r="OGF149" s="22"/>
      <c r="OGG149" s="22"/>
      <c r="OGH149" s="22"/>
      <c r="OGI149" s="22"/>
      <c r="OGJ149" s="22"/>
      <c r="OGK149" s="22"/>
      <c r="OGL149" s="22"/>
      <c r="OGM149" s="22"/>
      <c r="OGN149" s="22"/>
      <c r="OGO149" s="22"/>
      <c r="OGP149" s="22"/>
      <c r="OGQ149" s="22"/>
      <c r="OGR149" s="22"/>
      <c r="OGS149" s="22"/>
      <c r="OGT149" s="22"/>
      <c r="OGU149" s="22"/>
      <c r="OGV149" s="22"/>
      <c r="OGW149" s="22"/>
      <c r="OGX149" s="22"/>
      <c r="OGY149" s="22"/>
      <c r="OGZ149" s="22"/>
      <c r="OHA149" s="22"/>
      <c r="OHB149" s="22"/>
      <c r="OHC149" s="22"/>
      <c r="OHD149" s="22"/>
      <c r="OHE149" s="22"/>
      <c r="OHF149" s="22"/>
      <c r="OHG149" s="22"/>
      <c r="OHH149" s="22"/>
      <c r="OHI149" s="22"/>
      <c r="OHJ149" s="22"/>
      <c r="OHK149" s="22"/>
      <c r="OHL149" s="22"/>
      <c r="OHM149" s="22"/>
      <c r="OHN149" s="22"/>
      <c r="OHO149" s="22"/>
      <c r="OHP149" s="22"/>
      <c r="OHQ149" s="22"/>
      <c r="OHR149" s="22"/>
      <c r="OHS149" s="22"/>
      <c r="OHT149" s="22"/>
      <c r="OHU149" s="22"/>
      <c r="OHV149" s="22"/>
      <c r="OHW149" s="22"/>
      <c r="OHX149" s="22"/>
      <c r="OHY149" s="22"/>
      <c r="OHZ149" s="22"/>
      <c r="OIA149" s="22"/>
      <c r="OIB149" s="22"/>
      <c r="OIC149" s="22"/>
      <c r="OID149" s="22"/>
      <c r="OIE149" s="22"/>
      <c r="OIF149" s="22"/>
      <c r="OIG149" s="22"/>
      <c r="OIH149" s="22"/>
      <c r="OII149" s="22"/>
      <c r="OIJ149" s="22"/>
      <c r="OIK149" s="22"/>
      <c r="OIL149" s="22"/>
      <c r="OIM149" s="22"/>
      <c r="OIN149" s="22"/>
      <c r="OIO149" s="22"/>
      <c r="OIP149" s="22"/>
      <c r="OIQ149" s="22"/>
      <c r="OIR149" s="22"/>
      <c r="OIS149" s="22"/>
      <c r="OIT149" s="22"/>
      <c r="OIU149" s="22"/>
      <c r="OIV149" s="22"/>
      <c r="OIW149" s="22"/>
      <c r="OIX149" s="22"/>
      <c r="OIY149" s="22"/>
      <c r="OIZ149" s="22"/>
      <c r="OJA149" s="22"/>
      <c r="OJB149" s="22"/>
      <c r="OJC149" s="22"/>
      <c r="OJD149" s="22"/>
      <c r="OJE149" s="22"/>
      <c r="OJF149" s="22"/>
      <c r="OJG149" s="22"/>
      <c r="OJH149" s="22"/>
      <c r="OJI149" s="22"/>
      <c r="OJJ149" s="22"/>
      <c r="OJK149" s="22"/>
      <c r="OJL149" s="22"/>
      <c r="OJM149" s="22"/>
      <c r="OJN149" s="22"/>
      <c r="OJO149" s="22"/>
      <c r="OJP149" s="22"/>
      <c r="OJQ149" s="22"/>
      <c r="OJR149" s="22"/>
      <c r="OJS149" s="22"/>
      <c r="OJT149" s="22"/>
      <c r="OJU149" s="22"/>
      <c r="OJV149" s="22"/>
      <c r="OJW149" s="22"/>
      <c r="OJX149" s="22"/>
      <c r="OJY149" s="22"/>
      <c r="OJZ149" s="22"/>
      <c r="OKA149" s="22"/>
      <c r="OKB149" s="22"/>
      <c r="OKC149" s="22"/>
      <c r="OKD149" s="22"/>
      <c r="OKE149" s="22"/>
      <c r="OKF149" s="22"/>
      <c r="OKG149" s="22"/>
      <c r="OKH149" s="22"/>
      <c r="OKI149" s="22"/>
      <c r="OKJ149" s="22"/>
      <c r="OKK149" s="22"/>
      <c r="OKL149" s="22"/>
      <c r="OKM149" s="22"/>
      <c r="OKN149" s="22"/>
      <c r="OKO149" s="22"/>
      <c r="OKP149" s="22"/>
      <c r="OKQ149" s="22"/>
      <c r="OKR149" s="22"/>
      <c r="OKS149" s="22"/>
      <c r="OKT149" s="22"/>
      <c r="OKU149" s="22"/>
      <c r="OKV149" s="22"/>
      <c r="OKW149" s="22"/>
      <c r="OKX149" s="22"/>
      <c r="OKY149" s="22"/>
      <c r="OKZ149" s="22"/>
      <c r="OLA149" s="22"/>
      <c r="OLB149" s="22"/>
      <c r="OLC149" s="22"/>
      <c r="OLD149" s="22"/>
      <c r="OLE149" s="22"/>
      <c r="OLF149" s="22"/>
      <c r="OLG149" s="22"/>
      <c r="OLH149" s="22"/>
      <c r="OLI149" s="22"/>
      <c r="OLJ149" s="22"/>
      <c r="OLK149" s="22"/>
      <c r="OLL149" s="22"/>
      <c r="OLM149" s="22"/>
      <c r="OLN149" s="22"/>
      <c r="OLO149" s="22"/>
      <c r="OLP149" s="22"/>
      <c r="OLQ149" s="22"/>
      <c r="OLR149" s="22"/>
      <c r="OLS149" s="22"/>
      <c r="OLT149" s="22"/>
      <c r="OLU149" s="22"/>
      <c r="OLV149" s="22"/>
      <c r="OLW149" s="22"/>
      <c r="OLX149" s="22"/>
      <c r="OLY149" s="22"/>
      <c r="OLZ149" s="22"/>
      <c r="OMA149" s="22"/>
      <c r="OMB149" s="22"/>
      <c r="OMC149" s="22"/>
      <c r="OMD149" s="22"/>
      <c r="OME149" s="22"/>
      <c r="OMF149" s="22"/>
      <c r="OMG149" s="22"/>
      <c r="OMH149" s="22"/>
      <c r="OMI149" s="22"/>
      <c r="OMJ149" s="22"/>
      <c r="OMK149" s="22"/>
      <c r="OML149" s="22"/>
      <c r="OMM149" s="22"/>
      <c r="OMN149" s="22"/>
      <c r="OMO149" s="22"/>
      <c r="OMP149" s="22"/>
      <c r="OMQ149" s="22"/>
      <c r="OMR149" s="22"/>
      <c r="OMS149" s="22"/>
      <c r="OMT149" s="22"/>
      <c r="OMU149" s="22"/>
      <c r="OMV149" s="22"/>
      <c r="OMW149" s="22"/>
      <c r="OMX149" s="22"/>
      <c r="OMY149" s="22"/>
      <c r="OMZ149" s="22"/>
      <c r="ONA149" s="22"/>
      <c r="ONB149" s="22"/>
      <c r="ONC149" s="22"/>
      <c r="OND149" s="22"/>
      <c r="ONE149" s="22"/>
      <c r="ONF149" s="22"/>
      <c r="ONG149" s="22"/>
      <c r="ONH149" s="22"/>
      <c r="ONI149" s="22"/>
      <c r="ONJ149" s="22"/>
      <c r="ONK149" s="22"/>
      <c r="ONL149" s="22"/>
      <c r="ONM149" s="22"/>
      <c r="ONN149" s="22"/>
      <c r="ONO149" s="22"/>
      <c r="ONP149" s="22"/>
      <c r="ONQ149" s="22"/>
      <c r="ONR149" s="22"/>
      <c r="ONS149" s="22"/>
      <c r="ONT149" s="22"/>
      <c r="ONU149" s="22"/>
      <c r="ONV149" s="22"/>
      <c r="ONW149" s="22"/>
      <c r="ONX149" s="22"/>
      <c r="ONY149" s="22"/>
      <c r="ONZ149" s="22"/>
      <c r="OOA149" s="22"/>
      <c r="OOB149" s="22"/>
      <c r="OOC149" s="22"/>
      <c r="OOD149" s="22"/>
      <c r="OOE149" s="22"/>
      <c r="OOF149" s="22"/>
      <c r="OOG149" s="22"/>
      <c r="OOH149" s="22"/>
      <c r="OOI149" s="22"/>
      <c r="OOJ149" s="22"/>
      <c r="OOK149" s="22"/>
      <c r="OOL149" s="22"/>
      <c r="OOM149" s="22"/>
      <c r="OON149" s="22"/>
      <c r="OOO149" s="22"/>
      <c r="OOP149" s="22"/>
      <c r="OOQ149" s="22"/>
      <c r="OOR149" s="22"/>
      <c r="OOS149" s="22"/>
      <c r="OOT149" s="22"/>
      <c r="OOU149" s="22"/>
      <c r="OOV149" s="22"/>
      <c r="OOW149" s="22"/>
      <c r="OOX149" s="22"/>
      <c r="OOY149" s="22"/>
      <c r="OOZ149" s="22"/>
      <c r="OPA149" s="22"/>
      <c r="OPB149" s="22"/>
      <c r="OPC149" s="22"/>
      <c r="OPD149" s="22"/>
      <c r="OPE149" s="22"/>
      <c r="OPF149" s="22"/>
      <c r="OPG149" s="22"/>
      <c r="OPH149" s="22"/>
      <c r="OPI149" s="22"/>
      <c r="OPJ149" s="22"/>
      <c r="OPK149" s="22"/>
      <c r="OPL149" s="22"/>
      <c r="OPM149" s="22"/>
      <c r="OPN149" s="22"/>
      <c r="OPO149" s="22"/>
      <c r="OPP149" s="22"/>
      <c r="OPQ149" s="22"/>
      <c r="OPR149" s="22"/>
      <c r="OPS149" s="22"/>
      <c r="OPT149" s="22"/>
      <c r="OPU149" s="22"/>
      <c r="OPV149" s="22"/>
      <c r="OPW149" s="22"/>
      <c r="OPX149" s="22"/>
      <c r="OPY149" s="22"/>
      <c r="OPZ149" s="22"/>
      <c r="OQA149" s="22"/>
      <c r="OQB149" s="22"/>
      <c r="OQC149" s="22"/>
      <c r="OQD149" s="22"/>
      <c r="OQE149" s="22"/>
      <c r="OQF149" s="22"/>
      <c r="OQG149" s="22"/>
      <c r="OQH149" s="22"/>
      <c r="OQI149" s="22"/>
      <c r="OQJ149" s="22"/>
      <c r="OQK149" s="22"/>
      <c r="OQL149" s="22"/>
      <c r="OQM149" s="22"/>
      <c r="OQN149" s="22"/>
      <c r="OQO149" s="22"/>
      <c r="OQP149" s="22"/>
      <c r="OQQ149" s="22"/>
      <c r="OQR149" s="22"/>
      <c r="OQS149" s="22"/>
      <c r="OQT149" s="22"/>
      <c r="OQU149" s="22"/>
      <c r="OQV149" s="22"/>
      <c r="OQW149" s="22"/>
      <c r="OQX149" s="22"/>
      <c r="OQY149" s="22"/>
      <c r="OQZ149" s="22"/>
      <c r="ORA149" s="22"/>
      <c r="ORB149" s="22"/>
      <c r="ORC149" s="22"/>
      <c r="ORD149" s="22"/>
      <c r="ORE149" s="22"/>
      <c r="ORF149" s="22"/>
      <c r="ORG149" s="22"/>
      <c r="ORH149" s="22"/>
      <c r="ORI149" s="22"/>
      <c r="ORJ149" s="22"/>
      <c r="ORK149" s="22"/>
      <c r="ORL149" s="22"/>
      <c r="ORM149" s="22"/>
      <c r="ORN149" s="22"/>
      <c r="ORO149" s="22"/>
      <c r="ORP149" s="22"/>
      <c r="ORQ149" s="22"/>
      <c r="ORR149" s="22"/>
      <c r="ORS149" s="22"/>
      <c r="ORT149" s="22"/>
      <c r="ORU149" s="22"/>
      <c r="ORV149" s="22"/>
      <c r="ORW149" s="22"/>
      <c r="ORX149" s="22"/>
      <c r="ORY149" s="22"/>
      <c r="ORZ149" s="22"/>
      <c r="OSA149" s="22"/>
      <c r="OSB149" s="22"/>
      <c r="OSC149" s="22"/>
      <c r="OSD149" s="22"/>
      <c r="OSE149" s="22"/>
      <c r="OSF149" s="22"/>
      <c r="OSG149" s="22"/>
      <c r="OSH149" s="22"/>
      <c r="OSI149" s="22"/>
      <c r="OSJ149" s="22"/>
      <c r="OSK149" s="22"/>
      <c r="OSL149" s="22"/>
      <c r="OSM149" s="22"/>
      <c r="OSN149" s="22"/>
      <c r="OSO149" s="22"/>
      <c r="OSP149" s="22"/>
      <c r="OSQ149" s="22"/>
      <c r="OSR149" s="22"/>
      <c r="OSS149" s="22"/>
      <c r="OST149" s="22"/>
      <c r="OSU149" s="22"/>
      <c r="OSV149" s="22"/>
      <c r="OSW149" s="22"/>
      <c r="OSX149" s="22"/>
      <c r="OSY149" s="22"/>
      <c r="OSZ149" s="22"/>
      <c r="OTA149" s="22"/>
      <c r="OTB149" s="22"/>
      <c r="OTC149" s="22"/>
      <c r="OTD149" s="22"/>
      <c r="OTE149" s="22"/>
      <c r="OTF149" s="22"/>
      <c r="OTG149" s="22"/>
      <c r="OTH149" s="22"/>
      <c r="OTI149" s="22"/>
      <c r="OTJ149" s="22"/>
      <c r="OTK149" s="22"/>
      <c r="OTL149" s="22"/>
      <c r="OTM149" s="22"/>
      <c r="OTN149" s="22"/>
      <c r="OTO149" s="22"/>
      <c r="OTP149" s="22"/>
      <c r="OTQ149" s="22"/>
      <c r="OTR149" s="22"/>
      <c r="OTS149" s="22"/>
      <c r="OTT149" s="22"/>
      <c r="OTU149" s="22"/>
      <c r="OTV149" s="22"/>
      <c r="OTW149" s="22"/>
      <c r="OTX149" s="22"/>
      <c r="OTY149" s="22"/>
      <c r="OTZ149" s="22"/>
      <c r="OUA149" s="22"/>
      <c r="OUB149" s="22"/>
      <c r="OUC149" s="22"/>
      <c r="OUD149" s="22"/>
      <c r="OUE149" s="22"/>
      <c r="OUF149" s="22"/>
      <c r="OUG149" s="22"/>
      <c r="OUH149" s="22"/>
      <c r="OUI149" s="22"/>
      <c r="OUJ149" s="22"/>
      <c r="OUK149" s="22"/>
      <c r="OUL149" s="22"/>
      <c r="OUM149" s="22"/>
      <c r="OUN149" s="22"/>
      <c r="OUO149" s="22"/>
      <c r="OUP149" s="22"/>
      <c r="OUQ149" s="22"/>
      <c r="OUR149" s="22"/>
      <c r="OUS149" s="22"/>
      <c r="OUT149" s="22"/>
      <c r="OUU149" s="22"/>
      <c r="OUV149" s="22"/>
      <c r="OUW149" s="22"/>
      <c r="OUX149" s="22"/>
      <c r="OUY149" s="22"/>
      <c r="OUZ149" s="22"/>
      <c r="OVA149" s="22"/>
      <c r="OVB149" s="22"/>
      <c r="OVC149" s="22"/>
      <c r="OVD149" s="22"/>
      <c r="OVE149" s="22"/>
      <c r="OVF149" s="22"/>
      <c r="OVG149" s="22"/>
      <c r="OVH149" s="22"/>
      <c r="OVI149" s="22"/>
      <c r="OVJ149" s="22"/>
      <c r="OVK149" s="22"/>
      <c r="OVL149" s="22"/>
      <c r="OVM149" s="22"/>
      <c r="OVN149" s="22"/>
      <c r="OVO149" s="22"/>
      <c r="OVP149" s="22"/>
      <c r="OVQ149" s="22"/>
      <c r="OVR149" s="22"/>
      <c r="OVS149" s="22"/>
      <c r="OVT149" s="22"/>
      <c r="OVU149" s="22"/>
      <c r="OVV149" s="22"/>
      <c r="OVW149" s="22"/>
      <c r="OVX149" s="22"/>
      <c r="OVY149" s="22"/>
      <c r="OVZ149" s="22"/>
      <c r="OWA149" s="22"/>
      <c r="OWB149" s="22"/>
      <c r="OWC149" s="22"/>
      <c r="OWD149" s="22"/>
      <c r="OWE149" s="22"/>
      <c r="OWF149" s="22"/>
      <c r="OWG149" s="22"/>
      <c r="OWH149" s="22"/>
      <c r="OWI149" s="22"/>
      <c r="OWJ149" s="22"/>
      <c r="OWK149" s="22"/>
      <c r="OWL149" s="22"/>
      <c r="OWM149" s="22"/>
      <c r="OWN149" s="22"/>
      <c r="OWO149" s="22"/>
      <c r="OWP149" s="22"/>
      <c r="OWQ149" s="22"/>
      <c r="OWR149" s="22"/>
      <c r="OWS149" s="22"/>
      <c r="OWT149" s="22"/>
      <c r="OWU149" s="22"/>
      <c r="OWV149" s="22"/>
      <c r="OWW149" s="22"/>
      <c r="OWX149" s="22"/>
      <c r="OWY149" s="22"/>
      <c r="OWZ149" s="22"/>
      <c r="OXA149" s="22"/>
      <c r="OXB149" s="22"/>
      <c r="OXC149" s="22"/>
      <c r="OXD149" s="22"/>
      <c r="OXE149" s="22"/>
      <c r="OXF149" s="22"/>
      <c r="OXG149" s="22"/>
      <c r="OXH149" s="22"/>
      <c r="OXI149" s="22"/>
      <c r="OXJ149" s="22"/>
      <c r="OXK149" s="22"/>
      <c r="OXL149" s="22"/>
      <c r="OXM149" s="22"/>
      <c r="OXN149" s="22"/>
      <c r="OXO149" s="22"/>
      <c r="OXP149" s="22"/>
      <c r="OXQ149" s="22"/>
      <c r="OXR149" s="22"/>
      <c r="OXS149" s="22"/>
      <c r="OXT149" s="22"/>
      <c r="OXU149" s="22"/>
      <c r="OXV149" s="22"/>
      <c r="OXW149" s="22"/>
      <c r="OXX149" s="22"/>
      <c r="OXY149" s="22"/>
      <c r="OXZ149" s="22"/>
      <c r="OYA149" s="22"/>
      <c r="OYB149" s="22"/>
      <c r="OYC149" s="22"/>
      <c r="OYD149" s="22"/>
      <c r="OYE149" s="22"/>
      <c r="OYF149" s="22"/>
      <c r="OYG149" s="22"/>
      <c r="OYH149" s="22"/>
      <c r="OYI149" s="22"/>
      <c r="OYJ149" s="22"/>
      <c r="OYK149" s="22"/>
      <c r="OYL149" s="22"/>
      <c r="OYM149" s="22"/>
      <c r="OYN149" s="22"/>
      <c r="OYO149" s="22"/>
      <c r="OYP149" s="22"/>
      <c r="OYQ149" s="22"/>
      <c r="OYR149" s="22"/>
      <c r="OYS149" s="22"/>
      <c r="OYT149" s="22"/>
      <c r="OYU149" s="22"/>
      <c r="OYV149" s="22"/>
      <c r="OYW149" s="22"/>
      <c r="OYX149" s="22"/>
      <c r="OYY149" s="22"/>
      <c r="OYZ149" s="22"/>
      <c r="OZA149" s="22"/>
      <c r="OZB149" s="22"/>
      <c r="OZC149" s="22"/>
      <c r="OZD149" s="22"/>
      <c r="OZE149" s="22"/>
      <c r="OZF149" s="22"/>
      <c r="OZG149" s="22"/>
      <c r="OZH149" s="22"/>
      <c r="OZI149" s="22"/>
      <c r="OZJ149" s="22"/>
      <c r="OZK149" s="22"/>
      <c r="OZL149" s="22"/>
      <c r="OZM149" s="22"/>
      <c r="OZN149" s="22"/>
      <c r="OZO149" s="22"/>
      <c r="OZP149" s="22"/>
      <c r="OZQ149" s="22"/>
      <c r="OZR149" s="22"/>
      <c r="OZS149" s="22"/>
      <c r="OZT149" s="22"/>
      <c r="OZU149" s="22"/>
      <c r="OZV149" s="22"/>
      <c r="OZW149" s="22"/>
      <c r="OZX149" s="22"/>
      <c r="OZY149" s="22"/>
      <c r="OZZ149" s="22"/>
      <c r="PAA149" s="22"/>
      <c r="PAB149" s="22"/>
      <c r="PAC149" s="22"/>
      <c r="PAD149" s="22"/>
      <c r="PAE149" s="22"/>
      <c r="PAF149" s="22"/>
      <c r="PAG149" s="22"/>
      <c r="PAH149" s="22"/>
      <c r="PAI149" s="22"/>
      <c r="PAJ149" s="22"/>
      <c r="PAK149" s="22"/>
      <c r="PAL149" s="22"/>
      <c r="PAM149" s="22"/>
      <c r="PAN149" s="22"/>
      <c r="PAO149" s="22"/>
      <c r="PAP149" s="22"/>
      <c r="PAQ149" s="22"/>
      <c r="PAR149" s="22"/>
      <c r="PAS149" s="22"/>
      <c r="PAT149" s="22"/>
      <c r="PAU149" s="22"/>
      <c r="PAV149" s="22"/>
      <c r="PAW149" s="22"/>
      <c r="PAX149" s="22"/>
      <c r="PAY149" s="22"/>
      <c r="PAZ149" s="22"/>
      <c r="PBA149" s="22"/>
      <c r="PBB149" s="22"/>
      <c r="PBC149" s="22"/>
      <c r="PBD149" s="22"/>
      <c r="PBE149" s="22"/>
      <c r="PBF149" s="22"/>
      <c r="PBG149" s="22"/>
      <c r="PBH149" s="22"/>
      <c r="PBI149" s="22"/>
      <c r="PBJ149" s="22"/>
      <c r="PBK149" s="22"/>
      <c r="PBL149" s="22"/>
      <c r="PBM149" s="22"/>
      <c r="PBN149" s="22"/>
      <c r="PBO149" s="22"/>
      <c r="PBP149" s="22"/>
      <c r="PBQ149" s="22"/>
      <c r="PBR149" s="22"/>
      <c r="PBS149" s="22"/>
      <c r="PBT149" s="22"/>
      <c r="PBU149" s="22"/>
      <c r="PBV149" s="22"/>
      <c r="PBW149" s="22"/>
      <c r="PBX149" s="22"/>
      <c r="PBY149" s="22"/>
      <c r="PBZ149" s="22"/>
      <c r="PCA149" s="22"/>
      <c r="PCB149" s="22"/>
      <c r="PCC149" s="22"/>
      <c r="PCD149" s="22"/>
      <c r="PCE149" s="22"/>
      <c r="PCF149" s="22"/>
      <c r="PCG149" s="22"/>
      <c r="PCH149" s="22"/>
      <c r="PCI149" s="22"/>
      <c r="PCJ149" s="22"/>
      <c r="PCK149" s="22"/>
      <c r="PCL149" s="22"/>
      <c r="PCM149" s="22"/>
      <c r="PCN149" s="22"/>
      <c r="PCO149" s="22"/>
      <c r="PCP149" s="22"/>
      <c r="PCQ149" s="22"/>
      <c r="PCR149" s="22"/>
      <c r="PCS149" s="22"/>
      <c r="PCT149" s="22"/>
      <c r="PCU149" s="22"/>
      <c r="PCV149" s="22"/>
      <c r="PCW149" s="22"/>
      <c r="PCX149" s="22"/>
      <c r="PCY149" s="22"/>
      <c r="PCZ149" s="22"/>
      <c r="PDA149" s="22"/>
      <c r="PDB149" s="22"/>
      <c r="PDC149" s="22"/>
      <c r="PDD149" s="22"/>
      <c r="PDE149" s="22"/>
      <c r="PDF149" s="22"/>
      <c r="PDG149" s="22"/>
      <c r="PDH149" s="22"/>
      <c r="PDI149" s="22"/>
      <c r="PDJ149" s="22"/>
      <c r="PDK149" s="22"/>
      <c r="PDL149" s="22"/>
      <c r="PDM149" s="22"/>
      <c r="PDN149" s="22"/>
      <c r="PDO149" s="22"/>
      <c r="PDP149" s="22"/>
      <c r="PDQ149" s="22"/>
      <c r="PDR149" s="22"/>
      <c r="PDS149" s="22"/>
      <c r="PDT149" s="22"/>
      <c r="PDU149" s="22"/>
      <c r="PDV149" s="22"/>
      <c r="PDW149" s="22"/>
      <c r="PDX149" s="22"/>
      <c r="PDY149" s="22"/>
      <c r="PDZ149" s="22"/>
      <c r="PEA149" s="22"/>
      <c r="PEB149" s="22"/>
      <c r="PEC149" s="22"/>
      <c r="PED149" s="22"/>
      <c r="PEE149" s="22"/>
      <c r="PEF149" s="22"/>
      <c r="PEG149" s="22"/>
      <c r="PEH149" s="22"/>
      <c r="PEI149" s="22"/>
      <c r="PEJ149" s="22"/>
      <c r="PEK149" s="22"/>
      <c r="PEL149" s="22"/>
      <c r="PEM149" s="22"/>
      <c r="PEN149" s="22"/>
      <c r="PEO149" s="22"/>
      <c r="PEP149" s="22"/>
      <c r="PEQ149" s="22"/>
      <c r="PER149" s="22"/>
      <c r="PES149" s="22"/>
      <c r="PET149" s="22"/>
      <c r="PEU149" s="22"/>
      <c r="PEV149" s="22"/>
      <c r="PEW149" s="22"/>
      <c r="PEX149" s="22"/>
      <c r="PEY149" s="22"/>
      <c r="PEZ149" s="22"/>
      <c r="PFA149" s="22"/>
      <c r="PFB149" s="22"/>
      <c r="PFC149" s="22"/>
      <c r="PFD149" s="22"/>
      <c r="PFE149" s="22"/>
      <c r="PFF149" s="22"/>
      <c r="PFG149" s="22"/>
      <c r="PFH149" s="22"/>
      <c r="PFI149" s="22"/>
      <c r="PFJ149" s="22"/>
      <c r="PFK149" s="22"/>
      <c r="PFL149" s="22"/>
      <c r="PFM149" s="22"/>
      <c r="PFN149" s="22"/>
      <c r="PFO149" s="22"/>
      <c r="PFP149" s="22"/>
      <c r="PFQ149" s="22"/>
      <c r="PFR149" s="22"/>
      <c r="PFS149" s="22"/>
      <c r="PFT149" s="22"/>
      <c r="PFU149" s="22"/>
      <c r="PFV149" s="22"/>
      <c r="PFW149" s="22"/>
      <c r="PFX149" s="22"/>
      <c r="PFY149" s="22"/>
      <c r="PFZ149" s="22"/>
      <c r="PGA149" s="22"/>
      <c r="PGB149" s="22"/>
      <c r="PGC149" s="22"/>
      <c r="PGD149" s="22"/>
      <c r="PGE149" s="22"/>
      <c r="PGF149" s="22"/>
      <c r="PGG149" s="22"/>
      <c r="PGH149" s="22"/>
      <c r="PGI149" s="22"/>
      <c r="PGJ149" s="22"/>
      <c r="PGK149" s="22"/>
      <c r="PGL149" s="22"/>
      <c r="PGM149" s="22"/>
      <c r="PGN149" s="22"/>
      <c r="PGO149" s="22"/>
      <c r="PGP149" s="22"/>
      <c r="PGQ149" s="22"/>
      <c r="PGR149" s="22"/>
      <c r="PGS149" s="22"/>
      <c r="PGT149" s="22"/>
      <c r="PGU149" s="22"/>
      <c r="PGV149" s="22"/>
      <c r="PGW149" s="22"/>
      <c r="PGX149" s="22"/>
      <c r="PGY149" s="22"/>
      <c r="PGZ149" s="22"/>
      <c r="PHA149" s="22"/>
      <c r="PHB149" s="22"/>
      <c r="PHC149" s="22"/>
      <c r="PHD149" s="22"/>
      <c r="PHE149" s="22"/>
      <c r="PHF149" s="22"/>
      <c r="PHG149" s="22"/>
      <c r="PHH149" s="22"/>
      <c r="PHI149" s="22"/>
      <c r="PHJ149" s="22"/>
      <c r="PHK149" s="22"/>
      <c r="PHL149" s="22"/>
      <c r="PHM149" s="22"/>
      <c r="PHN149" s="22"/>
      <c r="PHO149" s="22"/>
      <c r="PHP149" s="22"/>
      <c r="PHQ149" s="22"/>
      <c r="PHR149" s="22"/>
      <c r="PHS149" s="22"/>
      <c r="PHT149" s="22"/>
      <c r="PHU149" s="22"/>
      <c r="PHV149" s="22"/>
      <c r="PHW149" s="22"/>
      <c r="PHX149" s="22"/>
      <c r="PHY149" s="22"/>
      <c r="PHZ149" s="22"/>
      <c r="PIA149" s="22"/>
      <c r="PIB149" s="22"/>
      <c r="PIC149" s="22"/>
      <c r="PID149" s="22"/>
      <c r="PIE149" s="22"/>
      <c r="PIF149" s="22"/>
      <c r="PIG149" s="22"/>
      <c r="PIH149" s="22"/>
      <c r="PII149" s="22"/>
      <c r="PIJ149" s="22"/>
      <c r="PIK149" s="22"/>
      <c r="PIL149" s="22"/>
      <c r="PIM149" s="22"/>
      <c r="PIN149" s="22"/>
      <c r="PIO149" s="22"/>
      <c r="PIP149" s="22"/>
      <c r="PIQ149" s="22"/>
      <c r="PIR149" s="22"/>
      <c r="PIS149" s="22"/>
      <c r="PIT149" s="22"/>
      <c r="PIU149" s="22"/>
      <c r="PIV149" s="22"/>
      <c r="PIW149" s="22"/>
      <c r="PIX149" s="22"/>
      <c r="PIY149" s="22"/>
      <c r="PIZ149" s="22"/>
      <c r="PJA149" s="22"/>
      <c r="PJB149" s="22"/>
      <c r="PJC149" s="22"/>
      <c r="PJD149" s="22"/>
      <c r="PJE149" s="22"/>
      <c r="PJF149" s="22"/>
      <c r="PJG149" s="22"/>
      <c r="PJH149" s="22"/>
      <c r="PJI149" s="22"/>
      <c r="PJJ149" s="22"/>
      <c r="PJK149" s="22"/>
      <c r="PJL149" s="22"/>
      <c r="PJM149" s="22"/>
      <c r="PJN149" s="22"/>
      <c r="PJO149" s="22"/>
      <c r="PJP149" s="22"/>
      <c r="PJQ149" s="22"/>
      <c r="PJR149" s="22"/>
      <c r="PJS149" s="22"/>
      <c r="PJT149" s="22"/>
      <c r="PJU149" s="22"/>
      <c r="PJV149" s="22"/>
      <c r="PJW149" s="22"/>
      <c r="PJX149" s="22"/>
      <c r="PJY149" s="22"/>
      <c r="PJZ149" s="22"/>
      <c r="PKA149" s="22"/>
      <c r="PKB149" s="22"/>
      <c r="PKC149" s="22"/>
      <c r="PKD149" s="22"/>
      <c r="PKE149" s="22"/>
      <c r="PKF149" s="22"/>
      <c r="PKG149" s="22"/>
      <c r="PKH149" s="22"/>
      <c r="PKI149" s="22"/>
      <c r="PKJ149" s="22"/>
      <c r="PKK149" s="22"/>
      <c r="PKL149" s="22"/>
      <c r="PKM149" s="22"/>
      <c r="PKN149" s="22"/>
      <c r="PKO149" s="22"/>
      <c r="PKP149" s="22"/>
      <c r="PKQ149" s="22"/>
      <c r="PKR149" s="22"/>
      <c r="PKS149" s="22"/>
      <c r="PKT149" s="22"/>
      <c r="PKU149" s="22"/>
      <c r="PKV149" s="22"/>
      <c r="PKW149" s="22"/>
      <c r="PKX149" s="22"/>
      <c r="PKY149" s="22"/>
      <c r="PKZ149" s="22"/>
      <c r="PLA149" s="22"/>
      <c r="PLB149" s="22"/>
      <c r="PLC149" s="22"/>
      <c r="PLD149" s="22"/>
      <c r="PLE149" s="22"/>
      <c r="PLF149" s="22"/>
      <c r="PLG149" s="22"/>
      <c r="PLH149" s="22"/>
      <c r="PLI149" s="22"/>
      <c r="PLJ149" s="22"/>
      <c r="PLK149" s="22"/>
      <c r="PLL149" s="22"/>
      <c r="PLM149" s="22"/>
      <c r="PLN149" s="22"/>
      <c r="PLO149" s="22"/>
      <c r="PLP149" s="22"/>
      <c r="PLQ149" s="22"/>
      <c r="PLR149" s="22"/>
      <c r="PLS149" s="22"/>
      <c r="PLT149" s="22"/>
      <c r="PLU149" s="22"/>
      <c r="PLV149" s="22"/>
      <c r="PLW149" s="22"/>
      <c r="PLX149" s="22"/>
      <c r="PLY149" s="22"/>
      <c r="PLZ149" s="22"/>
      <c r="PMA149" s="22"/>
      <c r="PMB149" s="22"/>
      <c r="PMC149" s="22"/>
      <c r="PMD149" s="22"/>
      <c r="PME149" s="22"/>
      <c r="PMF149" s="22"/>
      <c r="PMG149" s="22"/>
      <c r="PMH149" s="22"/>
      <c r="PMI149" s="22"/>
      <c r="PMJ149" s="22"/>
      <c r="PMK149" s="22"/>
      <c r="PML149" s="22"/>
      <c r="PMM149" s="22"/>
      <c r="PMN149" s="22"/>
      <c r="PMO149" s="22"/>
      <c r="PMP149" s="22"/>
      <c r="PMQ149" s="22"/>
      <c r="PMR149" s="22"/>
      <c r="PMS149" s="22"/>
      <c r="PMT149" s="22"/>
      <c r="PMU149" s="22"/>
      <c r="PMV149" s="22"/>
      <c r="PMW149" s="22"/>
      <c r="PMX149" s="22"/>
      <c r="PMY149" s="22"/>
      <c r="PMZ149" s="22"/>
      <c r="PNA149" s="22"/>
      <c r="PNB149" s="22"/>
      <c r="PNC149" s="22"/>
      <c r="PND149" s="22"/>
      <c r="PNE149" s="22"/>
      <c r="PNF149" s="22"/>
      <c r="PNG149" s="22"/>
      <c r="PNH149" s="22"/>
      <c r="PNI149" s="22"/>
      <c r="PNJ149" s="22"/>
      <c r="PNK149" s="22"/>
      <c r="PNL149" s="22"/>
      <c r="PNM149" s="22"/>
      <c r="PNN149" s="22"/>
      <c r="PNO149" s="22"/>
      <c r="PNP149" s="22"/>
      <c r="PNQ149" s="22"/>
      <c r="PNR149" s="22"/>
      <c r="PNS149" s="22"/>
      <c r="PNT149" s="22"/>
      <c r="PNU149" s="22"/>
      <c r="PNV149" s="22"/>
      <c r="PNW149" s="22"/>
      <c r="PNX149" s="22"/>
      <c r="PNY149" s="22"/>
      <c r="PNZ149" s="22"/>
      <c r="POA149" s="22"/>
      <c r="POB149" s="22"/>
      <c r="POC149" s="22"/>
      <c r="POD149" s="22"/>
      <c r="POE149" s="22"/>
      <c r="POF149" s="22"/>
      <c r="POG149" s="22"/>
      <c r="POH149" s="22"/>
      <c r="POI149" s="22"/>
      <c r="POJ149" s="22"/>
      <c r="POK149" s="22"/>
      <c r="POL149" s="22"/>
      <c r="POM149" s="22"/>
      <c r="PON149" s="22"/>
      <c r="POO149" s="22"/>
      <c r="POP149" s="22"/>
      <c r="POQ149" s="22"/>
      <c r="POR149" s="22"/>
      <c r="POS149" s="22"/>
      <c r="POT149" s="22"/>
      <c r="POU149" s="22"/>
      <c r="POV149" s="22"/>
      <c r="POW149" s="22"/>
      <c r="POX149" s="22"/>
      <c r="POY149" s="22"/>
      <c r="POZ149" s="22"/>
      <c r="PPA149" s="22"/>
      <c r="PPB149" s="22"/>
      <c r="PPC149" s="22"/>
      <c r="PPD149" s="22"/>
      <c r="PPE149" s="22"/>
      <c r="PPF149" s="22"/>
      <c r="PPG149" s="22"/>
      <c r="PPH149" s="22"/>
      <c r="PPI149" s="22"/>
      <c r="PPJ149" s="22"/>
      <c r="PPK149" s="22"/>
      <c r="PPL149" s="22"/>
      <c r="PPM149" s="22"/>
      <c r="PPN149" s="22"/>
      <c r="PPO149" s="22"/>
      <c r="PPP149" s="22"/>
      <c r="PPQ149" s="22"/>
      <c r="PPR149" s="22"/>
      <c r="PPS149" s="22"/>
      <c r="PPT149" s="22"/>
      <c r="PPU149" s="22"/>
      <c r="PPV149" s="22"/>
      <c r="PPW149" s="22"/>
      <c r="PPX149" s="22"/>
      <c r="PPY149" s="22"/>
      <c r="PPZ149" s="22"/>
      <c r="PQA149" s="22"/>
      <c r="PQB149" s="22"/>
      <c r="PQC149" s="22"/>
      <c r="PQD149" s="22"/>
      <c r="PQE149" s="22"/>
      <c r="PQF149" s="22"/>
      <c r="PQG149" s="22"/>
      <c r="PQH149" s="22"/>
      <c r="PQI149" s="22"/>
      <c r="PQJ149" s="22"/>
      <c r="PQK149" s="22"/>
      <c r="PQL149" s="22"/>
      <c r="PQM149" s="22"/>
      <c r="PQN149" s="22"/>
      <c r="PQO149" s="22"/>
      <c r="PQP149" s="22"/>
      <c r="PQQ149" s="22"/>
      <c r="PQR149" s="22"/>
      <c r="PQS149" s="22"/>
      <c r="PQT149" s="22"/>
      <c r="PQU149" s="22"/>
      <c r="PQV149" s="22"/>
      <c r="PQW149" s="22"/>
      <c r="PQX149" s="22"/>
      <c r="PQY149" s="22"/>
      <c r="PQZ149" s="22"/>
      <c r="PRA149" s="22"/>
      <c r="PRB149" s="22"/>
      <c r="PRC149" s="22"/>
      <c r="PRD149" s="22"/>
      <c r="PRE149" s="22"/>
      <c r="PRF149" s="22"/>
      <c r="PRG149" s="22"/>
      <c r="PRH149" s="22"/>
      <c r="PRI149" s="22"/>
      <c r="PRJ149" s="22"/>
      <c r="PRK149" s="22"/>
      <c r="PRL149" s="22"/>
      <c r="PRM149" s="22"/>
      <c r="PRN149" s="22"/>
      <c r="PRO149" s="22"/>
      <c r="PRP149" s="22"/>
      <c r="PRQ149" s="22"/>
      <c r="PRR149" s="22"/>
      <c r="PRS149" s="22"/>
      <c r="PRT149" s="22"/>
      <c r="PRU149" s="22"/>
      <c r="PRV149" s="22"/>
      <c r="PRW149" s="22"/>
      <c r="PRX149" s="22"/>
      <c r="PRY149" s="22"/>
      <c r="PRZ149" s="22"/>
      <c r="PSA149" s="22"/>
      <c r="PSB149" s="22"/>
      <c r="PSC149" s="22"/>
      <c r="PSD149" s="22"/>
      <c r="PSE149" s="22"/>
      <c r="PSF149" s="22"/>
      <c r="PSG149" s="22"/>
      <c r="PSH149" s="22"/>
      <c r="PSI149" s="22"/>
      <c r="PSJ149" s="22"/>
      <c r="PSK149" s="22"/>
      <c r="PSL149" s="22"/>
      <c r="PSM149" s="22"/>
      <c r="PSN149" s="22"/>
      <c r="PSO149" s="22"/>
      <c r="PSP149" s="22"/>
      <c r="PSQ149" s="22"/>
      <c r="PSR149" s="22"/>
      <c r="PSS149" s="22"/>
      <c r="PST149" s="22"/>
      <c r="PSU149" s="22"/>
      <c r="PSV149" s="22"/>
      <c r="PSW149" s="22"/>
      <c r="PSX149" s="22"/>
      <c r="PSY149" s="22"/>
      <c r="PSZ149" s="22"/>
      <c r="PTA149" s="22"/>
      <c r="PTB149" s="22"/>
      <c r="PTC149" s="22"/>
      <c r="PTD149" s="22"/>
      <c r="PTE149" s="22"/>
      <c r="PTF149" s="22"/>
      <c r="PTG149" s="22"/>
      <c r="PTH149" s="22"/>
      <c r="PTI149" s="22"/>
      <c r="PTJ149" s="22"/>
      <c r="PTK149" s="22"/>
      <c r="PTL149" s="22"/>
      <c r="PTM149" s="22"/>
      <c r="PTN149" s="22"/>
      <c r="PTO149" s="22"/>
      <c r="PTP149" s="22"/>
      <c r="PTQ149" s="22"/>
      <c r="PTR149" s="22"/>
      <c r="PTS149" s="22"/>
      <c r="PTT149" s="22"/>
      <c r="PTU149" s="22"/>
      <c r="PTV149" s="22"/>
      <c r="PTW149" s="22"/>
      <c r="PTX149" s="22"/>
      <c r="PTY149" s="22"/>
      <c r="PTZ149" s="22"/>
      <c r="PUA149" s="22"/>
      <c r="PUB149" s="22"/>
      <c r="PUC149" s="22"/>
      <c r="PUD149" s="22"/>
      <c r="PUE149" s="22"/>
      <c r="PUF149" s="22"/>
      <c r="PUG149" s="22"/>
      <c r="PUH149" s="22"/>
      <c r="PUI149" s="22"/>
      <c r="PUJ149" s="22"/>
      <c r="PUK149" s="22"/>
      <c r="PUL149" s="22"/>
      <c r="PUM149" s="22"/>
      <c r="PUN149" s="22"/>
      <c r="PUO149" s="22"/>
      <c r="PUP149" s="22"/>
      <c r="PUQ149" s="22"/>
      <c r="PUR149" s="22"/>
      <c r="PUS149" s="22"/>
      <c r="PUT149" s="22"/>
      <c r="PUU149" s="22"/>
      <c r="PUV149" s="22"/>
      <c r="PUW149" s="22"/>
      <c r="PUX149" s="22"/>
      <c r="PUY149" s="22"/>
      <c r="PUZ149" s="22"/>
      <c r="PVA149" s="22"/>
      <c r="PVB149" s="22"/>
      <c r="PVC149" s="22"/>
      <c r="PVD149" s="22"/>
      <c r="PVE149" s="22"/>
      <c r="PVF149" s="22"/>
      <c r="PVG149" s="22"/>
      <c r="PVH149" s="22"/>
      <c r="PVI149" s="22"/>
      <c r="PVJ149" s="22"/>
      <c r="PVK149" s="22"/>
      <c r="PVL149" s="22"/>
      <c r="PVM149" s="22"/>
      <c r="PVN149" s="22"/>
      <c r="PVO149" s="22"/>
      <c r="PVP149" s="22"/>
      <c r="PVQ149" s="22"/>
      <c r="PVR149" s="22"/>
      <c r="PVS149" s="22"/>
      <c r="PVT149" s="22"/>
      <c r="PVU149" s="22"/>
      <c r="PVV149" s="22"/>
      <c r="PVW149" s="22"/>
      <c r="PVX149" s="22"/>
      <c r="PVY149" s="22"/>
      <c r="PVZ149" s="22"/>
      <c r="PWA149" s="22"/>
      <c r="PWB149" s="22"/>
      <c r="PWC149" s="22"/>
      <c r="PWD149" s="22"/>
      <c r="PWE149" s="22"/>
      <c r="PWF149" s="22"/>
      <c r="PWG149" s="22"/>
      <c r="PWH149" s="22"/>
      <c r="PWI149" s="22"/>
      <c r="PWJ149" s="22"/>
      <c r="PWK149" s="22"/>
      <c r="PWL149" s="22"/>
      <c r="PWM149" s="22"/>
      <c r="PWN149" s="22"/>
      <c r="PWO149" s="22"/>
      <c r="PWP149" s="22"/>
      <c r="PWQ149" s="22"/>
      <c r="PWR149" s="22"/>
      <c r="PWS149" s="22"/>
      <c r="PWT149" s="22"/>
      <c r="PWU149" s="22"/>
      <c r="PWV149" s="22"/>
      <c r="PWW149" s="22"/>
      <c r="PWX149" s="22"/>
      <c r="PWY149" s="22"/>
      <c r="PWZ149" s="22"/>
      <c r="PXA149" s="22"/>
      <c r="PXB149" s="22"/>
      <c r="PXC149" s="22"/>
      <c r="PXD149" s="22"/>
      <c r="PXE149" s="22"/>
      <c r="PXF149" s="22"/>
      <c r="PXG149" s="22"/>
      <c r="PXH149" s="22"/>
      <c r="PXI149" s="22"/>
      <c r="PXJ149" s="22"/>
      <c r="PXK149" s="22"/>
      <c r="PXL149" s="22"/>
      <c r="PXM149" s="22"/>
      <c r="PXN149" s="22"/>
      <c r="PXO149" s="22"/>
      <c r="PXP149" s="22"/>
      <c r="PXQ149" s="22"/>
      <c r="PXR149" s="22"/>
      <c r="PXS149" s="22"/>
      <c r="PXT149" s="22"/>
      <c r="PXU149" s="22"/>
      <c r="PXV149" s="22"/>
      <c r="PXW149" s="22"/>
      <c r="PXX149" s="22"/>
      <c r="PXY149" s="22"/>
      <c r="PXZ149" s="22"/>
      <c r="PYA149" s="22"/>
      <c r="PYB149" s="22"/>
      <c r="PYC149" s="22"/>
      <c r="PYD149" s="22"/>
      <c r="PYE149" s="22"/>
      <c r="PYF149" s="22"/>
      <c r="PYG149" s="22"/>
      <c r="PYH149" s="22"/>
      <c r="PYI149" s="22"/>
      <c r="PYJ149" s="22"/>
      <c r="PYK149" s="22"/>
      <c r="PYL149" s="22"/>
      <c r="PYM149" s="22"/>
      <c r="PYN149" s="22"/>
      <c r="PYO149" s="22"/>
      <c r="PYP149" s="22"/>
      <c r="PYQ149" s="22"/>
      <c r="PYR149" s="22"/>
      <c r="PYS149" s="22"/>
      <c r="PYT149" s="22"/>
      <c r="PYU149" s="22"/>
      <c r="PYV149" s="22"/>
      <c r="PYW149" s="22"/>
      <c r="PYX149" s="22"/>
      <c r="PYY149" s="22"/>
      <c r="PYZ149" s="22"/>
      <c r="PZA149" s="22"/>
      <c r="PZB149" s="22"/>
      <c r="PZC149" s="22"/>
      <c r="PZD149" s="22"/>
      <c r="PZE149" s="22"/>
      <c r="PZF149" s="22"/>
      <c r="PZG149" s="22"/>
      <c r="PZH149" s="22"/>
      <c r="PZI149" s="22"/>
      <c r="PZJ149" s="22"/>
      <c r="PZK149" s="22"/>
      <c r="PZL149" s="22"/>
      <c r="PZM149" s="22"/>
      <c r="PZN149" s="22"/>
      <c r="PZO149" s="22"/>
      <c r="PZP149" s="22"/>
      <c r="PZQ149" s="22"/>
      <c r="PZR149" s="22"/>
      <c r="PZS149" s="22"/>
      <c r="PZT149" s="22"/>
      <c r="PZU149" s="22"/>
      <c r="PZV149" s="22"/>
      <c r="PZW149" s="22"/>
      <c r="PZX149" s="22"/>
      <c r="PZY149" s="22"/>
      <c r="PZZ149" s="22"/>
      <c r="QAA149" s="22"/>
      <c r="QAB149" s="22"/>
      <c r="QAC149" s="22"/>
      <c r="QAD149" s="22"/>
      <c r="QAE149" s="22"/>
      <c r="QAF149" s="22"/>
      <c r="QAG149" s="22"/>
      <c r="QAH149" s="22"/>
      <c r="QAI149" s="22"/>
      <c r="QAJ149" s="22"/>
      <c r="QAK149" s="22"/>
      <c r="QAL149" s="22"/>
      <c r="QAM149" s="22"/>
      <c r="QAN149" s="22"/>
      <c r="QAO149" s="22"/>
      <c r="QAP149" s="22"/>
      <c r="QAQ149" s="22"/>
      <c r="QAR149" s="22"/>
      <c r="QAS149" s="22"/>
      <c r="QAT149" s="22"/>
      <c r="QAU149" s="22"/>
      <c r="QAV149" s="22"/>
      <c r="QAW149" s="22"/>
      <c r="QAX149" s="22"/>
      <c r="QAY149" s="22"/>
      <c r="QAZ149" s="22"/>
      <c r="QBA149" s="22"/>
      <c r="QBB149" s="22"/>
      <c r="QBC149" s="22"/>
      <c r="QBD149" s="22"/>
      <c r="QBE149" s="22"/>
      <c r="QBF149" s="22"/>
      <c r="QBG149" s="22"/>
      <c r="QBH149" s="22"/>
      <c r="QBI149" s="22"/>
      <c r="QBJ149" s="22"/>
      <c r="QBK149" s="22"/>
      <c r="QBL149" s="22"/>
      <c r="QBM149" s="22"/>
      <c r="QBN149" s="22"/>
      <c r="QBO149" s="22"/>
      <c r="QBP149" s="22"/>
      <c r="QBQ149" s="22"/>
      <c r="QBR149" s="22"/>
      <c r="QBS149" s="22"/>
      <c r="QBT149" s="22"/>
      <c r="QBU149" s="22"/>
      <c r="QBV149" s="22"/>
      <c r="QBW149" s="22"/>
      <c r="QBX149" s="22"/>
      <c r="QBY149" s="22"/>
      <c r="QBZ149" s="22"/>
      <c r="QCA149" s="22"/>
      <c r="QCB149" s="22"/>
      <c r="QCC149" s="22"/>
      <c r="QCD149" s="22"/>
      <c r="QCE149" s="22"/>
      <c r="QCF149" s="22"/>
      <c r="QCG149" s="22"/>
      <c r="QCH149" s="22"/>
      <c r="QCI149" s="22"/>
      <c r="QCJ149" s="22"/>
      <c r="QCK149" s="22"/>
      <c r="QCL149" s="22"/>
      <c r="QCM149" s="22"/>
      <c r="QCN149" s="22"/>
      <c r="QCO149" s="22"/>
      <c r="QCP149" s="22"/>
      <c r="QCQ149" s="22"/>
      <c r="QCR149" s="22"/>
      <c r="QCS149" s="22"/>
      <c r="QCT149" s="22"/>
      <c r="QCU149" s="22"/>
      <c r="QCV149" s="22"/>
      <c r="QCW149" s="22"/>
      <c r="QCX149" s="22"/>
      <c r="QCY149" s="22"/>
      <c r="QCZ149" s="22"/>
      <c r="QDA149" s="22"/>
      <c r="QDB149" s="22"/>
      <c r="QDC149" s="22"/>
      <c r="QDD149" s="22"/>
      <c r="QDE149" s="22"/>
      <c r="QDF149" s="22"/>
      <c r="QDG149" s="22"/>
      <c r="QDH149" s="22"/>
      <c r="QDI149" s="22"/>
      <c r="QDJ149" s="22"/>
      <c r="QDK149" s="22"/>
      <c r="QDL149" s="22"/>
      <c r="QDM149" s="22"/>
      <c r="QDN149" s="22"/>
      <c r="QDO149" s="22"/>
      <c r="QDP149" s="22"/>
      <c r="QDQ149" s="22"/>
      <c r="QDR149" s="22"/>
      <c r="QDS149" s="22"/>
      <c r="QDT149" s="22"/>
      <c r="QDU149" s="22"/>
      <c r="QDV149" s="22"/>
      <c r="QDW149" s="22"/>
      <c r="QDX149" s="22"/>
      <c r="QDY149" s="22"/>
      <c r="QDZ149" s="22"/>
      <c r="QEA149" s="22"/>
      <c r="QEB149" s="22"/>
      <c r="QEC149" s="22"/>
      <c r="QED149" s="22"/>
      <c r="QEE149" s="22"/>
      <c r="QEF149" s="22"/>
      <c r="QEG149" s="22"/>
      <c r="QEH149" s="22"/>
      <c r="QEI149" s="22"/>
      <c r="QEJ149" s="22"/>
      <c r="QEK149" s="22"/>
      <c r="QEL149" s="22"/>
      <c r="QEM149" s="22"/>
      <c r="QEN149" s="22"/>
      <c r="QEO149" s="22"/>
      <c r="QEP149" s="22"/>
      <c r="QEQ149" s="22"/>
      <c r="QER149" s="22"/>
      <c r="QES149" s="22"/>
      <c r="QET149" s="22"/>
      <c r="QEU149" s="22"/>
      <c r="QEV149" s="22"/>
      <c r="QEW149" s="22"/>
      <c r="QEX149" s="22"/>
      <c r="QEY149" s="22"/>
      <c r="QEZ149" s="22"/>
      <c r="QFA149" s="22"/>
      <c r="QFB149" s="22"/>
      <c r="QFC149" s="22"/>
      <c r="QFD149" s="22"/>
      <c r="QFE149" s="22"/>
      <c r="QFF149" s="22"/>
      <c r="QFG149" s="22"/>
      <c r="QFH149" s="22"/>
      <c r="QFI149" s="22"/>
      <c r="QFJ149" s="22"/>
      <c r="QFK149" s="22"/>
      <c r="QFL149" s="22"/>
      <c r="QFM149" s="22"/>
      <c r="QFN149" s="22"/>
      <c r="QFO149" s="22"/>
      <c r="QFP149" s="22"/>
      <c r="QFQ149" s="22"/>
      <c r="QFR149" s="22"/>
      <c r="QFS149" s="22"/>
      <c r="QFT149" s="22"/>
      <c r="QFU149" s="22"/>
      <c r="QFV149" s="22"/>
      <c r="QFW149" s="22"/>
      <c r="QFX149" s="22"/>
      <c r="QFY149" s="22"/>
      <c r="QFZ149" s="22"/>
      <c r="QGA149" s="22"/>
      <c r="QGB149" s="22"/>
      <c r="QGC149" s="22"/>
      <c r="QGD149" s="22"/>
      <c r="QGE149" s="22"/>
      <c r="QGF149" s="22"/>
      <c r="QGG149" s="22"/>
      <c r="QGH149" s="22"/>
      <c r="QGI149" s="22"/>
      <c r="QGJ149" s="22"/>
      <c r="QGK149" s="22"/>
      <c r="QGL149" s="22"/>
      <c r="QGM149" s="22"/>
      <c r="QGN149" s="22"/>
      <c r="QGO149" s="22"/>
      <c r="QGP149" s="22"/>
      <c r="QGQ149" s="22"/>
      <c r="QGR149" s="22"/>
      <c r="QGS149" s="22"/>
      <c r="QGT149" s="22"/>
      <c r="QGU149" s="22"/>
      <c r="QGV149" s="22"/>
      <c r="QGW149" s="22"/>
      <c r="QGX149" s="22"/>
      <c r="QGY149" s="22"/>
      <c r="QGZ149" s="22"/>
      <c r="QHA149" s="22"/>
      <c r="QHB149" s="22"/>
      <c r="QHC149" s="22"/>
      <c r="QHD149" s="22"/>
      <c r="QHE149" s="22"/>
      <c r="QHF149" s="22"/>
      <c r="QHG149" s="22"/>
      <c r="QHH149" s="22"/>
      <c r="QHI149" s="22"/>
      <c r="QHJ149" s="22"/>
      <c r="QHK149" s="22"/>
      <c r="QHL149" s="22"/>
      <c r="QHM149" s="22"/>
      <c r="QHN149" s="22"/>
      <c r="QHO149" s="22"/>
      <c r="QHP149" s="22"/>
      <c r="QHQ149" s="22"/>
      <c r="QHR149" s="22"/>
      <c r="QHS149" s="22"/>
      <c r="QHT149" s="22"/>
      <c r="QHU149" s="22"/>
      <c r="QHV149" s="22"/>
      <c r="QHW149" s="22"/>
      <c r="QHX149" s="22"/>
      <c r="QHY149" s="22"/>
      <c r="QHZ149" s="22"/>
      <c r="QIA149" s="22"/>
      <c r="QIB149" s="22"/>
      <c r="QIC149" s="22"/>
      <c r="QID149" s="22"/>
      <c r="QIE149" s="22"/>
      <c r="QIF149" s="22"/>
      <c r="QIG149" s="22"/>
      <c r="QIH149" s="22"/>
      <c r="QII149" s="22"/>
      <c r="QIJ149" s="22"/>
      <c r="QIK149" s="22"/>
      <c r="QIL149" s="22"/>
      <c r="QIM149" s="22"/>
      <c r="QIN149" s="22"/>
      <c r="QIO149" s="22"/>
      <c r="QIP149" s="22"/>
      <c r="QIQ149" s="22"/>
      <c r="QIR149" s="22"/>
      <c r="QIS149" s="22"/>
      <c r="QIT149" s="22"/>
      <c r="QIU149" s="22"/>
      <c r="QIV149" s="22"/>
      <c r="QIW149" s="22"/>
      <c r="QIX149" s="22"/>
      <c r="QIY149" s="22"/>
      <c r="QIZ149" s="22"/>
      <c r="QJA149" s="22"/>
      <c r="QJB149" s="22"/>
      <c r="QJC149" s="22"/>
      <c r="QJD149" s="22"/>
      <c r="QJE149" s="22"/>
      <c r="QJF149" s="22"/>
      <c r="QJG149" s="22"/>
      <c r="QJH149" s="22"/>
      <c r="QJI149" s="22"/>
      <c r="QJJ149" s="22"/>
      <c r="QJK149" s="22"/>
      <c r="QJL149" s="22"/>
      <c r="QJM149" s="22"/>
      <c r="QJN149" s="22"/>
      <c r="QJO149" s="22"/>
      <c r="QJP149" s="22"/>
      <c r="QJQ149" s="22"/>
      <c r="QJR149" s="22"/>
      <c r="QJS149" s="22"/>
      <c r="QJT149" s="22"/>
      <c r="QJU149" s="22"/>
      <c r="QJV149" s="22"/>
      <c r="QJW149" s="22"/>
      <c r="QJX149" s="22"/>
      <c r="QJY149" s="22"/>
      <c r="QJZ149" s="22"/>
      <c r="QKA149" s="22"/>
      <c r="QKB149" s="22"/>
      <c r="QKC149" s="22"/>
      <c r="QKD149" s="22"/>
      <c r="QKE149" s="22"/>
      <c r="QKF149" s="22"/>
      <c r="QKG149" s="22"/>
      <c r="QKH149" s="22"/>
      <c r="QKI149" s="22"/>
      <c r="QKJ149" s="22"/>
      <c r="QKK149" s="22"/>
      <c r="QKL149" s="22"/>
      <c r="QKM149" s="22"/>
      <c r="QKN149" s="22"/>
      <c r="QKO149" s="22"/>
      <c r="QKP149" s="22"/>
      <c r="QKQ149" s="22"/>
      <c r="QKR149" s="22"/>
      <c r="QKS149" s="22"/>
      <c r="QKT149" s="22"/>
      <c r="QKU149" s="22"/>
      <c r="QKV149" s="22"/>
      <c r="QKW149" s="22"/>
      <c r="QKX149" s="22"/>
      <c r="QKY149" s="22"/>
      <c r="QKZ149" s="22"/>
      <c r="QLA149" s="22"/>
      <c r="QLB149" s="22"/>
      <c r="QLC149" s="22"/>
      <c r="QLD149" s="22"/>
      <c r="QLE149" s="22"/>
      <c r="QLF149" s="22"/>
      <c r="QLG149" s="22"/>
      <c r="QLH149" s="22"/>
      <c r="QLI149" s="22"/>
      <c r="QLJ149" s="22"/>
      <c r="QLK149" s="22"/>
      <c r="QLL149" s="22"/>
      <c r="QLM149" s="22"/>
      <c r="QLN149" s="22"/>
      <c r="QLO149" s="22"/>
      <c r="QLP149" s="22"/>
      <c r="QLQ149" s="22"/>
      <c r="QLR149" s="22"/>
      <c r="QLS149" s="22"/>
      <c r="QLT149" s="22"/>
      <c r="QLU149" s="22"/>
      <c r="QLV149" s="22"/>
      <c r="QLW149" s="22"/>
      <c r="QLX149" s="22"/>
      <c r="QLY149" s="22"/>
      <c r="QLZ149" s="22"/>
      <c r="QMA149" s="22"/>
      <c r="QMB149" s="22"/>
      <c r="QMC149" s="22"/>
      <c r="QMD149" s="22"/>
      <c r="QME149" s="22"/>
      <c r="QMF149" s="22"/>
      <c r="QMG149" s="22"/>
      <c r="QMH149" s="22"/>
      <c r="QMI149" s="22"/>
      <c r="QMJ149" s="22"/>
      <c r="QMK149" s="22"/>
      <c r="QML149" s="22"/>
      <c r="QMM149" s="22"/>
      <c r="QMN149" s="22"/>
      <c r="QMO149" s="22"/>
      <c r="QMP149" s="22"/>
      <c r="QMQ149" s="22"/>
      <c r="QMR149" s="22"/>
      <c r="QMS149" s="22"/>
      <c r="QMT149" s="22"/>
      <c r="QMU149" s="22"/>
      <c r="QMV149" s="22"/>
      <c r="QMW149" s="22"/>
      <c r="QMX149" s="22"/>
      <c r="QMY149" s="22"/>
      <c r="QMZ149" s="22"/>
      <c r="QNA149" s="22"/>
      <c r="QNB149" s="22"/>
      <c r="QNC149" s="22"/>
      <c r="QND149" s="22"/>
      <c r="QNE149" s="22"/>
      <c r="QNF149" s="22"/>
      <c r="QNG149" s="22"/>
      <c r="QNH149" s="22"/>
      <c r="QNI149" s="22"/>
      <c r="QNJ149" s="22"/>
      <c r="QNK149" s="22"/>
      <c r="QNL149" s="22"/>
      <c r="QNM149" s="22"/>
      <c r="QNN149" s="22"/>
      <c r="QNO149" s="22"/>
      <c r="QNP149" s="22"/>
      <c r="QNQ149" s="22"/>
      <c r="QNR149" s="22"/>
      <c r="QNS149" s="22"/>
      <c r="QNT149" s="22"/>
      <c r="QNU149" s="22"/>
      <c r="QNV149" s="22"/>
      <c r="QNW149" s="22"/>
      <c r="QNX149" s="22"/>
      <c r="QNY149" s="22"/>
      <c r="QNZ149" s="22"/>
      <c r="QOA149" s="22"/>
      <c r="QOB149" s="22"/>
      <c r="QOC149" s="22"/>
      <c r="QOD149" s="22"/>
      <c r="QOE149" s="22"/>
      <c r="QOF149" s="22"/>
      <c r="QOG149" s="22"/>
      <c r="QOH149" s="22"/>
      <c r="QOI149" s="22"/>
      <c r="QOJ149" s="22"/>
      <c r="QOK149" s="22"/>
      <c r="QOL149" s="22"/>
      <c r="QOM149" s="22"/>
      <c r="QON149" s="22"/>
      <c r="QOO149" s="22"/>
      <c r="QOP149" s="22"/>
      <c r="QOQ149" s="22"/>
      <c r="QOR149" s="22"/>
      <c r="QOS149" s="22"/>
      <c r="QOT149" s="22"/>
      <c r="QOU149" s="22"/>
      <c r="QOV149" s="22"/>
      <c r="QOW149" s="22"/>
      <c r="QOX149" s="22"/>
      <c r="QOY149" s="22"/>
      <c r="QOZ149" s="22"/>
      <c r="QPA149" s="22"/>
      <c r="QPB149" s="22"/>
      <c r="QPC149" s="22"/>
      <c r="QPD149" s="22"/>
      <c r="QPE149" s="22"/>
      <c r="QPF149" s="22"/>
      <c r="QPG149" s="22"/>
      <c r="QPH149" s="22"/>
      <c r="QPI149" s="22"/>
      <c r="QPJ149" s="22"/>
      <c r="QPK149" s="22"/>
      <c r="QPL149" s="22"/>
      <c r="QPM149" s="22"/>
      <c r="QPN149" s="22"/>
      <c r="QPO149" s="22"/>
      <c r="QPP149" s="22"/>
      <c r="QPQ149" s="22"/>
      <c r="QPR149" s="22"/>
      <c r="QPS149" s="22"/>
      <c r="QPT149" s="22"/>
      <c r="QPU149" s="22"/>
      <c r="QPV149" s="22"/>
      <c r="QPW149" s="22"/>
      <c r="QPX149" s="22"/>
      <c r="QPY149" s="22"/>
      <c r="QPZ149" s="22"/>
      <c r="QQA149" s="22"/>
      <c r="QQB149" s="22"/>
      <c r="QQC149" s="22"/>
      <c r="QQD149" s="22"/>
      <c r="QQE149" s="22"/>
      <c r="QQF149" s="22"/>
      <c r="QQG149" s="22"/>
      <c r="QQH149" s="22"/>
      <c r="QQI149" s="22"/>
      <c r="QQJ149" s="22"/>
      <c r="QQK149" s="22"/>
      <c r="QQL149" s="22"/>
      <c r="QQM149" s="22"/>
      <c r="QQN149" s="22"/>
      <c r="QQO149" s="22"/>
      <c r="QQP149" s="22"/>
      <c r="QQQ149" s="22"/>
      <c r="QQR149" s="22"/>
      <c r="QQS149" s="22"/>
      <c r="QQT149" s="22"/>
      <c r="QQU149" s="22"/>
      <c r="QQV149" s="22"/>
      <c r="QQW149" s="22"/>
      <c r="QQX149" s="22"/>
      <c r="QQY149" s="22"/>
      <c r="QQZ149" s="22"/>
      <c r="QRA149" s="22"/>
      <c r="QRB149" s="22"/>
      <c r="QRC149" s="22"/>
      <c r="QRD149" s="22"/>
      <c r="QRE149" s="22"/>
      <c r="QRF149" s="22"/>
      <c r="QRG149" s="22"/>
      <c r="QRH149" s="22"/>
      <c r="QRI149" s="22"/>
      <c r="QRJ149" s="22"/>
      <c r="QRK149" s="22"/>
      <c r="QRL149" s="22"/>
      <c r="QRM149" s="22"/>
      <c r="QRN149" s="22"/>
      <c r="QRO149" s="22"/>
      <c r="QRP149" s="22"/>
      <c r="QRQ149" s="22"/>
      <c r="QRR149" s="22"/>
      <c r="QRS149" s="22"/>
      <c r="QRT149" s="22"/>
      <c r="QRU149" s="22"/>
      <c r="QRV149" s="22"/>
      <c r="QRW149" s="22"/>
      <c r="QRX149" s="22"/>
      <c r="QRY149" s="22"/>
      <c r="QRZ149" s="22"/>
      <c r="QSA149" s="22"/>
      <c r="QSB149" s="22"/>
      <c r="QSC149" s="22"/>
      <c r="QSD149" s="22"/>
      <c r="QSE149" s="22"/>
      <c r="QSF149" s="22"/>
      <c r="QSG149" s="22"/>
      <c r="QSH149" s="22"/>
      <c r="QSI149" s="22"/>
      <c r="QSJ149" s="22"/>
      <c r="QSK149" s="22"/>
      <c r="QSL149" s="22"/>
      <c r="QSM149" s="22"/>
      <c r="QSN149" s="22"/>
      <c r="QSO149" s="22"/>
      <c r="QSP149" s="22"/>
      <c r="QSQ149" s="22"/>
      <c r="QSR149" s="22"/>
      <c r="QSS149" s="22"/>
      <c r="QST149" s="22"/>
      <c r="QSU149" s="22"/>
      <c r="QSV149" s="22"/>
      <c r="QSW149" s="22"/>
      <c r="QSX149" s="22"/>
      <c r="QSY149" s="22"/>
      <c r="QSZ149" s="22"/>
      <c r="QTA149" s="22"/>
      <c r="QTB149" s="22"/>
      <c r="QTC149" s="22"/>
      <c r="QTD149" s="22"/>
      <c r="QTE149" s="22"/>
      <c r="QTF149" s="22"/>
      <c r="QTG149" s="22"/>
      <c r="QTH149" s="22"/>
      <c r="QTI149" s="22"/>
      <c r="QTJ149" s="22"/>
      <c r="QTK149" s="22"/>
      <c r="QTL149" s="22"/>
      <c r="QTM149" s="22"/>
      <c r="QTN149" s="22"/>
      <c r="QTO149" s="22"/>
      <c r="QTP149" s="22"/>
      <c r="QTQ149" s="22"/>
      <c r="QTR149" s="22"/>
      <c r="QTS149" s="22"/>
      <c r="QTT149" s="22"/>
      <c r="QTU149" s="22"/>
      <c r="QTV149" s="22"/>
      <c r="QTW149" s="22"/>
      <c r="QTX149" s="22"/>
      <c r="QTY149" s="22"/>
      <c r="QTZ149" s="22"/>
      <c r="QUA149" s="22"/>
      <c r="QUB149" s="22"/>
      <c r="QUC149" s="22"/>
      <c r="QUD149" s="22"/>
      <c r="QUE149" s="22"/>
      <c r="QUF149" s="22"/>
      <c r="QUG149" s="22"/>
      <c r="QUH149" s="22"/>
      <c r="QUI149" s="22"/>
      <c r="QUJ149" s="22"/>
      <c r="QUK149" s="22"/>
      <c r="QUL149" s="22"/>
      <c r="QUM149" s="22"/>
      <c r="QUN149" s="22"/>
      <c r="QUO149" s="22"/>
      <c r="QUP149" s="22"/>
      <c r="QUQ149" s="22"/>
      <c r="QUR149" s="22"/>
      <c r="QUS149" s="22"/>
      <c r="QUT149" s="22"/>
      <c r="QUU149" s="22"/>
      <c r="QUV149" s="22"/>
      <c r="QUW149" s="22"/>
      <c r="QUX149" s="22"/>
      <c r="QUY149" s="22"/>
      <c r="QUZ149" s="22"/>
      <c r="QVA149" s="22"/>
      <c r="QVB149" s="22"/>
      <c r="QVC149" s="22"/>
      <c r="QVD149" s="22"/>
      <c r="QVE149" s="22"/>
      <c r="QVF149" s="22"/>
      <c r="QVG149" s="22"/>
      <c r="QVH149" s="22"/>
      <c r="QVI149" s="22"/>
      <c r="QVJ149" s="22"/>
      <c r="QVK149" s="22"/>
      <c r="QVL149" s="22"/>
      <c r="QVM149" s="22"/>
      <c r="QVN149" s="22"/>
      <c r="QVO149" s="22"/>
      <c r="QVP149" s="22"/>
      <c r="QVQ149" s="22"/>
      <c r="QVR149" s="22"/>
      <c r="QVS149" s="22"/>
      <c r="QVT149" s="22"/>
      <c r="QVU149" s="22"/>
      <c r="QVV149" s="22"/>
      <c r="QVW149" s="22"/>
      <c r="QVX149" s="22"/>
      <c r="QVY149" s="22"/>
      <c r="QVZ149" s="22"/>
      <c r="QWA149" s="22"/>
      <c r="QWB149" s="22"/>
      <c r="QWC149" s="22"/>
      <c r="QWD149" s="22"/>
      <c r="QWE149" s="22"/>
      <c r="QWF149" s="22"/>
      <c r="QWG149" s="22"/>
      <c r="QWH149" s="22"/>
      <c r="QWI149" s="22"/>
      <c r="QWJ149" s="22"/>
      <c r="QWK149" s="22"/>
      <c r="QWL149" s="22"/>
      <c r="QWM149" s="22"/>
      <c r="QWN149" s="22"/>
      <c r="QWO149" s="22"/>
      <c r="QWP149" s="22"/>
      <c r="QWQ149" s="22"/>
      <c r="QWR149" s="22"/>
      <c r="QWS149" s="22"/>
      <c r="QWT149" s="22"/>
      <c r="QWU149" s="22"/>
      <c r="QWV149" s="22"/>
      <c r="QWW149" s="22"/>
      <c r="QWX149" s="22"/>
      <c r="QWY149" s="22"/>
      <c r="QWZ149" s="22"/>
      <c r="QXA149" s="22"/>
      <c r="QXB149" s="22"/>
      <c r="QXC149" s="22"/>
      <c r="QXD149" s="22"/>
      <c r="QXE149" s="22"/>
      <c r="QXF149" s="22"/>
      <c r="QXG149" s="22"/>
      <c r="QXH149" s="22"/>
      <c r="QXI149" s="22"/>
      <c r="QXJ149" s="22"/>
      <c r="QXK149" s="22"/>
      <c r="QXL149" s="22"/>
      <c r="QXM149" s="22"/>
      <c r="QXN149" s="22"/>
      <c r="QXO149" s="22"/>
      <c r="QXP149" s="22"/>
      <c r="QXQ149" s="22"/>
      <c r="QXR149" s="22"/>
      <c r="QXS149" s="22"/>
      <c r="QXT149" s="22"/>
      <c r="QXU149" s="22"/>
      <c r="QXV149" s="22"/>
      <c r="QXW149" s="22"/>
      <c r="QXX149" s="22"/>
      <c r="QXY149" s="22"/>
      <c r="QXZ149" s="22"/>
      <c r="QYA149" s="22"/>
      <c r="QYB149" s="22"/>
      <c r="QYC149" s="22"/>
      <c r="QYD149" s="22"/>
      <c r="QYE149" s="22"/>
      <c r="QYF149" s="22"/>
      <c r="QYG149" s="22"/>
      <c r="QYH149" s="22"/>
      <c r="QYI149" s="22"/>
      <c r="QYJ149" s="22"/>
      <c r="QYK149" s="22"/>
      <c r="QYL149" s="22"/>
      <c r="QYM149" s="22"/>
      <c r="QYN149" s="22"/>
      <c r="QYO149" s="22"/>
      <c r="QYP149" s="22"/>
      <c r="QYQ149" s="22"/>
      <c r="QYR149" s="22"/>
      <c r="QYS149" s="22"/>
      <c r="QYT149" s="22"/>
      <c r="QYU149" s="22"/>
      <c r="QYV149" s="22"/>
      <c r="QYW149" s="22"/>
      <c r="QYX149" s="22"/>
      <c r="QYY149" s="22"/>
      <c r="QYZ149" s="22"/>
      <c r="QZA149" s="22"/>
      <c r="QZB149" s="22"/>
      <c r="QZC149" s="22"/>
      <c r="QZD149" s="22"/>
      <c r="QZE149" s="22"/>
      <c r="QZF149" s="22"/>
      <c r="QZG149" s="22"/>
      <c r="QZH149" s="22"/>
      <c r="QZI149" s="22"/>
      <c r="QZJ149" s="22"/>
      <c r="QZK149" s="22"/>
      <c r="QZL149" s="22"/>
      <c r="QZM149" s="22"/>
      <c r="QZN149" s="22"/>
      <c r="QZO149" s="22"/>
      <c r="QZP149" s="22"/>
      <c r="QZQ149" s="22"/>
      <c r="QZR149" s="22"/>
      <c r="QZS149" s="22"/>
      <c r="QZT149" s="22"/>
      <c r="QZU149" s="22"/>
      <c r="QZV149" s="22"/>
      <c r="QZW149" s="22"/>
      <c r="QZX149" s="22"/>
      <c r="QZY149" s="22"/>
      <c r="QZZ149" s="22"/>
      <c r="RAA149" s="22"/>
      <c r="RAB149" s="22"/>
      <c r="RAC149" s="22"/>
      <c r="RAD149" s="22"/>
      <c r="RAE149" s="22"/>
      <c r="RAF149" s="22"/>
      <c r="RAG149" s="22"/>
      <c r="RAH149" s="22"/>
      <c r="RAI149" s="22"/>
      <c r="RAJ149" s="22"/>
      <c r="RAK149" s="22"/>
      <c r="RAL149" s="22"/>
      <c r="RAM149" s="22"/>
      <c r="RAN149" s="22"/>
      <c r="RAO149" s="22"/>
      <c r="RAP149" s="22"/>
      <c r="RAQ149" s="22"/>
      <c r="RAR149" s="22"/>
      <c r="RAS149" s="22"/>
      <c r="RAT149" s="22"/>
      <c r="RAU149" s="22"/>
      <c r="RAV149" s="22"/>
      <c r="RAW149" s="22"/>
      <c r="RAX149" s="22"/>
      <c r="RAY149" s="22"/>
      <c r="RAZ149" s="22"/>
      <c r="RBA149" s="22"/>
      <c r="RBB149" s="22"/>
      <c r="RBC149" s="22"/>
      <c r="RBD149" s="22"/>
      <c r="RBE149" s="22"/>
      <c r="RBF149" s="22"/>
      <c r="RBG149" s="22"/>
      <c r="RBH149" s="22"/>
      <c r="RBI149" s="22"/>
      <c r="RBJ149" s="22"/>
      <c r="RBK149" s="22"/>
      <c r="RBL149" s="22"/>
      <c r="RBM149" s="22"/>
      <c r="RBN149" s="22"/>
      <c r="RBO149" s="22"/>
      <c r="RBP149" s="22"/>
      <c r="RBQ149" s="22"/>
      <c r="RBR149" s="22"/>
      <c r="RBS149" s="22"/>
      <c r="RBT149" s="22"/>
      <c r="RBU149" s="22"/>
      <c r="RBV149" s="22"/>
      <c r="RBW149" s="22"/>
      <c r="RBX149" s="22"/>
      <c r="RBY149" s="22"/>
      <c r="RBZ149" s="22"/>
      <c r="RCA149" s="22"/>
      <c r="RCB149" s="22"/>
      <c r="RCC149" s="22"/>
      <c r="RCD149" s="22"/>
      <c r="RCE149" s="22"/>
      <c r="RCF149" s="22"/>
      <c r="RCG149" s="22"/>
      <c r="RCH149" s="22"/>
      <c r="RCI149" s="22"/>
      <c r="RCJ149" s="22"/>
      <c r="RCK149" s="22"/>
      <c r="RCL149" s="22"/>
      <c r="RCM149" s="22"/>
      <c r="RCN149" s="22"/>
      <c r="RCO149" s="22"/>
      <c r="RCP149" s="22"/>
      <c r="RCQ149" s="22"/>
      <c r="RCR149" s="22"/>
      <c r="RCS149" s="22"/>
      <c r="RCT149" s="22"/>
      <c r="RCU149" s="22"/>
      <c r="RCV149" s="22"/>
      <c r="RCW149" s="22"/>
      <c r="RCX149" s="22"/>
      <c r="RCY149" s="22"/>
      <c r="RCZ149" s="22"/>
      <c r="RDA149" s="22"/>
      <c r="RDB149" s="22"/>
      <c r="RDC149" s="22"/>
      <c r="RDD149" s="22"/>
      <c r="RDE149" s="22"/>
      <c r="RDF149" s="22"/>
      <c r="RDG149" s="22"/>
      <c r="RDH149" s="22"/>
      <c r="RDI149" s="22"/>
      <c r="RDJ149" s="22"/>
      <c r="RDK149" s="22"/>
      <c r="RDL149" s="22"/>
      <c r="RDM149" s="22"/>
      <c r="RDN149" s="22"/>
      <c r="RDO149" s="22"/>
      <c r="RDP149" s="22"/>
      <c r="RDQ149" s="22"/>
      <c r="RDR149" s="22"/>
      <c r="RDS149" s="22"/>
      <c r="RDT149" s="22"/>
      <c r="RDU149" s="22"/>
      <c r="RDV149" s="22"/>
      <c r="RDW149" s="22"/>
      <c r="RDX149" s="22"/>
      <c r="RDY149" s="22"/>
      <c r="RDZ149" s="22"/>
      <c r="REA149" s="22"/>
      <c r="REB149" s="22"/>
      <c r="REC149" s="22"/>
      <c r="RED149" s="22"/>
      <c r="REE149" s="22"/>
      <c r="REF149" s="22"/>
      <c r="REG149" s="22"/>
      <c r="REH149" s="22"/>
      <c r="REI149" s="22"/>
      <c r="REJ149" s="22"/>
      <c r="REK149" s="22"/>
      <c r="REL149" s="22"/>
      <c r="REM149" s="22"/>
      <c r="REN149" s="22"/>
      <c r="REO149" s="22"/>
      <c r="REP149" s="22"/>
      <c r="REQ149" s="22"/>
      <c r="RER149" s="22"/>
      <c r="RES149" s="22"/>
      <c r="RET149" s="22"/>
      <c r="REU149" s="22"/>
      <c r="REV149" s="22"/>
      <c r="REW149" s="22"/>
      <c r="REX149" s="22"/>
      <c r="REY149" s="22"/>
      <c r="REZ149" s="22"/>
      <c r="RFA149" s="22"/>
      <c r="RFB149" s="22"/>
      <c r="RFC149" s="22"/>
      <c r="RFD149" s="22"/>
      <c r="RFE149" s="22"/>
      <c r="RFF149" s="22"/>
      <c r="RFG149" s="22"/>
      <c r="RFH149" s="22"/>
      <c r="RFI149" s="22"/>
      <c r="RFJ149" s="22"/>
      <c r="RFK149" s="22"/>
      <c r="RFL149" s="22"/>
      <c r="RFM149" s="22"/>
      <c r="RFN149" s="22"/>
      <c r="RFO149" s="22"/>
      <c r="RFP149" s="22"/>
      <c r="RFQ149" s="22"/>
      <c r="RFR149" s="22"/>
      <c r="RFS149" s="22"/>
      <c r="RFT149" s="22"/>
      <c r="RFU149" s="22"/>
      <c r="RFV149" s="22"/>
      <c r="RFW149" s="22"/>
      <c r="RFX149" s="22"/>
      <c r="RFY149" s="22"/>
      <c r="RFZ149" s="22"/>
      <c r="RGA149" s="22"/>
      <c r="RGB149" s="22"/>
      <c r="RGC149" s="22"/>
      <c r="RGD149" s="22"/>
      <c r="RGE149" s="22"/>
      <c r="RGF149" s="22"/>
      <c r="RGG149" s="22"/>
      <c r="RGH149" s="22"/>
      <c r="RGI149" s="22"/>
      <c r="RGJ149" s="22"/>
      <c r="RGK149" s="22"/>
      <c r="RGL149" s="22"/>
      <c r="RGM149" s="22"/>
      <c r="RGN149" s="22"/>
      <c r="RGO149" s="22"/>
      <c r="RGP149" s="22"/>
      <c r="RGQ149" s="22"/>
      <c r="RGR149" s="22"/>
      <c r="RGS149" s="22"/>
      <c r="RGT149" s="22"/>
      <c r="RGU149" s="22"/>
      <c r="RGV149" s="22"/>
      <c r="RGW149" s="22"/>
      <c r="RGX149" s="22"/>
      <c r="RGY149" s="22"/>
      <c r="RGZ149" s="22"/>
      <c r="RHA149" s="22"/>
      <c r="RHB149" s="22"/>
      <c r="RHC149" s="22"/>
      <c r="RHD149" s="22"/>
      <c r="RHE149" s="22"/>
      <c r="RHF149" s="22"/>
      <c r="RHG149" s="22"/>
      <c r="RHH149" s="22"/>
      <c r="RHI149" s="22"/>
      <c r="RHJ149" s="22"/>
      <c r="RHK149" s="22"/>
      <c r="RHL149" s="22"/>
      <c r="RHM149" s="22"/>
      <c r="RHN149" s="22"/>
      <c r="RHO149" s="22"/>
      <c r="RHP149" s="22"/>
      <c r="RHQ149" s="22"/>
      <c r="RHR149" s="22"/>
      <c r="RHS149" s="22"/>
      <c r="RHT149" s="22"/>
      <c r="RHU149" s="22"/>
      <c r="RHV149" s="22"/>
      <c r="RHW149" s="22"/>
      <c r="RHX149" s="22"/>
      <c r="RHY149" s="22"/>
      <c r="RHZ149" s="22"/>
      <c r="RIA149" s="22"/>
      <c r="RIB149" s="22"/>
      <c r="RIC149" s="22"/>
      <c r="RID149" s="22"/>
      <c r="RIE149" s="22"/>
      <c r="RIF149" s="22"/>
      <c r="RIG149" s="22"/>
      <c r="RIH149" s="22"/>
      <c r="RII149" s="22"/>
      <c r="RIJ149" s="22"/>
      <c r="RIK149" s="22"/>
      <c r="RIL149" s="22"/>
      <c r="RIM149" s="22"/>
      <c r="RIN149" s="22"/>
      <c r="RIO149" s="22"/>
      <c r="RIP149" s="22"/>
      <c r="RIQ149" s="22"/>
      <c r="RIR149" s="22"/>
      <c r="RIS149" s="22"/>
      <c r="RIT149" s="22"/>
      <c r="RIU149" s="22"/>
      <c r="RIV149" s="22"/>
      <c r="RIW149" s="22"/>
      <c r="RIX149" s="22"/>
      <c r="RIY149" s="22"/>
      <c r="RIZ149" s="22"/>
      <c r="RJA149" s="22"/>
      <c r="RJB149" s="22"/>
      <c r="RJC149" s="22"/>
      <c r="RJD149" s="22"/>
      <c r="RJE149" s="22"/>
      <c r="RJF149" s="22"/>
      <c r="RJG149" s="22"/>
      <c r="RJH149" s="22"/>
      <c r="RJI149" s="22"/>
      <c r="RJJ149" s="22"/>
      <c r="RJK149" s="22"/>
      <c r="RJL149" s="22"/>
      <c r="RJM149" s="22"/>
      <c r="RJN149" s="22"/>
      <c r="RJO149" s="22"/>
      <c r="RJP149" s="22"/>
      <c r="RJQ149" s="22"/>
      <c r="RJR149" s="22"/>
      <c r="RJS149" s="22"/>
      <c r="RJT149" s="22"/>
      <c r="RJU149" s="22"/>
      <c r="RJV149" s="22"/>
      <c r="RJW149" s="22"/>
      <c r="RJX149" s="22"/>
      <c r="RJY149" s="22"/>
      <c r="RJZ149" s="22"/>
      <c r="RKA149" s="22"/>
      <c r="RKB149" s="22"/>
      <c r="RKC149" s="22"/>
      <c r="RKD149" s="22"/>
      <c r="RKE149" s="22"/>
      <c r="RKF149" s="22"/>
      <c r="RKG149" s="22"/>
      <c r="RKH149" s="22"/>
      <c r="RKI149" s="22"/>
      <c r="RKJ149" s="22"/>
      <c r="RKK149" s="22"/>
      <c r="RKL149" s="22"/>
      <c r="RKM149" s="22"/>
      <c r="RKN149" s="22"/>
      <c r="RKO149" s="22"/>
      <c r="RKP149" s="22"/>
      <c r="RKQ149" s="22"/>
      <c r="RKR149" s="22"/>
      <c r="RKS149" s="22"/>
      <c r="RKT149" s="22"/>
      <c r="RKU149" s="22"/>
      <c r="RKV149" s="22"/>
      <c r="RKW149" s="22"/>
      <c r="RKX149" s="22"/>
      <c r="RKY149" s="22"/>
      <c r="RKZ149" s="22"/>
      <c r="RLA149" s="22"/>
      <c r="RLB149" s="22"/>
      <c r="RLC149" s="22"/>
      <c r="RLD149" s="22"/>
      <c r="RLE149" s="22"/>
      <c r="RLF149" s="22"/>
      <c r="RLG149" s="22"/>
      <c r="RLH149" s="22"/>
      <c r="RLI149" s="22"/>
      <c r="RLJ149" s="22"/>
      <c r="RLK149" s="22"/>
      <c r="RLL149" s="22"/>
      <c r="RLM149" s="22"/>
      <c r="RLN149" s="22"/>
      <c r="RLO149" s="22"/>
      <c r="RLP149" s="22"/>
      <c r="RLQ149" s="22"/>
      <c r="RLR149" s="22"/>
      <c r="RLS149" s="22"/>
      <c r="RLT149" s="22"/>
      <c r="RLU149" s="22"/>
      <c r="RLV149" s="22"/>
      <c r="RLW149" s="22"/>
      <c r="RLX149" s="22"/>
      <c r="RLY149" s="22"/>
      <c r="RLZ149" s="22"/>
      <c r="RMA149" s="22"/>
      <c r="RMB149" s="22"/>
      <c r="RMC149" s="22"/>
      <c r="RMD149" s="22"/>
      <c r="RME149" s="22"/>
      <c r="RMF149" s="22"/>
      <c r="RMG149" s="22"/>
      <c r="RMH149" s="22"/>
      <c r="RMI149" s="22"/>
      <c r="RMJ149" s="22"/>
      <c r="RMK149" s="22"/>
      <c r="RML149" s="22"/>
      <c r="RMM149" s="22"/>
      <c r="RMN149" s="22"/>
      <c r="RMO149" s="22"/>
      <c r="RMP149" s="22"/>
      <c r="RMQ149" s="22"/>
      <c r="RMR149" s="22"/>
      <c r="RMS149" s="22"/>
      <c r="RMT149" s="22"/>
      <c r="RMU149" s="22"/>
      <c r="RMV149" s="22"/>
      <c r="RMW149" s="22"/>
      <c r="RMX149" s="22"/>
      <c r="RMY149" s="22"/>
      <c r="RMZ149" s="22"/>
      <c r="RNA149" s="22"/>
      <c r="RNB149" s="22"/>
      <c r="RNC149" s="22"/>
      <c r="RND149" s="22"/>
      <c r="RNE149" s="22"/>
      <c r="RNF149" s="22"/>
      <c r="RNG149" s="22"/>
      <c r="RNH149" s="22"/>
      <c r="RNI149" s="22"/>
      <c r="RNJ149" s="22"/>
      <c r="RNK149" s="22"/>
      <c r="RNL149" s="22"/>
      <c r="RNM149" s="22"/>
      <c r="RNN149" s="22"/>
      <c r="RNO149" s="22"/>
      <c r="RNP149" s="22"/>
      <c r="RNQ149" s="22"/>
      <c r="RNR149" s="22"/>
      <c r="RNS149" s="22"/>
      <c r="RNT149" s="22"/>
      <c r="RNU149" s="22"/>
      <c r="RNV149" s="22"/>
      <c r="RNW149" s="22"/>
      <c r="RNX149" s="22"/>
      <c r="RNY149" s="22"/>
      <c r="RNZ149" s="22"/>
      <c r="ROA149" s="22"/>
      <c r="ROB149" s="22"/>
      <c r="ROC149" s="22"/>
      <c r="ROD149" s="22"/>
      <c r="ROE149" s="22"/>
      <c r="ROF149" s="22"/>
      <c r="ROG149" s="22"/>
      <c r="ROH149" s="22"/>
      <c r="ROI149" s="22"/>
      <c r="ROJ149" s="22"/>
      <c r="ROK149" s="22"/>
      <c r="ROL149" s="22"/>
      <c r="ROM149" s="22"/>
      <c r="RON149" s="22"/>
      <c r="ROO149" s="22"/>
      <c r="ROP149" s="22"/>
      <c r="ROQ149" s="22"/>
      <c r="ROR149" s="22"/>
      <c r="ROS149" s="22"/>
      <c r="ROT149" s="22"/>
      <c r="ROU149" s="22"/>
      <c r="ROV149" s="22"/>
      <c r="ROW149" s="22"/>
      <c r="ROX149" s="22"/>
      <c r="ROY149" s="22"/>
      <c r="ROZ149" s="22"/>
      <c r="RPA149" s="22"/>
      <c r="RPB149" s="22"/>
      <c r="RPC149" s="22"/>
      <c r="RPD149" s="22"/>
      <c r="RPE149" s="22"/>
      <c r="RPF149" s="22"/>
      <c r="RPG149" s="22"/>
      <c r="RPH149" s="22"/>
      <c r="RPI149" s="22"/>
      <c r="RPJ149" s="22"/>
      <c r="RPK149" s="22"/>
      <c r="RPL149" s="22"/>
      <c r="RPM149" s="22"/>
      <c r="RPN149" s="22"/>
      <c r="RPO149" s="22"/>
      <c r="RPP149" s="22"/>
      <c r="RPQ149" s="22"/>
      <c r="RPR149" s="22"/>
      <c r="RPS149" s="22"/>
      <c r="RPT149" s="22"/>
      <c r="RPU149" s="22"/>
      <c r="RPV149" s="22"/>
      <c r="RPW149" s="22"/>
      <c r="RPX149" s="22"/>
      <c r="RPY149" s="22"/>
      <c r="RPZ149" s="22"/>
      <c r="RQA149" s="22"/>
      <c r="RQB149" s="22"/>
      <c r="RQC149" s="22"/>
      <c r="RQD149" s="22"/>
      <c r="RQE149" s="22"/>
      <c r="RQF149" s="22"/>
      <c r="RQG149" s="22"/>
      <c r="RQH149" s="22"/>
      <c r="RQI149" s="22"/>
      <c r="RQJ149" s="22"/>
      <c r="RQK149" s="22"/>
      <c r="RQL149" s="22"/>
      <c r="RQM149" s="22"/>
      <c r="RQN149" s="22"/>
      <c r="RQO149" s="22"/>
      <c r="RQP149" s="22"/>
      <c r="RQQ149" s="22"/>
      <c r="RQR149" s="22"/>
      <c r="RQS149" s="22"/>
      <c r="RQT149" s="22"/>
      <c r="RQU149" s="22"/>
      <c r="RQV149" s="22"/>
      <c r="RQW149" s="22"/>
      <c r="RQX149" s="22"/>
      <c r="RQY149" s="22"/>
      <c r="RQZ149" s="22"/>
      <c r="RRA149" s="22"/>
      <c r="RRB149" s="22"/>
      <c r="RRC149" s="22"/>
      <c r="RRD149" s="22"/>
      <c r="RRE149" s="22"/>
      <c r="RRF149" s="22"/>
      <c r="RRG149" s="22"/>
      <c r="RRH149" s="22"/>
      <c r="RRI149" s="22"/>
      <c r="RRJ149" s="22"/>
      <c r="RRK149" s="22"/>
      <c r="RRL149" s="22"/>
      <c r="RRM149" s="22"/>
      <c r="RRN149" s="22"/>
      <c r="RRO149" s="22"/>
      <c r="RRP149" s="22"/>
      <c r="RRQ149" s="22"/>
      <c r="RRR149" s="22"/>
      <c r="RRS149" s="22"/>
      <c r="RRT149" s="22"/>
      <c r="RRU149" s="22"/>
      <c r="RRV149" s="22"/>
      <c r="RRW149" s="22"/>
      <c r="RRX149" s="22"/>
      <c r="RRY149" s="22"/>
      <c r="RRZ149" s="22"/>
      <c r="RSA149" s="22"/>
      <c r="RSB149" s="22"/>
      <c r="RSC149" s="22"/>
      <c r="RSD149" s="22"/>
      <c r="RSE149" s="22"/>
      <c r="RSF149" s="22"/>
      <c r="RSG149" s="22"/>
      <c r="RSH149" s="22"/>
      <c r="RSI149" s="22"/>
      <c r="RSJ149" s="22"/>
      <c r="RSK149" s="22"/>
      <c r="RSL149" s="22"/>
      <c r="RSM149" s="22"/>
      <c r="RSN149" s="22"/>
      <c r="RSO149" s="22"/>
      <c r="RSP149" s="22"/>
      <c r="RSQ149" s="22"/>
      <c r="RSR149" s="22"/>
      <c r="RSS149" s="22"/>
      <c r="RST149" s="22"/>
      <c r="RSU149" s="22"/>
      <c r="RSV149" s="22"/>
      <c r="RSW149" s="22"/>
      <c r="RSX149" s="22"/>
      <c r="RSY149" s="22"/>
      <c r="RSZ149" s="22"/>
      <c r="RTA149" s="22"/>
      <c r="RTB149" s="22"/>
      <c r="RTC149" s="22"/>
      <c r="RTD149" s="22"/>
      <c r="RTE149" s="22"/>
      <c r="RTF149" s="22"/>
      <c r="RTG149" s="22"/>
      <c r="RTH149" s="22"/>
      <c r="RTI149" s="22"/>
      <c r="RTJ149" s="22"/>
      <c r="RTK149" s="22"/>
      <c r="RTL149" s="22"/>
      <c r="RTM149" s="22"/>
      <c r="RTN149" s="22"/>
      <c r="RTO149" s="22"/>
      <c r="RTP149" s="22"/>
      <c r="RTQ149" s="22"/>
      <c r="RTR149" s="22"/>
      <c r="RTS149" s="22"/>
      <c r="RTT149" s="22"/>
      <c r="RTU149" s="22"/>
      <c r="RTV149" s="22"/>
      <c r="RTW149" s="22"/>
      <c r="RTX149" s="22"/>
      <c r="RTY149" s="22"/>
      <c r="RTZ149" s="22"/>
      <c r="RUA149" s="22"/>
      <c r="RUB149" s="22"/>
      <c r="RUC149" s="22"/>
      <c r="RUD149" s="22"/>
      <c r="RUE149" s="22"/>
      <c r="RUF149" s="22"/>
      <c r="RUG149" s="22"/>
      <c r="RUH149" s="22"/>
      <c r="RUI149" s="22"/>
      <c r="RUJ149" s="22"/>
      <c r="RUK149" s="22"/>
      <c r="RUL149" s="22"/>
      <c r="RUM149" s="22"/>
      <c r="RUN149" s="22"/>
      <c r="RUO149" s="22"/>
      <c r="RUP149" s="22"/>
      <c r="RUQ149" s="22"/>
      <c r="RUR149" s="22"/>
      <c r="RUS149" s="22"/>
      <c r="RUT149" s="22"/>
      <c r="RUU149" s="22"/>
      <c r="RUV149" s="22"/>
      <c r="RUW149" s="22"/>
      <c r="RUX149" s="22"/>
      <c r="RUY149" s="22"/>
      <c r="RUZ149" s="22"/>
      <c r="RVA149" s="22"/>
      <c r="RVB149" s="22"/>
      <c r="RVC149" s="22"/>
      <c r="RVD149" s="22"/>
      <c r="RVE149" s="22"/>
      <c r="RVF149" s="22"/>
      <c r="RVG149" s="22"/>
      <c r="RVH149" s="22"/>
      <c r="RVI149" s="22"/>
      <c r="RVJ149" s="22"/>
      <c r="RVK149" s="22"/>
      <c r="RVL149" s="22"/>
      <c r="RVM149" s="22"/>
      <c r="RVN149" s="22"/>
      <c r="RVO149" s="22"/>
      <c r="RVP149" s="22"/>
      <c r="RVQ149" s="22"/>
      <c r="RVR149" s="22"/>
      <c r="RVS149" s="22"/>
      <c r="RVT149" s="22"/>
      <c r="RVU149" s="22"/>
      <c r="RVV149" s="22"/>
      <c r="RVW149" s="22"/>
      <c r="RVX149" s="22"/>
      <c r="RVY149" s="22"/>
      <c r="RVZ149" s="22"/>
      <c r="RWA149" s="22"/>
      <c r="RWB149" s="22"/>
      <c r="RWC149" s="22"/>
      <c r="RWD149" s="22"/>
      <c r="RWE149" s="22"/>
      <c r="RWF149" s="22"/>
      <c r="RWG149" s="22"/>
      <c r="RWH149" s="22"/>
      <c r="RWI149" s="22"/>
      <c r="RWJ149" s="22"/>
      <c r="RWK149" s="22"/>
      <c r="RWL149" s="22"/>
      <c r="RWM149" s="22"/>
      <c r="RWN149" s="22"/>
      <c r="RWO149" s="22"/>
      <c r="RWP149" s="22"/>
      <c r="RWQ149" s="22"/>
      <c r="RWR149" s="22"/>
      <c r="RWS149" s="22"/>
      <c r="RWT149" s="22"/>
      <c r="RWU149" s="22"/>
      <c r="RWV149" s="22"/>
      <c r="RWW149" s="22"/>
      <c r="RWX149" s="22"/>
      <c r="RWY149" s="22"/>
      <c r="RWZ149" s="22"/>
      <c r="RXA149" s="22"/>
      <c r="RXB149" s="22"/>
      <c r="RXC149" s="22"/>
      <c r="RXD149" s="22"/>
      <c r="RXE149" s="22"/>
      <c r="RXF149" s="22"/>
      <c r="RXG149" s="22"/>
      <c r="RXH149" s="22"/>
      <c r="RXI149" s="22"/>
      <c r="RXJ149" s="22"/>
      <c r="RXK149" s="22"/>
      <c r="RXL149" s="22"/>
      <c r="RXM149" s="22"/>
      <c r="RXN149" s="22"/>
      <c r="RXO149" s="22"/>
      <c r="RXP149" s="22"/>
      <c r="RXQ149" s="22"/>
      <c r="RXR149" s="22"/>
      <c r="RXS149" s="22"/>
      <c r="RXT149" s="22"/>
      <c r="RXU149" s="22"/>
      <c r="RXV149" s="22"/>
      <c r="RXW149" s="22"/>
      <c r="RXX149" s="22"/>
      <c r="RXY149" s="22"/>
      <c r="RXZ149" s="22"/>
      <c r="RYA149" s="22"/>
      <c r="RYB149" s="22"/>
      <c r="RYC149" s="22"/>
      <c r="RYD149" s="22"/>
      <c r="RYE149" s="22"/>
      <c r="RYF149" s="22"/>
      <c r="RYG149" s="22"/>
      <c r="RYH149" s="22"/>
      <c r="RYI149" s="22"/>
      <c r="RYJ149" s="22"/>
      <c r="RYK149" s="22"/>
      <c r="RYL149" s="22"/>
      <c r="RYM149" s="22"/>
      <c r="RYN149" s="22"/>
      <c r="RYO149" s="22"/>
      <c r="RYP149" s="22"/>
      <c r="RYQ149" s="22"/>
      <c r="RYR149" s="22"/>
      <c r="RYS149" s="22"/>
      <c r="RYT149" s="22"/>
      <c r="RYU149" s="22"/>
      <c r="RYV149" s="22"/>
      <c r="RYW149" s="22"/>
      <c r="RYX149" s="22"/>
      <c r="RYY149" s="22"/>
      <c r="RYZ149" s="22"/>
      <c r="RZA149" s="22"/>
      <c r="RZB149" s="22"/>
      <c r="RZC149" s="22"/>
      <c r="RZD149" s="22"/>
      <c r="RZE149" s="22"/>
      <c r="RZF149" s="22"/>
      <c r="RZG149" s="22"/>
      <c r="RZH149" s="22"/>
      <c r="RZI149" s="22"/>
      <c r="RZJ149" s="22"/>
      <c r="RZK149" s="22"/>
      <c r="RZL149" s="22"/>
      <c r="RZM149" s="22"/>
      <c r="RZN149" s="22"/>
      <c r="RZO149" s="22"/>
      <c r="RZP149" s="22"/>
      <c r="RZQ149" s="22"/>
      <c r="RZR149" s="22"/>
      <c r="RZS149" s="22"/>
      <c r="RZT149" s="22"/>
      <c r="RZU149" s="22"/>
      <c r="RZV149" s="22"/>
      <c r="RZW149" s="22"/>
      <c r="RZX149" s="22"/>
      <c r="RZY149" s="22"/>
      <c r="RZZ149" s="22"/>
      <c r="SAA149" s="22"/>
      <c r="SAB149" s="22"/>
      <c r="SAC149" s="22"/>
      <c r="SAD149" s="22"/>
      <c r="SAE149" s="22"/>
      <c r="SAF149" s="22"/>
      <c r="SAG149" s="22"/>
      <c r="SAH149" s="22"/>
      <c r="SAI149" s="22"/>
      <c r="SAJ149" s="22"/>
      <c r="SAK149" s="22"/>
      <c r="SAL149" s="22"/>
      <c r="SAM149" s="22"/>
      <c r="SAN149" s="22"/>
      <c r="SAO149" s="22"/>
      <c r="SAP149" s="22"/>
      <c r="SAQ149" s="22"/>
      <c r="SAR149" s="22"/>
      <c r="SAS149" s="22"/>
      <c r="SAT149" s="22"/>
      <c r="SAU149" s="22"/>
      <c r="SAV149" s="22"/>
      <c r="SAW149" s="22"/>
      <c r="SAX149" s="22"/>
      <c r="SAY149" s="22"/>
      <c r="SAZ149" s="22"/>
      <c r="SBA149" s="22"/>
      <c r="SBB149" s="22"/>
      <c r="SBC149" s="22"/>
      <c r="SBD149" s="22"/>
      <c r="SBE149" s="22"/>
      <c r="SBF149" s="22"/>
      <c r="SBG149" s="22"/>
      <c r="SBH149" s="22"/>
      <c r="SBI149" s="22"/>
      <c r="SBJ149" s="22"/>
      <c r="SBK149" s="22"/>
      <c r="SBL149" s="22"/>
      <c r="SBM149" s="22"/>
      <c r="SBN149" s="22"/>
      <c r="SBO149" s="22"/>
      <c r="SBP149" s="22"/>
      <c r="SBQ149" s="22"/>
      <c r="SBR149" s="22"/>
      <c r="SBS149" s="22"/>
      <c r="SBT149" s="22"/>
      <c r="SBU149" s="22"/>
      <c r="SBV149" s="22"/>
      <c r="SBW149" s="22"/>
      <c r="SBX149" s="22"/>
      <c r="SBY149" s="22"/>
      <c r="SBZ149" s="22"/>
      <c r="SCA149" s="22"/>
      <c r="SCB149" s="22"/>
      <c r="SCC149" s="22"/>
      <c r="SCD149" s="22"/>
      <c r="SCE149" s="22"/>
      <c r="SCF149" s="22"/>
      <c r="SCG149" s="22"/>
      <c r="SCH149" s="22"/>
      <c r="SCI149" s="22"/>
      <c r="SCJ149" s="22"/>
      <c r="SCK149" s="22"/>
      <c r="SCL149" s="22"/>
      <c r="SCM149" s="22"/>
      <c r="SCN149" s="22"/>
      <c r="SCO149" s="22"/>
      <c r="SCP149" s="22"/>
      <c r="SCQ149" s="22"/>
      <c r="SCR149" s="22"/>
      <c r="SCS149" s="22"/>
      <c r="SCT149" s="22"/>
      <c r="SCU149" s="22"/>
      <c r="SCV149" s="22"/>
      <c r="SCW149" s="22"/>
      <c r="SCX149" s="22"/>
      <c r="SCY149" s="22"/>
      <c r="SCZ149" s="22"/>
      <c r="SDA149" s="22"/>
      <c r="SDB149" s="22"/>
      <c r="SDC149" s="22"/>
      <c r="SDD149" s="22"/>
      <c r="SDE149" s="22"/>
      <c r="SDF149" s="22"/>
      <c r="SDG149" s="22"/>
      <c r="SDH149" s="22"/>
      <c r="SDI149" s="22"/>
      <c r="SDJ149" s="22"/>
      <c r="SDK149" s="22"/>
      <c r="SDL149" s="22"/>
      <c r="SDM149" s="22"/>
      <c r="SDN149" s="22"/>
      <c r="SDO149" s="22"/>
      <c r="SDP149" s="22"/>
      <c r="SDQ149" s="22"/>
      <c r="SDR149" s="22"/>
      <c r="SDS149" s="22"/>
      <c r="SDT149" s="22"/>
      <c r="SDU149" s="22"/>
      <c r="SDV149" s="22"/>
      <c r="SDW149" s="22"/>
      <c r="SDX149" s="22"/>
      <c r="SDY149" s="22"/>
      <c r="SDZ149" s="22"/>
      <c r="SEA149" s="22"/>
      <c r="SEB149" s="22"/>
      <c r="SEC149" s="22"/>
      <c r="SED149" s="22"/>
      <c r="SEE149" s="22"/>
      <c r="SEF149" s="22"/>
      <c r="SEG149" s="22"/>
      <c r="SEH149" s="22"/>
      <c r="SEI149" s="22"/>
      <c r="SEJ149" s="22"/>
      <c r="SEK149" s="22"/>
      <c r="SEL149" s="22"/>
      <c r="SEM149" s="22"/>
      <c r="SEN149" s="22"/>
      <c r="SEO149" s="22"/>
      <c r="SEP149" s="22"/>
      <c r="SEQ149" s="22"/>
      <c r="SER149" s="22"/>
      <c r="SES149" s="22"/>
      <c r="SET149" s="22"/>
      <c r="SEU149" s="22"/>
      <c r="SEV149" s="22"/>
      <c r="SEW149" s="22"/>
      <c r="SEX149" s="22"/>
      <c r="SEY149" s="22"/>
      <c r="SEZ149" s="22"/>
      <c r="SFA149" s="22"/>
      <c r="SFB149" s="22"/>
      <c r="SFC149" s="22"/>
      <c r="SFD149" s="22"/>
      <c r="SFE149" s="22"/>
      <c r="SFF149" s="22"/>
      <c r="SFG149" s="22"/>
      <c r="SFH149" s="22"/>
      <c r="SFI149" s="22"/>
      <c r="SFJ149" s="22"/>
      <c r="SFK149" s="22"/>
      <c r="SFL149" s="22"/>
      <c r="SFM149" s="22"/>
      <c r="SFN149" s="22"/>
      <c r="SFO149" s="22"/>
      <c r="SFP149" s="22"/>
      <c r="SFQ149" s="22"/>
      <c r="SFR149" s="22"/>
      <c r="SFS149" s="22"/>
      <c r="SFT149" s="22"/>
      <c r="SFU149" s="22"/>
      <c r="SFV149" s="22"/>
      <c r="SFW149" s="22"/>
      <c r="SFX149" s="22"/>
      <c r="SFY149" s="22"/>
      <c r="SFZ149" s="22"/>
      <c r="SGA149" s="22"/>
      <c r="SGB149" s="22"/>
      <c r="SGC149" s="22"/>
      <c r="SGD149" s="22"/>
      <c r="SGE149" s="22"/>
      <c r="SGF149" s="22"/>
      <c r="SGG149" s="22"/>
      <c r="SGH149" s="22"/>
      <c r="SGI149" s="22"/>
      <c r="SGJ149" s="22"/>
      <c r="SGK149" s="22"/>
      <c r="SGL149" s="22"/>
      <c r="SGM149" s="22"/>
      <c r="SGN149" s="22"/>
      <c r="SGO149" s="22"/>
      <c r="SGP149" s="22"/>
      <c r="SGQ149" s="22"/>
      <c r="SGR149" s="22"/>
      <c r="SGS149" s="22"/>
      <c r="SGT149" s="22"/>
      <c r="SGU149" s="22"/>
      <c r="SGV149" s="22"/>
      <c r="SGW149" s="22"/>
      <c r="SGX149" s="22"/>
      <c r="SGY149" s="22"/>
      <c r="SGZ149" s="22"/>
      <c r="SHA149" s="22"/>
      <c r="SHB149" s="22"/>
      <c r="SHC149" s="22"/>
      <c r="SHD149" s="22"/>
      <c r="SHE149" s="22"/>
      <c r="SHF149" s="22"/>
      <c r="SHG149" s="22"/>
      <c r="SHH149" s="22"/>
      <c r="SHI149" s="22"/>
      <c r="SHJ149" s="22"/>
      <c r="SHK149" s="22"/>
      <c r="SHL149" s="22"/>
      <c r="SHM149" s="22"/>
      <c r="SHN149" s="22"/>
      <c r="SHO149" s="22"/>
      <c r="SHP149" s="22"/>
      <c r="SHQ149" s="22"/>
      <c r="SHR149" s="22"/>
      <c r="SHS149" s="22"/>
      <c r="SHT149" s="22"/>
      <c r="SHU149" s="22"/>
      <c r="SHV149" s="22"/>
      <c r="SHW149" s="22"/>
      <c r="SHX149" s="22"/>
      <c r="SHY149" s="22"/>
      <c r="SHZ149" s="22"/>
      <c r="SIA149" s="22"/>
      <c r="SIB149" s="22"/>
      <c r="SIC149" s="22"/>
      <c r="SID149" s="22"/>
      <c r="SIE149" s="22"/>
      <c r="SIF149" s="22"/>
      <c r="SIG149" s="22"/>
      <c r="SIH149" s="22"/>
      <c r="SII149" s="22"/>
      <c r="SIJ149" s="22"/>
      <c r="SIK149" s="22"/>
      <c r="SIL149" s="22"/>
      <c r="SIM149" s="22"/>
      <c r="SIN149" s="22"/>
      <c r="SIO149" s="22"/>
      <c r="SIP149" s="22"/>
      <c r="SIQ149" s="22"/>
      <c r="SIR149" s="22"/>
      <c r="SIS149" s="22"/>
      <c r="SIT149" s="22"/>
      <c r="SIU149" s="22"/>
      <c r="SIV149" s="22"/>
      <c r="SIW149" s="22"/>
      <c r="SIX149" s="22"/>
      <c r="SIY149" s="22"/>
      <c r="SIZ149" s="22"/>
      <c r="SJA149" s="22"/>
      <c r="SJB149" s="22"/>
      <c r="SJC149" s="22"/>
      <c r="SJD149" s="22"/>
      <c r="SJE149" s="22"/>
      <c r="SJF149" s="22"/>
      <c r="SJG149" s="22"/>
      <c r="SJH149" s="22"/>
      <c r="SJI149" s="22"/>
      <c r="SJJ149" s="22"/>
      <c r="SJK149" s="22"/>
      <c r="SJL149" s="22"/>
      <c r="SJM149" s="22"/>
      <c r="SJN149" s="22"/>
      <c r="SJO149" s="22"/>
      <c r="SJP149" s="22"/>
      <c r="SJQ149" s="22"/>
      <c r="SJR149" s="22"/>
      <c r="SJS149" s="22"/>
      <c r="SJT149" s="22"/>
      <c r="SJU149" s="22"/>
      <c r="SJV149" s="22"/>
      <c r="SJW149" s="22"/>
      <c r="SJX149" s="22"/>
      <c r="SJY149" s="22"/>
      <c r="SJZ149" s="22"/>
      <c r="SKA149" s="22"/>
      <c r="SKB149" s="22"/>
      <c r="SKC149" s="22"/>
      <c r="SKD149" s="22"/>
      <c r="SKE149" s="22"/>
      <c r="SKF149" s="22"/>
      <c r="SKG149" s="22"/>
      <c r="SKH149" s="22"/>
      <c r="SKI149" s="22"/>
      <c r="SKJ149" s="22"/>
      <c r="SKK149" s="22"/>
      <c r="SKL149" s="22"/>
      <c r="SKM149" s="22"/>
      <c r="SKN149" s="22"/>
      <c r="SKO149" s="22"/>
      <c r="SKP149" s="22"/>
      <c r="SKQ149" s="22"/>
      <c r="SKR149" s="22"/>
      <c r="SKS149" s="22"/>
      <c r="SKT149" s="22"/>
      <c r="SKU149" s="22"/>
      <c r="SKV149" s="22"/>
      <c r="SKW149" s="22"/>
      <c r="SKX149" s="22"/>
      <c r="SKY149" s="22"/>
      <c r="SKZ149" s="22"/>
      <c r="SLA149" s="22"/>
      <c r="SLB149" s="22"/>
      <c r="SLC149" s="22"/>
      <c r="SLD149" s="22"/>
      <c r="SLE149" s="22"/>
      <c r="SLF149" s="22"/>
      <c r="SLG149" s="22"/>
      <c r="SLH149" s="22"/>
      <c r="SLI149" s="22"/>
      <c r="SLJ149" s="22"/>
      <c r="SLK149" s="22"/>
      <c r="SLL149" s="22"/>
      <c r="SLM149" s="22"/>
      <c r="SLN149" s="22"/>
      <c r="SLO149" s="22"/>
      <c r="SLP149" s="22"/>
      <c r="SLQ149" s="22"/>
      <c r="SLR149" s="22"/>
      <c r="SLS149" s="22"/>
      <c r="SLT149" s="22"/>
      <c r="SLU149" s="22"/>
      <c r="SLV149" s="22"/>
      <c r="SLW149" s="22"/>
      <c r="SLX149" s="22"/>
      <c r="SLY149" s="22"/>
      <c r="SLZ149" s="22"/>
      <c r="SMA149" s="22"/>
      <c r="SMB149" s="22"/>
      <c r="SMC149" s="22"/>
      <c r="SMD149" s="22"/>
      <c r="SME149" s="22"/>
      <c r="SMF149" s="22"/>
      <c r="SMG149" s="22"/>
      <c r="SMH149" s="22"/>
      <c r="SMI149" s="22"/>
      <c r="SMJ149" s="22"/>
      <c r="SMK149" s="22"/>
      <c r="SML149" s="22"/>
      <c r="SMM149" s="22"/>
      <c r="SMN149" s="22"/>
      <c r="SMO149" s="22"/>
      <c r="SMP149" s="22"/>
      <c r="SMQ149" s="22"/>
      <c r="SMR149" s="22"/>
      <c r="SMS149" s="22"/>
      <c r="SMT149" s="22"/>
      <c r="SMU149" s="22"/>
      <c r="SMV149" s="22"/>
      <c r="SMW149" s="22"/>
      <c r="SMX149" s="22"/>
      <c r="SMY149" s="22"/>
      <c r="SMZ149" s="22"/>
      <c r="SNA149" s="22"/>
      <c r="SNB149" s="22"/>
      <c r="SNC149" s="22"/>
      <c r="SND149" s="22"/>
      <c r="SNE149" s="22"/>
      <c r="SNF149" s="22"/>
      <c r="SNG149" s="22"/>
      <c r="SNH149" s="22"/>
      <c r="SNI149" s="22"/>
      <c r="SNJ149" s="22"/>
      <c r="SNK149" s="22"/>
      <c r="SNL149" s="22"/>
      <c r="SNM149" s="22"/>
      <c r="SNN149" s="22"/>
      <c r="SNO149" s="22"/>
      <c r="SNP149" s="22"/>
      <c r="SNQ149" s="22"/>
      <c r="SNR149" s="22"/>
      <c r="SNS149" s="22"/>
      <c r="SNT149" s="22"/>
      <c r="SNU149" s="22"/>
      <c r="SNV149" s="22"/>
      <c r="SNW149" s="22"/>
      <c r="SNX149" s="22"/>
      <c r="SNY149" s="22"/>
      <c r="SNZ149" s="22"/>
      <c r="SOA149" s="22"/>
      <c r="SOB149" s="22"/>
      <c r="SOC149" s="22"/>
      <c r="SOD149" s="22"/>
      <c r="SOE149" s="22"/>
      <c r="SOF149" s="22"/>
      <c r="SOG149" s="22"/>
      <c r="SOH149" s="22"/>
      <c r="SOI149" s="22"/>
      <c r="SOJ149" s="22"/>
      <c r="SOK149" s="22"/>
      <c r="SOL149" s="22"/>
      <c r="SOM149" s="22"/>
      <c r="SON149" s="22"/>
      <c r="SOO149" s="22"/>
      <c r="SOP149" s="22"/>
      <c r="SOQ149" s="22"/>
      <c r="SOR149" s="22"/>
      <c r="SOS149" s="22"/>
      <c r="SOT149" s="22"/>
      <c r="SOU149" s="22"/>
      <c r="SOV149" s="22"/>
      <c r="SOW149" s="22"/>
      <c r="SOX149" s="22"/>
      <c r="SOY149" s="22"/>
      <c r="SOZ149" s="22"/>
      <c r="SPA149" s="22"/>
      <c r="SPB149" s="22"/>
      <c r="SPC149" s="22"/>
      <c r="SPD149" s="22"/>
      <c r="SPE149" s="22"/>
      <c r="SPF149" s="22"/>
      <c r="SPG149" s="22"/>
      <c r="SPH149" s="22"/>
      <c r="SPI149" s="22"/>
      <c r="SPJ149" s="22"/>
      <c r="SPK149" s="22"/>
      <c r="SPL149" s="22"/>
      <c r="SPM149" s="22"/>
      <c r="SPN149" s="22"/>
      <c r="SPO149" s="22"/>
      <c r="SPP149" s="22"/>
      <c r="SPQ149" s="22"/>
      <c r="SPR149" s="22"/>
      <c r="SPS149" s="22"/>
      <c r="SPT149" s="22"/>
      <c r="SPU149" s="22"/>
      <c r="SPV149" s="22"/>
      <c r="SPW149" s="22"/>
      <c r="SPX149" s="22"/>
      <c r="SPY149" s="22"/>
      <c r="SPZ149" s="22"/>
      <c r="SQA149" s="22"/>
      <c r="SQB149" s="22"/>
      <c r="SQC149" s="22"/>
      <c r="SQD149" s="22"/>
      <c r="SQE149" s="22"/>
      <c r="SQF149" s="22"/>
      <c r="SQG149" s="22"/>
      <c r="SQH149" s="22"/>
      <c r="SQI149" s="22"/>
      <c r="SQJ149" s="22"/>
      <c r="SQK149" s="22"/>
      <c r="SQL149" s="22"/>
      <c r="SQM149" s="22"/>
      <c r="SQN149" s="22"/>
      <c r="SQO149" s="22"/>
      <c r="SQP149" s="22"/>
      <c r="SQQ149" s="22"/>
      <c r="SQR149" s="22"/>
      <c r="SQS149" s="22"/>
      <c r="SQT149" s="22"/>
      <c r="SQU149" s="22"/>
      <c r="SQV149" s="22"/>
      <c r="SQW149" s="22"/>
      <c r="SQX149" s="22"/>
      <c r="SQY149" s="22"/>
      <c r="SQZ149" s="22"/>
      <c r="SRA149" s="22"/>
      <c r="SRB149" s="22"/>
      <c r="SRC149" s="22"/>
      <c r="SRD149" s="22"/>
      <c r="SRE149" s="22"/>
      <c r="SRF149" s="22"/>
      <c r="SRG149" s="22"/>
      <c r="SRH149" s="22"/>
      <c r="SRI149" s="22"/>
      <c r="SRJ149" s="22"/>
      <c r="SRK149" s="22"/>
      <c r="SRL149" s="22"/>
      <c r="SRM149" s="22"/>
      <c r="SRN149" s="22"/>
      <c r="SRO149" s="22"/>
      <c r="SRP149" s="22"/>
      <c r="SRQ149" s="22"/>
      <c r="SRR149" s="22"/>
      <c r="SRS149" s="22"/>
      <c r="SRT149" s="22"/>
      <c r="SRU149" s="22"/>
      <c r="SRV149" s="22"/>
      <c r="SRW149" s="22"/>
      <c r="SRX149" s="22"/>
      <c r="SRY149" s="22"/>
      <c r="SRZ149" s="22"/>
      <c r="SSA149" s="22"/>
      <c r="SSB149" s="22"/>
      <c r="SSC149" s="22"/>
      <c r="SSD149" s="22"/>
      <c r="SSE149" s="22"/>
      <c r="SSF149" s="22"/>
      <c r="SSG149" s="22"/>
      <c r="SSH149" s="22"/>
      <c r="SSI149" s="22"/>
      <c r="SSJ149" s="22"/>
      <c r="SSK149" s="22"/>
      <c r="SSL149" s="22"/>
      <c r="SSM149" s="22"/>
      <c r="SSN149" s="22"/>
      <c r="SSO149" s="22"/>
      <c r="SSP149" s="22"/>
      <c r="SSQ149" s="22"/>
      <c r="SSR149" s="22"/>
      <c r="SSS149" s="22"/>
      <c r="SST149" s="22"/>
      <c r="SSU149" s="22"/>
      <c r="SSV149" s="22"/>
      <c r="SSW149" s="22"/>
      <c r="SSX149" s="22"/>
      <c r="SSY149" s="22"/>
      <c r="SSZ149" s="22"/>
      <c r="STA149" s="22"/>
      <c r="STB149" s="22"/>
      <c r="STC149" s="22"/>
      <c r="STD149" s="22"/>
      <c r="STE149" s="22"/>
      <c r="STF149" s="22"/>
      <c r="STG149" s="22"/>
      <c r="STH149" s="22"/>
      <c r="STI149" s="22"/>
      <c r="STJ149" s="22"/>
      <c r="STK149" s="22"/>
      <c r="STL149" s="22"/>
      <c r="STM149" s="22"/>
      <c r="STN149" s="22"/>
      <c r="STO149" s="22"/>
      <c r="STP149" s="22"/>
      <c r="STQ149" s="22"/>
      <c r="STR149" s="22"/>
      <c r="STS149" s="22"/>
      <c r="STT149" s="22"/>
      <c r="STU149" s="22"/>
      <c r="STV149" s="22"/>
      <c r="STW149" s="22"/>
      <c r="STX149" s="22"/>
      <c r="STY149" s="22"/>
      <c r="STZ149" s="22"/>
      <c r="SUA149" s="22"/>
      <c r="SUB149" s="22"/>
      <c r="SUC149" s="22"/>
      <c r="SUD149" s="22"/>
      <c r="SUE149" s="22"/>
      <c r="SUF149" s="22"/>
      <c r="SUG149" s="22"/>
      <c r="SUH149" s="22"/>
      <c r="SUI149" s="22"/>
      <c r="SUJ149" s="22"/>
      <c r="SUK149" s="22"/>
      <c r="SUL149" s="22"/>
      <c r="SUM149" s="22"/>
      <c r="SUN149" s="22"/>
      <c r="SUO149" s="22"/>
      <c r="SUP149" s="22"/>
      <c r="SUQ149" s="22"/>
      <c r="SUR149" s="22"/>
      <c r="SUS149" s="22"/>
      <c r="SUT149" s="22"/>
      <c r="SUU149" s="22"/>
      <c r="SUV149" s="22"/>
      <c r="SUW149" s="22"/>
      <c r="SUX149" s="22"/>
      <c r="SUY149" s="22"/>
      <c r="SUZ149" s="22"/>
      <c r="SVA149" s="22"/>
      <c r="SVB149" s="22"/>
      <c r="SVC149" s="22"/>
      <c r="SVD149" s="22"/>
      <c r="SVE149" s="22"/>
      <c r="SVF149" s="22"/>
      <c r="SVG149" s="22"/>
      <c r="SVH149" s="22"/>
      <c r="SVI149" s="22"/>
      <c r="SVJ149" s="22"/>
      <c r="SVK149" s="22"/>
      <c r="SVL149" s="22"/>
      <c r="SVM149" s="22"/>
      <c r="SVN149" s="22"/>
      <c r="SVO149" s="22"/>
      <c r="SVP149" s="22"/>
      <c r="SVQ149" s="22"/>
      <c r="SVR149" s="22"/>
      <c r="SVS149" s="22"/>
      <c r="SVT149" s="22"/>
      <c r="SVU149" s="22"/>
      <c r="SVV149" s="22"/>
      <c r="SVW149" s="22"/>
      <c r="SVX149" s="22"/>
      <c r="SVY149" s="22"/>
      <c r="SVZ149" s="22"/>
      <c r="SWA149" s="22"/>
      <c r="SWB149" s="22"/>
      <c r="SWC149" s="22"/>
      <c r="SWD149" s="22"/>
      <c r="SWE149" s="22"/>
      <c r="SWF149" s="22"/>
      <c r="SWG149" s="22"/>
      <c r="SWH149" s="22"/>
      <c r="SWI149" s="22"/>
      <c r="SWJ149" s="22"/>
      <c r="SWK149" s="22"/>
      <c r="SWL149" s="22"/>
      <c r="SWM149" s="22"/>
      <c r="SWN149" s="22"/>
      <c r="SWO149" s="22"/>
      <c r="SWP149" s="22"/>
      <c r="SWQ149" s="22"/>
      <c r="SWR149" s="22"/>
      <c r="SWS149" s="22"/>
      <c r="SWT149" s="22"/>
      <c r="SWU149" s="22"/>
      <c r="SWV149" s="22"/>
      <c r="SWW149" s="22"/>
      <c r="SWX149" s="22"/>
      <c r="SWY149" s="22"/>
      <c r="SWZ149" s="22"/>
      <c r="SXA149" s="22"/>
      <c r="SXB149" s="22"/>
      <c r="SXC149" s="22"/>
      <c r="SXD149" s="22"/>
      <c r="SXE149" s="22"/>
      <c r="SXF149" s="22"/>
      <c r="SXG149" s="22"/>
      <c r="SXH149" s="22"/>
      <c r="SXI149" s="22"/>
      <c r="SXJ149" s="22"/>
      <c r="SXK149" s="22"/>
      <c r="SXL149" s="22"/>
      <c r="SXM149" s="22"/>
      <c r="SXN149" s="22"/>
      <c r="SXO149" s="22"/>
      <c r="SXP149" s="22"/>
      <c r="SXQ149" s="22"/>
      <c r="SXR149" s="22"/>
      <c r="SXS149" s="22"/>
      <c r="SXT149" s="22"/>
      <c r="SXU149" s="22"/>
      <c r="SXV149" s="22"/>
      <c r="SXW149" s="22"/>
      <c r="SXX149" s="22"/>
      <c r="SXY149" s="22"/>
      <c r="SXZ149" s="22"/>
      <c r="SYA149" s="22"/>
      <c r="SYB149" s="22"/>
      <c r="SYC149" s="22"/>
      <c r="SYD149" s="22"/>
      <c r="SYE149" s="22"/>
      <c r="SYF149" s="22"/>
      <c r="SYG149" s="22"/>
      <c r="SYH149" s="22"/>
      <c r="SYI149" s="22"/>
      <c r="SYJ149" s="22"/>
      <c r="SYK149" s="22"/>
      <c r="SYL149" s="22"/>
      <c r="SYM149" s="22"/>
      <c r="SYN149" s="22"/>
      <c r="SYO149" s="22"/>
      <c r="SYP149" s="22"/>
      <c r="SYQ149" s="22"/>
      <c r="SYR149" s="22"/>
      <c r="SYS149" s="22"/>
      <c r="SYT149" s="22"/>
      <c r="SYU149" s="22"/>
      <c r="SYV149" s="22"/>
      <c r="SYW149" s="22"/>
      <c r="SYX149" s="22"/>
      <c r="SYY149" s="22"/>
      <c r="SYZ149" s="22"/>
      <c r="SZA149" s="22"/>
      <c r="SZB149" s="22"/>
      <c r="SZC149" s="22"/>
      <c r="SZD149" s="22"/>
      <c r="SZE149" s="22"/>
      <c r="SZF149" s="22"/>
      <c r="SZG149" s="22"/>
      <c r="SZH149" s="22"/>
      <c r="SZI149" s="22"/>
      <c r="SZJ149" s="22"/>
      <c r="SZK149" s="22"/>
      <c r="SZL149" s="22"/>
      <c r="SZM149" s="22"/>
      <c r="SZN149" s="22"/>
      <c r="SZO149" s="22"/>
      <c r="SZP149" s="22"/>
      <c r="SZQ149" s="22"/>
      <c r="SZR149" s="22"/>
      <c r="SZS149" s="22"/>
      <c r="SZT149" s="22"/>
      <c r="SZU149" s="22"/>
      <c r="SZV149" s="22"/>
      <c r="SZW149" s="22"/>
      <c r="SZX149" s="22"/>
      <c r="SZY149" s="22"/>
      <c r="SZZ149" s="22"/>
      <c r="TAA149" s="22"/>
      <c r="TAB149" s="22"/>
      <c r="TAC149" s="22"/>
      <c r="TAD149" s="22"/>
      <c r="TAE149" s="22"/>
      <c r="TAF149" s="22"/>
      <c r="TAG149" s="22"/>
      <c r="TAH149" s="22"/>
      <c r="TAI149" s="22"/>
      <c r="TAJ149" s="22"/>
      <c r="TAK149" s="22"/>
      <c r="TAL149" s="22"/>
      <c r="TAM149" s="22"/>
      <c r="TAN149" s="22"/>
      <c r="TAO149" s="22"/>
      <c r="TAP149" s="22"/>
      <c r="TAQ149" s="22"/>
      <c r="TAR149" s="22"/>
      <c r="TAS149" s="22"/>
      <c r="TAT149" s="22"/>
      <c r="TAU149" s="22"/>
      <c r="TAV149" s="22"/>
      <c r="TAW149" s="22"/>
      <c r="TAX149" s="22"/>
      <c r="TAY149" s="22"/>
      <c r="TAZ149" s="22"/>
      <c r="TBA149" s="22"/>
      <c r="TBB149" s="22"/>
      <c r="TBC149" s="22"/>
      <c r="TBD149" s="22"/>
      <c r="TBE149" s="22"/>
      <c r="TBF149" s="22"/>
      <c r="TBG149" s="22"/>
      <c r="TBH149" s="22"/>
      <c r="TBI149" s="22"/>
      <c r="TBJ149" s="22"/>
      <c r="TBK149" s="22"/>
      <c r="TBL149" s="22"/>
      <c r="TBM149" s="22"/>
      <c r="TBN149" s="22"/>
      <c r="TBO149" s="22"/>
      <c r="TBP149" s="22"/>
      <c r="TBQ149" s="22"/>
      <c r="TBR149" s="22"/>
      <c r="TBS149" s="22"/>
      <c r="TBT149" s="22"/>
      <c r="TBU149" s="22"/>
      <c r="TBV149" s="22"/>
      <c r="TBW149" s="22"/>
      <c r="TBX149" s="22"/>
      <c r="TBY149" s="22"/>
      <c r="TBZ149" s="22"/>
      <c r="TCA149" s="22"/>
      <c r="TCB149" s="22"/>
      <c r="TCC149" s="22"/>
      <c r="TCD149" s="22"/>
      <c r="TCE149" s="22"/>
      <c r="TCF149" s="22"/>
      <c r="TCG149" s="22"/>
      <c r="TCH149" s="22"/>
      <c r="TCI149" s="22"/>
      <c r="TCJ149" s="22"/>
      <c r="TCK149" s="22"/>
      <c r="TCL149" s="22"/>
      <c r="TCM149" s="22"/>
      <c r="TCN149" s="22"/>
      <c r="TCO149" s="22"/>
      <c r="TCP149" s="22"/>
      <c r="TCQ149" s="22"/>
      <c r="TCR149" s="22"/>
      <c r="TCS149" s="22"/>
      <c r="TCT149" s="22"/>
      <c r="TCU149" s="22"/>
      <c r="TCV149" s="22"/>
      <c r="TCW149" s="22"/>
      <c r="TCX149" s="22"/>
      <c r="TCY149" s="22"/>
      <c r="TCZ149" s="22"/>
      <c r="TDA149" s="22"/>
      <c r="TDB149" s="22"/>
      <c r="TDC149" s="22"/>
      <c r="TDD149" s="22"/>
      <c r="TDE149" s="22"/>
      <c r="TDF149" s="22"/>
      <c r="TDG149" s="22"/>
      <c r="TDH149" s="22"/>
      <c r="TDI149" s="22"/>
      <c r="TDJ149" s="22"/>
      <c r="TDK149" s="22"/>
      <c r="TDL149" s="22"/>
      <c r="TDM149" s="22"/>
      <c r="TDN149" s="22"/>
      <c r="TDO149" s="22"/>
      <c r="TDP149" s="22"/>
      <c r="TDQ149" s="22"/>
      <c r="TDR149" s="22"/>
      <c r="TDS149" s="22"/>
      <c r="TDT149" s="22"/>
      <c r="TDU149" s="22"/>
      <c r="TDV149" s="22"/>
      <c r="TDW149" s="22"/>
      <c r="TDX149" s="22"/>
      <c r="TDY149" s="22"/>
      <c r="TDZ149" s="22"/>
      <c r="TEA149" s="22"/>
      <c r="TEB149" s="22"/>
      <c r="TEC149" s="22"/>
      <c r="TED149" s="22"/>
      <c r="TEE149" s="22"/>
      <c r="TEF149" s="22"/>
      <c r="TEG149" s="22"/>
      <c r="TEH149" s="22"/>
      <c r="TEI149" s="22"/>
      <c r="TEJ149" s="22"/>
      <c r="TEK149" s="22"/>
      <c r="TEL149" s="22"/>
      <c r="TEM149" s="22"/>
      <c r="TEN149" s="22"/>
      <c r="TEO149" s="22"/>
      <c r="TEP149" s="22"/>
      <c r="TEQ149" s="22"/>
      <c r="TER149" s="22"/>
      <c r="TES149" s="22"/>
      <c r="TET149" s="22"/>
      <c r="TEU149" s="22"/>
      <c r="TEV149" s="22"/>
      <c r="TEW149" s="22"/>
      <c r="TEX149" s="22"/>
      <c r="TEY149" s="22"/>
      <c r="TEZ149" s="22"/>
      <c r="TFA149" s="22"/>
      <c r="TFB149" s="22"/>
      <c r="TFC149" s="22"/>
      <c r="TFD149" s="22"/>
      <c r="TFE149" s="22"/>
      <c r="TFF149" s="22"/>
      <c r="TFG149" s="22"/>
      <c r="TFH149" s="22"/>
      <c r="TFI149" s="22"/>
      <c r="TFJ149" s="22"/>
      <c r="TFK149" s="22"/>
      <c r="TFL149" s="22"/>
      <c r="TFM149" s="22"/>
      <c r="TFN149" s="22"/>
      <c r="TFO149" s="22"/>
      <c r="TFP149" s="22"/>
      <c r="TFQ149" s="22"/>
      <c r="TFR149" s="22"/>
      <c r="TFS149" s="22"/>
      <c r="TFT149" s="22"/>
      <c r="TFU149" s="22"/>
      <c r="TFV149" s="22"/>
      <c r="TFW149" s="22"/>
      <c r="TFX149" s="22"/>
      <c r="TFY149" s="22"/>
      <c r="TFZ149" s="22"/>
      <c r="TGA149" s="22"/>
      <c r="TGB149" s="22"/>
      <c r="TGC149" s="22"/>
      <c r="TGD149" s="22"/>
      <c r="TGE149" s="22"/>
      <c r="TGF149" s="22"/>
      <c r="TGG149" s="22"/>
      <c r="TGH149" s="22"/>
      <c r="TGI149" s="22"/>
      <c r="TGJ149" s="22"/>
      <c r="TGK149" s="22"/>
      <c r="TGL149" s="22"/>
      <c r="TGM149" s="22"/>
      <c r="TGN149" s="22"/>
      <c r="TGO149" s="22"/>
      <c r="TGP149" s="22"/>
      <c r="TGQ149" s="22"/>
      <c r="TGR149" s="22"/>
      <c r="TGS149" s="22"/>
      <c r="TGT149" s="22"/>
      <c r="TGU149" s="22"/>
      <c r="TGV149" s="22"/>
      <c r="TGW149" s="22"/>
      <c r="TGX149" s="22"/>
      <c r="TGY149" s="22"/>
      <c r="TGZ149" s="22"/>
      <c r="THA149" s="22"/>
      <c r="THB149" s="22"/>
      <c r="THC149" s="22"/>
      <c r="THD149" s="22"/>
      <c r="THE149" s="22"/>
      <c r="THF149" s="22"/>
      <c r="THG149" s="22"/>
      <c r="THH149" s="22"/>
      <c r="THI149" s="22"/>
      <c r="THJ149" s="22"/>
      <c r="THK149" s="22"/>
      <c r="THL149" s="22"/>
      <c r="THM149" s="22"/>
      <c r="THN149" s="22"/>
      <c r="THO149" s="22"/>
      <c r="THP149" s="22"/>
      <c r="THQ149" s="22"/>
      <c r="THR149" s="22"/>
      <c r="THS149" s="22"/>
      <c r="THT149" s="22"/>
      <c r="THU149" s="22"/>
      <c r="THV149" s="22"/>
      <c r="THW149" s="22"/>
      <c r="THX149" s="22"/>
      <c r="THY149" s="22"/>
      <c r="THZ149" s="22"/>
      <c r="TIA149" s="22"/>
      <c r="TIB149" s="22"/>
      <c r="TIC149" s="22"/>
      <c r="TID149" s="22"/>
      <c r="TIE149" s="22"/>
      <c r="TIF149" s="22"/>
      <c r="TIG149" s="22"/>
      <c r="TIH149" s="22"/>
      <c r="TII149" s="22"/>
      <c r="TIJ149" s="22"/>
      <c r="TIK149" s="22"/>
      <c r="TIL149" s="22"/>
      <c r="TIM149" s="22"/>
      <c r="TIN149" s="22"/>
      <c r="TIO149" s="22"/>
      <c r="TIP149" s="22"/>
      <c r="TIQ149" s="22"/>
      <c r="TIR149" s="22"/>
      <c r="TIS149" s="22"/>
      <c r="TIT149" s="22"/>
      <c r="TIU149" s="22"/>
      <c r="TIV149" s="22"/>
      <c r="TIW149" s="22"/>
      <c r="TIX149" s="22"/>
      <c r="TIY149" s="22"/>
      <c r="TIZ149" s="22"/>
      <c r="TJA149" s="22"/>
      <c r="TJB149" s="22"/>
      <c r="TJC149" s="22"/>
      <c r="TJD149" s="22"/>
      <c r="TJE149" s="22"/>
      <c r="TJF149" s="22"/>
      <c r="TJG149" s="22"/>
      <c r="TJH149" s="22"/>
      <c r="TJI149" s="22"/>
      <c r="TJJ149" s="22"/>
      <c r="TJK149" s="22"/>
      <c r="TJL149" s="22"/>
      <c r="TJM149" s="22"/>
      <c r="TJN149" s="22"/>
      <c r="TJO149" s="22"/>
      <c r="TJP149" s="22"/>
      <c r="TJQ149" s="22"/>
      <c r="TJR149" s="22"/>
      <c r="TJS149" s="22"/>
      <c r="TJT149" s="22"/>
      <c r="TJU149" s="22"/>
      <c r="TJV149" s="22"/>
      <c r="TJW149" s="22"/>
      <c r="TJX149" s="22"/>
      <c r="TJY149" s="22"/>
      <c r="TJZ149" s="22"/>
      <c r="TKA149" s="22"/>
      <c r="TKB149" s="22"/>
      <c r="TKC149" s="22"/>
      <c r="TKD149" s="22"/>
      <c r="TKE149" s="22"/>
      <c r="TKF149" s="22"/>
      <c r="TKG149" s="22"/>
      <c r="TKH149" s="22"/>
      <c r="TKI149" s="22"/>
      <c r="TKJ149" s="22"/>
      <c r="TKK149" s="22"/>
      <c r="TKL149" s="22"/>
      <c r="TKM149" s="22"/>
      <c r="TKN149" s="22"/>
      <c r="TKO149" s="22"/>
      <c r="TKP149" s="22"/>
      <c r="TKQ149" s="22"/>
      <c r="TKR149" s="22"/>
      <c r="TKS149" s="22"/>
      <c r="TKT149" s="22"/>
      <c r="TKU149" s="22"/>
      <c r="TKV149" s="22"/>
      <c r="TKW149" s="22"/>
      <c r="TKX149" s="22"/>
      <c r="TKY149" s="22"/>
      <c r="TKZ149" s="22"/>
      <c r="TLA149" s="22"/>
      <c r="TLB149" s="22"/>
      <c r="TLC149" s="22"/>
      <c r="TLD149" s="22"/>
      <c r="TLE149" s="22"/>
      <c r="TLF149" s="22"/>
      <c r="TLG149" s="22"/>
      <c r="TLH149" s="22"/>
      <c r="TLI149" s="22"/>
      <c r="TLJ149" s="22"/>
      <c r="TLK149" s="22"/>
      <c r="TLL149" s="22"/>
      <c r="TLM149" s="22"/>
      <c r="TLN149" s="22"/>
      <c r="TLO149" s="22"/>
      <c r="TLP149" s="22"/>
      <c r="TLQ149" s="22"/>
      <c r="TLR149" s="22"/>
      <c r="TLS149" s="22"/>
      <c r="TLT149" s="22"/>
      <c r="TLU149" s="22"/>
      <c r="TLV149" s="22"/>
      <c r="TLW149" s="22"/>
      <c r="TLX149" s="22"/>
      <c r="TLY149" s="22"/>
      <c r="TLZ149" s="22"/>
      <c r="TMA149" s="22"/>
      <c r="TMB149" s="22"/>
      <c r="TMC149" s="22"/>
      <c r="TMD149" s="22"/>
      <c r="TME149" s="22"/>
      <c r="TMF149" s="22"/>
      <c r="TMG149" s="22"/>
      <c r="TMH149" s="22"/>
      <c r="TMI149" s="22"/>
      <c r="TMJ149" s="22"/>
      <c r="TMK149" s="22"/>
      <c r="TML149" s="22"/>
      <c r="TMM149" s="22"/>
      <c r="TMN149" s="22"/>
      <c r="TMO149" s="22"/>
      <c r="TMP149" s="22"/>
      <c r="TMQ149" s="22"/>
      <c r="TMR149" s="22"/>
      <c r="TMS149" s="22"/>
      <c r="TMT149" s="22"/>
      <c r="TMU149" s="22"/>
      <c r="TMV149" s="22"/>
      <c r="TMW149" s="22"/>
      <c r="TMX149" s="22"/>
      <c r="TMY149" s="22"/>
      <c r="TMZ149" s="22"/>
      <c r="TNA149" s="22"/>
      <c r="TNB149" s="22"/>
      <c r="TNC149" s="22"/>
      <c r="TND149" s="22"/>
      <c r="TNE149" s="22"/>
      <c r="TNF149" s="22"/>
      <c r="TNG149" s="22"/>
      <c r="TNH149" s="22"/>
      <c r="TNI149" s="22"/>
      <c r="TNJ149" s="22"/>
      <c r="TNK149" s="22"/>
      <c r="TNL149" s="22"/>
      <c r="TNM149" s="22"/>
      <c r="TNN149" s="22"/>
      <c r="TNO149" s="22"/>
      <c r="TNP149" s="22"/>
      <c r="TNQ149" s="22"/>
      <c r="TNR149" s="22"/>
      <c r="TNS149" s="22"/>
      <c r="TNT149" s="22"/>
      <c r="TNU149" s="22"/>
      <c r="TNV149" s="22"/>
      <c r="TNW149" s="22"/>
      <c r="TNX149" s="22"/>
      <c r="TNY149" s="22"/>
      <c r="TNZ149" s="22"/>
      <c r="TOA149" s="22"/>
      <c r="TOB149" s="22"/>
      <c r="TOC149" s="22"/>
      <c r="TOD149" s="22"/>
      <c r="TOE149" s="22"/>
      <c r="TOF149" s="22"/>
      <c r="TOG149" s="22"/>
      <c r="TOH149" s="22"/>
      <c r="TOI149" s="22"/>
      <c r="TOJ149" s="22"/>
      <c r="TOK149" s="22"/>
      <c r="TOL149" s="22"/>
      <c r="TOM149" s="22"/>
      <c r="TON149" s="22"/>
      <c r="TOO149" s="22"/>
      <c r="TOP149" s="22"/>
      <c r="TOQ149" s="22"/>
      <c r="TOR149" s="22"/>
      <c r="TOS149" s="22"/>
      <c r="TOT149" s="22"/>
      <c r="TOU149" s="22"/>
      <c r="TOV149" s="22"/>
      <c r="TOW149" s="22"/>
      <c r="TOX149" s="22"/>
      <c r="TOY149" s="22"/>
      <c r="TOZ149" s="22"/>
      <c r="TPA149" s="22"/>
      <c r="TPB149" s="22"/>
      <c r="TPC149" s="22"/>
      <c r="TPD149" s="22"/>
      <c r="TPE149" s="22"/>
      <c r="TPF149" s="22"/>
      <c r="TPG149" s="22"/>
      <c r="TPH149" s="22"/>
      <c r="TPI149" s="22"/>
      <c r="TPJ149" s="22"/>
      <c r="TPK149" s="22"/>
      <c r="TPL149" s="22"/>
      <c r="TPM149" s="22"/>
      <c r="TPN149" s="22"/>
      <c r="TPO149" s="22"/>
      <c r="TPP149" s="22"/>
      <c r="TPQ149" s="22"/>
      <c r="TPR149" s="22"/>
      <c r="TPS149" s="22"/>
      <c r="TPT149" s="22"/>
      <c r="TPU149" s="22"/>
      <c r="TPV149" s="22"/>
      <c r="TPW149" s="22"/>
      <c r="TPX149" s="22"/>
      <c r="TPY149" s="22"/>
      <c r="TPZ149" s="22"/>
      <c r="TQA149" s="22"/>
      <c r="TQB149" s="22"/>
      <c r="TQC149" s="22"/>
      <c r="TQD149" s="22"/>
      <c r="TQE149" s="22"/>
      <c r="TQF149" s="22"/>
      <c r="TQG149" s="22"/>
      <c r="TQH149" s="22"/>
      <c r="TQI149" s="22"/>
      <c r="TQJ149" s="22"/>
      <c r="TQK149" s="22"/>
      <c r="TQL149" s="22"/>
      <c r="TQM149" s="22"/>
      <c r="TQN149" s="22"/>
      <c r="TQO149" s="22"/>
      <c r="TQP149" s="22"/>
      <c r="TQQ149" s="22"/>
      <c r="TQR149" s="22"/>
      <c r="TQS149" s="22"/>
      <c r="TQT149" s="22"/>
      <c r="TQU149" s="22"/>
      <c r="TQV149" s="22"/>
      <c r="TQW149" s="22"/>
      <c r="TQX149" s="22"/>
      <c r="TQY149" s="22"/>
      <c r="TQZ149" s="22"/>
      <c r="TRA149" s="22"/>
      <c r="TRB149" s="22"/>
      <c r="TRC149" s="22"/>
      <c r="TRD149" s="22"/>
      <c r="TRE149" s="22"/>
      <c r="TRF149" s="22"/>
      <c r="TRG149" s="22"/>
      <c r="TRH149" s="22"/>
      <c r="TRI149" s="22"/>
      <c r="TRJ149" s="22"/>
      <c r="TRK149" s="22"/>
      <c r="TRL149" s="22"/>
      <c r="TRM149" s="22"/>
      <c r="TRN149" s="22"/>
      <c r="TRO149" s="22"/>
      <c r="TRP149" s="22"/>
      <c r="TRQ149" s="22"/>
      <c r="TRR149" s="22"/>
      <c r="TRS149" s="22"/>
      <c r="TRT149" s="22"/>
      <c r="TRU149" s="22"/>
      <c r="TRV149" s="22"/>
      <c r="TRW149" s="22"/>
      <c r="TRX149" s="22"/>
      <c r="TRY149" s="22"/>
      <c r="TRZ149" s="22"/>
      <c r="TSA149" s="22"/>
      <c r="TSB149" s="22"/>
      <c r="TSC149" s="22"/>
      <c r="TSD149" s="22"/>
      <c r="TSE149" s="22"/>
      <c r="TSF149" s="22"/>
      <c r="TSG149" s="22"/>
      <c r="TSH149" s="22"/>
      <c r="TSI149" s="22"/>
      <c r="TSJ149" s="22"/>
      <c r="TSK149" s="22"/>
      <c r="TSL149" s="22"/>
      <c r="TSM149" s="22"/>
      <c r="TSN149" s="22"/>
      <c r="TSO149" s="22"/>
      <c r="TSP149" s="22"/>
      <c r="TSQ149" s="22"/>
      <c r="TSR149" s="22"/>
      <c r="TSS149" s="22"/>
      <c r="TST149" s="22"/>
      <c r="TSU149" s="22"/>
      <c r="TSV149" s="22"/>
      <c r="TSW149" s="22"/>
      <c r="TSX149" s="22"/>
      <c r="TSY149" s="22"/>
      <c r="TSZ149" s="22"/>
      <c r="TTA149" s="22"/>
      <c r="TTB149" s="22"/>
      <c r="TTC149" s="22"/>
      <c r="TTD149" s="22"/>
      <c r="TTE149" s="22"/>
      <c r="TTF149" s="22"/>
      <c r="TTG149" s="22"/>
      <c r="TTH149" s="22"/>
      <c r="TTI149" s="22"/>
      <c r="TTJ149" s="22"/>
      <c r="TTK149" s="22"/>
      <c r="TTL149" s="22"/>
      <c r="TTM149" s="22"/>
      <c r="TTN149" s="22"/>
      <c r="TTO149" s="22"/>
      <c r="TTP149" s="22"/>
      <c r="TTQ149" s="22"/>
      <c r="TTR149" s="22"/>
      <c r="TTS149" s="22"/>
      <c r="TTT149" s="22"/>
      <c r="TTU149" s="22"/>
      <c r="TTV149" s="22"/>
      <c r="TTW149" s="22"/>
      <c r="TTX149" s="22"/>
      <c r="TTY149" s="22"/>
      <c r="TTZ149" s="22"/>
      <c r="TUA149" s="22"/>
      <c r="TUB149" s="22"/>
      <c r="TUC149" s="22"/>
      <c r="TUD149" s="22"/>
      <c r="TUE149" s="22"/>
      <c r="TUF149" s="22"/>
      <c r="TUG149" s="22"/>
      <c r="TUH149" s="22"/>
      <c r="TUI149" s="22"/>
      <c r="TUJ149" s="22"/>
      <c r="TUK149" s="22"/>
      <c r="TUL149" s="22"/>
      <c r="TUM149" s="22"/>
      <c r="TUN149" s="22"/>
      <c r="TUO149" s="22"/>
      <c r="TUP149" s="22"/>
      <c r="TUQ149" s="22"/>
      <c r="TUR149" s="22"/>
      <c r="TUS149" s="22"/>
      <c r="TUT149" s="22"/>
      <c r="TUU149" s="22"/>
      <c r="TUV149" s="22"/>
      <c r="TUW149" s="22"/>
      <c r="TUX149" s="22"/>
      <c r="TUY149" s="22"/>
      <c r="TUZ149" s="22"/>
      <c r="TVA149" s="22"/>
      <c r="TVB149" s="22"/>
      <c r="TVC149" s="22"/>
      <c r="TVD149" s="22"/>
      <c r="TVE149" s="22"/>
      <c r="TVF149" s="22"/>
      <c r="TVG149" s="22"/>
      <c r="TVH149" s="22"/>
      <c r="TVI149" s="22"/>
      <c r="TVJ149" s="22"/>
      <c r="TVK149" s="22"/>
      <c r="TVL149" s="22"/>
      <c r="TVM149" s="22"/>
      <c r="TVN149" s="22"/>
      <c r="TVO149" s="22"/>
      <c r="TVP149" s="22"/>
      <c r="TVQ149" s="22"/>
      <c r="TVR149" s="22"/>
      <c r="TVS149" s="22"/>
      <c r="TVT149" s="22"/>
      <c r="TVU149" s="22"/>
      <c r="TVV149" s="22"/>
      <c r="TVW149" s="22"/>
      <c r="TVX149" s="22"/>
      <c r="TVY149" s="22"/>
      <c r="TVZ149" s="22"/>
      <c r="TWA149" s="22"/>
      <c r="TWB149" s="22"/>
      <c r="TWC149" s="22"/>
      <c r="TWD149" s="22"/>
      <c r="TWE149" s="22"/>
      <c r="TWF149" s="22"/>
      <c r="TWG149" s="22"/>
      <c r="TWH149" s="22"/>
      <c r="TWI149" s="22"/>
      <c r="TWJ149" s="22"/>
      <c r="TWK149" s="22"/>
      <c r="TWL149" s="22"/>
      <c r="TWM149" s="22"/>
      <c r="TWN149" s="22"/>
      <c r="TWO149" s="22"/>
      <c r="TWP149" s="22"/>
      <c r="TWQ149" s="22"/>
      <c r="TWR149" s="22"/>
      <c r="TWS149" s="22"/>
      <c r="TWT149" s="22"/>
      <c r="TWU149" s="22"/>
      <c r="TWV149" s="22"/>
      <c r="TWW149" s="22"/>
      <c r="TWX149" s="22"/>
      <c r="TWY149" s="22"/>
      <c r="TWZ149" s="22"/>
      <c r="TXA149" s="22"/>
      <c r="TXB149" s="22"/>
      <c r="TXC149" s="22"/>
      <c r="TXD149" s="22"/>
      <c r="TXE149" s="22"/>
      <c r="TXF149" s="22"/>
      <c r="TXG149" s="22"/>
      <c r="TXH149" s="22"/>
      <c r="TXI149" s="22"/>
      <c r="TXJ149" s="22"/>
      <c r="TXK149" s="22"/>
      <c r="TXL149" s="22"/>
      <c r="TXM149" s="22"/>
      <c r="TXN149" s="22"/>
      <c r="TXO149" s="22"/>
      <c r="TXP149" s="22"/>
      <c r="TXQ149" s="22"/>
      <c r="TXR149" s="22"/>
      <c r="TXS149" s="22"/>
      <c r="TXT149" s="22"/>
      <c r="TXU149" s="22"/>
      <c r="TXV149" s="22"/>
      <c r="TXW149" s="22"/>
      <c r="TXX149" s="22"/>
      <c r="TXY149" s="22"/>
      <c r="TXZ149" s="22"/>
      <c r="TYA149" s="22"/>
      <c r="TYB149" s="22"/>
      <c r="TYC149" s="22"/>
      <c r="TYD149" s="22"/>
      <c r="TYE149" s="22"/>
      <c r="TYF149" s="22"/>
      <c r="TYG149" s="22"/>
      <c r="TYH149" s="22"/>
      <c r="TYI149" s="22"/>
      <c r="TYJ149" s="22"/>
      <c r="TYK149" s="22"/>
      <c r="TYL149" s="22"/>
      <c r="TYM149" s="22"/>
      <c r="TYN149" s="22"/>
      <c r="TYO149" s="22"/>
      <c r="TYP149" s="22"/>
      <c r="TYQ149" s="22"/>
      <c r="TYR149" s="22"/>
      <c r="TYS149" s="22"/>
      <c r="TYT149" s="22"/>
      <c r="TYU149" s="22"/>
      <c r="TYV149" s="22"/>
      <c r="TYW149" s="22"/>
      <c r="TYX149" s="22"/>
      <c r="TYY149" s="22"/>
      <c r="TYZ149" s="22"/>
      <c r="TZA149" s="22"/>
      <c r="TZB149" s="22"/>
      <c r="TZC149" s="22"/>
      <c r="TZD149" s="22"/>
      <c r="TZE149" s="22"/>
      <c r="TZF149" s="22"/>
      <c r="TZG149" s="22"/>
      <c r="TZH149" s="22"/>
      <c r="TZI149" s="22"/>
      <c r="TZJ149" s="22"/>
      <c r="TZK149" s="22"/>
      <c r="TZL149" s="22"/>
      <c r="TZM149" s="22"/>
      <c r="TZN149" s="22"/>
      <c r="TZO149" s="22"/>
      <c r="TZP149" s="22"/>
      <c r="TZQ149" s="22"/>
      <c r="TZR149" s="22"/>
      <c r="TZS149" s="22"/>
      <c r="TZT149" s="22"/>
      <c r="TZU149" s="22"/>
      <c r="TZV149" s="22"/>
      <c r="TZW149" s="22"/>
      <c r="TZX149" s="22"/>
      <c r="TZY149" s="22"/>
      <c r="TZZ149" s="22"/>
      <c r="UAA149" s="22"/>
      <c r="UAB149" s="22"/>
      <c r="UAC149" s="22"/>
      <c r="UAD149" s="22"/>
      <c r="UAE149" s="22"/>
      <c r="UAF149" s="22"/>
      <c r="UAG149" s="22"/>
      <c r="UAH149" s="22"/>
      <c r="UAI149" s="22"/>
      <c r="UAJ149" s="22"/>
      <c r="UAK149" s="22"/>
      <c r="UAL149" s="22"/>
      <c r="UAM149" s="22"/>
      <c r="UAN149" s="22"/>
      <c r="UAO149" s="22"/>
      <c r="UAP149" s="22"/>
      <c r="UAQ149" s="22"/>
      <c r="UAR149" s="22"/>
      <c r="UAS149" s="22"/>
      <c r="UAT149" s="22"/>
      <c r="UAU149" s="22"/>
      <c r="UAV149" s="22"/>
      <c r="UAW149" s="22"/>
      <c r="UAX149" s="22"/>
      <c r="UAY149" s="22"/>
      <c r="UAZ149" s="22"/>
      <c r="UBA149" s="22"/>
      <c r="UBB149" s="22"/>
      <c r="UBC149" s="22"/>
      <c r="UBD149" s="22"/>
      <c r="UBE149" s="22"/>
      <c r="UBF149" s="22"/>
      <c r="UBG149" s="22"/>
      <c r="UBH149" s="22"/>
      <c r="UBI149" s="22"/>
      <c r="UBJ149" s="22"/>
      <c r="UBK149" s="22"/>
      <c r="UBL149" s="22"/>
      <c r="UBM149" s="22"/>
      <c r="UBN149" s="22"/>
      <c r="UBO149" s="22"/>
      <c r="UBP149" s="22"/>
      <c r="UBQ149" s="22"/>
      <c r="UBR149" s="22"/>
      <c r="UBS149" s="22"/>
      <c r="UBT149" s="22"/>
      <c r="UBU149" s="22"/>
      <c r="UBV149" s="22"/>
      <c r="UBW149" s="22"/>
      <c r="UBX149" s="22"/>
      <c r="UBY149" s="22"/>
      <c r="UBZ149" s="22"/>
      <c r="UCA149" s="22"/>
      <c r="UCB149" s="22"/>
      <c r="UCC149" s="22"/>
      <c r="UCD149" s="22"/>
      <c r="UCE149" s="22"/>
      <c r="UCF149" s="22"/>
      <c r="UCG149" s="22"/>
      <c r="UCH149" s="22"/>
      <c r="UCI149" s="22"/>
      <c r="UCJ149" s="22"/>
      <c r="UCK149" s="22"/>
      <c r="UCL149" s="22"/>
      <c r="UCM149" s="22"/>
      <c r="UCN149" s="22"/>
      <c r="UCO149" s="22"/>
      <c r="UCP149" s="22"/>
      <c r="UCQ149" s="22"/>
      <c r="UCR149" s="22"/>
      <c r="UCS149" s="22"/>
      <c r="UCT149" s="22"/>
      <c r="UCU149" s="22"/>
      <c r="UCV149" s="22"/>
      <c r="UCW149" s="22"/>
      <c r="UCX149" s="22"/>
      <c r="UCY149" s="22"/>
      <c r="UCZ149" s="22"/>
      <c r="UDA149" s="22"/>
      <c r="UDB149" s="22"/>
      <c r="UDC149" s="22"/>
      <c r="UDD149" s="22"/>
      <c r="UDE149" s="22"/>
      <c r="UDF149" s="22"/>
      <c r="UDG149" s="22"/>
      <c r="UDH149" s="22"/>
      <c r="UDI149" s="22"/>
      <c r="UDJ149" s="22"/>
      <c r="UDK149" s="22"/>
      <c r="UDL149" s="22"/>
      <c r="UDM149" s="22"/>
      <c r="UDN149" s="22"/>
      <c r="UDO149" s="22"/>
      <c r="UDP149" s="22"/>
      <c r="UDQ149" s="22"/>
      <c r="UDR149" s="22"/>
      <c r="UDS149" s="22"/>
      <c r="UDT149" s="22"/>
      <c r="UDU149" s="22"/>
      <c r="UDV149" s="22"/>
      <c r="UDW149" s="22"/>
      <c r="UDX149" s="22"/>
      <c r="UDY149" s="22"/>
      <c r="UDZ149" s="22"/>
      <c r="UEA149" s="22"/>
      <c r="UEB149" s="22"/>
      <c r="UEC149" s="22"/>
      <c r="UED149" s="22"/>
      <c r="UEE149" s="22"/>
      <c r="UEF149" s="22"/>
      <c r="UEG149" s="22"/>
      <c r="UEH149" s="22"/>
      <c r="UEI149" s="22"/>
      <c r="UEJ149" s="22"/>
      <c r="UEK149" s="22"/>
      <c r="UEL149" s="22"/>
      <c r="UEM149" s="22"/>
      <c r="UEN149" s="22"/>
      <c r="UEO149" s="22"/>
      <c r="UEP149" s="22"/>
      <c r="UEQ149" s="22"/>
      <c r="UER149" s="22"/>
      <c r="UES149" s="22"/>
      <c r="UET149" s="22"/>
      <c r="UEU149" s="22"/>
      <c r="UEV149" s="22"/>
      <c r="UEW149" s="22"/>
      <c r="UEX149" s="22"/>
      <c r="UEY149" s="22"/>
      <c r="UEZ149" s="22"/>
      <c r="UFA149" s="22"/>
      <c r="UFB149" s="22"/>
      <c r="UFC149" s="22"/>
      <c r="UFD149" s="22"/>
      <c r="UFE149" s="22"/>
      <c r="UFF149" s="22"/>
      <c r="UFG149" s="22"/>
      <c r="UFH149" s="22"/>
      <c r="UFI149" s="22"/>
      <c r="UFJ149" s="22"/>
      <c r="UFK149" s="22"/>
      <c r="UFL149" s="22"/>
      <c r="UFM149" s="22"/>
      <c r="UFN149" s="22"/>
      <c r="UFO149" s="22"/>
      <c r="UFP149" s="22"/>
      <c r="UFQ149" s="22"/>
      <c r="UFR149" s="22"/>
      <c r="UFS149" s="22"/>
      <c r="UFT149" s="22"/>
      <c r="UFU149" s="22"/>
      <c r="UFV149" s="22"/>
      <c r="UFW149" s="22"/>
      <c r="UFX149" s="22"/>
      <c r="UFY149" s="22"/>
      <c r="UFZ149" s="22"/>
      <c r="UGA149" s="22"/>
      <c r="UGB149" s="22"/>
      <c r="UGC149" s="22"/>
      <c r="UGD149" s="22"/>
      <c r="UGE149" s="22"/>
      <c r="UGF149" s="22"/>
      <c r="UGG149" s="22"/>
      <c r="UGH149" s="22"/>
      <c r="UGI149" s="22"/>
      <c r="UGJ149" s="22"/>
      <c r="UGK149" s="22"/>
      <c r="UGL149" s="22"/>
      <c r="UGM149" s="22"/>
      <c r="UGN149" s="22"/>
      <c r="UGO149" s="22"/>
      <c r="UGP149" s="22"/>
      <c r="UGQ149" s="22"/>
      <c r="UGR149" s="22"/>
      <c r="UGS149" s="22"/>
      <c r="UGT149" s="22"/>
      <c r="UGU149" s="22"/>
      <c r="UGV149" s="22"/>
      <c r="UGW149" s="22"/>
      <c r="UGX149" s="22"/>
      <c r="UGY149" s="22"/>
      <c r="UGZ149" s="22"/>
      <c r="UHA149" s="22"/>
      <c r="UHB149" s="22"/>
      <c r="UHC149" s="22"/>
      <c r="UHD149" s="22"/>
      <c r="UHE149" s="22"/>
      <c r="UHF149" s="22"/>
      <c r="UHG149" s="22"/>
      <c r="UHH149" s="22"/>
      <c r="UHI149" s="22"/>
      <c r="UHJ149" s="22"/>
      <c r="UHK149" s="22"/>
      <c r="UHL149" s="22"/>
      <c r="UHM149" s="22"/>
      <c r="UHN149" s="22"/>
      <c r="UHO149" s="22"/>
      <c r="UHP149" s="22"/>
      <c r="UHQ149" s="22"/>
      <c r="UHR149" s="22"/>
      <c r="UHS149" s="22"/>
      <c r="UHT149" s="22"/>
      <c r="UHU149" s="22"/>
      <c r="UHV149" s="22"/>
      <c r="UHW149" s="22"/>
      <c r="UHX149" s="22"/>
      <c r="UHY149" s="22"/>
      <c r="UHZ149" s="22"/>
      <c r="UIA149" s="22"/>
      <c r="UIB149" s="22"/>
      <c r="UIC149" s="22"/>
      <c r="UID149" s="22"/>
      <c r="UIE149" s="22"/>
      <c r="UIF149" s="22"/>
      <c r="UIG149" s="22"/>
      <c r="UIH149" s="22"/>
      <c r="UII149" s="22"/>
      <c r="UIJ149" s="22"/>
      <c r="UIK149" s="22"/>
      <c r="UIL149" s="22"/>
      <c r="UIM149" s="22"/>
      <c r="UIN149" s="22"/>
      <c r="UIO149" s="22"/>
      <c r="UIP149" s="22"/>
      <c r="UIQ149" s="22"/>
      <c r="UIR149" s="22"/>
      <c r="UIS149" s="22"/>
      <c r="UIT149" s="22"/>
      <c r="UIU149" s="22"/>
      <c r="UIV149" s="22"/>
      <c r="UIW149" s="22"/>
      <c r="UIX149" s="22"/>
      <c r="UIY149" s="22"/>
      <c r="UIZ149" s="22"/>
      <c r="UJA149" s="22"/>
      <c r="UJB149" s="22"/>
      <c r="UJC149" s="22"/>
      <c r="UJD149" s="22"/>
      <c r="UJE149" s="22"/>
      <c r="UJF149" s="22"/>
      <c r="UJG149" s="22"/>
      <c r="UJH149" s="22"/>
      <c r="UJI149" s="22"/>
      <c r="UJJ149" s="22"/>
      <c r="UJK149" s="22"/>
      <c r="UJL149" s="22"/>
      <c r="UJM149" s="22"/>
      <c r="UJN149" s="22"/>
      <c r="UJO149" s="22"/>
      <c r="UJP149" s="22"/>
      <c r="UJQ149" s="22"/>
      <c r="UJR149" s="22"/>
      <c r="UJS149" s="22"/>
      <c r="UJT149" s="22"/>
      <c r="UJU149" s="22"/>
      <c r="UJV149" s="22"/>
      <c r="UJW149" s="22"/>
      <c r="UJX149" s="22"/>
      <c r="UJY149" s="22"/>
      <c r="UJZ149" s="22"/>
      <c r="UKA149" s="22"/>
      <c r="UKB149" s="22"/>
      <c r="UKC149" s="22"/>
      <c r="UKD149" s="22"/>
      <c r="UKE149" s="22"/>
      <c r="UKF149" s="22"/>
      <c r="UKG149" s="22"/>
      <c r="UKH149" s="22"/>
      <c r="UKI149" s="22"/>
      <c r="UKJ149" s="22"/>
      <c r="UKK149" s="22"/>
      <c r="UKL149" s="22"/>
      <c r="UKM149" s="22"/>
      <c r="UKN149" s="22"/>
      <c r="UKO149" s="22"/>
      <c r="UKP149" s="22"/>
      <c r="UKQ149" s="22"/>
      <c r="UKR149" s="22"/>
      <c r="UKS149" s="22"/>
      <c r="UKT149" s="22"/>
      <c r="UKU149" s="22"/>
      <c r="UKV149" s="22"/>
      <c r="UKW149" s="22"/>
      <c r="UKX149" s="22"/>
      <c r="UKY149" s="22"/>
      <c r="UKZ149" s="22"/>
      <c r="ULA149" s="22"/>
      <c r="ULB149" s="22"/>
      <c r="ULC149" s="22"/>
      <c r="ULD149" s="22"/>
      <c r="ULE149" s="22"/>
      <c r="ULF149" s="22"/>
      <c r="ULG149" s="22"/>
      <c r="ULH149" s="22"/>
      <c r="ULI149" s="22"/>
      <c r="ULJ149" s="22"/>
      <c r="ULK149" s="22"/>
      <c r="ULL149" s="22"/>
      <c r="ULM149" s="22"/>
      <c r="ULN149" s="22"/>
      <c r="ULO149" s="22"/>
      <c r="ULP149" s="22"/>
      <c r="ULQ149" s="22"/>
      <c r="ULR149" s="22"/>
      <c r="ULS149" s="22"/>
      <c r="ULT149" s="22"/>
      <c r="ULU149" s="22"/>
      <c r="ULV149" s="22"/>
      <c r="ULW149" s="22"/>
      <c r="ULX149" s="22"/>
      <c r="ULY149" s="22"/>
      <c r="ULZ149" s="22"/>
      <c r="UMA149" s="22"/>
      <c r="UMB149" s="22"/>
      <c r="UMC149" s="22"/>
      <c r="UMD149" s="22"/>
      <c r="UME149" s="22"/>
      <c r="UMF149" s="22"/>
      <c r="UMG149" s="22"/>
      <c r="UMH149" s="22"/>
      <c r="UMI149" s="22"/>
      <c r="UMJ149" s="22"/>
      <c r="UMK149" s="22"/>
      <c r="UML149" s="22"/>
      <c r="UMM149" s="22"/>
      <c r="UMN149" s="22"/>
      <c r="UMO149" s="22"/>
      <c r="UMP149" s="22"/>
      <c r="UMQ149" s="22"/>
      <c r="UMR149" s="22"/>
      <c r="UMS149" s="22"/>
      <c r="UMT149" s="22"/>
      <c r="UMU149" s="22"/>
      <c r="UMV149" s="22"/>
      <c r="UMW149" s="22"/>
      <c r="UMX149" s="22"/>
      <c r="UMY149" s="22"/>
      <c r="UMZ149" s="22"/>
      <c r="UNA149" s="22"/>
      <c r="UNB149" s="22"/>
      <c r="UNC149" s="22"/>
      <c r="UND149" s="22"/>
      <c r="UNE149" s="22"/>
      <c r="UNF149" s="22"/>
      <c r="UNG149" s="22"/>
      <c r="UNH149" s="22"/>
      <c r="UNI149" s="22"/>
      <c r="UNJ149" s="22"/>
      <c r="UNK149" s="22"/>
      <c r="UNL149" s="22"/>
      <c r="UNM149" s="22"/>
      <c r="UNN149" s="22"/>
      <c r="UNO149" s="22"/>
      <c r="UNP149" s="22"/>
      <c r="UNQ149" s="22"/>
      <c r="UNR149" s="22"/>
      <c r="UNS149" s="22"/>
      <c r="UNT149" s="22"/>
      <c r="UNU149" s="22"/>
      <c r="UNV149" s="22"/>
      <c r="UNW149" s="22"/>
      <c r="UNX149" s="22"/>
      <c r="UNY149" s="22"/>
      <c r="UNZ149" s="22"/>
      <c r="UOA149" s="22"/>
      <c r="UOB149" s="22"/>
      <c r="UOC149" s="22"/>
      <c r="UOD149" s="22"/>
      <c r="UOE149" s="22"/>
      <c r="UOF149" s="22"/>
      <c r="UOG149" s="22"/>
      <c r="UOH149" s="22"/>
      <c r="UOI149" s="22"/>
      <c r="UOJ149" s="22"/>
      <c r="UOK149" s="22"/>
      <c r="UOL149" s="22"/>
      <c r="UOM149" s="22"/>
      <c r="UON149" s="22"/>
      <c r="UOO149" s="22"/>
      <c r="UOP149" s="22"/>
      <c r="UOQ149" s="22"/>
      <c r="UOR149" s="22"/>
      <c r="UOS149" s="22"/>
      <c r="UOT149" s="22"/>
      <c r="UOU149" s="22"/>
      <c r="UOV149" s="22"/>
      <c r="UOW149" s="22"/>
      <c r="UOX149" s="22"/>
      <c r="UOY149" s="22"/>
      <c r="UOZ149" s="22"/>
      <c r="UPA149" s="22"/>
      <c r="UPB149" s="22"/>
      <c r="UPC149" s="22"/>
      <c r="UPD149" s="22"/>
      <c r="UPE149" s="22"/>
      <c r="UPF149" s="22"/>
      <c r="UPG149" s="22"/>
      <c r="UPH149" s="22"/>
      <c r="UPI149" s="22"/>
      <c r="UPJ149" s="22"/>
      <c r="UPK149" s="22"/>
      <c r="UPL149" s="22"/>
      <c r="UPM149" s="22"/>
      <c r="UPN149" s="22"/>
      <c r="UPO149" s="22"/>
      <c r="UPP149" s="22"/>
      <c r="UPQ149" s="22"/>
      <c r="UPR149" s="22"/>
      <c r="UPS149" s="22"/>
      <c r="UPT149" s="22"/>
      <c r="UPU149" s="22"/>
      <c r="UPV149" s="22"/>
      <c r="UPW149" s="22"/>
      <c r="UPX149" s="22"/>
      <c r="UPY149" s="22"/>
      <c r="UPZ149" s="22"/>
      <c r="UQA149" s="22"/>
      <c r="UQB149" s="22"/>
      <c r="UQC149" s="22"/>
      <c r="UQD149" s="22"/>
      <c r="UQE149" s="22"/>
      <c r="UQF149" s="22"/>
      <c r="UQG149" s="22"/>
      <c r="UQH149" s="22"/>
      <c r="UQI149" s="22"/>
      <c r="UQJ149" s="22"/>
      <c r="UQK149" s="22"/>
      <c r="UQL149" s="22"/>
      <c r="UQM149" s="22"/>
      <c r="UQN149" s="22"/>
      <c r="UQO149" s="22"/>
      <c r="UQP149" s="22"/>
      <c r="UQQ149" s="22"/>
      <c r="UQR149" s="22"/>
      <c r="UQS149" s="22"/>
      <c r="UQT149" s="22"/>
      <c r="UQU149" s="22"/>
      <c r="UQV149" s="22"/>
      <c r="UQW149" s="22"/>
      <c r="UQX149" s="22"/>
      <c r="UQY149" s="22"/>
      <c r="UQZ149" s="22"/>
      <c r="URA149" s="22"/>
      <c r="URB149" s="22"/>
      <c r="URC149" s="22"/>
      <c r="URD149" s="22"/>
      <c r="URE149" s="22"/>
      <c r="URF149" s="22"/>
      <c r="URG149" s="22"/>
      <c r="URH149" s="22"/>
      <c r="URI149" s="22"/>
      <c r="URJ149" s="22"/>
      <c r="URK149" s="22"/>
      <c r="URL149" s="22"/>
      <c r="URM149" s="22"/>
      <c r="URN149" s="22"/>
      <c r="URO149" s="22"/>
      <c r="URP149" s="22"/>
      <c r="URQ149" s="22"/>
      <c r="URR149" s="22"/>
      <c r="URS149" s="22"/>
      <c r="URT149" s="22"/>
      <c r="URU149" s="22"/>
      <c r="URV149" s="22"/>
      <c r="URW149" s="22"/>
      <c r="URX149" s="22"/>
      <c r="URY149" s="22"/>
      <c r="URZ149" s="22"/>
      <c r="USA149" s="22"/>
      <c r="USB149" s="22"/>
      <c r="USC149" s="22"/>
      <c r="USD149" s="22"/>
      <c r="USE149" s="22"/>
      <c r="USF149" s="22"/>
      <c r="USG149" s="22"/>
      <c r="USH149" s="22"/>
      <c r="USI149" s="22"/>
      <c r="USJ149" s="22"/>
      <c r="USK149" s="22"/>
      <c r="USL149" s="22"/>
      <c r="USM149" s="22"/>
      <c r="USN149" s="22"/>
      <c r="USO149" s="22"/>
      <c r="USP149" s="22"/>
      <c r="USQ149" s="22"/>
      <c r="USR149" s="22"/>
      <c r="USS149" s="22"/>
      <c r="UST149" s="22"/>
      <c r="USU149" s="22"/>
      <c r="USV149" s="22"/>
      <c r="USW149" s="22"/>
      <c r="USX149" s="22"/>
      <c r="USY149" s="22"/>
      <c r="USZ149" s="22"/>
      <c r="UTA149" s="22"/>
      <c r="UTB149" s="22"/>
      <c r="UTC149" s="22"/>
      <c r="UTD149" s="22"/>
      <c r="UTE149" s="22"/>
      <c r="UTF149" s="22"/>
      <c r="UTG149" s="22"/>
      <c r="UTH149" s="22"/>
      <c r="UTI149" s="22"/>
      <c r="UTJ149" s="22"/>
      <c r="UTK149" s="22"/>
      <c r="UTL149" s="22"/>
      <c r="UTM149" s="22"/>
      <c r="UTN149" s="22"/>
      <c r="UTO149" s="22"/>
      <c r="UTP149" s="22"/>
      <c r="UTQ149" s="22"/>
      <c r="UTR149" s="22"/>
      <c r="UTS149" s="22"/>
      <c r="UTT149" s="22"/>
      <c r="UTU149" s="22"/>
      <c r="UTV149" s="22"/>
      <c r="UTW149" s="22"/>
      <c r="UTX149" s="22"/>
      <c r="UTY149" s="22"/>
      <c r="UTZ149" s="22"/>
      <c r="UUA149" s="22"/>
      <c r="UUB149" s="22"/>
      <c r="UUC149" s="22"/>
      <c r="UUD149" s="22"/>
      <c r="UUE149" s="22"/>
      <c r="UUF149" s="22"/>
      <c r="UUG149" s="22"/>
      <c r="UUH149" s="22"/>
      <c r="UUI149" s="22"/>
      <c r="UUJ149" s="22"/>
      <c r="UUK149" s="22"/>
      <c r="UUL149" s="22"/>
      <c r="UUM149" s="22"/>
      <c r="UUN149" s="22"/>
      <c r="UUO149" s="22"/>
      <c r="UUP149" s="22"/>
      <c r="UUQ149" s="22"/>
      <c r="UUR149" s="22"/>
      <c r="UUS149" s="22"/>
      <c r="UUT149" s="22"/>
      <c r="UUU149" s="22"/>
      <c r="UUV149" s="22"/>
      <c r="UUW149" s="22"/>
      <c r="UUX149" s="22"/>
      <c r="UUY149" s="22"/>
      <c r="UUZ149" s="22"/>
      <c r="UVA149" s="22"/>
      <c r="UVB149" s="22"/>
      <c r="UVC149" s="22"/>
      <c r="UVD149" s="22"/>
      <c r="UVE149" s="22"/>
      <c r="UVF149" s="22"/>
      <c r="UVG149" s="22"/>
      <c r="UVH149" s="22"/>
      <c r="UVI149" s="22"/>
      <c r="UVJ149" s="22"/>
      <c r="UVK149" s="22"/>
      <c r="UVL149" s="22"/>
      <c r="UVM149" s="22"/>
      <c r="UVN149" s="22"/>
      <c r="UVO149" s="22"/>
      <c r="UVP149" s="22"/>
      <c r="UVQ149" s="22"/>
      <c r="UVR149" s="22"/>
      <c r="UVS149" s="22"/>
      <c r="UVT149" s="22"/>
      <c r="UVU149" s="22"/>
      <c r="UVV149" s="22"/>
      <c r="UVW149" s="22"/>
      <c r="UVX149" s="22"/>
      <c r="UVY149" s="22"/>
      <c r="UVZ149" s="22"/>
      <c r="UWA149" s="22"/>
      <c r="UWB149" s="22"/>
      <c r="UWC149" s="22"/>
      <c r="UWD149" s="22"/>
      <c r="UWE149" s="22"/>
      <c r="UWF149" s="22"/>
      <c r="UWG149" s="22"/>
      <c r="UWH149" s="22"/>
      <c r="UWI149" s="22"/>
      <c r="UWJ149" s="22"/>
      <c r="UWK149" s="22"/>
      <c r="UWL149" s="22"/>
      <c r="UWM149" s="22"/>
      <c r="UWN149" s="22"/>
      <c r="UWO149" s="22"/>
      <c r="UWP149" s="22"/>
      <c r="UWQ149" s="22"/>
      <c r="UWR149" s="22"/>
      <c r="UWS149" s="22"/>
      <c r="UWT149" s="22"/>
      <c r="UWU149" s="22"/>
      <c r="UWV149" s="22"/>
      <c r="UWW149" s="22"/>
      <c r="UWX149" s="22"/>
      <c r="UWY149" s="22"/>
      <c r="UWZ149" s="22"/>
      <c r="UXA149" s="22"/>
      <c r="UXB149" s="22"/>
      <c r="UXC149" s="22"/>
      <c r="UXD149" s="22"/>
      <c r="UXE149" s="22"/>
      <c r="UXF149" s="22"/>
      <c r="UXG149" s="22"/>
      <c r="UXH149" s="22"/>
      <c r="UXI149" s="22"/>
      <c r="UXJ149" s="22"/>
      <c r="UXK149" s="22"/>
      <c r="UXL149" s="22"/>
      <c r="UXM149" s="22"/>
      <c r="UXN149" s="22"/>
      <c r="UXO149" s="22"/>
      <c r="UXP149" s="22"/>
      <c r="UXQ149" s="22"/>
      <c r="UXR149" s="22"/>
      <c r="UXS149" s="22"/>
      <c r="UXT149" s="22"/>
      <c r="UXU149" s="22"/>
      <c r="UXV149" s="22"/>
      <c r="UXW149" s="22"/>
      <c r="UXX149" s="22"/>
      <c r="UXY149" s="22"/>
      <c r="UXZ149" s="22"/>
      <c r="UYA149" s="22"/>
      <c r="UYB149" s="22"/>
      <c r="UYC149" s="22"/>
      <c r="UYD149" s="22"/>
      <c r="UYE149" s="22"/>
      <c r="UYF149" s="22"/>
      <c r="UYG149" s="22"/>
      <c r="UYH149" s="22"/>
      <c r="UYI149" s="22"/>
      <c r="UYJ149" s="22"/>
      <c r="UYK149" s="22"/>
      <c r="UYL149" s="22"/>
      <c r="UYM149" s="22"/>
      <c r="UYN149" s="22"/>
      <c r="UYO149" s="22"/>
      <c r="UYP149" s="22"/>
      <c r="UYQ149" s="22"/>
      <c r="UYR149" s="22"/>
      <c r="UYS149" s="22"/>
      <c r="UYT149" s="22"/>
      <c r="UYU149" s="22"/>
      <c r="UYV149" s="22"/>
      <c r="UYW149" s="22"/>
      <c r="UYX149" s="22"/>
      <c r="UYY149" s="22"/>
      <c r="UYZ149" s="22"/>
      <c r="UZA149" s="22"/>
      <c r="UZB149" s="22"/>
      <c r="UZC149" s="22"/>
      <c r="UZD149" s="22"/>
      <c r="UZE149" s="22"/>
      <c r="UZF149" s="22"/>
      <c r="UZG149" s="22"/>
      <c r="UZH149" s="22"/>
      <c r="UZI149" s="22"/>
      <c r="UZJ149" s="22"/>
      <c r="UZK149" s="22"/>
      <c r="UZL149" s="22"/>
      <c r="UZM149" s="22"/>
      <c r="UZN149" s="22"/>
      <c r="UZO149" s="22"/>
      <c r="UZP149" s="22"/>
      <c r="UZQ149" s="22"/>
      <c r="UZR149" s="22"/>
      <c r="UZS149" s="22"/>
      <c r="UZT149" s="22"/>
      <c r="UZU149" s="22"/>
      <c r="UZV149" s="22"/>
      <c r="UZW149" s="22"/>
      <c r="UZX149" s="22"/>
      <c r="UZY149" s="22"/>
      <c r="UZZ149" s="22"/>
      <c r="VAA149" s="22"/>
      <c r="VAB149" s="22"/>
      <c r="VAC149" s="22"/>
      <c r="VAD149" s="22"/>
      <c r="VAE149" s="22"/>
      <c r="VAF149" s="22"/>
      <c r="VAG149" s="22"/>
      <c r="VAH149" s="22"/>
      <c r="VAI149" s="22"/>
      <c r="VAJ149" s="22"/>
      <c r="VAK149" s="22"/>
      <c r="VAL149" s="22"/>
      <c r="VAM149" s="22"/>
      <c r="VAN149" s="22"/>
      <c r="VAO149" s="22"/>
      <c r="VAP149" s="22"/>
      <c r="VAQ149" s="22"/>
      <c r="VAR149" s="22"/>
      <c r="VAS149" s="22"/>
      <c r="VAT149" s="22"/>
      <c r="VAU149" s="22"/>
      <c r="VAV149" s="22"/>
      <c r="VAW149" s="22"/>
      <c r="VAX149" s="22"/>
      <c r="VAY149" s="22"/>
      <c r="VAZ149" s="22"/>
      <c r="VBA149" s="22"/>
      <c r="VBB149" s="22"/>
      <c r="VBC149" s="22"/>
      <c r="VBD149" s="22"/>
      <c r="VBE149" s="22"/>
      <c r="VBF149" s="22"/>
      <c r="VBG149" s="22"/>
      <c r="VBH149" s="22"/>
      <c r="VBI149" s="22"/>
      <c r="VBJ149" s="22"/>
      <c r="VBK149" s="22"/>
      <c r="VBL149" s="22"/>
      <c r="VBM149" s="22"/>
      <c r="VBN149" s="22"/>
      <c r="VBO149" s="22"/>
      <c r="VBP149" s="22"/>
      <c r="VBQ149" s="22"/>
      <c r="VBR149" s="22"/>
      <c r="VBS149" s="22"/>
      <c r="VBT149" s="22"/>
      <c r="VBU149" s="22"/>
      <c r="VBV149" s="22"/>
      <c r="VBW149" s="22"/>
      <c r="VBX149" s="22"/>
      <c r="VBY149" s="22"/>
      <c r="VBZ149" s="22"/>
      <c r="VCA149" s="22"/>
      <c r="VCB149" s="22"/>
      <c r="VCC149" s="22"/>
      <c r="VCD149" s="22"/>
      <c r="VCE149" s="22"/>
      <c r="VCF149" s="22"/>
      <c r="VCG149" s="22"/>
      <c r="VCH149" s="22"/>
      <c r="VCI149" s="22"/>
      <c r="VCJ149" s="22"/>
      <c r="VCK149" s="22"/>
      <c r="VCL149" s="22"/>
      <c r="VCM149" s="22"/>
      <c r="VCN149" s="22"/>
      <c r="VCO149" s="22"/>
      <c r="VCP149" s="22"/>
      <c r="VCQ149" s="22"/>
      <c r="VCR149" s="22"/>
      <c r="VCS149" s="22"/>
      <c r="VCT149" s="22"/>
      <c r="VCU149" s="22"/>
      <c r="VCV149" s="22"/>
      <c r="VCW149" s="22"/>
      <c r="VCX149" s="22"/>
      <c r="VCY149" s="22"/>
      <c r="VCZ149" s="22"/>
      <c r="VDA149" s="22"/>
      <c r="VDB149" s="22"/>
      <c r="VDC149" s="22"/>
      <c r="VDD149" s="22"/>
      <c r="VDE149" s="22"/>
      <c r="VDF149" s="22"/>
      <c r="VDG149" s="22"/>
      <c r="VDH149" s="22"/>
      <c r="VDI149" s="22"/>
      <c r="VDJ149" s="22"/>
      <c r="VDK149" s="22"/>
      <c r="VDL149" s="22"/>
      <c r="VDM149" s="22"/>
      <c r="VDN149" s="22"/>
      <c r="VDO149" s="22"/>
      <c r="VDP149" s="22"/>
      <c r="VDQ149" s="22"/>
      <c r="VDR149" s="22"/>
      <c r="VDS149" s="22"/>
      <c r="VDT149" s="22"/>
      <c r="VDU149" s="22"/>
      <c r="VDV149" s="22"/>
      <c r="VDW149" s="22"/>
      <c r="VDX149" s="22"/>
      <c r="VDY149" s="22"/>
      <c r="VDZ149" s="22"/>
      <c r="VEA149" s="22"/>
      <c r="VEB149" s="22"/>
      <c r="VEC149" s="22"/>
      <c r="VED149" s="22"/>
      <c r="VEE149" s="22"/>
      <c r="VEF149" s="22"/>
      <c r="VEG149" s="22"/>
      <c r="VEH149" s="22"/>
      <c r="VEI149" s="22"/>
      <c r="VEJ149" s="22"/>
      <c r="VEK149" s="22"/>
      <c r="VEL149" s="22"/>
      <c r="VEM149" s="22"/>
      <c r="VEN149" s="22"/>
      <c r="VEO149" s="22"/>
      <c r="VEP149" s="22"/>
      <c r="VEQ149" s="22"/>
      <c r="VER149" s="22"/>
      <c r="VES149" s="22"/>
      <c r="VET149" s="22"/>
      <c r="VEU149" s="22"/>
      <c r="VEV149" s="22"/>
      <c r="VEW149" s="22"/>
      <c r="VEX149" s="22"/>
      <c r="VEY149" s="22"/>
      <c r="VEZ149" s="22"/>
      <c r="VFA149" s="22"/>
      <c r="VFB149" s="22"/>
      <c r="VFC149" s="22"/>
      <c r="VFD149" s="22"/>
      <c r="VFE149" s="22"/>
      <c r="VFF149" s="22"/>
      <c r="VFG149" s="22"/>
      <c r="VFH149" s="22"/>
      <c r="VFI149" s="22"/>
      <c r="VFJ149" s="22"/>
      <c r="VFK149" s="22"/>
      <c r="VFL149" s="22"/>
      <c r="VFM149" s="22"/>
      <c r="VFN149" s="22"/>
      <c r="VFO149" s="22"/>
      <c r="VFP149" s="22"/>
      <c r="VFQ149" s="22"/>
      <c r="VFR149" s="22"/>
      <c r="VFS149" s="22"/>
      <c r="VFT149" s="22"/>
      <c r="VFU149" s="22"/>
      <c r="VFV149" s="22"/>
      <c r="VFW149" s="22"/>
      <c r="VFX149" s="22"/>
      <c r="VFY149" s="22"/>
      <c r="VFZ149" s="22"/>
      <c r="VGA149" s="22"/>
      <c r="VGB149" s="22"/>
      <c r="VGC149" s="22"/>
      <c r="VGD149" s="22"/>
      <c r="VGE149" s="22"/>
      <c r="VGF149" s="22"/>
      <c r="VGG149" s="22"/>
      <c r="VGH149" s="22"/>
      <c r="VGI149" s="22"/>
      <c r="VGJ149" s="22"/>
      <c r="VGK149" s="22"/>
      <c r="VGL149" s="22"/>
      <c r="VGM149" s="22"/>
      <c r="VGN149" s="22"/>
      <c r="VGO149" s="22"/>
      <c r="VGP149" s="22"/>
      <c r="VGQ149" s="22"/>
      <c r="VGR149" s="22"/>
      <c r="VGS149" s="22"/>
      <c r="VGT149" s="22"/>
      <c r="VGU149" s="22"/>
      <c r="VGV149" s="22"/>
      <c r="VGW149" s="22"/>
      <c r="VGX149" s="22"/>
      <c r="VGY149" s="22"/>
      <c r="VGZ149" s="22"/>
      <c r="VHA149" s="22"/>
      <c r="VHB149" s="22"/>
      <c r="VHC149" s="22"/>
      <c r="VHD149" s="22"/>
      <c r="VHE149" s="22"/>
      <c r="VHF149" s="22"/>
      <c r="VHG149" s="22"/>
      <c r="VHH149" s="22"/>
      <c r="VHI149" s="22"/>
      <c r="VHJ149" s="22"/>
      <c r="VHK149" s="22"/>
      <c r="VHL149" s="22"/>
      <c r="VHM149" s="22"/>
      <c r="VHN149" s="22"/>
      <c r="VHO149" s="22"/>
      <c r="VHP149" s="22"/>
      <c r="VHQ149" s="22"/>
      <c r="VHR149" s="22"/>
      <c r="VHS149" s="22"/>
      <c r="VHT149" s="22"/>
      <c r="VHU149" s="22"/>
      <c r="VHV149" s="22"/>
      <c r="VHW149" s="22"/>
      <c r="VHX149" s="22"/>
      <c r="VHY149" s="22"/>
      <c r="VHZ149" s="22"/>
      <c r="VIA149" s="22"/>
      <c r="VIB149" s="22"/>
      <c r="VIC149" s="22"/>
      <c r="VID149" s="22"/>
      <c r="VIE149" s="22"/>
      <c r="VIF149" s="22"/>
      <c r="VIG149" s="22"/>
      <c r="VIH149" s="22"/>
      <c r="VII149" s="22"/>
      <c r="VIJ149" s="22"/>
      <c r="VIK149" s="22"/>
      <c r="VIL149" s="22"/>
      <c r="VIM149" s="22"/>
      <c r="VIN149" s="22"/>
      <c r="VIO149" s="22"/>
      <c r="VIP149" s="22"/>
      <c r="VIQ149" s="22"/>
      <c r="VIR149" s="22"/>
      <c r="VIS149" s="22"/>
      <c r="VIT149" s="22"/>
      <c r="VIU149" s="22"/>
      <c r="VIV149" s="22"/>
      <c r="VIW149" s="22"/>
      <c r="VIX149" s="22"/>
      <c r="VIY149" s="22"/>
      <c r="VIZ149" s="22"/>
      <c r="VJA149" s="22"/>
      <c r="VJB149" s="22"/>
      <c r="VJC149" s="22"/>
      <c r="VJD149" s="22"/>
      <c r="VJE149" s="22"/>
      <c r="VJF149" s="22"/>
      <c r="VJG149" s="22"/>
      <c r="VJH149" s="22"/>
      <c r="VJI149" s="22"/>
      <c r="VJJ149" s="22"/>
      <c r="VJK149" s="22"/>
      <c r="VJL149" s="22"/>
      <c r="VJM149" s="22"/>
      <c r="VJN149" s="22"/>
      <c r="VJO149" s="22"/>
      <c r="VJP149" s="22"/>
      <c r="VJQ149" s="22"/>
      <c r="VJR149" s="22"/>
      <c r="VJS149" s="22"/>
      <c r="VJT149" s="22"/>
      <c r="VJU149" s="22"/>
      <c r="VJV149" s="22"/>
      <c r="VJW149" s="22"/>
      <c r="VJX149" s="22"/>
      <c r="VJY149" s="22"/>
      <c r="VJZ149" s="22"/>
      <c r="VKA149" s="22"/>
      <c r="VKB149" s="22"/>
      <c r="VKC149" s="22"/>
      <c r="VKD149" s="22"/>
      <c r="VKE149" s="22"/>
      <c r="VKF149" s="22"/>
      <c r="VKG149" s="22"/>
      <c r="VKH149" s="22"/>
      <c r="VKI149" s="22"/>
      <c r="VKJ149" s="22"/>
      <c r="VKK149" s="22"/>
      <c r="VKL149" s="22"/>
      <c r="VKM149" s="22"/>
      <c r="VKN149" s="22"/>
      <c r="VKO149" s="22"/>
      <c r="VKP149" s="22"/>
      <c r="VKQ149" s="22"/>
      <c r="VKR149" s="22"/>
      <c r="VKS149" s="22"/>
      <c r="VKT149" s="22"/>
      <c r="VKU149" s="22"/>
      <c r="VKV149" s="22"/>
      <c r="VKW149" s="22"/>
      <c r="VKX149" s="22"/>
      <c r="VKY149" s="22"/>
      <c r="VKZ149" s="22"/>
      <c r="VLA149" s="22"/>
      <c r="VLB149" s="22"/>
      <c r="VLC149" s="22"/>
      <c r="VLD149" s="22"/>
      <c r="VLE149" s="22"/>
      <c r="VLF149" s="22"/>
      <c r="VLG149" s="22"/>
      <c r="VLH149" s="22"/>
      <c r="VLI149" s="22"/>
      <c r="VLJ149" s="22"/>
      <c r="VLK149" s="22"/>
      <c r="VLL149" s="22"/>
      <c r="VLM149" s="22"/>
      <c r="VLN149" s="22"/>
      <c r="VLO149" s="22"/>
      <c r="VLP149" s="22"/>
      <c r="VLQ149" s="22"/>
      <c r="VLR149" s="22"/>
      <c r="VLS149" s="22"/>
      <c r="VLT149" s="22"/>
      <c r="VLU149" s="22"/>
      <c r="VLV149" s="22"/>
      <c r="VLW149" s="22"/>
      <c r="VLX149" s="22"/>
      <c r="VLY149" s="22"/>
      <c r="VLZ149" s="22"/>
      <c r="VMA149" s="22"/>
      <c r="VMB149" s="22"/>
      <c r="VMC149" s="22"/>
      <c r="VMD149" s="22"/>
      <c r="VME149" s="22"/>
      <c r="VMF149" s="22"/>
      <c r="VMG149" s="22"/>
      <c r="VMH149" s="22"/>
      <c r="VMI149" s="22"/>
      <c r="VMJ149" s="22"/>
      <c r="VMK149" s="22"/>
      <c r="VML149" s="22"/>
      <c r="VMM149" s="22"/>
      <c r="VMN149" s="22"/>
      <c r="VMO149" s="22"/>
      <c r="VMP149" s="22"/>
      <c r="VMQ149" s="22"/>
      <c r="VMR149" s="22"/>
      <c r="VMS149" s="22"/>
      <c r="VMT149" s="22"/>
      <c r="VMU149" s="22"/>
      <c r="VMV149" s="22"/>
      <c r="VMW149" s="22"/>
      <c r="VMX149" s="22"/>
      <c r="VMY149" s="22"/>
      <c r="VMZ149" s="22"/>
      <c r="VNA149" s="22"/>
      <c r="VNB149" s="22"/>
      <c r="VNC149" s="22"/>
      <c r="VND149" s="22"/>
      <c r="VNE149" s="22"/>
      <c r="VNF149" s="22"/>
      <c r="VNG149" s="22"/>
      <c r="VNH149" s="22"/>
      <c r="VNI149" s="22"/>
      <c r="VNJ149" s="22"/>
      <c r="VNK149" s="22"/>
      <c r="VNL149" s="22"/>
      <c r="VNM149" s="22"/>
      <c r="VNN149" s="22"/>
      <c r="VNO149" s="22"/>
      <c r="VNP149" s="22"/>
      <c r="VNQ149" s="22"/>
      <c r="VNR149" s="22"/>
      <c r="VNS149" s="22"/>
      <c r="VNT149" s="22"/>
      <c r="VNU149" s="22"/>
      <c r="VNV149" s="22"/>
      <c r="VNW149" s="22"/>
      <c r="VNX149" s="22"/>
      <c r="VNY149" s="22"/>
      <c r="VNZ149" s="22"/>
      <c r="VOA149" s="22"/>
      <c r="VOB149" s="22"/>
      <c r="VOC149" s="22"/>
      <c r="VOD149" s="22"/>
      <c r="VOE149" s="22"/>
      <c r="VOF149" s="22"/>
      <c r="VOG149" s="22"/>
      <c r="VOH149" s="22"/>
      <c r="VOI149" s="22"/>
      <c r="VOJ149" s="22"/>
      <c r="VOK149" s="22"/>
      <c r="VOL149" s="22"/>
      <c r="VOM149" s="22"/>
      <c r="VON149" s="22"/>
      <c r="VOO149" s="22"/>
      <c r="VOP149" s="22"/>
      <c r="VOQ149" s="22"/>
      <c r="VOR149" s="22"/>
      <c r="VOS149" s="22"/>
      <c r="VOT149" s="22"/>
      <c r="VOU149" s="22"/>
      <c r="VOV149" s="22"/>
      <c r="VOW149" s="22"/>
      <c r="VOX149" s="22"/>
      <c r="VOY149" s="22"/>
      <c r="VOZ149" s="22"/>
      <c r="VPA149" s="22"/>
      <c r="VPB149" s="22"/>
      <c r="VPC149" s="22"/>
      <c r="VPD149" s="22"/>
      <c r="VPE149" s="22"/>
      <c r="VPF149" s="22"/>
      <c r="VPG149" s="22"/>
      <c r="VPH149" s="22"/>
      <c r="VPI149" s="22"/>
      <c r="VPJ149" s="22"/>
      <c r="VPK149" s="22"/>
      <c r="VPL149" s="22"/>
      <c r="VPM149" s="22"/>
      <c r="VPN149" s="22"/>
      <c r="VPO149" s="22"/>
      <c r="VPP149" s="22"/>
      <c r="VPQ149" s="22"/>
      <c r="VPR149" s="22"/>
      <c r="VPS149" s="22"/>
      <c r="VPT149" s="22"/>
      <c r="VPU149" s="22"/>
      <c r="VPV149" s="22"/>
      <c r="VPW149" s="22"/>
      <c r="VPX149" s="22"/>
      <c r="VPY149" s="22"/>
      <c r="VPZ149" s="22"/>
      <c r="VQA149" s="22"/>
      <c r="VQB149" s="22"/>
      <c r="VQC149" s="22"/>
      <c r="VQD149" s="22"/>
      <c r="VQE149" s="22"/>
      <c r="VQF149" s="22"/>
      <c r="VQG149" s="22"/>
      <c r="VQH149" s="22"/>
      <c r="VQI149" s="22"/>
      <c r="VQJ149" s="22"/>
      <c r="VQK149" s="22"/>
      <c r="VQL149" s="22"/>
      <c r="VQM149" s="22"/>
      <c r="VQN149" s="22"/>
      <c r="VQO149" s="22"/>
      <c r="VQP149" s="22"/>
      <c r="VQQ149" s="22"/>
      <c r="VQR149" s="22"/>
      <c r="VQS149" s="22"/>
      <c r="VQT149" s="22"/>
      <c r="VQU149" s="22"/>
      <c r="VQV149" s="22"/>
      <c r="VQW149" s="22"/>
      <c r="VQX149" s="22"/>
      <c r="VQY149" s="22"/>
      <c r="VQZ149" s="22"/>
      <c r="VRA149" s="22"/>
      <c r="VRB149" s="22"/>
      <c r="VRC149" s="22"/>
      <c r="VRD149" s="22"/>
      <c r="VRE149" s="22"/>
      <c r="VRF149" s="22"/>
      <c r="VRG149" s="22"/>
      <c r="VRH149" s="22"/>
      <c r="VRI149" s="22"/>
      <c r="VRJ149" s="22"/>
      <c r="VRK149" s="22"/>
      <c r="VRL149" s="22"/>
      <c r="VRM149" s="22"/>
      <c r="VRN149" s="22"/>
      <c r="VRO149" s="22"/>
      <c r="VRP149" s="22"/>
      <c r="VRQ149" s="22"/>
      <c r="VRR149" s="22"/>
      <c r="VRS149" s="22"/>
      <c r="VRT149" s="22"/>
      <c r="VRU149" s="22"/>
      <c r="VRV149" s="22"/>
      <c r="VRW149" s="22"/>
      <c r="VRX149" s="22"/>
      <c r="VRY149" s="22"/>
      <c r="VRZ149" s="22"/>
      <c r="VSA149" s="22"/>
      <c r="VSB149" s="22"/>
      <c r="VSC149" s="22"/>
      <c r="VSD149" s="22"/>
      <c r="VSE149" s="22"/>
      <c r="VSF149" s="22"/>
      <c r="VSG149" s="22"/>
      <c r="VSH149" s="22"/>
      <c r="VSI149" s="22"/>
      <c r="VSJ149" s="22"/>
      <c r="VSK149" s="22"/>
      <c r="VSL149" s="22"/>
      <c r="VSM149" s="22"/>
      <c r="VSN149" s="22"/>
      <c r="VSO149" s="22"/>
      <c r="VSP149" s="22"/>
      <c r="VSQ149" s="22"/>
      <c r="VSR149" s="22"/>
      <c r="VSS149" s="22"/>
      <c r="VST149" s="22"/>
      <c r="VSU149" s="22"/>
      <c r="VSV149" s="22"/>
      <c r="VSW149" s="22"/>
      <c r="VSX149" s="22"/>
      <c r="VSY149" s="22"/>
      <c r="VSZ149" s="22"/>
      <c r="VTA149" s="22"/>
      <c r="VTB149" s="22"/>
      <c r="VTC149" s="22"/>
      <c r="VTD149" s="22"/>
      <c r="VTE149" s="22"/>
      <c r="VTF149" s="22"/>
      <c r="VTG149" s="22"/>
      <c r="VTH149" s="22"/>
      <c r="VTI149" s="22"/>
      <c r="VTJ149" s="22"/>
      <c r="VTK149" s="22"/>
      <c r="VTL149" s="22"/>
      <c r="VTM149" s="22"/>
      <c r="VTN149" s="22"/>
      <c r="VTO149" s="22"/>
      <c r="VTP149" s="22"/>
      <c r="VTQ149" s="22"/>
      <c r="VTR149" s="22"/>
      <c r="VTS149" s="22"/>
      <c r="VTT149" s="22"/>
      <c r="VTU149" s="22"/>
      <c r="VTV149" s="22"/>
      <c r="VTW149" s="22"/>
      <c r="VTX149" s="22"/>
      <c r="VTY149" s="22"/>
      <c r="VTZ149" s="22"/>
      <c r="VUA149" s="22"/>
      <c r="VUB149" s="22"/>
      <c r="VUC149" s="22"/>
      <c r="VUD149" s="22"/>
      <c r="VUE149" s="22"/>
      <c r="VUF149" s="22"/>
      <c r="VUG149" s="22"/>
      <c r="VUH149" s="22"/>
      <c r="VUI149" s="22"/>
      <c r="VUJ149" s="22"/>
      <c r="VUK149" s="22"/>
      <c r="VUL149" s="22"/>
      <c r="VUM149" s="22"/>
      <c r="VUN149" s="22"/>
      <c r="VUO149" s="22"/>
      <c r="VUP149" s="22"/>
      <c r="VUQ149" s="22"/>
      <c r="VUR149" s="22"/>
      <c r="VUS149" s="22"/>
      <c r="VUT149" s="22"/>
      <c r="VUU149" s="22"/>
      <c r="VUV149" s="22"/>
      <c r="VUW149" s="22"/>
      <c r="VUX149" s="22"/>
      <c r="VUY149" s="22"/>
      <c r="VUZ149" s="22"/>
      <c r="VVA149" s="22"/>
      <c r="VVB149" s="22"/>
      <c r="VVC149" s="22"/>
      <c r="VVD149" s="22"/>
      <c r="VVE149" s="22"/>
      <c r="VVF149" s="22"/>
      <c r="VVG149" s="22"/>
      <c r="VVH149" s="22"/>
      <c r="VVI149" s="22"/>
      <c r="VVJ149" s="22"/>
      <c r="VVK149" s="22"/>
      <c r="VVL149" s="22"/>
      <c r="VVM149" s="22"/>
      <c r="VVN149" s="22"/>
      <c r="VVO149" s="22"/>
      <c r="VVP149" s="22"/>
      <c r="VVQ149" s="22"/>
      <c r="VVR149" s="22"/>
      <c r="VVS149" s="22"/>
      <c r="VVT149" s="22"/>
      <c r="VVU149" s="22"/>
      <c r="VVV149" s="22"/>
      <c r="VVW149" s="22"/>
      <c r="VVX149" s="22"/>
      <c r="VVY149" s="22"/>
      <c r="VVZ149" s="22"/>
      <c r="VWA149" s="22"/>
      <c r="VWB149" s="22"/>
      <c r="VWC149" s="22"/>
      <c r="VWD149" s="22"/>
      <c r="VWE149" s="22"/>
      <c r="VWF149" s="22"/>
      <c r="VWG149" s="22"/>
      <c r="VWH149" s="22"/>
      <c r="VWI149" s="22"/>
      <c r="VWJ149" s="22"/>
      <c r="VWK149" s="22"/>
      <c r="VWL149" s="22"/>
      <c r="VWM149" s="22"/>
      <c r="VWN149" s="22"/>
      <c r="VWO149" s="22"/>
      <c r="VWP149" s="22"/>
      <c r="VWQ149" s="22"/>
      <c r="VWR149" s="22"/>
      <c r="VWS149" s="22"/>
      <c r="VWT149" s="22"/>
      <c r="VWU149" s="22"/>
      <c r="VWV149" s="22"/>
      <c r="VWW149" s="22"/>
      <c r="VWX149" s="22"/>
      <c r="VWY149" s="22"/>
      <c r="VWZ149" s="22"/>
      <c r="VXA149" s="22"/>
      <c r="VXB149" s="22"/>
      <c r="VXC149" s="22"/>
      <c r="VXD149" s="22"/>
      <c r="VXE149" s="22"/>
      <c r="VXF149" s="22"/>
      <c r="VXG149" s="22"/>
      <c r="VXH149" s="22"/>
      <c r="VXI149" s="22"/>
      <c r="VXJ149" s="22"/>
      <c r="VXK149" s="22"/>
      <c r="VXL149" s="22"/>
      <c r="VXM149" s="22"/>
      <c r="VXN149" s="22"/>
      <c r="VXO149" s="22"/>
      <c r="VXP149" s="22"/>
      <c r="VXQ149" s="22"/>
      <c r="VXR149" s="22"/>
      <c r="VXS149" s="22"/>
      <c r="VXT149" s="22"/>
      <c r="VXU149" s="22"/>
      <c r="VXV149" s="22"/>
      <c r="VXW149" s="22"/>
      <c r="VXX149" s="22"/>
      <c r="VXY149" s="22"/>
      <c r="VXZ149" s="22"/>
      <c r="VYA149" s="22"/>
      <c r="VYB149" s="22"/>
      <c r="VYC149" s="22"/>
      <c r="VYD149" s="22"/>
      <c r="VYE149" s="22"/>
      <c r="VYF149" s="22"/>
      <c r="VYG149" s="22"/>
      <c r="VYH149" s="22"/>
      <c r="VYI149" s="22"/>
      <c r="VYJ149" s="22"/>
      <c r="VYK149" s="22"/>
      <c r="VYL149" s="22"/>
      <c r="VYM149" s="22"/>
      <c r="VYN149" s="22"/>
      <c r="VYO149" s="22"/>
      <c r="VYP149" s="22"/>
      <c r="VYQ149" s="22"/>
      <c r="VYR149" s="22"/>
      <c r="VYS149" s="22"/>
      <c r="VYT149" s="22"/>
      <c r="VYU149" s="22"/>
      <c r="VYV149" s="22"/>
      <c r="VYW149" s="22"/>
      <c r="VYX149" s="22"/>
      <c r="VYY149" s="22"/>
      <c r="VYZ149" s="22"/>
      <c r="VZA149" s="22"/>
      <c r="VZB149" s="22"/>
      <c r="VZC149" s="22"/>
      <c r="VZD149" s="22"/>
      <c r="VZE149" s="22"/>
      <c r="VZF149" s="22"/>
      <c r="VZG149" s="22"/>
      <c r="VZH149" s="22"/>
      <c r="VZI149" s="22"/>
      <c r="VZJ149" s="22"/>
      <c r="VZK149" s="22"/>
      <c r="VZL149" s="22"/>
      <c r="VZM149" s="22"/>
      <c r="VZN149" s="22"/>
      <c r="VZO149" s="22"/>
      <c r="VZP149" s="22"/>
      <c r="VZQ149" s="22"/>
      <c r="VZR149" s="22"/>
      <c r="VZS149" s="22"/>
      <c r="VZT149" s="22"/>
      <c r="VZU149" s="22"/>
      <c r="VZV149" s="22"/>
      <c r="VZW149" s="22"/>
      <c r="VZX149" s="22"/>
      <c r="VZY149" s="22"/>
      <c r="VZZ149" s="22"/>
      <c r="WAA149" s="22"/>
      <c r="WAB149" s="22"/>
      <c r="WAC149" s="22"/>
      <c r="WAD149" s="22"/>
      <c r="WAE149" s="22"/>
      <c r="WAF149" s="22"/>
      <c r="WAG149" s="22"/>
      <c r="WAH149" s="22"/>
      <c r="WAI149" s="22"/>
      <c r="WAJ149" s="22"/>
      <c r="WAK149" s="22"/>
      <c r="WAL149" s="22"/>
      <c r="WAM149" s="22"/>
      <c r="WAN149" s="22"/>
      <c r="WAO149" s="22"/>
      <c r="WAP149" s="22"/>
      <c r="WAQ149" s="22"/>
      <c r="WAR149" s="22"/>
      <c r="WAS149" s="22"/>
      <c r="WAT149" s="22"/>
      <c r="WAU149" s="22"/>
      <c r="WAV149" s="22"/>
      <c r="WAW149" s="22"/>
      <c r="WAX149" s="22"/>
      <c r="WAY149" s="22"/>
      <c r="WAZ149" s="22"/>
      <c r="WBA149" s="22"/>
      <c r="WBB149" s="22"/>
      <c r="WBC149" s="22"/>
      <c r="WBD149" s="22"/>
      <c r="WBE149" s="22"/>
      <c r="WBF149" s="22"/>
      <c r="WBG149" s="22"/>
      <c r="WBH149" s="22"/>
      <c r="WBI149" s="22"/>
      <c r="WBJ149" s="22"/>
      <c r="WBK149" s="22"/>
      <c r="WBL149" s="22"/>
      <c r="WBM149" s="22"/>
      <c r="WBN149" s="22"/>
      <c r="WBO149" s="22"/>
      <c r="WBP149" s="22"/>
      <c r="WBQ149" s="22"/>
      <c r="WBR149" s="22"/>
      <c r="WBS149" s="22"/>
      <c r="WBT149" s="22"/>
      <c r="WBU149" s="22"/>
      <c r="WBV149" s="22"/>
      <c r="WBW149" s="22"/>
      <c r="WBX149" s="22"/>
      <c r="WBY149" s="22"/>
      <c r="WBZ149" s="22"/>
      <c r="WCA149" s="22"/>
      <c r="WCB149" s="22"/>
      <c r="WCC149" s="22"/>
      <c r="WCD149" s="22"/>
      <c r="WCE149" s="22"/>
      <c r="WCF149" s="22"/>
      <c r="WCG149" s="22"/>
      <c r="WCH149" s="22"/>
      <c r="WCI149" s="22"/>
      <c r="WCJ149" s="22"/>
      <c r="WCK149" s="22"/>
      <c r="WCL149" s="22"/>
      <c r="WCM149" s="22"/>
      <c r="WCN149" s="22"/>
      <c r="WCO149" s="22"/>
      <c r="WCP149" s="22"/>
      <c r="WCQ149" s="22"/>
      <c r="WCR149" s="22"/>
      <c r="WCS149" s="22"/>
      <c r="WCT149" s="22"/>
      <c r="WCU149" s="22"/>
      <c r="WCV149" s="22"/>
      <c r="WCW149" s="22"/>
      <c r="WCX149" s="22"/>
      <c r="WCY149" s="22"/>
      <c r="WCZ149" s="22"/>
      <c r="WDA149" s="22"/>
      <c r="WDB149" s="22"/>
      <c r="WDC149" s="22"/>
      <c r="WDD149" s="22"/>
      <c r="WDE149" s="22"/>
      <c r="WDF149" s="22"/>
      <c r="WDG149" s="22"/>
      <c r="WDH149" s="22"/>
      <c r="WDI149" s="22"/>
      <c r="WDJ149" s="22"/>
      <c r="WDK149" s="22"/>
      <c r="WDL149" s="22"/>
      <c r="WDM149" s="22"/>
      <c r="WDN149" s="22"/>
      <c r="WDO149" s="22"/>
      <c r="WDP149" s="22"/>
      <c r="WDQ149" s="22"/>
      <c r="WDR149" s="22"/>
      <c r="WDS149" s="22"/>
      <c r="WDT149" s="22"/>
      <c r="WDU149" s="22"/>
      <c r="WDV149" s="22"/>
      <c r="WDW149" s="22"/>
      <c r="WDX149" s="22"/>
      <c r="WDY149" s="22"/>
      <c r="WDZ149" s="22"/>
      <c r="WEA149" s="22"/>
      <c r="WEB149" s="22"/>
      <c r="WEC149" s="22"/>
      <c r="WED149" s="22"/>
      <c r="WEE149" s="22"/>
      <c r="WEF149" s="22"/>
      <c r="WEG149" s="22"/>
      <c r="WEH149" s="22"/>
      <c r="WEI149" s="22"/>
      <c r="WEJ149" s="22"/>
      <c r="WEK149" s="22"/>
      <c r="WEL149" s="22"/>
      <c r="WEM149" s="22"/>
      <c r="WEN149" s="22"/>
      <c r="WEO149" s="22"/>
      <c r="WEP149" s="22"/>
      <c r="WEQ149" s="22"/>
      <c r="WER149" s="22"/>
      <c r="WES149" s="22"/>
      <c r="WET149" s="22"/>
      <c r="WEU149" s="22"/>
      <c r="WEV149" s="22"/>
      <c r="WEW149" s="22"/>
      <c r="WEX149" s="22"/>
      <c r="WEY149" s="22"/>
      <c r="WEZ149" s="22"/>
      <c r="WFA149" s="22"/>
      <c r="WFB149" s="22"/>
      <c r="WFC149" s="22"/>
      <c r="WFD149" s="22"/>
      <c r="WFE149" s="22"/>
      <c r="WFF149" s="22"/>
      <c r="WFG149" s="22"/>
      <c r="WFH149" s="22"/>
      <c r="WFI149" s="22"/>
      <c r="WFJ149" s="22"/>
      <c r="WFK149" s="22"/>
      <c r="WFL149" s="22"/>
      <c r="WFM149" s="22"/>
      <c r="WFN149" s="22"/>
      <c r="WFO149" s="22"/>
      <c r="WFP149" s="22"/>
      <c r="WFQ149" s="22"/>
      <c r="WFR149" s="22"/>
      <c r="WFS149" s="22"/>
      <c r="WFT149" s="22"/>
      <c r="WFU149" s="22"/>
      <c r="WFV149" s="22"/>
      <c r="WFW149" s="22"/>
      <c r="WFX149" s="22"/>
      <c r="WFY149" s="22"/>
      <c r="WFZ149" s="22"/>
      <c r="WGA149" s="22"/>
      <c r="WGB149" s="22"/>
      <c r="WGC149" s="22"/>
      <c r="WGD149" s="22"/>
      <c r="WGE149" s="22"/>
      <c r="WGF149" s="22"/>
      <c r="WGG149" s="22"/>
      <c r="WGH149" s="22"/>
      <c r="WGI149" s="22"/>
      <c r="WGJ149" s="22"/>
      <c r="WGK149" s="22"/>
      <c r="WGL149" s="22"/>
      <c r="WGM149" s="22"/>
      <c r="WGN149" s="22"/>
      <c r="WGO149" s="22"/>
      <c r="WGP149" s="22"/>
      <c r="WGQ149" s="22"/>
      <c r="WGR149" s="22"/>
      <c r="WGS149" s="22"/>
      <c r="WGT149" s="22"/>
      <c r="WGU149" s="22"/>
      <c r="WGV149" s="22"/>
      <c r="WGW149" s="22"/>
      <c r="WGX149" s="22"/>
      <c r="WGY149" s="22"/>
      <c r="WGZ149" s="22"/>
      <c r="WHA149" s="22"/>
      <c r="WHB149" s="22"/>
      <c r="WHC149" s="22"/>
      <c r="WHD149" s="22"/>
      <c r="WHE149" s="22"/>
      <c r="WHF149" s="22"/>
      <c r="WHG149" s="22"/>
      <c r="WHH149" s="22"/>
      <c r="WHI149" s="22"/>
      <c r="WHJ149" s="22"/>
      <c r="WHK149" s="22"/>
      <c r="WHL149" s="22"/>
      <c r="WHM149" s="22"/>
      <c r="WHN149" s="22"/>
      <c r="WHO149" s="22"/>
      <c r="WHP149" s="22"/>
      <c r="WHQ149" s="22"/>
      <c r="WHR149" s="22"/>
      <c r="WHS149" s="22"/>
      <c r="WHT149" s="22"/>
      <c r="WHU149" s="22"/>
      <c r="WHV149" s="22"/>
      <c r="WHW149" s="22"/>
      <c r="WHX149" s="22"/>
      <c r="WHY149" s="22"/>
      <c r="WHZ149" s="22"/>
      <c r="WIA149" s="22"/>
      <c r="WIB149" s="22"/>
      <c r="WIC149" s="22"/>
      <c r="WID149" s="22"/>
      <c r="WIE149" s="22"/>
      <c r="WIF149" s="22"/>
      <c r="WIG149" s="22"/>
      <c r="WIH149" s="22"/>
      <c r="WII149" s="22"/>
      <c r="WIJ149" s="22"/>
      <c r="WIK149" s="22"/>
      <c r="WIL149" s="22"/>
      <c r="WIM149" s="22"/>
      <c r="WIN149" s="22"/>
      <c r="WIO149" s="22"/>
      <c r="WIP149" s="22"/>
      <c r="WIQ149" s="22"/>
      <c r="WIR149" s="22"/>
      <c r="WIS149" s="22"/>
      <c r="WIT149" s="22"/>
      <c r="WIU149" s="22"/>
      <c r="WIV149" s="22"/>
      <c r="WIW149" s="22"/>
      <c r="WIX149" s="22"/>
      <c r="WIY149" s="22"/>
      <c r="WIZ149" s="22"/>
      <c r="WJA149" s="22"/>
      <c r="WJB149" s="22"/>
      <c r="WJC149" s="22"/>
      <c r="WJD149" s="22"/>
      <c r="WJE149" s="22"/>
      <c r="WJF149" s="22"/>
      <c r="WJG149" s="22"/>
      <c r="WJH149" s="22"/>
      <c r="WJI149" s="22"/>
      <c r="WJJ149" s="22"/>
      <c r="WJK149" s="22"/>
      <c r="WJL149" s="22"/>
      <c r="WJM149" s="22"/>
      <c r="WJN149" s="22"/>
      <c r="WJO149" s="22"/>
      <c r="WJP149" s="22"/>
      <c r="WJQ149" s="22"/>
      <c r="WJR149" s="22"/>
      <c r="WJS149" s="22"/>
      <c r="WJT149" s="22"/>
      <c r="WJU149" s="22"/>
      <c r="WJV149" s="22"/>
      <c r="WJW149" s="22"/>
      <c r="WJX149" s="22"/>
      <c r="WJY149" s="22"/>
      <c r="WJZ149" s="22"/>
      <c r="WKA149" s="22"/>
      <c r="WKB149" s="22"/>
      <c r="WKC149" s="22"/>
      <c r="WKD149" s="22"/>
      <c r="WKE149" s="22"/>
      <c r="WKF149" s="22"/>
      <c r="WKG149" s="22"/>
      <c r="WKH149" s="22"/>
      <c r="WKI149" s="22"/>
      <c r="WKJ149" s="22"/>
      <c r="WKK149" s="22"/>
      <c r="WKL149" s="22"/>
      <c r="WKM149" s="22"/>
      <c r="WKN149" s="22"/>
      <c r="WKO149" s="22"/>
      <c r="WKP149" s="22"/>
      <c r="WKQ149" s="22"/>
      <c r="WKR149" s="22"/>
      <c r="WKS149" s="22"/>
      <c r="WKT149" s="22"/>
      <c r="WKU149" s="22"/>
      <c r="WKV149" s="22"/>
      <c r="WKW149" s="22"/>
      <c r="WKX149" s="22"/>
      <c r="WKY149" s="22"/>
      <c r="WKZ149" s="22"/>
      <c r="WLA149" s="22"/>
      <c r="WLB149" s="22"/>
      <c r="WLC149" s="22"/>
      <c r="WLD149" s="22"/>
      <c r="WLE149" s="22"/>
      <c r="WLF149" s="22"/>
      <c r="WLG149" s="22"/>
      <c r="WLH149" s="22"/>
      <c r="WLI149" s="22"/>
      <c r="WLJ149" s="22"/>
      <c r="WLK149" s="22"/>
      <c r="WLL149" s="22"/>
      <c r="WLM149" s="22"/>
      <c r="WLN149" s="22"/>
      <c r="WLO149" s="22"/>
      <c r="WLP149" s="22"/>
      <c r="WLQ149" s="22"/>
      <c r="WLR149" s="22"/>
      <c r="WLS149" s="22"/>
      <c r="WLT149" s="22"/>
      <c r="WLU149" s="22"/>
      <c r="WLV149" s="22"/>
      <c r="WLW149" s="22"/>
      <c r="WLX149" s="22"/>
      <c r="WLY149" s="22"/>
      <c r="WLZ149" s="22"/>
      <c r="WMA149" s="22"/>
      <c r="WMB149" s="22"/>
      <c r="WMC149" s="22"/>
      <c r="WMD149" s="22"/>
      <c r="WME149" s="22"/>
      <c r="WMF149" s="22"/>
      <c r="WMG149" s="22"/>
      <c r="WMH149" s="22"/>
      <c r="WMI149" s="22"/>
      <c r="WMJ149" s="22"/>
      <c r="WMK149" s="22"/>
      <c r="WML149" s="22"/>
      <c r="WMM149" s="22"/>
      <c r="WMN149" s="22"/>
      <c r="WMO149" s="22"/>
      <c r="WMP149" s="22"/>
      <c r="WMQ149" s="22"/>
      <c r="WMR149" s="22"/>
      <c r="WMS149" s="22"/>
      <c r="WMT149" s="22"/>
      <c r="WMU149" s="22"/>
      <c r="WMV149" s="22"/>
      <c r="WMW149" s="22"/>
      <c r="WMX149" s="22"/>
      <c r="WMY149" s="22"/>
      <c r="WMZ149" s="22"/>
      <c r="WNA149" s="22"/>
      <c r="WNB149" s="22"/>
      <c r="WNC149" s="22"/>
      <c r="WND149" s="22"/>
      <c r="WNE149" s="22"/>
      <c r="WNF149" s="22"/>
      <c r="WNG149" s="22"/>
      <c r="WNH149" s="22"/>
      <c r="WNI149" s="22"/>
      <c r="WNJ149" s="22"/>
      <c r="WNK149" s="22"/>
      <c r="WNL149" s="22"/>
      <c r="WNM149" s="22"/>
      <c r="WNN149" s="22"/>
      <c r="WNO149" s="22"/>
      <c r="WNP149" s="22"/>
      <c r="WNQ149" s="22"/>
      <c r="WNR149" s="22"/>
      <c r="WNS149" s="22"/>
      <c r="WNT149" s="22"/>
      <c r="WNU149" s="22"/>
      <c r="WNV149" s="22"/>
      <c r="WNW149" s="22"/>
      <c r="WNX149" s="22"/>
      <c r="WNY149" s="22"/>
      <c r="WNZ149" s="22"/>
      <c r="WOA149" s="22"/>
      <c r="WOB149" s="22"/>
      <c r="WOC149" s="22"/>
      <c r="WOD149" s="22"/>
      <c r="WOE149" s="22"/>
      <c r="WOF149" s="22"/>
      <c r="WOG149" s="22"/>
      <c r="WOH149" s="22"/>
      <c r="WOI149" s="22"/>
      <c r="WOJ149" s="22"/>
      <c r="WOK149" s="22"/>
      <c r="WOL149" s="22"/>
      <c r="WOM149" s="22"/>
      <c r="WON149" s="22"/>
      <c r="WOO149" s="22"/>
      <c r="WOP149" s="22"/>
      <c r="WOQ149" s="22"/>
      <c r="WOR149" s="22"/>
      <c r="WOS149" s="22"/>
      <c r="WOT149" s="22"/>
      <c r="WOU149" s="22"/>
      <c r="WOV149" s="22"/>
      <c r="WOW149" s="22"/>
      <c r="WOX149" s="22"/>
      <c r="WOY149" s="22"/>
      <c r="WOZ149" s="22"/>
      <c r="WPA149" s="22"/>
      <c r="WPB149" s="22"/>
      <c r="WPC149" s="22"/>
      <c r="WPD149" s="22"/>
      <c r="WPE149" s="22"/>
      <c r="WPF149" s="22"/>
      <c r="WPG149" s="22"/>
      <c r="WPH149" s="22"/>
      <c r="WPI149" s="22"/>
      <c r="WPJ149" s="22"/>
      <c r="WPK149" s="22"/>
      <c r="WPL149" s="22"/>
      <c r="WPM149" s="22"/>
      <c r="WPN149" s="22"/>
      <c r="WPO149" s="22"/>
      <c r="WPP149" s="22"/>
      <c r="WPQ149" s="22"/>
      <c r="WPR149" s="22"/>
      <c r="WPS149" s="22"/>
      <c r="WPT149" s="22"/>
      <c r="WPU149" s="22"/>
      <c r="WPV149" s="22"/>
      <c r="WPW149" s="22"/>
      <c r="WPX149" s="22"/>
      <c r="WPY149" s="22"/>
      <c r="WPZ149" s="22"/>
      <c r="WQA149" s="22"/>
      <c r="WQB149" s="22"/>
      <c r="WQC149" s="22"/>
      <c r="WQD149" s="22"/>
      <c r="WQE149" s="22"/>
      <c r="WQF149" s="22"/>
      <c r="WQG149" s="22"/>
      <c r="WQH149" s="22"/>
      <c r="WQI149" s="22"/>
      <c r="WQJ149" s="22"/>
      <c r="WQK149" s="22"/>
      <c r="WQL149" s="22"/>
      <c r="WQM149" s="22"/>
      <c r="WQN149" s="22"/>
      <c r="WQO149" s="22"/>
      <c r="WQP149" s="22"/>
      <c r="WQQ149" s="22"/>
      <c r="WQR149" s="22"/>
      <c r="WQS149" s="22"/>
      <c r="WQT149" s="22"/>
      <c r="WQU149" s="22"/>
      <c r="WQV149" s="22"/>
      <c r="WQW149" s="22"/>
      <c r="WQX149" s="22"/>
      <c r="WQY149" s="22"/>
      <c r="WQZ149" s="22"/>
      <c r="WRA149" s="22"/>
      <c r="WRB149" s="22"/>
      <c r="WRC149" s="22"/>
      <c r="WRD149" s="22"/>
      <c r="WRE149" s="22"/>
      <c r="WRF149" s="22"/>
      <c r="WRG149" s="22"/>
      <c r="WRH149" s="22"/>
      <c r="WRI149" s="22"/>
      <c r="WRJ149" s="22"/>
      <c r="WRK149" s="22"/>
      <c r="WRL149" s="22"/>
      <c r="WRM149" s="22"/>
      <c r="WRN149" s="22"/>
      <c r="WRO149" s="22"/>
      <c r="WRP149" s="22"/>
      <c r="WRQ149" s="22"/>
      <c r="WRR149" s="22"/>
      <c r="WRS149" s="22"/>
      <c r="WRT149" s="22"/>
      <c r="WRU149" s="22"/>
      <c r="WRV149" s="22"/>
      <c r="WRW149" s="22"/>
      <c r="WRX149" s="22"/>
      <c r="WRY149" s="22"/>
      <c r="WRZ149" s="22"/>
      <c r="WSA149" s="22"/>
      <c r="WSB149" s="22"/>
      <c r="WSC149" s="22"/>
      <c r="WSD149" s="22"/>
      <c r="WSE149" s="22"/>
      <c r="WSF149" s="22"/>
      <c r="WSG149" s="22"/>
      <c r="WSH149" s="22"/>
      <c r="WSI149" s="22"/>
      <c r="WSJ149" s="22"/>
      <c r="WSK149" s="22"/>
      <c r="WSL149" s="22"/>
      <c r="WSM149" s="22"/>
      <c r="WSN149" s="22"/>
      <c r="WSO149" s="22"/>
      <c r="WSP149" s="22"/>
      <c r="WSQ149" s="22"/>
      <c r="WSR149" s="22"/>
      <c r="WSS149" s="22"/>
      <c r="WST149" s="22"/>
      <c r="WSU149" s="22"/>
      <c r="WSV149" s="22"/>
      <c r="WSW149" s="22"/>
      <c r="WSX149" s="22"/>
      <c r="WSY149" s="22"/>
      <c r="WSZ149" s="22"/>
      <c r="WTA149" s="22"/>
      <c r="WTB149" s="22"/>
      <c r="WTC149" s="22"/>
      <c r="WTD149" s="22"/>
      <c r="WTE149" s="22"/>
      <c r="WTF149" s="22"/>
      <c r="WTG149" s="22"/>
      <c r="WTH149" s="22"/>
      <c r="WTI149" s="22"/>
      <c r="WTJ149" s="22"/>
      <c r="WTK149" s="22"/>
      <c r="WTL149" s="22"/>
      <c r="WTM149" s="22"/>
      <c r="WTN149" s="22"/>
      <c r="WTO149" s="22"/>
      <c r="WTP149" s="22"/>
      <c r="WTQ149" s="22"/>
      <c r="WTR149" s="22"/>
      <c r="WTS149" s="22"/>
      <c r="WTT149" s="22"/>
      <c r="WTU149" s="22"/>
      <c r="WTV149" s="22"/>
      <c r="WTW149" s="22"/>
      <c r="WTX149" s="22"/>
      <c r="WTY149" s="22"/>
      <c r="WTZ149" s="22"/>
      <c r="WUA149" s="22"/>
      <c r="WUB149" s="22"/>
      <c r="WUC149" s="22"/>
      <c r="WUD149" s="22"/>
      <c r="WUE149" s="22"/>
      <c r="WUF149" s="22"/>
      <c r="WUG149" s="22"/>
      <c r="WUH149" s="22"/>
      <c r="WUI149" s="22"/>
      <c r="WUJ149" s="22"/>
      <c r="WUK149" s="22"/>
      <c r="WUL149" s="22"/>
      <c r="WUM149" s="22"/>
      <c r="WUN149" s="22"/>
      <c r="WUO149" s="22"/>
      <c r="WUP149" s="22"/>
      <c r="WUQ149" s="22"/>
      <c r="WUR149" s="22"/>
      <c r="WUS149" s="22"/>
      <c r="WUT149" s="22"/>
      <c r="WUU149" s="22"/>
      <c r="WUV149" s="22"/>
      <c r="WUW149" s="22"/>
      <c r="WUX149" s="22"/>
      <c r="WUY149" s="22"/>
      <c r="WUZ149" s="22"/>
      <c r="WVA149" s="22"/>
      <c r="WVB149" s="22"/>
      <c r="WVC149" s="22"/>
      <c r="WVD149" s="22"/>
      <c r="WVE149" s="22"/>
      <c r="WVF149" s="22"/>
      <c r="WVG149" s="22"/>
      <c r="WVH149" s="22"/>
      <c r="WVI149" s="22"/>
      <c r="WVJ149" s="22"/>
      <c r="WVK149" s="22"/>
      <c r="WVL149" s="22"/>
      <c r="WVM149" s="22"/>
      <c r="WVN149" s="22"/>
      <c r="WVO149" s="22"/>
      <c r="WVP149" s="22"/>
      <c r="WVQ149" s="22"/>
      <c r="WVR149" s="22"/>
      <c r="WVS149" s="22"/>
      <c r="WVT149" s="22"/>
      <c r="WVU149" s="22"/>
      <c r="WVV149" s="22"/>
      <c r="WVW149" s="22"/>
      <c r="WVX149" s="22"/>
      <c r="WVY149" s="22"/>
      <c r="WVZ149" s="22"/>
      <c r="WWA149" s="22"/>
      <c r="WWB149" s="22"/>
      <c r="WWC149" s="22"/>
      <c r="WWD149" s="22"/>
      <c r="WWE149" s="22"/>
      <c r="WWF149" s="22"/>
      <c r="WWG149" s="22"/>
      <c r="WWH149" s="22"/>
      <c r="WWI149" s="22"/>
      <c r="WWJ149" s="22"/>
      <c r="WWK149" s="22"/>
      <c r="WWL149" s="22"/>
      <c r="WWM149" s="22"/>
      <c r="WWN149" s="22"/>
      <c r="WWO149" s="22"/>
      <c r="WWP149" s="22"/>
      <c r="WWQ149" s="22"/>
      <c r="WWR149" s="22"/>
      <c r="WWS149" s="22"/>
      <c r="WWT149" s="22"/>
      <c r="WWU149" s="22"/>
      <c r="WWV149" s="22"/>
      <c r="WWW149" s="22"/>
      <c r="WWX149" s="22"/>
      <c r="WWY149" s="22"/>
      <c r="WWZ149" s="22"/>
      <c r="WXA149" s="22"/>
      <c r="WXB149" s="22"/>
      <c r="WXC149" s="22"/>
      <c r="WXD149" s="22"/>
      <c r="WXE149" s="22"/>
      <c r="WXF149" s="22"/>
      <c r="WXG149" s="22"/>
      <c r="WXH149" s="22"/>
      <c r="WXI149" s="22"/>
      <c r="WXJ149" s="22"/>
      <c r="WXK149" s="22"/>
      <c r="WXL149" s="22"/>
      <c r="WXM149" s="22"/>
      <c r="WXN149" s="22"/>
      <c r="WXO149" s="22"/>
      <c r="WXP149" s="22"/>
      <c r="WXQ149" s="22"/>
      <c r="WXR149" s="22"/>
      <c r="WXS149" s="22"/>
      <c r="WXT149" s="22"/>
      <c r="WXU149" s="22"/>
      <c r="WXV149" s="22"/>
      <c r="WXW149" s="22"/>
      <c r="WXX149" s="22"/>
      <c r="WXY149" s="22"/>
      <c r="WXZ149" s="22"/>
      <c r="WYA149" s="22"/>
      <c r="WYB149" s="22"/>
      <c r="WYC149" s="22"/>
      <c r="WYD149" s="22"/>
      <c r="WYE149" s="22"/>
      <c r="WYF149" s="22"/>
      <c r="WYG149" s="22"/>
      <c r="WYH149" s="22"/>
      <c r="WYI149" s="22"/>
      <c r="WYJ149" s="22"/>
      <c r="WYK149" s="22"/>
      <c r="WYL149" s="22"/>
      <c r="WYM149" s="22"/>
      <c r="WYN149" s="22"/>
      <c r="WYO149" s="22"/>
      <c r="WYP149" s="22"/>
      <c r="WYQ149" s="22"/>
      <c r="WYR149" s="22"/>
      <c r="WYS149" s="22"/>
      <c r="WYT149" s="22"/>
      <c r="WYU149" s="22"/>
      <c r="WYV149" s="22"/>
      <c r="WYW149" s="22"/>
      <c r="WYX149" s="22"/>
      <c r="WYY149" s="22"/>
      <c r="WYZ149" s="22"/>
      <c r="WZA149" s="22"/>
      <c r="WZB149" s="22"/>
      <c r="WZC149" s="22"/>
      <c r="WZD149" s="22"/>
      <c r="WZE149" s="22"/>
      <c r="WZF149" s="22"/>
      <c r="WZG149" s="22"/>
      <c r="WZH149" s="22"/>
      <c r="WZI149" s="22"/>
      <c r="WZJ149" s="22"/>
      <c r="WZK149" s="22"/>
      <c r="WZL149" s="22"/>
      <c r="WZM149" s="22"/>
      <c r="WZN149" s="22"/>
      <c r="WZO149" s="22"/>
      <c r="WZP149" s="22"/>
      <c r="WZQ149" s="22"/>
      <c r="WZR149" s="22"/>
      <c r="WZS149" s="22"/>
      <c r="WZT149" s="22"/>
      <c r="WZU149" s="22"/>
      <c r="WZV149" s="22"/>
      <c r="WZW149" s="22"/>
      <c r="WZX149" s="22"/>
      <c r="WZY149" s="22"/>
      <c r="WZZ149" s="22"/>
      <c r="XAA149" s="22"/>
      <c r="XAB149" s="22"/>
      <c r="XAC149" s="22"/>
      <c r="XAD149" s="22"/>
      <c r="XAE149" s="22"/>
      <c r="XAF149" s="22"/>
      <c r="XAG149" s="22"/>
      <c r="XAH149" s="22"/>
      <c r="XAI149" s="22"/>
      <c r="XAJ149" s="22"/>
      <c r="XAK149" s="22"/>
      <c r="XAL149" s="22"/>
      <c r="XAM149" s="22"/>
      <c r="XAN149" s="22"/>
      <c r="XAO149" s="22"/>
      <c r="XAP149" s="22"/>
      <c r="XAQ149" s="22"/>
      <c r="XAR149" s="22"/>
      <c r="XAS149" s="22"/>
      <c r="XAT149" s="22"/>
      <c r="XAU149" s="22"/>
      <c r="XAV149" s="22"/>
      <c r="XAW149" s="22"/>
      <c r="XAX149" s="22"/>
      <c r="XAY149" s="22"/>
      <c r="XAZ149" s="22"/>
      <c r="XBA149" s="22"/>
      <c r="XBB149" s="22"/>
      <c r="XBC149" s="22"/>
      <c r="XBD149" s="22"/>
      <c r="XBE149" s="22"/>
      <c r="XBF149" s="22"/>
      <c r="XBG149" s="22"/>
      <c r="XBH149" s="22"/>
      <c r="XBI149" s="22"/>
      <c r="XBJ149" s="22"/>
      <c r="XBK149" s="22"/>
      <c r="XBL149" s="22"/>
      <c r="XBM149" s="22"/>
      <c r="XBN149" s="22"/>
      <c r="XBO149" s="22"/>
      <c r="XBP149" s="22"/>
      <c r="XBQ149" s="22"/>
      <c r="XBR149" s="22"/>
      <c r="XBS149" s="22"/>
      <c r="XBT149" s="22"/>
      <c r="XBU149" s="22"/>
      <c r="XBV149" s="22"/>
      <c r="XBW149" s="22"/>
      <c r="XBX149" s="22"/>
      <c r="XBY149" s="22"/>
      <c r="XBZ149" s="22"/>
      <c r="XCA149" s="22"/>
      <c r="XCB149" s="22"/>
      <c r="XCC149" s="22"/>
      <c r="XCD149" s="22"/>
      <c r="XCE149" s="22"/>
      <c r="XCF149" s="22"/>
      <c r="XCG149" s="22"/>
      <c r="XCH149" s="22"/>
      <c r="XCI149" s="22"/>
      <c r="XCJ149" s="22"/>
      <c r="XCK149" s="22"/>
      <c r="XCL149" s="22"/>
      <c r="XCM149" s="22"/>
      <c r="XCN149" s="22"/>
      <c r="XCO149" s="22"/>
      <c r="XCP149" s="22"/>
      <c r="XCQ149" s="22"/>
      <c r="XCR149" s="22"/>
      <c r="XCS149" s="22"/>
      <c r="XCT149" s="22"/>
      <c r="XCU149" s="22"/>
      <c r="XCV149" s="22"/>
      <c r="XCW149" s="22"/>
      <c r="XCX149" s="22"/>
      <c r="XCY149" s="22"/>
      <c r="XCZ149" s="22"/>
      <c r="XDA149" s="22"/>
      <c r="XDB149" s="22"/>
      <c r="XDC149" s="22"/>
      <c r="XDD149" s="22"/>
      <c r="XDE149" s="22"/>
      <c r="XDF149" s="22"/>
      <c r="XDG149" s="22"/>
      <c r="XDH149" s="22"/>
      <c r="XDI149" s="22"/>
      <c r="XDJ149" s="22"/>
      <c r="XDK149" s="22"/>
      <c r="XDL149" s="22"/>
      <c r="XDM149" s="22"/>
      <c r="XDN149" s="22"/>
      <c r="XDO149" s="22"/>
      <c r="XDP149" s="22"/>
      <c r="XDQ149" s="22"/>
      <c r="XDR149" s="22"/>
      <c r="XDS149" s="22"/>
      <c r="XDT149" s="22"/>
      <c r="XDU149" s="22"/>
      <c r="XDV149" s="22"/>
      <c r="XDW149" s="22"/>
      <c r="XDX149" s="22"/>
      <c r="XDY149" s="22"/>
      <c r="XDZ149" s="22"/>
      <c r="XEA149" s="22"/>
      <c r="XEB149" s="22"/>
      <c r="XEC149" s="22"/>
      <c r="XED149" s="22"/>
      <c r="XEE149" s="22"/>
      <c r="XEF149" s="22"/>
      <c r="XEG149" s="22"/>
      <c r="XEH149" s="22"/>
      <c r="XEI149" s="22"/>
      <c r="XEJ149" s="22"/>
      <c r="XEK149" s="22"/>
      <c r="XEL149" s="22"/>
      <c r="XEM149" s="22"/>
      <c r="XEN149" s="22"/>
      <c r="XEO149" s="22"/>
      <c r="XEP149" s="22"/>
      <c r="XEQ149" s="22"/>
      <c r="XER149" s="22"/>
      <c r="XES149" s="22"/>
      <c r="XET149" s="22"/>
      <c r="XEU149" s="22"/>
      <c r="XEV149" s="22"/>
      <c r="XEW149" s="22"/>
      <c r="XEX149" s="22"/>
      <c r="XEY149" s="22"/>
      <c r="XEZ149" s="22"/>
      <c r="XFA149" s="22"/>
      <c r="XFB149" s="22"/>
      <c r="XFC149" s="22"/>
      <c r="XFD149" s="22"/>
    </row>
    <row r="150" spans="1:16384" hidden="1" outlineLevel="1" x14ac:dyDescent="0.25">
      <c r="A150" s="23"/>
      <c r="B150" s="24"/>
      <c r="C150" s="25" t="str">
        <f t="shared" si="186"/>
        <v xml:space="preserve"> </v>
      </c>
      <c r="D150" s="25" t="str">
        <f t="shared" si="187"/>
        <v xml:space="preserve"> </v>
      </c>
      <c r="E150" s="26"/>
      <c r="F150" s="26"/>
      <c r="G150" s="41">
        <f t="shared" si="188"/>
        <v>0</v>
      </c>
      <c r="H150" s="27">
        <f t="shared" si="189"/>
        <v>0</v>
      </c>
      <c r="I150" s="26"/>
      <c r="J150" s="28">
        <f t="shared" si="190"/>
        <v>0</v>
      </c>
    </row>
    <row r="151" spans="1:16384" s="22" customFormat="1" collapsed="1" x14ac:dyDescent="0.25">
      <c r="A151" s="31" t="s">
        <v>23</v>
      </c>
      <c r="B151" s="30"/>
      <c r="C151" s="31"/>
      <c r="D151" s="31"/>
      <c r="E151" s="32">
        <f t="shared" ref="E151:J151" si="211">SUBTOTAL(9,E139:E150)</f>
        <v>0</v>
      </c>
      <c r="F151" s="32">
        <f t="shared" si="211"/>
        <v>0</v>
      </c>
      <c r="G151" s="32">
        <f t="shared" si="211"/>
        <v>0</v>
      </c>
      <c r="H151" s="33">
        <f t="shared" si="211"/>
        <v>0</v>
      </c>
      <c r="I151" s="32">
        <f t="shared" si="211"/>
        <v>0</v>
      </c>
      <c r="J151" s="49">
        <f t="shared" si="211"/>
        <v>0</v>
      </c>
    </row>
    <row r="152" spans="1:16384" s="22" customFormat="1" hidden="1" outlineLevel="1" x14ac:dyDescent="0.25">
      <c r="A152" s="36"/>
      <c r="B152" s="37"/>
      <c r="C152" s="38" t="str">
        <f t="shared" ref="C152:C165" si="212">VLOOKUP(LEFT(B152,2)&amp;0,invCustomer,2)</f>
        <v xml:space="preserve"> </v>
      </c>
      <c r="D152" s="38" t="str">
        <f t="shared" ref="D152:D165" si="213">VLOOKUP(LEFT(B152,4)&amp;0,invProject,2)</f>
        <v xml:space="preserve"> </v>
      </c>
      <c r="E152" s="17"/>
      <c r="F152" s="17"/>
      <c r="G152" s="19">
        <f t="shared" ref="G152:G165" si="214">ROUND(SUM(E152:F152)*0.1,2)</f>
        <v>0</v>
      </c>
      <c r="H152" s="39">
        <f t="shared" ref="H152:H165" si="215">SUM(E152:G152)</f>
        <v>0</v>
      </c>
      <c r="I152" s="17"/>
      <c r="J152" s="40">
        <f t="shared" ref="J152:J165" si="216">SUM(H152:I152)</f>
        <v>0</v>
      </c>
    </row>
    <row r="153" spans="1:16384" s="35" customFormat="1" hidden="1" outlineLevel="1" x14ac:dyDescent="0.25">
      <c r="A153" s="14"/>
      <c r="B153" s="15"/>
      <c r="C153" s="16" t="str">
        <f t="shared" si="212"/>
        <v xml:space="preserve"> </v>
      </c>
      <c r="D153" s="16" t="str">
        <f t="shared" si="213"/>
        <v xml:space="preserve"> </v>
      </c>
      <c r="E153" s="18"/>
      <c r="F153" s="18"/>
      <c r="G153" s="18">
        <f t="shared" si="214"/>
        <v>0</v>
      </c>
      <c r="H153" s="20">
        <f t="shared" si="215"/>
        <v>0</v>
      </c>
      <c r="I153" s="18"/>
      <c r="J153" s="21">
        <f t="shared" si="216"/>
        <v>0</v>
      </c>
    </row>
    <row r="154" spans="1:16384" s="22" customFormat="1" hidden="1" outlineLevel="1" x14ac:dyDescent="0.25">
      <c r="A154" s="14"/>
      <c r="B154" s="15"/>
      <c r="C154" s="16" t="str">
        <f t="shared" si="212"/>
        <v xml:space="preserve"> </v>
      </c>
      <c r="D154" s="16" t="str">
        <f t="shared" si="213"/>
        <v xml:space="preserve"> </v>
      </c>
      <c r="E154" s="18"/>
      <c r="F154" s="18"/>
      <c r="G154" s="18">
        <f t="shared" si="214"/>
        <v>0</v>
      </c>
      <c r="H154" s="20">
        <f t="shared" si="215"/>
        <v>0</v>
      </c>
      <c r="I154" s="18"/>
      <c r="J154" s="21">
        <f t="shared" si="216"/>
        <v>0</v>
      </c>
    </row>
    <row r="155" spans="1:16384" s="22" customFormat="1" hidden="1" outlineLevel="1" x14ac:dyDescent="0.25">
      <c r="A155" s="14"/>
      <c r="B155" s="15"/>
      <c r="C155" s="16" t="str">
        <f t="shared" ref="C155:C163" si="217">VLOOKUP(LEFT(B155,2)&amp;0,invCustomer,2)</f>
        <v xml:space="preserve"> </v>
      </c>
      <c r="D155" s="16" t="str">
        <f t="shared" ref="D155:D163" si="218">VLOOKUP(LEFT(B155,4)&amp;0,invProject,2)</f>
        <v xml:space="preserve"> </v>
      </c>
      <c r="E155" s="18"/>
      <c r="F155" s="18"/>
      <c r="G155" s="18">
        <f t="shared" ref="G155:G163" si="219">ROUND(SUM(E155:F155)*0.1,2)</f>
        <v>0</v>
      </c>
      <c r="H155" s="20">
        <f t="shared" ref="H155:H163" si="220">SUM(E155:G155)</f>
        <v>0</v>
      </c>
      <c r="I155" s="18"/>
      <c r="J155" s="21">
        <f t="shared" ref="J155:J163" si="221">SUM(H155:I155)</f>
        <v>0</v>
      </c>
    </row>
    <row r="156" spans="1:16384" s="22" customFormat="1" hidden="1" outlineLevel="1" x14ac:dyDescent="0.25">
      <c r="A156" s="14"/>
      <c r="B156" s="15"/>
      <c r="C156" s="16" t="str">
        <f t="shared" ref="C156:C157" si="222">VLOOKUP(LEFT(B156,2)&amp;0,invCustomer,2)</f>
        <v xml:space="preserve"> </v>
      </c>
      <c r="D156" s="16" t="str">
        <f t="shared" ref="D156:D157" si="223">VLOOKUP(LEFT(B156,4)&amp;0,invProject,2)</f>
        <v xml:space="preserve"> </v>
      </c>
      <c r="E156" s="18"/>
      <c r="F156" s="18"/>
      <c r="G156" s="18">
        <f t="shared" ref="G156:G157" si="224">ROUND(SUM(E156:F156)*0.1,2)</f>
        <v>0</v>
      </c>
      <c r="H156" s="20">
        <f t="shared" ref="H156:H157" si="225">SUM(E156:G156)</f>
        <v>0</v>
      </c>
      <c r="I156" s="18"/>
      <c r="J156" s="21">
        <f t="shared" ref="J156:J157" si="226">SUM(H156:I156)</f>
        <v>0</v>
      </c>
    </row>
    <row r="157" spans="1:16384" s="22" customFormat="1" hidden="1" outlineLevel="1" x14ac:dyDescent="0.25">
      <c r="A157" s="14"/>
      <c r="B157" s="15"/>
      <c r="C157" s="16" t="str">
        <f t="shared" si="222"/>
        <v xml:space="preserve"> </v>
      </c>
      <c r="D157" s="16" t="str">
        <f t="shared" si="223"/>
        <v xml:space="preserve"> </v>
      </c>
      <c r="E157" s="18"/>
      <c r="F157" s="18"/>
      <c r="G157" s="18">
        <f t="shared" si="224"/>
        <v>0</v>
      </c>
      <c r="H157" s="20">
        <f t="shared" si="225"/>
        <v>0</v>
      </c>
      <c r="I157" s="18"/>
      <c r="J157" s="21">
        <f t="shared" si="226"/>
        <v>0</v>
      </c>
    </row>
    <row r="158" spans="1:16384" s="22" customFormat="1" hidden="1" outlineLevel="1" x14ac:dyDescent="0.25">
      <c r="A158" s="14"/>
      <c r="B158" s="15"/>
      <c r="C158" s="16" t="str">
        <f t="shared" si="217"/>
        <v xml:space="preserve"> </v>
      </c>
      <c r="D158" s="16" t="str">
        <f t="shared" si="218"/>
        <v xml:space="preserve"> </v>
      </c>
      <c r="E158" s="18"/>
      <c r="F158" s="18"/>
      <c r="G158" s="18">
        <f t="shared" si="219"/>
        <v>0</v>
      </c>
      <c r="H158" s="20">
        <f t="shared" si="220"/>
        <v>0</v>
      </c>
      <c r="I158" s="18"/>
      <c r="J158" s="21">
        <f t="shared" si="221"/>
        <v>0</v>
      </c>
    </row>
    <row r="159" spans="1:16384" s="22" customFormat="1" hidden="1" outlineLevel="1" x14ac:dyDescent="0.25">
      <c r="A159" s="14"/>
      <c r="B159" s="15"/>
      <c r="C159" s="16" t="str">
        <f t="shared" si="217"/>
        <v xml:space="preserve"> </v>
      </c>
      <c r="D159" s="16" t="str">
        <f t="shared" si="218"/>
        <v xml:space="preserve"> </v>
      </c>
      <c r="E159" s="310"/>
      <c r="F159" s="18"/>
      <c r="G159" s="18">
        <f t="shared" si="219"/>
        <v>0</v>
      </c>
      <c r="H159" s="20">
        <f t="shared" si="220"/>
        <v>0</v>
      </c>
      <c r="I159" s="18"/>
      <c r="J159" s="21">
        <f t="shared" si="221"/>
        <v>0</v>
      </c>
    </row>
    <row r="160" spans="1:16384" s="22" customFormat="1" hidden="1" outlineLevel="1" x14ac:dyDescent="0.25">
      <c r="A160" s="14"/>
      <c r="B160" s="15"/>
      <c r="C160" s="16" t="str">
        <f t="shared" ref="C160:C161" si="227">VLOOKUP(LEFT(B160,2)&amp;0,invCustomer,2)</f>
        <v xml:space="preserve"> </v>
      </c>
      <c r="D160" s="16" t="str">
        <f t="shared" ref="D160:D161" si="228">VLOOKUP(LEFT(B160,4)&amp;0,invProject,2)</f>
        <v xml:space="preserve"> </v>
      </c>
      <c r="E160" s="18"/>
      <c r="F160" s="18"/>
      <c r="G160" s="18">
        <f t="shared" ref="G160:G161" si="229">ROUND(SUM(E160:F160)*0.1,2)</f>
        <v>0</v>
      </c>
      <c r="H160" s="20">
        <f t="shared" ref="H160:H161" si="230">SUM(E160:G160)</f>
        <v>0</v>
      </c>
      <c r="I160" s="18"/>
      <c r="J160" s="21">
        <f t="shared" ref="J160:J161" si="231">SUM(H160:I160)</f>
        <v>0</v>
      </c>
    </row>
    <row r="161" spans="1:10" s="22" customFormat="1" hidden="1" outlineLevel="1" x14ac:dyDescent="0.25">
      <c r="A161" s="14"/>
      <c r="B161" s="15"/>
      <c r="C161" s="16" t="str">
        <f t="shared" si="227"/>
        <v xml:space="preserve"> </v>
      </c>
      <c r="D161" s="16" t="str">
        <f t="shared" si="228"/>
        <v xml:space="preserve"> </v>
      </c>
      <c r="E161" s="18"/>
      <c r="F161" s="18"/>
      <c r="G161" s="18">
        <f t="shared" si="229"/>
        <v>0</v>
      </c>
      <c r="H161" s="20">
        <f t="shared" si="230"/>
        <v>0</v>
      </c>
      <c r="I161" s="18"/>
      <c r="J161" s="21">
        <f t="shared" si="231"/>
        <v>0</v>
      </c>
    </row>
    <row r="162" spans="1:10" s="22" customFormat="1" hidden="1" outlineLevel="1" x14ac:dyDescent="0.25">
      <c r="A162" s="14"/>
      <c r="B162" s="15"/>
      <c r="C162" s="16" t="str">
        <f t="shared" si="217"/>
        <v xml:space="preserve"> </v>
      </c>
      <c r="D162" s="16" t="str">
        <f t="shared" si="218"/>
        <v xml:space="preserve"> </v>
      </c>
      <c r="E162" s="18"/>
      <c r="F162" s="18"/>
      <c r="G162" s="18">
        <f t="shared" si="219"/>
        <v>0</v>
      </c>
      <c r="H162" s="20">
        <f t="shared" si="220"/>
        <v>0</v>
      </c>
      <c r="I162" s="18"/>
      <c r="J162" s="21">
        <f t="shared" si="221"/>
        <v>0</v>
      </c>
    </row>
    <row r="163" spans="1:10" s="22" customFormat="1" hidden="1" outlineLevel="1" x14ac:dyDescent="0.25">
      <c r="A163" s="14"/>
      <c r="B163" s="15"/>
      <c r="C163" s="16" t="str">
        <f t="shared" si="217"/>
        <v xml:space="preserve"> </v>
      </c>
      <c r="D163" s="16" t="str">
        <f t="shared" si="218"/>
        <v xml:space="preserve"> </v>
      </c>
      <c r="E163" s="18"/>
      <c r="F163" s="18"/>
      <c r="G163" s="18">
        <f t="shared" si="219"/>
        <v>0</v>
      </c>
      <c r="H163" s="20">
        <f t="shared" si="220"/>
        <v>0</v>
      </c>
      <c r="I163" s="18"/>
      <c r="J163" s="21">
        <f t="shared" si="221"/>
        <v>0</v>
      </c>
    </row>
    <row r="164" spans="1:10" s="22" customFormat="1" hidden="1" outlineLevel="1" x14ac:dyDescent="0.25">
      <c r="A164" s="14"/>
      <c r="B164" s="15"/>
      <c r="C164" s="16" t="str">
        <f t="shared" ref="C164" si="232">VLOOKUP(LEFT(B164,2)&amp;0,invCustomer,2)</f>
        <v xml:space="preserve"> </v>
      </c>
      <c r="D164" s="16" t="str">
        <f t="shared" ref="D164" si="233">VLOOKUP(LEFT(B164,4)&amp;0,invProject,2)</f>
        <v xml:space="preserve"> </v>
      </c>
      <c r="E164" s="18"/>
      <c r="F164" s="18"/>
      <c r="G164" s="18">
        <f t="shared" ref="G164" si="234">ROUND(SUM(E164:F164)*0.1,2)</f>
        <v>0</v>
      </c>
      <c r="H164" s="20">
        <f t="shared" ref="H164" si="235">SUM(E164:G164)</f>
        <v>0</v>
      </c>
      <c r="I164" s="18"/>
      <c r="J164" s="21">
        <f t="shared" ref="J164" si="236">SUM(H164:I164)</f>
        <v>0</v>
      </c>
    </row>
    <row r="165" spans="1:10" hidden="1" outlineLevel="1" x14ac:dyDescent="0.25">
      <c r="A165" s="23"/>
      <c r="B165" s="24"/>
      <c r="C165" s="25" t="str">
        <f t="shared" si="212"/>
        <v xml:space="preserve"> </v>
      </c>
      <c r="D165" s="25" t="str">
        <f t="shared" si="213"/>
        <v xml:space="preserve"> </v>
      </c>
      <c r="E165" s="26"/>
      <c r="F165" s="26"/>
      <c r="G165" s="26">
        <f t="shared" si="214"/>
        <v>0</v>
      </c>
      <c r="H165" s="27">
        <f t="shared" si="215"/>
        <v>0</v>
      </c>
      <c r="I165" s="26"/>
      <c r="J165" s="28">
        <f t="shared" si="216"/>
        <v>0</v>
      </c>
    </row>
    <row r="166" spans="1:10" s="22" customFormat="1" collapsed="1" x14ac:dyDescent="0.25">
      <c r="A166" s="31" t="s">
        <v>24</v>
      </c>
      <c r="B166" s="30"/>
      <c r="C166" s="31"/>
      <c r="D166" s="31"/>
      <c r="E166" s="32">
        <f t="shared" ref="E166:J166" si="237">SUBTOTAL(9,E152:E165)</f>
        <v>0</v>
      </c>
      <c r="F166" s="32">
        <f t="shared" si="237"/>
        <v>0</v>
      </c>
      <c r="G166" s="32">
        <f t="shared" si="237"/>
        <v>0</v>
      </c>
      <c r="H166" s="33">
        <f t="shared" si="237"/>
        <v>0</v>
      </c>
      <c r="I166" s="32">
        <f t="shared" si="237"/>
        <v>0</v>
      </c>
      <c r="J166" s="34">
        <f t="shared" si="237"/>
        <v>0</v>
      </c>
    </row>
    <row r="167" spans="1:10" hidden="1" outlineLevel="1" x14ac:dyDescent="0.25">
      <c r="A167" s="36"/>
      <c r="B167" s="37"/>
      <c r="C167" s="38" t="str">
        <f t="shared" ref="C167:C179" si="238">VLOOKUP(LEFT(B167,2)&amp;0,invCustomer,2)</f>
        <v xml:space="preserve"> </v>
      </c>
      <c r="D167" s="38" t="str">
        <f t="shared" ref="D167:D179" si="239">VLOOKUP(LEFT(B167,4)&amp;0,invProject,2)</f>
        <v xml:space="preserve"> </v>
      </c>
      <c r="E167" s="17"/>
      <c r="F167" s="17"/>
      <c r="G167" s="19">
        <f t="shared" ref="G167:G179" si="240">ROUND(SUM(E167:F167)*0.1,2)</f>
        <v>0</v>
      </c>
      <c r="H167" s="39">
        <f t="shared" ref="H167:H179" si="241">SUM(E167:G167)</f>
        <v>0</v>
      </c>
      <c r="I167" s="17"/>
      <c r="J167" s="40">
        <f t="shared" ref="J167:J179" si="242">SUM(H167:I167)</f>
        <v>0</v>
      </c>
    </row>
    <row r="168" spans="1:10" s="22" customFormat="1" hidden="1" outlineLevel="1" x14ac:dyDescent="0.25">
      <c r="A168" s="14"/>
      <c r="B168" s="15"/>
      <c r="C168" s="16" t="str">
        <f>VLOOKUP(LEFT(B168,2)&amp;0,invCustomer,2)</f>
        <v xml:space="preserve"> </v>
      </c>
      <c r="D168" s="16" t="str">
        <f>VLOOKUP(LEFT(B168,4)&amp;0,invProject,2)</f>
        <v xml:space="preserve"> </v>
      </c>
      <c r="E168" s="18"/>
      <c r="F168" s="18"/>
      <c r="G168" s="47">
        <f>ROUND(SUM(E168:F168)*0.1,2)</f>
        <v>0</v>
      </c>
      <c r="H168" s="20">
        <f>SUM(E168:G168)</f>
        <v>0</v>
      </c>
      <c r="I168" s="18"/>
      <c r="J168" s="21">
        <f>SUM(H168:I168)</f>
        <v>0</v>
      </c>
    </row>
    <row r="169" spans="1:10" ht="12.75" hidden="1" customHeight="1" outlineLevel="1" x14ac:dyDescent="0.25">
      <c r="A169" s="14"/>
      <c r="B169" s="15"/>
      <c r="C169" s="16" t="str">
        <f t="shared" si="238"/>
        <v xml:space="preserve"> </v>
      </c>
      <c r="D169" s="16" t="str">
        <f t="shared" si="239"/>
        <v xml:space="preserve"> </v>
      </c>
      <c r="E169" s="18"/>
      <c r="F169" s="18"/>
      <c r="G169" s="47">
        <f t="shared" si="240"/>
        <v>0</v>
      </c>
      <c r="H169" s="20">
        <f t="shared" si="241"/>
        <v>0</v>
      </c>
      <c r="I169" s="18"/>
      <c r="J169" s="21">
        <f t="shared" si="242"/>
        <v>0</v>
      </c>
    </row>
    <row r="170" spans="1:10" s="22" customFormat="1" hidden="1" outlineLevel="1" x14ac:dyDescent="0.25">
      <c r="A170" s="14"/>
      <c r="B170" s="15"/>
      <c r="C170" s="16" t="str">
        <f t="shared" si="238"/>
        <v xml:space="preserve"> </v>
      </c>
      <c r="D170" s="16" t="str">
        <f t="shared" si="239"/>
        <v xml:space="preserve"> </v>
      </c>
      <c r="E170" s="18"/>
      <c r="F170" s="18"/>
      <c r="G170" s="47">
        <f t="shared" si="240"/>
        <v>0</v>
      </c>
      <c r="H170" s="20">
        <f t="shared" si="241"/>
        <v>0</v>
      </c>
      <c r="I170" s="18"/>
      <c r="J170" s="21">
        <f t="shared" si="242"/>
        <v>0</v>
      </c>
    </row>
    <row r="171" spans="1:10" s="22" customFormat="1" hidden="1" outlineLevel="1" x14ac:dyDescent="0.25">
      <c r="A171" s="14"/>
      <c r="B171" s="15"/>
      <c r="C171" s="16" t="str">
        <f t="shared" si="238"/>
        <v xml:space="preserve"> </v>
      </c>
      <c r="D171" s="16" t="str">
        <f t="shared" si="239"/>
        <v xml:space="preserve"> </v>
      </c>
      <c r="E171" s="18"/>
      <c r="F171" s="18"/>
      <c r="G171" s="47">
        <f t="shared" si="240"/>
        <v>0</v>
      </c>
      <c r="H171" s="20">
        <f t="shared" si="241"/>
        <v>0</v>
      </c>
      <c r="I171" s="18"/>
      <c r="J171" s="21">
        <f t="shared" si="242"/>
        <v>0</v>
      </c>
    </row>
    <row r="172" spans="1:10" s="22" customFormat="1" hidden="1" outlineLevel="1" x14ac:dyDescent="0.25">
      <c r="A172" s="14"/>
      <c r="B172" s="15"/>
      <c r="C172" s="16" t="str">
        <f t="shared" si="238"/>
        <v xml:space="preserve"> </v>
      </c>
      <c r="D172" s="16" t="str">
        <f t="shared" si="239"/>
        <v xml:space="preserve"> </v>
      </c>
      <c r="E172" s="18"/>
      <c r="F172" s="18"/>
      <c r="G172" s="47">
        <f t="shared" si="240"/>
        <v>0</v>
      </c>
      <c r="H172" s="20">
        <f t="shared" si="241"/>
        <v>0</v>
      </c>
      <c r="I172" s="18"/>
      <c r="J172" s="21">
        <f t="shared" si="242"/>
        <v>0</v>
      </c>
    </row>
    <row r="173" spans="1:10" s="22" customFormat="1" hidden="1" outlineLevel="1" x14ac:dyDescent="0.25">
      <c r="A173" s="14"/>
      <c r="B173" s="15"/>
      <c r="C173" s="16" t="str">
        <f t="shared" si="238"/>
        <v xml:space="preserve"> </v>
      </c>
      <c r="D173" s="16" t="str">
        <f t="shared" si="239"/>
        <v xml:space="preserve"> </v>
      </c>
      <c r="E173" s="18"/>
      <c r="F173" s="18"/>
      <c r="G173" s="47">
        <f t="shared" si="240"/>
        <v>0</v>
      </c>
      <c r="H173" s="20">
        <f t="shared" si="241"/>
        <v>0</v>
      </c>
      <c r="I173" s="18"/>
      <c r="J173" s="21">
        <f t="shared" si="242"/>
        <v>0</v>
      </c>
    </row>
    <row r="174" spans="1:10" s="22" customFormat="1" hidden="1" outlineLevel="1" x14ac:dyDescent="0.25">
      <c r="A174" s="14"/>
      <c r="B174" s="15"/>
      <c r="C174" s="16" t="str">
        <f t="shared" si="238"/>
        <v xml:space="preserve"> </v>
      </c>
      <c r="D174" s="16" t="str">
        <f t="shared" si="239"/>
        <v xml:space="preserve"> </v>
      </c>
      <c r="E174" s="18"/>
      <c r="F174" s="18"/>
      <c r="G174" s="47">
        <f t="shared" si="240"/>
        <v>0</v>
      </c>
      <c r="H174" s="20">
        <f t="shared" si="241"/>
        <v>0</v>
      </c>
      <c r="I174" s="18"/>
      <c r="J174" s="21">
        <f t="shared" si="242"/>
        <v>0</v>
      </c>
    </row>
    <row r="175" spans="1:10" s="22" customFormat="1" hidden="1" outlineLevel="1" x14ac:dyDescent="0.25">
      <c r="A175" s="14"/>
      <c r="B175" s="15"/>
      <c r="C175" s="16" t="str">
        <f t="shared" ref="C175:C176" si="243">VLOOKUP(LEFT(B175,2)&amp;0,invCustomer,2)</f>
        <v xml:space="preserve"> </v>
      </c>
      <c r="D175" s="16" t="str">
        <f t="shared" ref="D175:D176" si="244">VLOOKUP(LEFT(B175,4)&amp;0,invProject,2)</f>
        <v xml:space="preserve"> </v>
      </c>
      <c r="E175" s="18"/>
      <c r="F175" s="18"/>
      <c r="G175" s="47">
        <f t="shared" ref="G175:G176" si="245">ROUND(SUM(E175:F175)*0.1,2)</f>
        <v>0</v>
      </c>
      <c r="H175" s="20">
        <f t="shared" ref="H175:H176" si="246">SUM(E175:G175)</f>
        <v>0</v>
      </c>
      <c r="I175" s="18"/>
      <c r="J175" s="21">
        <f t="shared" ref="J175:J176" si="247">SUM(H175:I175)</f>
        <v>0</v>
      </c>
    </row>
    <row r="176" spans="1:10" s="22" customFormat="1" hidden="1" outlineLevel="1" x14ac:dyDescent="0.25">
      <c r="A176" s="14"/>
      <c r="B176" s="15"/>
      <c r="C176" s="16" t="str">
        <f t="shared" si="243"/>
        <v xml:space="preserve"> </v>
      </c>
      <c r="D176" s="16" t="str">
        <f t="shared" si="244"/>
        <v xml:space="preserve"> </v>
      </c>
      <c r="E176" s="18"/>
      <c r="F176" s="18"/>
      <c r="G176" s="47">
        <f t="shared" si="245"/>
        <v>0</v>
      </c>
      <c r="H176" s="20">
        <f t="shared" si="246"/>
        <v>0</v>
      </c>
      <c r="I176" s="18"/>
      <c r="J176" s="21">
        <f t="shared" si="247"/>
        <v>0</v>
      </c>
    </row>
    <row r="177" spans="1:10" s="22" customFormat="1" hidden="1" outlineLevel="1" x14ac:dyDescent="0.25">
      <c r="A177" s="14"/>
      <c r="B177" s="15"/>
      <c r="C177" s="16" t="str">
        <f t="shared" si="238"/>
        <v xml:space="preserve"> </v>
      </c>
      <c r="D177" s="16" t="str">
        <f t="shared" si="239"/>
        <v xml:space="preserve"> </v>
      </c>
      <c r="E177" s="18"/>
      <c r="F177" s="18"/>
      <c r="G177" s="47">
        <f t="shared" si="240"/>
        <v>0</v>
      </c>
      <c r="H177" s="20">
        <f t="shared" si="241"/>
        <v>0</v>
      </c>
      <c r="I177" s="18"/>
      <c r="J177" s="21">
        <f t="shared" si="242"/>
        <v>0</v>
      </c>
    </row>
    <row r="178" spans="1:10" s="22" customFormat="1" hidden="1" outlineLevel="1" x14ac:dyDescent="0.25">
      <c r="A178" s="14"/>
      <c r="B178" s="15"/>
      <c r="C178" s="16" t="str">
        <f t="shared" si="238"/>
        <v xml:space="preserve"> </v>
      </c>
      <c r="D178" s="16" t="str">
        <f t="shared" si="239"/>
        <v xml:space="preserve"> </v>
      </c>
      <c r="E178" s="18"/>
      <c r="F178" s="18"/>
      <c r="G178" s="47">
        <f t="shared" si="240"/>
        <v>0</v>
      </c>
      <c r="H178" s="20">
        <f t="shared" si="241"/>
        <v>0</v>
      </c>
      <c r="I178" s="18"/>
      <c r="J178" s="21">
        <f t="shared" si="242"/>
        <v>0</v>
      </c>
    </row>
    <row r="179" spans="1:10" hidden="1" outlineLevel="1" x14ac:dyDescent="0.25">
      <c r="A179" s="23"/>
      <c r="B179" s="24"/>
      <c r="C179" s="25" t="str">
        <f t="shared" si="238"/>
        <v xml:space="preserve"> </v>
      </c>
      <c r="D179" s="25" t="str">
        <f t="shared" si="239"/>
        <v xml:space="preserve"> </v>
      </c>
      <c r="E179" s="26"/>
      <c r="F179" s="26"/>
      <c r="G179" s="26">
        <f t="shared" si="240"/>
        <v>0</v>
      </c>
      <c r="H179" s="27">
        <f t="shared" si="241"/>
        <v>0</v>
      </c>
      <c r="I179" s="26"/>
      <c r="J179" s="28">
        <f t="shared" si="242"/>
        <v>0</v>
      </c>
    </row>
    <row r="180" spans="1:10" s="22" customFormat="1" ht="12.75" customHeight="1" collapsed="1" x14ac:dyDescent="0.25">
      <c r="A180" s="31" t="s">
        <v>25</v>
      </c>
      <c r="B180" s="30"/>
      <c r="C180" s="31"/>
      <c r="D180" s="31"/>
      <c r="E180" s="32">
        <f t="shared" ref="E180:J180" si="248">SUBTOTAL(9,E167:E179)</f>
        <v>0</v>
      </c>
      <c r="F180" s="32">
        <f t="shared" si="248"/>
        <v>0</v>
      </c>
      <c r="G180" s="32">
        <f t="shared" si="248"/>
        <v>0</v>
      </c>
      <c r="H180" s="42">
        <f t="shared" si="248"/>
        <v>0</v>
      </c>
      <c r="I180" s="32">
        <f t="shared" si="248"/>
        <v>0</v>
      </c>
      <c r="J180" s="34">
        <f t="shared" si="248"/>
        <v>0</v>
      </c>
    </row>
    <row r="181" spans="1:10" ht="12.75" customHeight="1" x14ac:dyDescent="0.25">
      <c r="A181" s="43"/>
      <c r="B181" s="44" t="s">
        <v>26</v>
      </c>
      <c r="C181" s="43"/>
      <c r="D181" s="43"/>
      <c r="E181" s="44">
        <f t="shared" ref="E181:J181" si="249">SUBTOTAL(9,E139:E180)</f>
        <v>0</v>
      </c>
      <c r="F181" s="44">
        <f t="shared" si="249"/>
        <v>0</v>
      </c>
      <c r="G181" s="53">
        <f t="shared" si="249"/>
        <v>0</v>
      </c>
      <c r="H181" s="44">
        <f t="shared" si="249"/>
        <v>0</v>
      </c>
      <c r="I181" s="44">
        <f t="shared" si="249"/>
        <v>0</v>
      </c>
      <c r="J181" s="46">
        <f t="shared" si="249"/>
        <v>0</v>
      </c>
    </row>
    <row r="182" spans="1:10" s="35" customFormat="1" x14ac:dyDescent="0.25">
      <c r="A182" s="31"/>
      <c r="B182" s="30"/>
      <c r="C182" s="31"/>
      <c r="D182" s="31"/>
      <c r="E182" s="32"/>
      <c r="F182" s="32"/>
      <c r="G182" s="32"/>
      <c r="H182" s="33"/>
      <c r="I182" s="32"/>
      <c r="J182" s="34"/>
    </row>
    <row r="183" spans="1:10" s="35" customFormat="1" x14ac:dyDescent="0.25">
      <c r="A183" s="55"/>
      <c r="B183" s="56"/>
      <c r="C183" s="55"/>
      <c r="D183" s="55"/>
      <c r="E183" s="57"/>
      <c r="F183" s="57"/>
      <c r="G183" s="57"/>
      <c r="H183" s="42"/>
      <c r="I183" s="57"/>
      <c r="J183" s="52"/>
    </row>
    <row r="184" spans="1:10" ht="13.8" thickBot="1" x14ac:dyDescent="0.3">
      <c r="A184" s="58" t="s">
        <v>27</v>
      </c>
      <c r="B184" s="59"/>
      <c r="C184" s="58"/>
      <c r="D184" s="58"/>
      <c r="E184" s="60">
        <f t="shared" ref="E184:J184" si="250">SUBTOTAL(9,E3:E181)</f>
        <v>324266.54999999993</v>
      </c>
      <c r="F184" s="60">
        <f t="shared" si="250"/>
        <v>0</v>
      </c>
      <c r="G184" s="60">
        <f t="shared" si="250"/>
        <v>32426.710000000006</v>
      </c>
      <c r="H184" s="60">
        <f t="shared" si="250"/>
        <v>356693.25999999989</v>
      </c>
      <c r="I184" s="60">
        <f t="shared" si="250"/>
        <v>0</v>
      </c>
      <c r="J184" s="60">
        <f t="shared" si="250"/>
        <v>356693.25999999989</v>
      </c>
    </row>
  </sheetData>
  <autoFilter ref="C1:C184"/>
  <conditionalFormatting sqref="B181 K183:L183 E181:J181 B138 E138:J138 K143:L143 B96 B54 E54:L54 K97:L97 E96:J96">
    <cfRule type="cellIs" dxfId="106" priority="6" operator="greaterThanOrEqual">
      <formula>0</formula>
    </cfRule>
    <cfRule type="cellIs" dxfId="105" priority="7" operator="lessThan">
      <formula>0</formula>
    </cfRule>
  </conditionalFormatting>
  <conditionalFormatting sqref="E116">
    <cfRule type="expression" dxfId="104" priority="8">
      <formula>ISBLANK($G116)</formula>
    </cfRule>
  </conditionalFormatting>
  <conditionalFormatting sqref="E112">
    <cfRule type="expression" dxfId="103" priority="4">
      <formula>ISBLANK($G112)</formula>
    </cfRule>
  </conditionalFormatting>
  <conditionalFormatting sqref="K140:L140">
    <cfRule type="cellIs" dxfId="102" priority="2" operator="greaterThanOrEqual">
      <formula>0</formula>
    </cfRule>
    <cfRule type="cellIs" dxfId="101" priority="3" operator="lessThan">
      <formula>0</formula>
    </cfRule>
  </conditionalFormatting>
  <conditionalFormatting sqref="E159">
    <cfRule type="expression" dxfId="100" priority="1">
      <formula>ISBLANK($G159)</formula>
    </cfRule>
  </conditionalFormatting>
  <pageMargins left="0.75" right="0.75" top="1" bottom="1" header="0.51180555555555496" footer="0.51180555555555496"/>
  <pageSetup paperSize="9" orientation="landscape" useFirstPageNumber="1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AS326"/>
  <sheetViews>
    <sheetView showZeros="0" tabSelected="1" zoomScale="75" zoomScaleNormal="75" workbookViewId="0">
      <pane ySplit="2" topLeftCell="A3" activePane="bottomLeft" state="frozen"/>
      <selection activeCell="D3" sqref="D3"/>
      <selection pane="bottomLeft" activeCell="C93" sqref="C93"/>
    </sheetView>
  </sheetViews>
  <sheetFormatPr defaultRowHeight="13.2" outlineLevelRow="1" x14ac:dyDescent="0.25"/>
  <cols>
    <col min="1" max="1" width="13.44140625" style="61"/>
    <col min="2" max="2" width="15.44140625" style="62"/>
    <col min="3" max="3" width="14.5546875" style="62"/>
    <col min="4" max="4" width="4.5546875"/>
    <col min="5" max="5" width="28.44140625"/>
    <col min="6" max="6" width="25.5546875"/>
    <col min="7" max="18" width="12.44140625" style="62"/>
    <col min="19" max="21" width="12.5546875" style="62"/>
    <col min="22" max="24" width="12.5546875" style="62" customWidth="1"/>
    <col min="25" max="25" width="12.5546875" style="62"/>
    <col min="26" max="26" width="12.5546875" style="62" customWidth="1"/>
    <col min="27" max="27" width="13.44140625" style="62"/>
    <col min="28" max="29" width="12.44140625" style="62"/>
    <col min="30" max="30" width="9.44140625" style="62"/>
    <col min="31" max="32" width="12.44140625" style="62"/>
    <col min="33" max="33" width="12.44140625" style="62" customWidth="1"/>
    <col min="34" max="34" width="12.5546875" style="62" customWidth="1"/>
    <col min="35" max="35" width="12.44140625" style="62" customWidth="1"/>
    <col min="36" max="36" width="9.44140625" style="62"/>
    <col min="37" max="37" width="12.44140625" style="62" customWidth="1"/>
    <col min="38" max="40" width="12.44140625" style="62"/>
    <col min="41" max="41" width="12.5546875" style="62"/>
    <col min="42" max="42" width="12.44140625" style="62"/>
    <col min="43" max="43" width="13" style="62"/>
    <col min="44" max="45" width="12.44140625" style="62"/>
    <col min="46" max="1024" width="11"/>
  </cols>
  <sheetData>
    <row r="1" spans="1:45" ht="19.5" customHeight="1" x14ac:dyDescent="0.35">
      <c r="A1" s="63"/>
      <c r="B1" s="63"/>
      <c r="C1" s="63"/>
      <c r="D1" s="64" t="s">
        <v>28</v>
      </c>
      <c r="E1" s="65"/>
      <c r="F1" s="65"/>
      <c r="G1" s="66" t="s">
        <v>29</v>
      </c>
      <c r="H1" s="66" t="s">
        <v>29</v>
      </c>
      <c r="I1" s="66" t="s">
        <v>29</v>
      </c>
      <c r="J1" s="63"/>
      <c r="K1" s="63"/>
      <c r="L1" s="66"/>
      <c r="M1" s="63"/>
      <c r="N1" s="66"/>
      <c r="O1" s="63"/>
      <c r="P1" s="66"/>
      <c r="Q1" s="66" t="s">
        <v>30</v>
      </c>
      <c r="R1" s="66" t="s">
        <v>681</v>
      </c>
      <c r="S1" s="66" t="s">
        <v>31</v>
      </c>
      <c r="T1" s="66" t="s">
        <v>31</v>
      </c>
      <c r="U1" s="66" t="s">
        <v>31</v>
      </c>
      <c r="V1" s="66" t="s">
        <v>31</v>
      </c>
      <c r="W1" s="66" t="s">
        <v>31</v>
      </c>
      <c r="X1" s="66" t="s">
        <v>31</v>
      </c>
      <c r="Y1" s="66" t="s">
        <v>31</v>
      </c>
      <c r="Z1" s="66" t="s">
        <v>31</v>
      </c>
      <c r="AA1" s="66" t="s">
        <v>31</v>
      </c>
      <c r="AB1" s="66" t="s">
        <v>31</v>
      </c>
      <c r="AC1" s="66" t="s">
        <v>32</v>
      </c>
      <c r="AD1" s="66" t="s">
        <v>33</v>
      </c>
      <c r="AE1" s="66" t="s">
        <v>33</v>
      </c>
      <c r="AF1" s="66" t="s">
        <v>33</v>
      </c>
      <c r="AG1" s="66" t="s">
        <v>33</v>
      </c>
      <c r="AH1" s="66" t="s">
        <v>33</v>
      </c>
      <c r="AI1" s="66" t="s">
        <v>33</v>
      </c>
      <c r="AJ1" s="66" t="s">
        <v>33</v>
      </c>
      <c r="AK1" s="66" t="s">
        <v>33</v>
      </c>
      <c r="AL1" s="66" t="s">
        <v>33</v>
      </c>
      <c r="AM1" s="66" t="s">
        <v>34</v>
      </c>
      <c r="AN1" s="66" t="s">
        <v>35</v>
      </c>
      <c r="AO1" s="66" t="s">
        <v>35</v>
      </c>
      <c r="AP1" s="66" t="s">
        <v>35</v>
      </c>
      <c r="AQ1" s="66" t="s">
        <v>35</v>
      </c>
      <c r="AR1" s="66" t="s">
        <v>36</v>
      </c>
      <c r="AS1" s="66" t="s">
        <v>37</v>
      </c>
    </row>
    <row r="2" spans="1:45" ht="13.8" thickBot="1" x14ac:dyDescent="0.3">
      <c r="A2" s="67" t="s">
        <v>38</v>
      </c>
      <c r="B2" s="67" t="s">
        <v>10</v>
      </c>
      <c r="C2" s="67" t="s">
        <v>39</v>
      </c>
      <c r="D2" s="68" t="s">
        <v>40</v>
      </c>
      <c r="E2" s="69" t="s">
        <v>41</v>
      </c>
      <c r="F2" s="69" t="s">
        <v>42</v>
      </c>
      <c r="G2" s="67" t="s">
        <v>43</v>
      </c>
      <c r="H2" s="67" t="s">
        <v>44</v>
      </c>
      <c r="I2" s="67" t="s">
        <v>45</v>
      </c>
      <c r="J2" s="67" t="s">
        <v>746</v>
      </c>
      <c r="K2" s="67" t="s">
        <v>47</v>
      </c>
      <c r="L2" s="67" t="s">
        <v>48</v>
      </c>
      <c r="M2" s="67" t="s">
        <v>49</v>
      </c>
      <c r="N2" s="67" t="s">
        <v>50</v>
      </c>
      <c r="O2" s="67" t="s">
        <v>51</v>
      </c>
      <c r="P2" s="67" t="s">
        <v>52</v>
      </c>
      <c r="Q2" s="67" t="s">
        <v>53</v>
      </c>
      <c r="R2" s="67" t="s">
        <v>55</v>
      </c>
      <c r="S2" s="66" t="s">
        <v>55</v>
      </c>
      <c r="T2" s="67" t="s">
        <v>57</v>
      </c>
      <c r="U2" s="67" t="s">
        <v>58</v>
      </c>
      <c r="V2" s="67" t="s">
        <v>622</v>
      </c>
      <c r="W2" s="67" t="s">
        <v>657</v>
      </c>
      <c r="X2" s="67" t="s">
        <v>658</v>
      </c>
      <c r="Y2" s="67" t="s">
        <v>676</v>
      </c>
      <c r="Z2" s="67" t="s">
        <v>678</v>
      </c>
      <c r="AA2" s="67" t="s">
        <v>60</v>
      </c>
      <c r="AB2" s="67" t="s">
        <v>61</v>
      </c>
      <c r="AC2" s="66" t="s">
        <v>62</v>
      </c>
      <c r="AD2" s="66" t="s">
        <v>661</v>
      </c>
      <c r="AE2" s="66" t="s">
        <v>55</v>
      </c>
      <c r="AF2" s="66" t="s">
        <v>57</v>
      </c>
      <c r="AG2" s="66" t="s">
        <v>58</v>
      </c>
      <c r="AH2" s="66" t="s">
        <v>622</v>
      </c>
      <c r="AI2" s="66" t="s">
        <v>657</v>
      </c>
      <c r="AJ2" s="66" t="s">
        <v>658</v>
      </c>
      <c r="AK2" s="66" t="s">
        <v>676</v>
      </c>
      <c r="AL2" s="66" t="s">
        <v>678</v>
      </c>
      <c r="AM2" s="67" t="s">
        <v>1</v>
      </c>
      <c r="AN2" s="67" t="s">
        <v>1</v>
      </c>
      <c r="AO2" s="67" t="s">
        <v>63</v>
      </c>
      <c r="AP2" s="67" t="s">
        <v>64</v>
      </c>
      <c r="AQ2" s="67" t="s">
        <v>65</v>
      </c>
      <c r="AR2" s="67"/>
      <c r="AS2" s="67"/>
    </row>
    <row r="3" spans="1:45" s="35" customFormat="1" ht="13.8" thickBot="1" x14ac:dyDescent="0.3">
      <c r="A3" s="70">
        <v>-3218.49</v>
      </c>
      <c r="B3" s="70"/>
      <c r="C3" s="70"/>
      <c r="D3" s="71" t="s">
        <v>66</v>
      </c>
      <c r="E3" s="71"/>
      <c r="F3" s="71"/>
      <c r="G3" s="70"/>
      <c r="H3" s="70"/>
      <c r="I3" s="70"/>
      <c r="J3" s="70"/>
      <c r="K3" s="70"/>
      <c r="L3" s="70"/>
      <c r="M3" s="70"/>
      <c r="N3" s="70"/>
      <c r="O3" s="70"/>
      <c r="P3" s="70"/>
      <c r="Q3" s="70"/>
      <c r="R3" s="70"/>
      <c r="S3" s="70"/>
      <c r="T3" s="70"/>
      <c r="U3" s="70"/>
      <c r="V3" s="70"/>
      <c r="W3" s="70"/>
      <c r="X3" s="70"/>
      <c r="Y3" s="70"/>
      <c r="Z3" s="70"/>
      <c r="AA3" s="70"/>
      <c r="AB3" s="70"/>
      <c r="AC3" s="70"/>
      <c r="AD3" s="70"/>
      <c r="AE3" s="70"/>
      <c r="AF3" s="70"/>
      <c r="AG3" s="70"/>
      <c r="AH3" s="70"/>
      <c r="AI3" s="70"/>
      <c r="AJ3" s="70"/>
      <c r="AK3" s="70"/>
      <c r="AL3" s="70"/>
      <c r="AM3" s="70"/>
      <c r="AN3" s="70"/>
      <c r="AO3" s="70"/>
      <c r="AP3" s="70"/>
      <c r="AQ3" s="70"/>
      <c r="AR3" s="70"/>
      <c r="AS3" s="70"/>
    </row>
    <row r="4" spans="1:45" x14ac:dyDescent="0.25">
      <c r="A4" s="72"/>
      <c r="B4" s="72"/>
      <c r="C4" s="72"/>
      <c r="D4" s="73"/>
      <c r="E4" s="73"/>
      <c r="F4" s="73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2"/>
      <c r="S4" s="72"/>
      <c r="T4" s="72"/>
      <c r="U4" s="72"/>
      <c r="V4" s="72"/>
      <c r="W4" s="72"/>
      <c r="X4" s="72"/>
      <c r="Y4" s="72"/>
      <c r="Z4" s="72"/>
      <c r="AA4" s="72"/>
      <c r="AB4" s="72"/>
      <c r="AC4" s="72"/>
      <c r="AD4" s="72"/>
      <c r="AE4" s="72"/>
      <c r="AF4" s="72"/>
      <c r="AG4" s="72"/>
      <c r="AH4" s="72"/>
      <c r="AI4" s="72"/>
      <c r="AJ4" s="72"/>
      <c r="AK4" s="72"/>
      <c r="AL4" s="72"/>
      <c r="AM4" s="72"/>
      <c r="AN4" s="72"/>
      <c r="AO4" s="72"/>
      <c r="AP4" s="72"/>
      <c r="AQ4" s="72"/>
      <c r="AR4" s="72"/>
      <c r="AS4" s="72"/>
    </row>
    <row r="5" spans="1:45" hidden="1" outlineLevel="1" x14ac:dyDescent="0.25">
      <c r="A5" s="74"/>
      <c r="B5" s="74"/>
      <c r="C5" s="74">
        <f t="shared" ref="C5:C33" si="0">SUM(G5:AT5)</f>
        <v>34.29</v>
      </c>
      <c r="D5" s="75">
        <v>1</v>
      </c>
      <c r="E5" s="75" t="s">
        <v>67</v>
      </c>
      <c r="F5" s="75" t="s">
        <v>710</v>
      </c>
      <c r="G5" s="74"/>
      <c r="H5" s="74"/>
      <c r="I5" s="74"/>
      <c r="J5" s="74"/>
      <c r="K5" s="74"/>
      <c r="L5" s="74"/>
      <c r="M5" s="74"/>
      <c r="N5" s="74"/>
      <c r="O5" s="74">
        <v>34.29</v>
      </c>
      <c r="P5" s="74"/>
      <c r="Q5" s="74"/>
      <c r="R5" s="74"/>
      <c r="S5" s="74"/>
      <c r="T5" s="74"/>
      <c r="U5" s="74"/>
      <c r="V5" s="74"/>
      <c r="W5" s="74"/>
      <c r="X5" s="74"/>
      <c r="Y5" s="74"/>
      <c r="Z5" s="74"/>
      <c r="AA5" s="74"/>
      <c r="AB5" s="74"/>
      <c r="AC5" s="74"/>
      <c r="AD5" s="74"/>
      <c r="AE5" s="74"/>
      <c r="AF5" s="74"/>
      <c r="AG5" s="74"/>
      <c r="AH5" s="74"/>
      <c r="AI5" s="74"/>
      <c r="AJ5" s="74"/>
      <c r="AK5" s="74"/>
      <c r="AL5" s="74"/>
      <c r="AM5" s="74"/>
      <c r="AN5" s="74"/>
      <c r="AO5" s="74"/>
      <c r="AP5" s="74"/>
      <c r="AQ5" s="74"/>
      <c r="AR5" s="74"/>
      <c r="AS5" s="74"/>
    </row>
    <row r="6" spans="1:45" hidden="1" outlineLevel="1" x14ac:dyDescent="0.25">
      <c r="A6" s="76"/>
      <c r="B6" s="76"/>
      <c r="C6" s="76">
        <f t="shared" si="0"/>
        <v>5</v>
      </c>
      <c r="D6" s="77">
        <v>1</v>
      </c>
      <c r="E6" s="77" t="s">
        <v>67</v>
      </c>
      <c r="F6" s="77" t="s">
        <v>709</v>
      </c>
      <c r="G6" s="76"/>
      <c r="H6" s="76"/>
      <c r="I6" s="76"/>
      <c r="J6" s="76"/>
      <c r="K6" s="76"/>
      <c r="L6" s="76"/>
      <c r="M6" s="76"/>
      <c r="N6" s="76"/>
      <c r="O6" s="76">
        <v>5</v>
      </c>
      <c r="P6" s="76"/>
      <c r="Q6" s="76"/>
      <c r="R6" s="76"/>
      <c r="S6" s="76"/>
      <c r="T6" s="76"/>
      <c r="U6" s="76"/>
      <c r="V6" s="76"/>
      <c r="W6" s="76"/>
      <c r="X6" s="76"/>
      <c r="Y6" s="76"/>
      <c r="Z6" s="76"/>
      <c r="AA6" s="76"/>
      <c r="AB6" s="76"/>
      <c r="AC6" s="76"/>
      <c r="AD6" s="76"/>
      <c r="AE6" s="76"/>
      <c r="AF6" s="76"/>
      <c r="AG6" s="76"/>
      <c r="AH6" s="76"/>
      <c r="AI6" s="76"/>
      <c r="AJ6" s="76"/>
      <c r="AK6" s="76"/>
      <c r="AL6" s="76"/>
      <c r="AM6" s="76"/>
      <c r="AN6" s="76"/>
      <c r="AO6" s="76"/>
      <c r="AP6" s="76"/>
      <c r="AQ6" s="76"/>
      <c r="AR6" s="76"/>
      <c r="AS6" s="76"/>
    </row>
    <row r="7" spans="1:45" hidden="1" outlineLevel="1" x14ac:dyDescent="0.25">
      <c r="A7" s="76"/>
      <c r="B7" s="76"/>
      <c r="C7" s="76">
        <f t="shared" si="0"/>
        <v>5.15</v>
      </c>
      <c r="D7" s="77">
        <v>1</v>
      </c>
      <c r="E7" s="77" t="s">
        <v>67</v>
      </c>
      <c r="F7" s="77" t="s">
        <v>708</v>
      </c>
      <c r="G7" s="76"/>
      <c r="H7" s="76"/>
      <c r="I7" s="76"/>
      <c r="J7" s="76"/>
      <c r="K7" s="76"/>
      <c r="L7" s="76"/>
      <c r="M7" s="76"/>
      <c r="N7" s="76"/>
      <c r="O7" s="76">
        <v>5.15</v>
      </c>
      <c r="P7" s="76"/>
      <c r="Q7" s="76"/>
      <c r="R7" s="76"/>
      <c r="S7" s="76"/>
      <c r="T7" s="76"/>
      <c r="U7" s="76"/>
      <c r="V7" s="76"/>
      <c r="W7" s="76"/>
      <c r="X7" s="76"/>
      <c r="Y7" s="76"/>
      <c r="Z7" s="76"/>
      <c r="AA7" s="76"/>
      <c r="AB7" s="76"/>
      <c r="AC7" s="76"/>
      <c r="AD7" s="76"/>
      <c r="AE7" s="76"/>
      <c r="AF7" s="76"/>
      <c r="AG7" s="76"/>
      <c r="AH7" s="76"/>
      <c r="AI7" s="76"/>
      <c r="AJ7" s="76"/>
      <c r="AK7" s="76"/>
      <c r="AL7" s="76"/>
      <c r="AM7" s="76"/>
      <c r="AN7" s="76"/>
      <c r="AO7" s="76"/>
      <c r="AP7" s="76"/>
      <c r="AQ7" s="76"/>
      <c r="AR7" s="76"/>
      <c r="AS7" s="76"/>
    </row>
    <row r="8" spans="1:45" hidden="1" outlineLevel="1" x14ac:dyDescent="0.25">
      <c r="A8" s="76"/>
      <c r="B8" s="76"/>
      <c r="C8" s="76">
        <f t="shared" si="0"/>
        <v>-150</v>
      </c>
      <c r="D8" s="77">
        <v>1</v>
      </c>
      <c r="E8" s="77" t="s">
        <v>68</v>
      </c>
      <c r="F8" s="77" t="s">
        <v>712</v>
      </c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>
        <v>-150</v>
      </c>
      <c r="T8" s="76"/>
      <c r="U8" s="76"/>
      <c r="V8" s="76"/>
      <c r="W8" s="76"/>
      <c r="X8" s="76"/>
      <c r="Y8" s="76"/>
      <c r="Z8" s="76"/>
      <c r="AA8" s="76"/>
      <c r="AB8" s="76"/>
      <c r="AC8" s="76"/>
      <c r="AD8" s="76"/>
      <c r="AE8" s="76"/>
      <c r="AF8" s="76"/>
      <c r="AG8" s="76"/>
      <c r="AH8" s="76"/>
      <c r="AI8" s="76"/>
      <c r="AJ8" s="76"/>
      <c r="AK8" s="76"/>
      <c r="AL8" s="76"/>
      <c r="AM8" s="76"/>
      <c r="AN8" s="76"/>
      <c r="AO8" s="76"/>
      <c r="AP8" s="76"/>
      <c r="AQ8" s="76"/>
      <c r="AR8" s="76"/>
      <c r="AS8" s="76"/>
    </row>
    <row r="9" spans="1:45" hidden="1" outlineLevel="1" x14ac:dyDescent="0.25">
      <c r="A9" s="76"/>
      <c r="B9" s="76"/>
      <c r="C9" s="76">
        <f t="shared" si="0"/>
        <v>1127.99</v>
      </c>
      <c r="D9" s="77">
        <v>1</v>
      </c>
      <c r="E9" s="77" t="s">
        <v>713</v>
      </c>
      <c r="F9" s="77" t="s">
        <v>714</v>
      </c>
      <c r="G9" s="76"/>
      <c r="H9" s="76">
        <v>102.54</v>
      </c>
      <c r="I9" s="76"/>
      <c r="J9" s="76"/>
      <c r="K9" s="76"/>
      <c r="L9" s="76"/>
      <c r="M9" s="76"/>
      <c r="N9" s="76"/>
      <c r="O9" s="76"/>
      <c r="P9" s="76">
        <v>1025.45</v>
      </c>
      <c r="Q9" s="76"/>
      <c r="R9" s="76"/>
      <c r="S9" s="76"/>
      <c r="T9" s="76"/>
      <c r="U9" s="76"/>
      <c r="V9" s="76"/>
      <c r="W9" s="76"/>
      <c r="X9" s="76"/>
      <c r="Y9" s="76"/>
      <c r="Z9" s="76"/>
      <c r="AA9" s="76"/>
      <c r="AB9" s="76"/>
      <c r="AC9" s="76"/>
      <c r="AD9" s="76"/>
      <c r="AE9" s="76"/>
      <c r="AF9" s="76"/>
      <c r="AG9" s="76"/>
      <c r="AH9" s="76"/>
      <c r="AI9" s="76"/>
      <c r="AJ9" s="76"/>
      <c r="AK9" s="76"/>
      <c r="AL9" s="76"/>
      <c r="AM9" s="76"/>
      <c r="AN9" s="76"/>
      <c r="AO9" s="76"/>
      <c r="AP9" s="76"/>
      <c r="AQ9" s="76"/>
      <c r="AR9" s="76"/>
      <c r="AS9" s="76"/>
    </row>
    <row r="10" spans="1:45" hidden="1" outlineLevel="1" x14ac:dyDescent="0.25">
      <c r="A10" s="76"/>
      <c r="B10" s="76"/>
      <c r="C10" s="76">
        <f t="shared" si="0"/>
        <v>1634</v>
      </c>
      <c r="D10" s="77">
        <v>3</v>
      </c>
      <c r="E10" s="77" t="s">
        <v>715</v>
      </c>
      <c r="F10" s="77" t="s">
        <v>716</v>
      </c>
      <c r="G10" s="76"/>
      <c r="H10" s="76"/>
      <c r="I10" s="76"/>
      <c r="J10" s="76"/>
      <c r="K10" s="76"/>
      <c r="L10" s="76"/>
      <c r="M10" s="76">
        <v>1100</v>
      </c>
      <c r="N10" s="76"/>
      <c r="O10" s="76"/>
      <c r="P10" s="76"/>
      <c r="Q10" s="76"/>
      <c r="R10" s="76"/>
      <c r="S10" s="76">
        <v>534</v>
      </c>
      <c r="T10" s="76"/>
      <c r="U10" s="76"/>
      <c r="V10" s="76"/>
      <c r="W10" s="76"/>
      <c r="X10" s="76"/>
      <c r="Y10" s="76"/>
      <c r="Z10" s="76"/>
      <c r="AA10" s="76"/>
      <c r="AB10" s="76"/>
      <c r="AC10" s="76"/>
      <c r="AD10" s="76"/>
      <c r="AE10" s="76"/>
      <c r="AF10" s="76"/>
      <c r="AG10" s="76"/>
      <c r="AH10" s="76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76"/>
    </row>
    <row r="11" spans="1:45" hidden="1" outlineLevel="1" x14ac:dyDescent="0.25">
      <c r="A11" s="76"/>
      <c r="B11" s="76"/>
      <c r="C11" s="76">
        <f t="shared" si="0"/>
        <v>40</v>
      </c>
      <c r="D11" s="77">
        <v>4</v>
      </c>
      <c r="E11" s="77" t="s">
        <v>68</v>
      </c>
      <c r="F11" s="77" t="s">
        <v>717</v>
      </c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76"/>
      <c r="S11" s="76">
        <v>40</v>
      </c>
      <c r="T11" s="76"/>
      <c r="U11" s="76"/>
      <c r="V11" s="76"/>
      <c r="W11" s="76"/>
      <c r="X11" s="76"/>
      <c r="Y11" s="76"/>
      <c r="Z11" s="76"/>
      <c r="AA11" s="76"/>
      <c r="AB11" s="76"/>
      <c r="AC11" s="76"/>
      <c r="AD11" s="76"/>
      <c r="AE11" s="76"/>
      <c r="AF11" s="76"/>
      <c r="AG11" s="76"/>
      <c r="AH11" s="76"/>
      <c r="AI11" s="76"/>
      <c r="AJ11" s="76"/>
      <c r="AK11" s="76"/>
      <c r="AL11" s="76"/>
      <c r="AM11" s="76"/>
      <c r="AN11" s="76"/>
      <c r="AO11" s="76"/>
      <c r="AP11" s="76"/>
      <c r="AQ11" s="76"/>
      <c r="AR11" s="76"/>
      <c r="AS11" s="76"/>
    </row>
    <row r="12" spans="1:45" hidden="1" outlineLevel="1" x14ac:dyDescent="0.25">
      <c r="A12" s="76"/>
      <c r="B12" s="76"/>
      <c r="C12" s="76">
        <f t="shared" si="0"/>
        <v>-300</v>
      </c>
      <c r="D12" s="77">
        <v>4</v>
      </c>
      <c r="E12" s="77" t="s">
        <v>718</v>
      </c>
      <c r="F12" s="77" t="s">
        <v>719</v>
      </c>
      <c r="G12" s="76"/>
      <c r="H12" s="76"/>
      <c r="I12" s="76"/>
      <c r="J12" s="76"/>
      <c r="K12" s="76"/>
      <c r="L12" s="76"/>
      <c r="M12" s="76"/>
      <c r="N12" s="76"/>
      <c r="O12" s="76"/>
      <c r="P12" s="76"/>
      <c r="Q12" s="76"/>
      <c r="R12" s="76"/>
      <c r="S12" s="76">
        <v>-300</v>
      </c>
      <c r="T12" s="76"/>
      <c r="U12" s="76"/>
      <c r="V12" s="76"/>
      <c r="W12" s="76"/>
      <c r="X12" s="76"/>
      <c r="Y12" s="76"/>
      <c r="Z12" s="76"/>
      <c r="AA12" s="76"/>
      <c r="AB12" s="76"/>
      <c r="AC12" s="76"/>
      <c r="AD12" s="76"/>
      <c r="AE12" s="76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6"/>
      <c r="AR12" s="76"/>
      <c r="AS12" s="76"/>
    </row>
    <row r="13" spans="1:45" hidden="1" outlineLevel="1" x14ac:dyDescent="0.25">
      <c r="A13" s="76"/>
      <c r="B13" s="76"/>
      <c r="C13" s="76">
        <f t="shared" si="0"/>
        <v>681.35</v>
      </c>
      <c r="D13" s="77">
        <v>4</v>
      </c>
      <c r="E13" s="77" t="s">
        <v>720</v>
      </c>
      <c r="F13" s="77" t="s">
        <v>721</v>
      </c>
      <c r="G13" s="76"/>
      <c r="H13" s="76"/>
      <c r="I13" s="76"/>
      <c r="J13" s="76"/>
      <c r="K13" s="76"/>
      <c r="L13" s="76"/>
      <c r="M13" s="76"/>
      <c r="N13" s="76"/>
      <c r="O13" s="76"/>
      <c r="P13" s="76"/>
      <c r="Q13" s="76"/>
      <c r="R13" s="76"/>
      <c r="S13" s="76">
        <v>681.35</v>
      </c>
      <c r="T13" s="76"/>
      <c r="U13" s="76"/>
      <c r="V13" s="76"/>
      <c r="W13" s="76"/>
      <c r="X13" s="76"/>
      <c r="Y13" s="76"/>
      <c r="Z13" s="76"/>
      <c r="AA13" s="76"/>
      <c r="AB13" s="76"/>
      <c r="AC13" s="76"/>
      <c r="AD13" s="76"/>
      <c r="AE13" s="76"/>
      <c r="AF13" s="76"/>
      <c r="AG13" s="76"/>
      <c r="AH13" s="76"/>
      <c r="AI13" s="76"/>
      <c r="AJ13" s="76"/>
      <c r="AK13" s="76"/>
      <c r="AL13" s="76"/>
      <c r="AM13" s="76"/>
      <c r="AN13" s="76"/>
      <c r="AO13" s="76"/>
      <c r="AP13" s="76"/>
      <c r="AQ13" s="76"/>
      <c r="AR13" s="76"/>
      <c r="AS13" s="76"/>
    </row>
    <row r="14" spans="1:45" hidden="1" outlineLevel="1" x14ac:dyDescent="0.25">
      <c r="A14" s="76"/>
      <c r="B14" s="76"/>
      <c r="C14" s="76">
        <f t="shared" si="0"/>
        <v>300</v>
      </c>
      <c r="D14" s="77">
        <v>5</v>
      </c>
      <c r="E14" s="77" t="s">
        <v>722</v>
      </c>
      <c r="F14" s="77" t="s">
        <v>719</v>
      </c>
      <c r="G14" s="76"/>
      <c r="H14" s="76"/>
      <c r="I14" s="76"/>
      <c r="J14" s="76"/>
      <c r="K14" s="76"/>
      <c r="L14" s="76"/>
      <c r="M14" s="76"/>
      <c r="N14" s="76"/>
      <c r="O14" s="76"/>
      <c r="P14" s="76"/>
      <c r="Q14" s="76"/>
      <c r="R14" s="76"/>
      <c r="S14" s="76">
        <v>300</v>
      </c>
      <c r="T14" s="76"/>
      <c r="U14" s="76"/>
      <c r="V14" s="76"/>
      <c r="W14" s="76"/>
      <c r="X14" s="76"/>
      <c r="Y14" s="76"/>
      <c r="Z14" s="76"/>
      <c r="AA14" s="76"/>
      <c r="AB14" s="76"/>
      <c r="AC14" s="76"/>
      <c r="AD14" s="76"/>
      <c r="AE14" s="76"/>
      <c r="AF14" s="76"/>
      <c r="AG14" s="76"/>
      <c r="AH14" s="76"/>
      <c r="AI14" s="76"/>
      <c r="AJ14" s="76"/>
      <c r="AK14" s="76"/>
      <c r="AL14" s="76"/>
      <c r="AM14" s="76"/>
      <c r="AN14" s="76"/>
      <c r="AO14" s="76"/>
      <c r="AP14" s="76"/>
      <c r="AQ14" s="76"/>
      <c r="AR14" s="76"/>
      <c r="AS14" s="76"/>
    </row>
    <row r="15" spans="1:45" hidden="1" outlineLevel="1" x14ac:dyDescent="0.25">
      <c r="A15" s="76"/>
      <c r="B15" s="76"/>
      <c r="C15" s="76">
        <f t="shared" si="0"/>
        <v>2348.06</v>
      </c>
      <c r="D15" s="77">
        <v>12</v>
      </c>
      <c r="E15" s="77" t="s">
        <v>738</v>
      </c>
      <c r="F15" s="77" t="s">
        <v>739</v>
      </c>
      <c r="G15" s="76"/>
      <c r="H15" s="76"/>
      <c r="I15" s="76"/>
      <c r="J15" s="76"/>
      <c r="K15" s="76"/>
      <c r="L15" s="76"/>
      <c r="M15" s="76"/>
      <c r="N15" s="76"/>
      <c r="O15" s="76"/>
      <c r="P15" s="76"/>
      <c r="Q15" s="76"/>
      <c r="R15" s="76"/>
      <c r="S15" s="76"/>
      <c r="T15" s="76"/>
      <c r="U15" s="76"/>
      <c r="V15" s="76"/>
      <c r="W15" s="76"/>
      <c r="X15" s="76"/>
      <c r="Y15" s="76">
        <v>2348.06</v>
      </c>
      <c r="Z15" s="76"/>
      <c r="AA15" s="76"/>
      <c r="AB15" s="76"/>
      <c r="AC15" s="76"/>
      <c r="AD15" s="76"/>
      <c r="AE15" s="76"/>
      <c r="AF15" s="76"/>
      <c r="AG15" s="76"/>
      <c r="AH15" s="76"/>
      <c r="AI15" s="76"/>
      <c r="AJ15" s="76"/>
      <c r="AK15" s="76"/>
      <c r="AL15" s="76"/>
      <c r="AM15" s="76"/>
      <c r="AN15" s="76"/>
      <c r="AO15" s="76"/>
      <c r="AP15" s="76"/>
      <c r="AQ15" s="76"/>
      <c r="AR15" s="76"/>
      <c r="AS15" s="76"/>
    </row>
    <row r="16" spans="1:45" hidden="1" outlineLevel="1" x14ac:dyDescent="0.25">
      <c r="A16" s="76"/>
      <c r="B16" s="76"/>
      <c r="C16" s="76">
        <f t="shared" si="0"/>
        <v>2348.06</v>
      </c>
      <c r="D16" s="77">
        <v>12</v>
      </c>
      <c r="E16" s="77" t="s">
        <v>740</v>
      </c>
      <c r="F16" s="77" t="s">
        <v>739</v>
      </c>
      <c r="G16" s="76"/>
      <c r="H16" s="76"/>
      <c r="I16" s="76"/>
      <c r="J16" s="76"/>
      <c r="K16" s="76"/>
      <c r="L16" s="76"/>
      <c r="M16" s="76"/>
      <c r="N16" s="76"/>
      <c r="O16" s="76"/>
      <c r="P16" s="76"/>
      <c r="Q16" s="76"/>
      <c r="R16" s="76"/>
      <c r="S16" s="76"/>
      <c r="T16" s="76"/>
      <c r="U16" s="76"/>
      <c r="V16" s="76"/>
      <c r="W16" s="76"/>
      <c r="X16" s="76"/>
      <c r="Y16" s="76"/>
      <c r="Z16" s="76">
        <v>2348.06</v>
      </c>
      <c r="AA16" s="76"/>
      <c r="AB16" s="76"/>
      <c r="AC16" s="76"/>
      <c r="AD16" s="76"/>
      <c r="AE16" s="76"/>
      <c r="AF16" s="76"/>
      <c r="AG16" s="76"/>
      <c r="AH16" s="76"/>
      <c r="AI16" s="76"/>
      <c r="AJ16" s="76"/>
      <c r="AK16" s="76"/>
      <c r="AL16" s="76"/>
      <c r="AM16" s="76"/>
      <c r="AN16" s="76"/>
      <c r="AO16" s="76"/>
      <c r="AP16" s="76"/>
      <c r="AQ16" s="76"/>
      <c r="AR16" s="76"/>
      <c r="AS16" s="76"/>
    </row>
    <row r="17" spans="1:45" hidden="1" outlineLevel="1" x14ac:dyDescent="0.25">
      <c r="A17" s="76"/>
      <c r="B17" s="76"/>
      <c r="C17" s="76">
        <f t="shared" si="0"/>
        <v>500</v>
      </c>
      <c r="D17" s="77">
        <v>12</v>
      </c>
      <c r="E17" s="77" t="s">
        <v>68</v>
      </c>
      <c r="F17" s="77" t="s">
        <v>717</v>
      </c>
      <c r="G17" s="76"/>
      <c r="H17" s="76"/>
      <c r="I17" s="76"/>
      <c r="J17" s="76"/>
      <c r="K17" s="76"/>
      <c r="L17" s="76"/>
      <c r="M17" s="76"/>
      <c r="N17" s="76"/>
      <c r="O17" s="76"/>
      <c r="P17" s="76"/>
      <c r="Q17" s="76"/>
      <c r="R17" s="76"/>
      <c r="S17" s="76">
        <v>500</v>
      </c>
      <c r="T17" s="76"/>
      <c r="U17" s="76"/>
      <c r="V17" s="76"/>
      <c r="W17" s="76"/>
      <c r="X17" s="76"/>
      <c r="Y17" s="76"/>
      <c r="Z17" s="76"/>
      <c r="AA17" s="76"/>
      <c r="AB17" s="76"/>
      <c r="AC17" s="76"/>
      <c r="AD17" s="76"/>
      <c r="AE17" s="76"/>
      <c r="AF17" s="76"/>
      <c r="AG17" s="76"/>
      <c r="AH17" s="76"/>
      <c r="AI17" s="76"/>
      <c r="AJ17" s="76"/>
      <c r="AK17" s="76"/>
      <c r="AL17" s="76"/>
      <c r="AM17" s="76"/>
      <c r="AN17" s="76"/>
      <c r="AO17" s="76"/>
      <c r="AP17" s="76"/>
      <c r="AQ17" s="76"/>
      <c r="AR17" s="76"/>
      <c r="AS17" s="76"/>
    </row>
    <row r="18" spans="1:45" hidden="1" outlineLevel="1" x14ac:dyDescent="0.25">
      <c r="A18" s="76"/>
      <c r="B18" s="76"/>
      <c r="C18" s="76">
        <f t="shared" si="0"/>
        <v>1991.38</v>
      </c>
      <c r="D18" s="77">
        <v>13</v>
      </c>
      <c r="E18" s="77" t="s">
        <v>751</v>
      </c>
      <c r="F18" s="77" t="s">
        <v>742</v>
      </c>
      <c r="G18" s="76"/>
      <c r="H18" s="76">
        <v>2.27</v>
      </c>
      <c r="I18" s="76"/>
      <c r="J18" s="76"/>
      <c r="K18" s="76"/>
      <c r="L18" s="76"/>
      <c r="M18" s="76"/>
      <c r="N18" s="76"/>
      <c r="O18" s="76"/>
      <c r="P18" s="76"/>
      <c r="Q18" s="76">
        <v>22.72</v>
      </c>
      <c r="R18" s="76"/>
      <c r="S18" s="76">
        <v>1966.39</v>
      </c>
      <c r="T18" s="76"/>
      <c r="U18" s="76"/>
      <c r="V18" s="76"/>
      <c r="W18" s="76"/>
      <c r="X18" s="76"/>
      <c r="Y18" s="76"/>
      <c r="Z18" s="76"/>
      <c r="AA18" s="76"/>
      <c r="AB18" s="76"/>
      <c r="AC18" s="76"/>
      <c r="AD18" s="76"/>
      <c r="AE18" s="76"/>
      <c r="AF18" s="76"/>
      <c r="AG18" s="76"/>
      <c r="AH18" s="76"/>
      <c r="AI18" s="76"/>
      <c r="AJ18" s="76"/>
      <c r="AK18" s="76"/>
      <c r="AL18" s="76"/>
      <c r="AM18" s="76"/>
      <c r="AN18" s="76"/>
      <c r="AO18" s="76"/>
      <c r="AP18" s="76"/>
      <c r="AQ18" s="76"/>
      <c r="AR18" s="76"/>
      <c r="AS18" s="76"/>
    </row>
    <row r="19" spans="1:45" hidden="1" outlineLevel="1" x14ac:dyDescent="0.25">
      <c r="A19" s="76"/>
      <c r="B19" s="76"/>
      <c r="C19" s="76">
        <f t="shared" si="0"/>
        <v>2560</v>
      </c>
      <c r="D19" s="77">
        <v>13</v>
      </c>
      <c r="E19" s="77" t="s">
        <v>754</v>
      </c>
      <c r="F19" s="77" t="s">
        <v>755</v>
      </c>
      <c r="G19" s="76"/>
      <c r="H19" s="76">
        <v>217.5</v>
      </c>
      <c r="I19" s="76"/>
      <c r="J19" s="76"/>
      <c r="K19" s="76"/>
      <c r="L19" s="76"/>
      <c r="M19" s="76">
        <v>150.02000000000001</v>
      </c>
      <c r="N19" s="76"/>
      <c r="O19" s="76">
        <v>167.48</v>
      </c>
      <c r="P19" s="76">
        <v>2025</v>
      </c>
      <c r="Q19" s="76"/>
      <c r="R19" s="76"/>
      <c r="S19" s="76"/>
      <c r="T19" s="76"/>
      <c r="U19" s="76"/>
      <c r="V19" s="76"/>
      <c r="W19" s="76"/>
      <c r="X19" s="76"/>
      <c r="Y19" s="76"/>
      <c r="Z19" s="76"/>
      <c r="AA19" s="76"/>
      <c r="AB19" s="76"/>
      <c r="AC19" s="76"/>
      <c r="AD19" s="76"/>
      <c r="AE19" s="76"/>
      <c r="AF19" s="76"/>
      <c r="AG19" s="76"/>
      <c r="AH19" s="76"/>
      <c r="AI19" s="76"/>
      <c r="AJ19" s="76"/>
      <c r="AK19" s="76"/>
      <c r="AL19" s="76"/>
      <c r="AM19" s="76"/>
      <c r="AN19" s="76"/>
      <c r="AO19" s="76"/>
      <c r="AP19" s="76"/>
      <c r="AQ19" s="76"/>
      <c r="AR19" s="76"/>
      <c r="AS19" s="76"/>
    </row>
    <row r="20" spans="1:45" hidden="1" outlineLevel="1" x14ac:dyDescent="0.25">
      <c r="A20" s="76"/>
      <c r="B20" s="76"/>
      <c r="C20" s="76">
        <f t="shared" si="0"/>
        <v>7179.2</v>
      </c>
      <c r="D20" s="77">
        <v>13</v>
      </c>
      <c r="E20" s="77" t="s">
        <v>756</v>
      </c>
      <c r="F20" s="77" t="s">
        <v>739</v>
      </c>
      <c r="G20" s="76"/>
      <c r="H20" s="76">
        <v>16.260000000000019</v>
      </c>
      <c r="I20" s="76"/>
      <c r="J20" s="76"/>
      <c r="K20" s="76"/>
      <c r="L20" s="76"/>
      <c r="M20" s="76"/>
      <c r="N20" s="76"/>
      <c r="O20" s="76"/>
      <c r="P20" s="76"/>
      <c r="Q20" s="76"/>
      <c r="R20" s="76"/>
      <c r="S20" s="76"/>
      <c r="T20" s="76"/>
      <c r="U20" s="76"/>
      <c r="V20" s="76">
        <v>7000.2999999999993</v>
      </c>
      <c r="W20" s="76"/>
      <c r="X20" s="76"/>
      <c r="Y20" s="76"/>
      <c r="Z20" s="76"/>
      <c r="AA20" s="76"/>
      <c r="AB20" s="76">
        <v>162.63999999999999</v>
      </c>
      <c r="AC20" s="76"/>
      <c r="AD20" s="76"/>
      <c r="AE20" s="76"/>
      <c r="AF20" s="76"/>
      <c r="AG20" s="76"/>
      <c r="AH20" s="76"/>
      <c r="AI20" s="76"/>
      <c r="AJ20" s="76"/>
      <c r="AK20" s="76"/>
      <c r="AL20" s="76"/>
      <c r="AM20" s="76"/>
      <c r="AN20" s="76"/>
      <c r="AO20" s="76"/>
      <c r="AP20" s="76"/>
      <c r="AQ20" s="76"/>
      <c r="AR20" s="76"/>
      <c r="AS20" s="76"/>
    </row>
    <row r="21" spans="1:45" hidden="1" outlineLevel="1" x14ac:dyDescent="0.25">
      <c r="A21" s="76"/>
      <c r="B21" s="76"/>
      <c r="C21" s="76">
        <f t="shared" si="0"/>
        <v>7141.1900000000005</v>
      </c>
      <c r="D21" s="77">
        <v>13</v>
      </c>
      <c r="E21" s="77" t="s">
        <v>757</v>
      </c>
      <c r="F21" s="77" t="s">
        <v>739</v>
      </c>
      <c r="G21" s="76"/>
      <c r="H21" s="76">
        <v>21.53</v>
      </c>
      <c r="I21" s="76"/>
      <c r="J21" s="76"/>
      <c r="K21" s="76"/>
      <c r="L21" s="76"/>
      <c r="M21" s="76"/>
      <c r="N21" s="76"/>
      <c r="O21" s="76"/>
      <c r="P21" s="76"/>
      <c r="Q21" s="76"/>
      <c r="R21" s="76"/>
      <c r="S21" s="76"/>
      <c r="T21" s="76"/>
      <c r="U21" s="76"/>
      <c r="V21" s="76"/>
      <c r="W21" s="76">
        <v>6904.39</v>
      </c>
      <c r="X21" s="76"/>
      <c r="Y21" s="76"/>
      <c r="Z21" s="76"/>
      <c r="AA21" s="76"/>
      <c r="AB21" s="76">
        <v>215.27</v>
      </c>
      <c r="AC21" s="76"/>
      <c r="AD21" s="76"/>
      <c r="AE21" s="76"/>
      <c r="AF21" s="76"/>
      <c r="AG21" s="76"/>
      <c r="AH21" s="76"/>
      <c r="AI21" s="76"/>
      <c r="AJ21" s="76"/>
      <c r="AK21" s="76"/>
      <c r="AL21" s="76"/>
      <c r="AM21" s="76"/>
      <c r="AN21" s="76"/>
      <c r="AO21" s="76"/>
      <c r="AP21" s="76"/>
      <c r="AQ21" s="76"/>
      <c r="AR21" s="76"/>
      <c r="AS21" s="76"/>
    </row>
    <row r="22" spans="1:45" hidden="1" outlineLevel="1" x14ac:dyDescent="0.25">
      <c r="A22" s="76"/>
      <c r="B22" s="76"/>
      <c r="C22" s="76">
        <f t="shared" si="0"/>
        <v>4626.0199999999995</v>
      </c>
      <c r="D22" s="77">
        <v>13</v>
      </c>
      <c r="E22" s="77" t="s">
        <v>758</v>
      </c>
      <c r="F22" s="77" t="s">
        <v>739</v>
      </c>
      <c r="G22" s="76"/>
      <c r="H22" s="76">
        <v>5.18</v>
      </c>
      <c r="I22" s="76"/>
      <c r="J22" s="76"/>
      <c r="K22" s="76"/>
      <c r="L22" s="76"/>
      <c r="M22" s="76"/>
      <c r="N22" s="76"/>
      <c r="O22" s="76"/>
      <c r="P22" s="76"/>
      <c r="Q22" s="76"/>
      <c r="R22" s="76"/>
      <c r="S22" s="76"/>
      <c r="T22" s="76"/>
      <c r="U22" s="76"/>
      <c r="V22" s="76"/>
      <c r="W22" s="76"/>
      <c r="X22" s="76">
        <v>4569.0199999999995</v>
      </c>
      <c r="Y22" s="76"/>
      <c r="Z22" s="76"/>
      <c r="AA22" s="76"/>
      <c r="AB22" s="76">
        <v>51.82</v>
      </c>
      <c r="AC22" s="76"/>
      <c r="AD22" s="76"/>
      <c r="AE22" s="76"/>
      <c r="AF22" s="76"/>
      <c r="AG22" s="76"/>
      <c r="AH22" s="76"/>
      <c r="AI22" s="76"/>
      <c r="AJ22" s="76"/>
      <c r="AK22" s="76"/>
      <c r="AL22" s="76"/>
      <c r="AM22" s="76"/>
      <c r="AN22" s="76"/>
      <c r="AO22" s="76"/>
      <c r="AP22" s="76"/>
      <c r="AQ22" s="76"/>
      <c r="AR22" s="76"/>
      <c r="AS22" s="76"/>
    </row>
    <row r="23" spans="1:45" hidden="1" outlineLevel="1" x14ac:dyDescent="0.25">
      <c r="A23" s="76"/>
      <c r="B23" s="76"/>
      <c r="C23" s="76">
        <f t="shared" si="0"/>
        <v>8176.4599999999991</v>
      </c>
      <c r="D23" s="77">
        <v>13</v>
      </c>
      <c r="E23" s="77" t="s">
        <v>759</v>
      </c>
      <c r="F23" s="77" t="s">
        <v>739</v>
      </c>
      <c r="G23" s="76"/>
      <c r="H23" s="76">
        <v>272.17999999999984</v>
      </c>
      <c r="I23" s="76"/>
      <c r="J23" s="76"/>
      <c r="K23" s="76"/>
      <c r="L23" s="76"/>
      <c r="M23" s="76"/>
      <c r="N23" s="76"/>
      <c r="O23" s="76"/>
      <c r="P23" s="76"/>
      <c r="Q23" s="76"/>
      <c r="R23" s="76"/>
      <c r="S23" s="76"/>
      <c r="T23" s="76">
        <v>5182.46</v>
      </c>
      <c r="U23" s="76"/>
      <c r="V23" s="76"/>
      <c r="W23" s="76"/>
      <c r="X23" s="76"/>
      <c r="Y23" s="76"/>
      <c r="Z23" s="76"/>
      <c r="AA23" s="76"/>
      <c r="AB23" s="76">
        <v>2721.82</v>
      </c>
      <c r="AC23" s="76"/>
      <c r="AD23" s="76"/>
      <c r="AE23" s="76"/>
      <c r="AF23" s="76"/>
      <c r="AG23" s="76"/>
      <c r="AH23" s="76"/>
      <c r="AI23" s="76"/>
      <c r="AJ23" s="76"/>
      <c r="AK23" s="76"/>
      <c r="AL23" s="76"/>
      <c r="AM23" s="76"/>
      <c r="AN23" s="76"/>
      <c r="AO23" s="76"/>
      <c r="AP23" s="76"/>
      <c r="AQ23" s="76"/>
      <c r="AR23" s="76"/>
      <c r="AS23" s="76"/>
    </row>
    <row r="24" spans="1:45" hidden="1" outlineLevel="1" x14ac:dyDescent="0.25">
      <c r="A24" s="76"/>
      <c r="B24" s="76"/>
      <c r="C24" s="76">
        <f t="shared" si="0"/>
        <v>7237.1</v>
      </c>
      <c r="D24" s="77">
        <v>13</v>
      </c>
      <c r="E24" s="77" t="s">
        <v>760</v>
      </c>
      <c r="F24" s="77" t="s">
        <v>739</v>
      </c>
      <c r="G24" s="76"/>
      <c r="H24" s="76">
        <v>95.360000000000014</v>
      </c>
      <c r="I24" s="76"/>
      <c r="J24" s="76"/>
      <c r="K24" s="76"/>
      <c r="L24" s="76"/>
      <c r="M24" s="76"/>
      <c r="N24" s="76"/>
      <c r="O24" s="76"/>
      <c r="P24" s="76"/>
      <c r="Q24" s="76"/>
      <c r="R24" s="76"/>
      <c r="S24" s="76"/>
      <c r="T24" s="76"/>
      <c r="U24" s="76">
        <v>6188.1</v>
      </c>
      <c r="V24" s="76"/>
      <c r="W24" s="76"/>
      <c r="X24" s="76"/>
      <c r="Y24" s="76"/>
      <c r="Z24" s="76"/>
      <c r="AA24" s="76"/>
      <c r="AB24" s="76">
        <v>953.64</v>
      </c>
      <c r="AC24" s="76"/>
      <c r="AD24" s="76"/>
      <c r="AE24" s="76"/>
      <c r="AF24" s="76"/>
      <c r="AG24" s="76"/>
      <c r="AH24" s="76"/>
      <c r="AI24" s="76"/>
      <c r="AJ24" s="76"/>
      <c r="AK24" s="76"/>
      <c r="AL24" s="76"/>
      <c r="AM24" s="76"/>
      <c r="AN24" s="76"/>
      <c r="AO24" s="76"/>
      <c r="AP24" s="76"/>
      <c r="AQ24" s="76"/>
      <c r="AR24" s="76"/>
      <c r="AS24" s="76"/>
    </row>
    <row r="25" spans="1:45" hidden="1" outlineLevel="1" x14ac:dyDescent="0.25">
      <c r="A25" s="76"/>
      <c r="B25" s="76"/>
      <c r="C25" s="76">
        <f t="shared" si="0"/>
        <v>3045.3100000000004</v>
      </c>
      <c r="D25" s="77">
        <v>16</v>
      </c>
      <c r="E25" s="77" t="s">
        <v>741</v>
      </c>
      <c r="F25" s="77" t="s">
        <v>742</v>
      </c>
      <c r="G25" s="76"/>
      <c r="H25" s="76">
        <v>15.91</v>
      </c>
      <c r="I25" s="76"/>
      <c r="J25" s="76">
        <v>4.55</v>
      </c>
      <c r="K25" s="76"/>
      <c r="L25" s="76"/>
      <c r="M25" s="76"/>
      <c r="N25" s="76"/>
      <c r="O25" s="76"/>
      <c r="P25" s="76"/>
      <c r="Q25" s="76"/>
      <c r="R25" s="76"/>
      <c r="S25" s="76">
        <v>2870.34</v>
      </c>
      <c r="T25" s="76"/>
      <c r="U25" s="76"/>
      <c r="V25" s="76"/>
      <c r="W25" s="76"/>
      <c r="X25" s="76"/>
      <c r="Y25" s="76"/>
      <c r="Z25" s="76"/>
      <c r="AA25" s="76"/>
      <c r="AB25" s="76"/>
      <c r="AC25" s="76"/>
      <c r="AD25" s="76"/>
      <c r="AE25" s="76"/>
      <c r="AF25" s="76"/>
      <c r="AG25" s="76"/>
      <c r="AH25" s="76"/>
      <c r="AI25" s="76"/>
      <c r="AJ25" s="76"/>
      <c r="AK25" s="76"/>
      <c r="AL25" s="76"/>
      <c r="AM25" s="76"/>
      <c r="AN25" s="76"/>
      <c r="AO25" s="76"/>
      <c r="AP25" s="76"/>
      <c r="AQ25" s="76"/>
      <c r="AR25" s="76"/>
      <c r="AS25" s="76">
        <v>154.51</v>
      </c>
    </row>
    <row r="26" spans="1:45" hidden="1" outlineLevel="1" x14ac:dyDescent="0.25">
      <c r="A26" s="76"/>
      <c r="B26" s="76"/>
      <c r="C26" s="76">
        <f t="shared" ref="C26:C28" si="1">SUM(G26:AT26)</f>
        <v>1634</v>
      </c>
      <c r="D26" s="77">
        <v>17</v>
      </c>
      <c r="E26" s="77" t="s">
        <v>715</v>
      </c>
      <c r="F26" s="77" t="s">
        <v>716</v>
      </c>
      <c r="G26" s="76"/>
      <c r="H26" s="76"/>
      <c r="I26" s="76"/>
      <c r="J26" s="76"/>
      <c r="K26" s="76"/>
      <c r="L26" s="76"/>
      <c r="M26" s="76">
        <v>1100</v>
      </c>
      <c r="N26" s="76"/>
      <c r="O26" s="76"/>
      <c r="P26" s="76"/>
      <c r="Q26" s="76"/>
      <c r="R26" s="76"/>
      <c r="S26" s="76">
        <v>534</v>
      </c>
      <c r="T26" s="76"/>
      <c r="U26" s="76"/>
      <c r="V26" s="76"/>
      <c r="W26" s="76"/>
      <c r="X26" s="76"/>
      <c r="Y26" s="76"/>
      <c r="Z26" s="76"/>
      <c r="AA26" s="76"/>
      <c r="AB26" s="76"/>
      <c r="AC26" s="76"/>
      <c r="AD26" s="76"/>
      <c r="AE26" s="76"/>
      <c r="AF26" s="76"/>
      <c r="AG26" s="76"/>
      <c r="AH26" s="76"/>
      <c r="AI26" s="76"/>
      <c r="AJ26" s="76"/>
      <c r="AK26" s="76"/>
      <c r="AL26" s="76"/>
      <c r="AM26" s="76"/>
      <c r="AN26" s="76"/>
      <c r="AO26" s="76"/>
      <c r="AP26" s="76"/>
      <c r="AQ26" s="76"/>
      <c r="AR26" s="76"/>
      <c r="AS26" s="76"/>
    </row>
    <row r="27" spans="1:45" hidden="1" outlineLevel="1" x14ac:dyDescent="0.25">
      <c r="A27" s="76"/>
      <c r="B27" s="76"/>
      <c r="C27" s="76">
        <f t="shared" si="1"/>
        <v>341.35</v>
      </c>
      <c r="D27" s="77">
        <v>18</v>
      </c>
      <c r="E27" s="77" t="s">
        <v>720</v>
      </c>
      <c r="F27" s="77" t="s">
        <v>721</v>
      </c>
      <c r="G27" s="76"/>
      <c r="H27" s="76"/>
      <c r="I27" s="76"/>
      <c r="J27" s="76"/>
      <c r="K27" s="76"/>
      <c r="L27" s="76"/>
      <c r="M27" s="76"/>
      <c r="N27" s="76"/>
      <c r="O27" s="76"/>
      <c r="P27" s="76"/>
      <c r="Q27" s="76"/>
      <c r="R27" s="76"/>
      <c r="S27" s="76">
        <v>341.35</v>
      </c>
      <c r="T27" s="76"/>
      <c r="U27" s="76"/>
      <c r="V27" s="76"/>
      <c r="W27" s="76"/>
      <c r="X27" s="76"/>
      <c r="Y27" s="76"/>
      <c r="Z27" s="76"/>
      <c r="AA27" s="76"/>
      <c r="AB27" s="76"/>
      <c r="AC27" s="76"/>
      <c r="AD27" s="76"/>
      <c r="AE27" s="76"/>
      <c r="AF27" s="76"/>
      <c r="AG27" s="76"/>
      <c r="AH27" s="76"/>
      <c r="AI27" s="76"/>
      <c r="AJ27" s="76"/>
      <c r="AK27" s="76"/>
      <c r="AL27" s="76"/>
      <c r="AM27" s="76"/>
      <c r="AN27" s="76"/>
      <c r="AO27" s="76"/>
      <c r="AP27" s="76"/>
      <c r="AQ27" s="76"/>
      <c r="AR27" s="76"/>
      <c r="AS27" s="76"/>
    </row>
    <row r="28" spans="1:45" hidden="1" outlineLevel="1" x14ac:dyDescent="0.25">
      <c r="A28" s="76"/>
      <c r="B28" s="76"/>
      <c r="C28" s="76">
        <f t="shared" si="1"/>
        <v>59.99</v>
      </c>
      <c r="D28" s="77">
        <v>22</v>
      </c>
      <c r="E28" s="77" t="s">
        <v>773</v>
      </c>
      <c r="F28" s="77" t="s">
        <v>774</v>
      </c>
      <c r="G28" s="76"/>
      <c r="H28" s="76">
        <v>5.45</v>
      </c>
      <c r="I28" s="76"/>
      <c r="J28" s="76"/>
      <c r="K28" s="76"/>
      <c r="L28" s="76"/>
      <c r="M28" s="76"/>
      <c r="N28" s="76"/>
      <c r="O28" s="76"/>
      <c r="P28" s="76"/>
      <c r="Q28" s="76">
        <v>54.54</v>
      </c>
      <c r="R28" s="76"/>
      <c r="S28" s="76"/>
      <c r="T28" s="76"/>
      <c r="U28" s="76"/>
      <c r="V28" s="76"/>
      <c r="W28" s="76"/>
      <c r="X28" s="76"/>
      <c r="Y28" s="76"/>
      <c r="Z28" s="76"/>
      <c r="AA28" s="76"/>
      <c r="AB28" s="76"/>
      <c r="AC28" s="76"/>
      <c r="AD28" s="76"/>
      <c r="AE28" s="76"/>
      <c r="AF28" s="76"/>
      <c r="AG28" s="76"/>
      <c r="AH28" s="76"/>
      <c r="AI28" s="76"/>
      <c r="AJ28" s="76"/>
      <c r="AK28" s="76"/>
      <c r="AL28" s="76"/>
      <c r="AM28" s="76"/>
      <c r="AN28" s="76"/>
      <c r="AO28" s="76"/>
      <c r="AP28" s="76"/>
      <c r="AQ28" s="76"/>
      <c r="AR28" s="76"/>
      <c r="AS28" s="76"/>
    </row>
    <row r="29" spans="1:45" hidden="1" outlineLevel="1" x14ac:dyDescent="0.25">
      <c r="A29" s="76"/>
      <c r="B29" s="76"/>
      <c r="C29" s="76">
        <f t="shared" ref="C29:C32" si="2">SUM(G29:AT29)</f>
        <v>3544.59</v>
      </c>
      <c r="D29" s="77">
        <v>26</v>
      </c>
      <c r="E29" s="77" t="s">
        <v>738</v>
      </c>
      <c r="F29" s="77" t="s">
        <v>739</v>
      </c>
      <c r="G29" s="76"/>
      <c r="H29" s="76"/>
      <c r="I29" s="76"/>
      <c r="J29" s="76"/>
      <c r="K29" s="76"/>
      <c r="L29" s="76"/>
      <c r="M29" s="76"/>
      <c r="N29" s="76"/>
      <c r="O29" s="76"/>
      <c r="P29" s="76"/>
      <c r="Q29" s="76"/>
      <c r="R29" s="76"/>
      <c r="S29" s="76"/>
      <c r="T29" s="76"/>
      <c r="U29" s="76"/>
      <c r="V29" s="76"/>
      <c r="W29" s="76"/>
      <c r="X29" s="76"/>
      <c r="Y29" s="76">
        <v>3544.59</v>
      </c>
      <c r="Z29" s="76"/>
      <c r="AA29" s="76"/>
      <c r="AB29" s="76"/>
      <c r="AC29" s="76"/>
      <c r="AD29" s="76"/>
      <c r="AE29" s="76"/>
      <c r="AF29" s="76"/>
      <c r="AG29" s="76"/>
      <c r="AH29" s="76"/>
      <c r="AI29" s="76"/>
      <c r="AJ29" s="76"/>
      <c r="AK29" s="76"/>
      <c r="AL29" s="76"/>
      <c r="AM29" s="76"/>
      <c r="AN29" s="76"/>
      <c r="AO29" s="76"/>
      <c r="AP29" s="76"/>
      <c r="AQ29" s="76"/>
      <c r="AR29" s="76"/>
      <c r="AS29" s="76"/>
    </row>
    <row r="30" spans="1:45" hidden="1" outlineLevel="1" x14ac:dyDescent="0.25">
      <c r="A30" s="76"/>
      <c r="B30" s="76"/>
      <c r="C30" s="76">
        <f t="shared" si="2"/>
        <v>3544.59</v>
      </c>
      <c r="D30" s="77">
        <v>26</v>
      </c>
      <c r="E30" s="77" t="s">
        <v>740</v>
      </c>
      <c r="F30" s="77" t="s">
        <v>739</v>
      </c>
      <c r="G30" s="76"/>
      <c r="H30" s="76"/>
      <c r="I30" s="76"/>
      <c r="J30" s="76"/>
      <c r="K30" s="76"/>
      <c r="L30" s="76"/>
      <c r="M30" s="76"/>
      <c r="N30" s="76"/>
      <c r="O30" s="76"/>
      <c r="P30" s="76"/>
      <c r="Q30" s="76"/>
      <c r="R30" s="76"/>
      <c r="S30" s="76"/>
      <c r="T30" s="76"/>
      <c r="U30" s="76"/>
      <c r="V30" s="76"/>
      <c r="W30" s="76"/>
      <c r="X30" s="76"/>
      <c r="Y30" s="76"/>
      <c r="Z30" s="76">
        <v>3544.59</v>
      </c>
      <c r="AA30" s="76"/>
      <c r="AB30" s="76"/>
      <c r="AC30" s="76"/>
      <c r="AD30" s="76"/>
      <c r="AE30" s="76"/>
      <c r="AF30" s="76"/>
      <c r="AG30" s="76"/>
      <c r="AH30" s="76"/>
      <c r="AI30" s="76"/>
      <c r="AJ30" s="76"/>
      <c r="AK30" s="76"/>
      <c r="AL30" s="76"/>
      <c r="AM30" s="76"/>
      <c r="AN30" s="76"/>
      <c r="AO30" s="76"/>
      <c r="AP30" s="76"/>
      <c r="AQ30" s="76"/>
      <c r="AR30" s="76"/>
      <c r="AS30" s="76"/>
    </row>
    <row r="31" spans="1:45" hidden="1" outlineLevel="1" x14ac:dyDescent="0.25">
      <c r="A31" s="76"/>
      <c r="B31" s="76"/>
      <c r="C31" s="76">
        <f t="shared" si="2"/>
        <v>1846</v>
      </c>
      <c r="D31" s="77">
        <v>27</v>
      </c>
      <c r="E31" s="77" t="s">
        <v>789</v>
      </c>
      <c r="F31" s="77" t="s">
        <v>792</v>
      </c>
      <c r="G31" s="76"/>
      <c r="H31" s="76"/>
      <c r="I31" s="76"/>
      <c r="J31" s="76"/>
      <c r="K31" s="76"/>
      <c r="L31" s="76"/>
      <c r="M31" s="76"/>
      <c r="N31" s="76"/>
      <c r="O31" s="76"/>
      <c r="P31" s="76"/>
      <c r="Q31" s="76"/>
      <c r="R31" s="76"/>
      <c r="S31" s="76"/>
      <c r="T31" s="76"/>
      <c r="U31" s="76"/>
      <c r="V31" s="76"/>
      <c r="W31" s="76"/>
      <c r="X31" s="76"/>
      <c r="Y31" s="76"/>
      <c r="Z31" s="76"/>
      <c r="AA31" s="76"/>
      <c r="AB31" s="76"/>
      <c r="AC31" s="76"/>
      <c r="AD31" s="76">
        <v>1846</v>
      </c>
      <c r="AE31" s="76"/>
      <c r="AF31" s="76"/>
      <c r="AG31" s="76"/>
      <c r="AH31" s="76"/>
      <c r="AI31" s="76"/>
      <c r="AJ31" s="76"/>
      <c r="AK31" s="76"/>
      <c r="AL31" s="76"/>
      <c r="AM31" s="76"/>
      <c r="AN31" s="76"/>
      <c r="AO31" s="76"/>
      <c r="AP31" s="76"/>
      <c r="AQ31" s="76"/>
      <c r="AR31" s="76"/>
      <c r="AS31" s="76"/>
    </row>
    <row r="32" spans="1:45" hidden="1" outlineLevel="1" x14ac:dyDescent="0.25">
      <c r="A32" s="76"/>
      <c r="B32" s="76"/>
      <c r="C32" s="76">
        <f t="shared" si="2"/>
        <v>1127.99</v>
      </c>
      <c r="D32" s="77">
        <v>29</v>
      </c>
      <c r="E32" s="77" t="s">
        <v>713</v>
      </c>
      <c r="F32" s="77" t="s">
        <v>714</v>
      </c>
      <c r="G32" s="76"/>
      <c r="H32" s="76">
        <v>102.54</v>
      </c>
      <c r="I32" s="76"/>
      <c r="J32" s="76"/>
      <c r="K32" s="76"/>
      <c r="L32" s="76"/>
      <c r="M32" s="76"/>
      <c r="N32" s="76"/>
      <c r="O32" s="76"/>
      <c r="P32" s="76">
        <v>1025.45</v>
      </c>
      <c r="Q32" s="76"/>
      <c r="R32" s="76"/>
      <c r="S32" s="76"/>
      <c r="T32" s="76"/>
      <c r="U32" s="76"/>
      <c r="V32" s="76"/>
      <c r="W32" s="76"/>
      <c r="X32" s="76"/>
      <c r="Y32" s="76"/>
      <c r="Z32" s="76"/>
      <c r="AA32" s="76"/>
      <c r="AB32" s="76"/>
      <c r="AC32" s="76"/>
      <c r="AD32" s="76"/>
      <c r="AE32" s="76"/>
      <c r="AF32" s="76"/>
      <c r="AG32" s="76"/>
      <c r="AH32" s="76"/>
      <c r="AI32" s="76"/>
      <c r="AJ32" s="76"/>
      <c r="AK32" s="76"/>
      <c r="AL32" s="76"/>
      <c r="AM32" s="76"/>
      <c r="AN32" s="76"/>
      <c r="AO32" s="76"/>
      <c r="AP32" s="76"/>
      <c r="AQ32" s="76"/>
      <c r="AR32" s="76"/>
      <c r="AS32" s="76"/>
    </row>
    <row r="33" spans="1:45" hidden="1" outlineLevel="1" x14ac:dyDescent="0.25">
      <c r="A33" s="78"/>
      <c r="B33" s="78"/>
      <c r="C33" s="78">
        <f t="shared" si="0"/>
        <v>1634</v>
      </c>
      <c r="D33" s="79">
        <v>31</v>
      </c>
      <c r="E33" s="79" t="s">
        <v>715</v>
      </c>
      <c r="F33" s="79" t="s">
        <v>716</v>
      </c>
      <c r="G33" s="78"/>
      <c r="H33" s="78"/>
      <c r="I33" s="78"/>
      <c r="J33" s="78"/>
      <c r="K33" s="78"/>
      <c r="L33" s="78"/>
      <c r="M33" s="78">
        <v>1100</v>
      </c>
      <c r="N33" s="78"/>
      <c r="O33" s="78"/>
      <c r="P33" s="78"/>
      <c r="Q33" s="78"/>
      <c r="R33" s="78"/>
      <c r="S33" s="78">
        <v>534</v>
      </c>
      <c r="T33" s="78"/>
      <c r="U33" s="78"/>
      <c r="V33" s="78"/>
      <c r="W33" s="78"/>
      <c r="X33" s="78"/>
      <c r="Y33" s="78"/>
      <c r="Z33" s="78"/>
      <c r="AA33" s="78"/>
      <c r="AB33" s="78"/>
      <c r="AC33" s="78"/>
      <c r="AD33" s="78"/>
      <c r="AE33" s="78"/>
      <c r="AF33" s="78"/>
      <c r="AG33" s="78"/>
      <c r="AH33" s="78"/>
      <c r="AI33" s="78"/>
      <c r="AJ33" s="78"/>
      <c r="AK33" s="78"/>
      <c r="AL33" s="78"/>
      <c r="AM33" s="78"/>
      <c r="AN33" s="78"/>
      <c r="AO33" s="78"/>
      <c r="AP33" s="78"/>
      <c r="AQ33" s="78"/>
      <c r="AR33" s="78"/>
      <c r="AS33" s="78"/>
    </row>
    <row r="34" spans="1:45" s="35" customFormat="1" collapsed="1" x14ac:dyDescent="0.25">
      <c r="A34" s="72">
        <f>A3-B34-C34</f>
        <v>42427.260000000017</v>
      </c>
      <c r="B34" s="72">
        <f>-rcpJul</f>
        <v>-109908.82</v>
      </c>
      <c r="C34" s="72">
        <f>SUBTOTAL(9,C5:C33)</f>
        <v>64263.069999999985</v>
      </c>
      <c r="D34" s="73"/>
      <c r="E34" s="73" t="s">
        <v>71</v>
      </c>
      <c r="F34" s="73"/>
      <c r="G34" s="72">
        <f t="shared" ref="G34:AS34" si="3">SUBTOTAL(9,G5:G33)</f>
        <v>0</v>
      </c>
      <c r="H34" s="72">
        <f t="shared" si="3"/>
        <v>856.7199999999998</v>
      </c>
      <c r="I34" s="72">
        <f t="shared" si="3"/>
        <v>0</v>
      </c>
      <c r="J34" s="72">
        <f t="shared" si="3"/>
        <v>4.55</v>
      </c>
      <c r="K34" s="72">
        <f t="shared" si="3"/>
        <v>0</v>
      </c>
      <c r="L34" s="72">
        <f t="shared" si="3"/>
        <v>0</v>
      </c>
      <c r="M34" s="72">
        <f t="shared" si="3"/>
        <v>3450.02</v>
      </c>
      <c r="N34" s="72">
        <f t="shared" si="3"/>
        <v>0</v>
      </c>
      <c r="O34" s="72">
        <f t="shared" si="3"/>
        <v>211.92</v>
      </c>
      <c r="P34" s="72">
        <f t="shared" si="3"/>
        <v>4075.8999999999996</v>
      </c>
      <c r="Q34" s="72">
        <f t="shared" si="3"/>
        <v>77.259999999999991</v>
      </c>
      <c r="R34" s="72">
        <f t="shared" si="3"/>
        <v>0</v>
      </c>
      <c r="S34" s="72">
        <f t="shared" si="3"/>
        <v>7851.43</v>
      </c>
      <c r="T34" s="72">
        <f t="shared" si="3"/>
        <v>5182.46</v>
      </c>
      <c r="U34" s="72">
        <f t="shared" si="3"/>
        <v>6188.1</v>
      </c>
      <c r="V34" s="72">
        <f t="shared" si="3"/>
        <v>7000.2999999999993</v>
      </c>
      <c r="W34" s="72">
        <f t="shared" si="3"/>
        <v>6904.39</v>
      </c>
      <c r="X34" s="72">
        <f t="shared" si="3"/>
        <v>4569.0199999999995</v>
      </c>
      <c r="Y34" s="72">
        <f t="shared" si="3"/>
        <v>5892.65</v>
      </c>
      <c r="Z34" s="72">
        <f t="shared" si="3"/>
        <v>5892.65</v>
      </c>
      <c r="AA34" s="72">
        <f t="shared" si="3"/>
        <v>0</v>
      </c>
      <c r="AB34" s="72">
        <f t="shared" si="3"/>
        <v>4105.1900000000005</v>
      </c>
      <c r="AC34" s="72">
        <f t="shared" si="3"/>
        <v>0</v>
      </c>
      <c r="AD34" s="72">
        <f t="shared" si="3"/>
        <v>1846</v>
      </c>
      <c r="AE34" s="72">
        <f t="shared" si="3"/>
        <v>0</v>
      </c>
      <c r="AF34" s="72">
        <f t="shared" si="3"/>
        <v>0</v>
      </c>
      <c r="AG34" s="72">
        <f t="shared" si="3"/>
        <v>0</v>
      </c>
      <c r="AH34" s="72">
        <f t="shared" si="3"/>
        <v>0</v>
      </c>
      <c r="AI34" s="72">
        <f t="shared" si="3"/>
        <v>0</v>
      </c>
      <c r="AJ34" s="72">
        <f t="shared" si="3"/>
        <v>0</v>
      </c>
      <c r="AK34" s="72">
        <f t="shared" si="3"/>
        <v>0</v>
      </c>
      <c r="AL34" s="72">
        <f t="shared" si="3"/>
        <v>0</v>
      </c>
      <c r="AM34" s="72">
        <f t="shared" si="3"/>
        <v>0</v>
      </c>
      <c r="AN34" s="72">
        <f t="shared" si="3"/>
        <v>0</v>
      </c>
      <c r="AO34" s="72">
        <f t="shared" si="3"/>
        <v>0</v>
      </c>
      <c r="AP34" s="72">
        <f t="shared" si="3"/>
        <v>0</v>
      </c>
      <c r="AQ34" s="72">
        <f t="shared" si="3"/>
        <v>0</v>
      </c>
      <c r="AR34" s="72">
        <f t="shared" si="3"/>
        <v>0</v>
      </c>
      <c r="AS34" s="72">
        <f t="shared" si="3"/>
        <v>154.51</v>
      </c>
    </row>
    <row r="35" spans="1:45" hidden="1" outlineLevel="1" x14ac:dyDescent="0.25">
      <c r="A35" s="74"/>
      <c r="B35" s="74"/>
      <c r="C35" s="74">
        <f t="shared" ref="C35:C57" si="4">SUM(G35:AT35)</f>
        <v>0.42</v>
      </c>
      <c r="D35" s="75">
        <v>1</v>
      </c>
      <c r="E35" s="75" t="s">
        <v>67</v>
      </c>
      <c r="F35" s="75" t="s">
        <v>710</v>
      </c>
      <c r="G35" s="74"/>
      <c r="H35" s="74"/>
      <c r="I35" s="74"/>
      <c r="J35" s="74"/>
      <c r="K35" s="74"/>
      <c r="L35" s="74"/>
      <c r="M35" s="74"/>
      <c r="N35" s="74"/>
      <c r="O35" s="74">
        <v>0.42</v>
      </c>
      <c r="P35" s="74"/>
      <c r="Q35" s="74"/>
      <c r="R35" s="74"/>
      <c r="S35" s="74"/>
      <c r="T35" s="74"/>
      <c r="U35" s="74"/>
      <c r="V35" s="74"/>
      <c r="W35" s="74"/>
      <c r="X35" s="74"/>
      <c r="Y35" s="74"/>
      <c r="Z35" s="74"/>
      <c r="AA35" s="74"/>
      <c r="AB35" s="74"/>
      <c r="AC35" s="74"/>
      <c r="AD35" s="74"/>
      <c r="AE35" s="74"/>
      <c r="AF35" s="74"/>
      <c r="AG35" s="74"/>
      <c r="AH35" s="74"/>
      <c r="AI35" s="74"/>
      <c r="AJ35" s="74"/>
      <c r="AK35" s="74"/>
      <c r="AL35" s="74"/>
      <c r="AM35" s="74"/>
      <c r="AN35" s="74"/>
      <c r="AO35" s="74"/>
      <c r="AP35" s="74"/>
      <c r="AQ35" s="74"/>
      <c r="AR35" s="74"/>
      <c r="AS35" s="74"/>
    </row>
    <row r="36" spans="1:45" hidden="1" outlineLevel="1" x14ac:dyDescent="0.25">
      <c r="A36" s="76"/>
      <c r="B36" s="76"/>
      <c r="C36" s="76">
        <f t="shared" si="4"/>
        <v>5</v>
      </c>
      <c r="D36" s="77">
        <v>1</v>
      </c>
      <c r="E36" s="77" t="s">
        <v>67</v>
      </c>
      <c r="F36" s="77" t="s">
        <v>709</v>
      </c>
      <c r="G36" s="76"/>
      <c r="H36" s="76"/>
      <c r="I36" s="76"/>
      <c r="J36" s="76"/>
      <c r="K36" s="76"/>
      <c r="L36" s="76"/>
      <c r="M36" s="76"/>
      <c r="N36" s="76"/>
      <c r="O36" s="76">
        <v>5</v>
      </c>
      <c r="P36" s="76"/>
      <c r="Q36" s="76"/>
      <c r="R36" s="76"/>
      <c r="S36" s="76"/>
      <c r="T36" s="76"/>
      <c r="U36" s="76"/>
      <c r="V36" s="76"/>
      <c r="W36" s="76"/>
      <c r="X36" s="76"/>
      <c r="Y36" s="76"/>
      <c r="Z36" s="76"/>
      <c r="AA36" s="76"/>
      <c r="AB36" s="76"/>
      <c r="AC36" s="76"/>
      <c r="AD36" s="76"/>
      <c r="AE36" s="76"/>
      <c r="AF36" s="76"/>
      <c r="AG36" s="76"/>
      <c r="AH36" s="76"/>
      <c r="AI36" s="76"/>
      <c r="AJ36" s="76"/>
      <c r="AK36" s="76"/>
      <c r="AL36" s="76"/>
      <c r="AM36" s="76"/>
      <c r="AN36" s="76"/>
      <c r="AO36" s="76"/>
      <c r="AP36" s="76"/>
      <c r="AQ36" s="76"/>
      <c r="AR36" s="76"/>
      <c r="AS36" s="76"/>
    </row>
    <row r="37" spans="1:45" hidden="1" outlineLevel="1" x14ac:dyDescent="0.25">
      <c r="A37" s="76"/>
      <c r="B37" s="76"/>
      <c r="C37" s="76">
        <f t="shared" si="4"/>
        <v>5.9</v>
      </c>
      <c r="D37" s="77">
        <v>1</v>
      </c>
      <c r="E37" s="77" t="s">
        <v>67</v>
      </c>
      <c r="F37" s="77" t="s">
        <v>708</v>
      </c>
      <c r="G37" s="76"/>
      <c r="H37" s="76"/>
      <c r="I37" s="76"/>
      <c r="J37" s="76"/>
      <c r="K37" s="76"/>
      <c r="L37" s="76"/>
      <c r="M37" s="76"/>
      <c r="N37" s="76"/>
      <c r="O37" s="76">
        <v>5.9</v>
      </c>
      <c r="P37" s="76"/>
      <c r="Q37" s="76"/>
      <c r="R37" s="76"/>
      <c r="S37" s="76"/>
      <c r="T37" s="76"/>
      <c r="U37" s="76"/>
      <c r="V37" s="76"/>
      <c r="W37" s="76"/>
      <c r="X37" s="76"/>
      <c r="Y37" s="76"/>
      <c r="Z37" s="76"/>
      <c r="AA37" s="76"/>
      <c r="AB37" s="76"/>
      <c r="AC37" s="76"/>
      <c r="AD37" s="76"/>
      <c r="AE37" s="76"/>
      <c r="AF37" s="76"/>
      <c r="AG37" s="76"/>
      <c r="AH37" s="76"/>
      <c r="AI37" s="76"/>
      <c r="AJ37" s="76"/>
      <c r="AK37" s="76"/>
      <c r="AL37" s="76"/>
      <c r="AM37" s="76"/>
      <c r="AN37" s="76"/>
      <c r="AO37" s="76"/>
      <c r="AP37" s="76"/>
      <c r="AQ37" s="76"/>
      <c r="AR37" s="76"/>
      <c r="AS37" s="76"/>
    </row>
    <row r="38" spans="1:45" hidden="1" outlineLevel="1" x14ac:dyDescent="0.25">
      <c r="A38" s="76"/>
      <c r="B38" s="76"/>
      <c r="C38" s="76">
        <f t="shared" si="4"/>
        <v>681.35</v>
      </c>
      <c r="D38" s="77">
        <v>1</v>
      </c>
      <c r="E38" s="77" t="s">
        <v>720</v>
      </c>
      <c r="F38" s="77" t="s">
        <v>721</v>
      </c>
      <c r="G38" s="76"/>
      <c r="H38" s="76"/>
      <c r="I38" s="76"/>
      <c r="J38" s="76"/>
      <c r="K38" s="76"/>
      <c r="L38" s="76"/>
      <c r="M38" s="76"/>
      <c r="N38" s="76"/>
      <c r="O38" s="76"/>
      <c r="P38" s="76"/>
      <c r="Q38" s="76"/>
      <c r="R38" s="76"/>
      <c r="S38" s="76">
        <v>681.35</v>
      </c>
      <c r="T38" s="76"/>
      <c r="U38" s="76"/>
      <c r="V38" s="76"/>
      <c r="W38" s="76"/>
      <c r="X38" s="76"/>
      <c r="Y38" s="76"/>
      <c r="Z38" s="76"/>
      <c r="AA38" s="76"/>
      <c r="AB38" s="76"/>
      <c r="AC38" s="76"/>
      <c r="AD38" s="76"/>
      <c r="AE38" s="76"/>
      <c r="AF38" s="76"/>
      <c r="AG38" s="76"/>
      <c r="AH38" s="76"/>
      <c r="AI38" s="76"/>
      <c r="AJ38" s="76"/>
      <c r="AK38" s="76"/>
      <c r="AL38" s="76"/>
      <c r="AM38" s="76"/>
      <c r="AN38" s="76"/>
      <c r="AO38" s="76"/>
      <c r="AP38" s="76"/>
      <c r="AQ38" s="76"/>
      <c r="AR38" s="76"/>
      <c r="AS38" s="76"/>
    </row>
    <row r="39" spans="1:45" hidden="1" outlineLevel="1" x14ac:dyDescent="0.25">
      <c r="A39" s="76"/>
      <c r="B39" s="76"/>
      <c r="C39" s="76">
        <f t="shared" si="4"/>
        <v>3785.72</v>
      </c>
      <c r="D39" s="77">
        <v>9</v>
      </c>
      <c r="E39" s="77" t="s">
        <v>738</v>
      </c>
      <c r="F39" s="77" t="s">
        <v>739</v>
      </c>
      <c r="G39" s="76"/>
      <c r="H39" s="76">
        <v>60.82000000000005</v>
      </c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6"/>
      <c r="X39" s="76"/>
      <c r="Y39" s="76">
        <v>3116.72</v>
      </c>
      <c r="Z39" s="76"/>
      <c r="AA39" s="76"/>
      <c r="AB39" s="76">
        <v>608.17999999999995</v>
      </c>
      <c r="AC39" s="76"/>
      <c r="AD39" s="76"/>
      <c r="AE39" s="76"/>
      <c r="AF39" s="76"/>
      <c r="AG39" s="76"/>
      <c r="AH39" s="76"/>
      <c r="AI39" s="76"/>
      <c r="AJ39" s="76"/>
      <c r="AK39" s="76"/>
      <c r="AL39" s="76"/>
      <c r="AM39" s="76"/>
      <c r="AN39" s="76"/>
      <c r="AO39" s="76"/>
      <c r="AP39" s="76"/>
      <c r="AQ39" s="76"/>
      <c r="AR39" s="76"/>
      <c r="AS39" s="76"/>
    </row>
    <row r="40" spans="1:45" hidden="1" outlineLevel="1" x14ac:dyDescent="0.25">
      <c r="A40" s="76"/>
      <c r="B40" s="76"/>
      <c r="C40" s="76">
        <f t="shared" si="4"/>
        <v>3791.59</v>
      </c>
      <c r="D40" s="77">
        <v>9</v>
      </c>
      <c r="E40" s="77" t="s">
        <v>740</v>
      </c>
      <c r="F40" s="77" t="s">
        <v>739</v>
      </c>
      <c r="G40" s="76"/>
      <c r="H40" s="76">
        <v>61.82000000000005</v>
      </c>
      <c r="I40" s="76"/>
      <c r="J40" s="76"/>
      <c r="K40" s="76"/>
      <c r="L40" s="76"/>
      <c r="M40" s="76"/>
      <c r="N40" s="76"/>
      <c r="O40" s="76"/>
      <c r="P40" s="76"/>
      <c r="Q40" s="76"/>
      <c r="R40" s="76"/>
      <c r="S40" s="76"/>
      <c r="T40" s="76"/>
      <c r="U40" s="76"/>
      <c r="V40" s="76"/>
      <c r="W40" s="76"/>
      <c r="X40" s="76"/>
      <c r="Y40" s="76"/>
      <c r="Z40" s="76">
        <v>3111.59</v>
      </c>
      <c r="AA40" s="76"/>
      <c r="AB40" s="76">
        <v>618.17999999999995</v>
      </c>
      <c r="AC40" s="76"/>
      <c r="AD40" s="76"/>
      <c r="AE40" s="76"/>
      <c r="AF40" s="76"/>
      <c r="AG40" s="76"/>
      <c r="AH40" s="76"/>
      <c r="AI40" s="76"/>
      <c r="AJ40" s="76"/>
      <c r="AK40" s="76"/>
      <c r="AL40" s="76"/>
      <c r="AM40" s="76"/>
      <c r="AN40" s="76"/>
      <c r="AO40" s="76"/>
      <c r="AP40" s="76"/>
      <c r="AQ40" s="76"/>
      <c r="AR40" s="76"/>
      <c r="AS40" s="76"/>
    </row>
    <row r="41" spans="1:45" hidden="1" outlineLevel="1" x14ac:dyDescent="0.25">
      <c r="A41" s="76"/>
      <c r="B41" s="76"/>
      <c r="C41" s="76">
        <f>SUM(G41:AT41)</f>
        <v>5509.6900000000005</v>
      </c>
      <c r="D41" s="77">
        <v>10</v>
      </c>
      <c r="E41" s="77" t="s">
        <v>741</v>
      </c>
      <c r="F41" s="77" t="s">
        <v>742</v>
      </c>
      <c r="G41" s="76"/>
      <c r="H41" s="76">
        <v>15.282727272727271</v>
      </c>
      <c r="I41" s="76"/>
      <c r="J41" s="76"/>
      <c r="K41" s="76"/>
      <c r="L41" s="76">
        <v>36.74545454545455</v>
      </c>
      <c r="M41" s="76">
        <v>11.336363636363638</v>
      </c>
      <c r="N41" s="76"/>
      <c r="O41" s="76"/>
      <c r="P41" s="76"/>
      <c r="Q41" s="76"/>
      <c r="R41" s="76"/>
      <c r="S41" s="76">
        <v>5341.58</v>
      </c>
      <c r="T41" s="76"/>
      <c r="U41" s="76"/>
      <c r="V41" s="76"/>
      <c r="W41" s="76"/>
      <c r="X41" s="76"/>
      <c r="Y41" s="76"/>
      <c r="Z41" s="76"/>
      <c r="AA41" s="76"/>
      <c r="AB41" s="76"/>
      <c r="AC41" s="76"/>
      <c r="AD41" s="76"/>
      <c r="AE41" s="76"/>
      <c r="AF41" s="76"/>
      <c r="AG41" s="76"/>
      <c r="AH41" s="76"/>
      <c r="AI41" s="76"/>
      <c r="AJ41" s="76"/>
      <c r="AK41" s="76"/>
      <c r="AL41" s="76"/>
      <c r="AM41" s="76"/>
      <c r="AN41" s="76"/>
      <c r="AO41" s="76"/>
      <c r="AP41" s="76"/>
      <c r="AQ41" s="76"/>
      <c r="AR41" s="76"/>
      <c r="AS41" s="76">
        <v>104.74545454545455</v>
      </c>
    </row>
    <row r="42" spans="1:45" hidden="1" outlineLevel="1" x14ac:dyDescent="0.25">
      <c r="A42" s="76"/>
      <c r="B42" s="76"/>
      <c r="C42" s="76">
        <f>SUM(G42:AT42)</f>
        <v>62799</v>
      </c>
      <c r="D42" s="77">
        <v>12</v>
      </c>
      <c r="E42" s="77" t="s">
        <v>789</v>
      </c>
      <c r="F42" s="77" t="s">
        <v>822</v>
      </c>
      <c r="G42" s="76"/>
      <c r="H42" s="76"/>
      <c r="I42" s="76"/>
      <c r="J42" s="76"/>
      <c r="K42" s="76"/>
      <c r="L42" s="76"/>
      <c r="M42" s="76"/>
      <c r="N42" s="76"/>
      <c r="O42" s="76"/>
      <c r="P42" s="76"/>
      <c r="Q42" s="76"/>
      <c r="R42" s="76"/>
      <c r="S42" s="76"/>
      <c r="T42" s="76"/>
      <c r="U42" s="76"/>
      <c r="V42" s="76"/>
      <c r="W42" s="76"/>
      <c r="X42" s="76"/>
      <c r="Y42" s="76"/>
      <c r="Z42" s="76"/>
      <c r="AA42" s="76"/>
      <c r="AB42" s="76"/>
      <c r="AC42" s="76"/>
      <c r="AD42" s="76"/>
      <c r="AE42" s="76"/>
      <c r="AF42" s="76"/>
      <c r="AG42" s="76"/>
      <c r="AH42" s="76"/>
      <c r="AI42" s="76"/>
      <c r="AJ42" s="76"/>
      <c r="AK42" s="76"/>
      <c r="AL42" s="76"/>
      <c r="AM42" s="76"/>
      <c r="AN42" s="76">
        <v>25338</v>
      </c>
      <c r="AO42" s="76">
        <v>31861</v>
      </c>
      <c r="AP42" s="76">
        <v>5600</v>
      </c>
      <c r="AQ42" s="76"/>
      <c r="AR42" s="76"/>
      <c r="AS42" s="76"/>
    </row>
    <row r="43" spans="1:45" hidden="1" outlineLevel="1" x14ac:dyDescent="0.25">
      <c r="A43" s="76"/>
      <c r="B43" s="76"/>
      <c r="C43" s="76">
        <f t="shared" si="4"/>
        <v>1634</v>
      </c>
      <c r="D43" s="77">
        <v>14</v>
      </c>
      <c r="E43" s="77" t="s">
        <v>715</v>
      </c>
      <c r="F43" s="77" t="s">
        <v>716</v>
      </c>
      <c r="G43" s="76"/>
      <c r="H43" s="76"/>
      <c r="I43" s="76"/>
      <c r="J43" s="76"/>
      <c r="K43" s="76"/>
      <c r="L43" s="76"/>
      <c r="M43" s="76">
        <v>1100</v>
      </c>
      <c r="N43" s="76"/>
      <c r="O43" s="76"/>
      <c r="P43" s="76"/>
      <c r="Q43" s="76"/>
      <c r="R43" s="76"/>
      <c r="S43" s="76">
        <v>534</v>
      </c>
      <c r="T43" s="76"/>
      <c r="U43" s="76"/>
      <c r="V43" s="76"/>
      <c r="W43" s="76"/>
      <c r="X43" s="76"/>
      <c r="Y43" s="76"/>
      <c r="Z43" s="76"/>
      <c r="AA43" s="76"/>
      <c r="AB43" s="76"/>
      <c r="AC43" s="76"/>
      <c r="AD43" s="76"/>
      <c r="AE43" s="76"/>
      <c r="AF43" s="76"/>
      <c r="AG43" s="76"/>
      <c r="AH43" s="76"/>
      <c r="AI43" s="76"/>
      <c r="AJ43" s="76"/>
      <c r="AK43" s="76"/>
      <c r="AL43" s="76"/>
      <c r="AM43" s="76"/>
      <c r="AN43" s="76"/>
      <c r="AO43" s="76"/>
      <c r="AP43" s="76"/>
      <c r="AQ43" s="76"/>
      <c r="AR43" s="76"/>
      <c r="AS43" s="76"/>
    </row>
    <row r="44" spans="1:45" hidden="1" outlineLevel="1" x14ac:dyDescent="0.25">
      <c r="A44" s="76"/>
      <c r="B44" s="76"/>
      <c r="C44" s="76">
        <f t="shared" si="4"/>
        <v>1359.82</v>
      </c>
      <c r="D44" s="77">
        <v>14</v>
      </c>
      <c r="E44" s="77" t="s">
        <v>751</v>
      </c>
      <c r="F44" s="77" t="s">
        <v>54</v>
      </c>
      <c r="G44" s="76"/>
      <c r="H44" s="76"/>
      <c r="I44" s="76"/>
      <c r="J44" s="76"/>
      <c r="K44" s="76"/>
      <c r="L44" s="76"/>
      <c r="M44" s="76"/>
      <c r="N44" s="76"/>
      <c r="O44" s="76"/>
      <c r="P44" s="76"/>
      <c r="Q44" s="76"/>
      <c r="R44" s="76"/>
      <c r="S44" s="76">
        <v>1359.82</v>
      </c>
      <c r="T44" s="76"/>
      <c r="U44" s="76"/>
      <c r="V44" s="76"/>
      <c r="W44" s="76"/>
      <c r="X44" s="76"/>
      <c r="Y44" s="76"/>
      <c r="Z44" s="76"/>
      <c r="AA44" s="76"/>
      <c r="AB44" s="76"/>
      <c r="AC44" s="76"/>
      <c r="AD44" s="76"/>
      <c r="AE44" s="76"/>
      <c r="AF44" s="76"/>
      <c r="AG44" s="76"/>
      <c r="AH44" s="76"/>
      <c r="AI44" s="76"/>
      <c r="AJ44" s="76"/>
      <c r="AK44" s="76"/>
      <c r="AL44" s="76"/>
      <c r="AM44" s="76"/>
      <c r="AN44" s="76"/>
      <c r="AO44" s="76"/>
      <c r="AP44" s="76"/>
      <c r="AQ44" s="76"/>
      <c r="AR44" s="76"/>
      <c r="AS44" s="76"/>
    </row>
    <row r="45" spans="1:45" hidden="1" outlineLevel="1" x14ac:dyDescent="0.25">
      <c r="A45" s="76"/>
      <c r="B45" s="76"/>
      <c r="C45" s="76">
        <f t="shared" si="4"/>
        <v>9647.3799999999992</v>
      </c>
      <c r="D45" s="77">
        <v>14</v>
      </c>
      <c r="E45" s="77" t="s">
        <v>759</v>
      </c>
      <c r="F45" s="77" t="s">
        <v>739</v>
      </c>
      <c r="G45" s="76"/>
      <c r="H45" s="76">
        <v>91.360000000000014</v>
      </c>
      <c r="I45" s="76"/>
      <c r="J45" s="76"/>
      <c r="K45" s="76"/>
      <c r="L45" s="76"/>
      <c r="M45" s="76"/>
      <c r="N45" s="76"/>
      <c r="O45" s="76"/>
      <c r="P45" s="76"/>
      <c r="Q45" s="76"/>
      <c r="R45" s="76"/>
      <c r="S45" s="76"/>
      <c r="T45" s="76">
        <v>8642.3799999999992</v>
      </c>
      <c r="U45" s="76"/>
      <c r="V45" s="76"/>
      <c r="W45" s="76"/>
      <c r="X45" s="76"/>
      <c r="Y45" s="76"/>
      <c r="Z45" s="76"/>
      <c r="AA45" s="76"/>
      <c r="AB45" s="76">
        <v>913.64</v>
      </c>
      <c r="AC45" s="76"/>
      <c r="AD45" s="76"/>
      <c r="AE45" s="76"/>
      <c r="AF45" s="76"/>
      <c r="AG45" s="76"/>
      <c r="AH45" s="76"/>
      <c r="AI45" s="76"/>
      <c r="AJ45" s="76"/>
      <c r="AK45" s="76"/>
      <c r="AL45" s="76"/>
      <c r="AM45" s="76"/>
      <c r="AN45" s="76"/>
      <c r="AO45" s="76"/>
      <c r="AP45" s="76"/>
      <c r="AQ45" s="76"/>
      <c r="AR45" s="76"/>
      <c r="AS45" s="76"/>
    </row>
    <row r="46" spans="1:45" hidden="1" outlineLevel="1" x14ac:dyDescent="0.25">
      <c r="A46" s="76"/>
      <c r="B46" s="76"/>
      <c r="C46" s="76">
        <f t="shared" si="4"/>
        <v>7902.88</v>
      </c>
      <c r="D46" s="77">
        <v>14</v>
      </c>
      <c r="E46" s="77" t="s">
        <v>760</v>
      </c>
      <c r="F46" s="77" t="s">
        <v>739</v>
      </c>
      <c r="G46" s="76"/>
      <c r="H46" s="76">
        <v>93.45</v>
      </c>
      <c r="I46" s="76"/>
      <c r="J46" s="76"/>
      <c r="K46" s="76"/>
      <c r="L46" s="76"/>
      <c r="M46" s="76"/>
      <c r="N46" s="76"/>
      <c r="O46" s="76"/>
      <c r="P46" s="76"/>
      <c r="Q46" s="76"/>
      <c r="R46" s="76"/>
      <c r="S46" s="76"/>
      <c r="T46" s="76"/>
      <c r="U46" s="76">
        <v>6874.88</v>
      </c>
      <c r="V46" s="76"/>
      <c r="W46" s="76"/>
      <c r="X46" s="76"/>
      <c r="Y46" s="76"/>
      <c r="Z46" s="76"/>
      <c r="AA46" s="76"/>
      <c r="AB46" s="76">
        <v>934.55</v>
      </c>
      <c r="AC46" s="76"/>
      <c r="AD46" s="76"/>
      <c r="AE46" s="76"/>
      <c r="AF46" s="76"/>
      <c r="AG46" s="76"/>
      <c r="AH46" s="76"/>
      <c r="AI46" s="76"/>
      <c r="AJ46" s="76"/>
      <c r="AK46" s="76"/>
      <c r="AL46" s="76"/>
      <c r="AM46" s="76"/>
      <c r="AN46" s="76"/>
      <c r="AO46" s="76"/>
      <c r="AP46" s="76"/>
      <c r="AQ46" s="76"/>
      <c r="AR46" s="76"/>
      <c r="AS46" s="76"/>
    </row>
    <row r="47" spans="1:45" hidden="1" outlineLevel="1" x14ac:dyDescent="0.25">
      <c r="A47" s="76"/>
      <c r="B47" s="76"/>
      <c r="C47" s="76">
        <f t="shared" si="4"/>
        <v>8280.9</v>
      </c>
      <c r="D47" s="77">
        <v>14</v>
      </c>
      <c r="E47" s="77" t="s">
        <v>756</v>
      </c>
      <c r="F47" s="77" t="s">
        <v>739</v>
      </c>
      <c r="G47" s="76"/>
      <c r="H47" s="76">
        <v>16.260000000000002</v>
      </c>
      <c r="I47" s="76"/>
      <c r="J47" s="76"/>
      <c r="K47" s="76"/>
      <c r="L47" s="76"/>
      <c r="M47" s="76"/>
      <c r="N47" s="76"/>
      <c r="O47" s="76"/>
      <c r="P47" s="76"/>
      <c r="Q47" s="76"/>
      <c r="R47" s="76"/>
      <c r="S47" s="76"/>
      <c r="T47" s="76"/>
      <c r="U47" s="76"/>
      <c r="V47" s="76">
        <v>8102</v>
      </c>
      <c r="W47" s="76"/>
      <c r="X47" s="76"/>
      <c r="Y47" s="76"/>
      <c r="Z47" s="76"/>
      <c r="AA47" s="76"/>
      <c r="AB47" s="76">
        <v>162.63999999999999</v>
      </c>
      <c r="AC47" s="76"/>
      <c r="AD47" s="76"/>
      <c r="AE47" s="76"/>
      <c r="AF47" s="76"/>
      <c r="AG47" s="76"/>
      <c r="AH47" s="76"/>
      <c r="AI47" s="76"/>
      <c r="AJ47" s="76"/>
      <c r="AK47" s="76"/>
      <c r="AL47" s="76"/>
      <c r="AM47" s="76"/>
      <c r="AN47" s="76"/>
      <c r="AO47" s="76"/>
      <c r="AP47" s="76"/>
      <c r="AQ47" s="76"/>
      <c r="AR47" s="76"/>
      <c r="AS47" s="76"/>
    </row>
    <row r="48" spans="1:45" hidden="1" outlineLevel="1" x14ac:dyDescent="0.25">
      <c r="A48" s="76"/>
      <c r="B48" s="76"/>
      <c r="C48" s="76">
        <f t="shared" si="4"/>
        <v>6940.02</v>
      </c>
      <c r="D48" s="77">
        <v>14</v>
      </c>
      <c r="E48" s="77" t="s">
        <v>757</v>
      </c>
      <c r="F48" s="77" t="s">
        <v>739</v>
      </c>
      <c r="G48" s="76"/>
      <c r="H48" s="76">
        <v>11.46</v>
      </c>
      <c r="I48" s="76"/>
      <c r="J48" s="76"/>
      <c r="K48" s="76"/>
      <c r="L48" s="76"/>
      <c r="M48" s="76"/>
      <c r="N48" s="76"/>
      <c r="O48" s="76"/>
      <c r="P48" s="76"/>
      <c r="Q48" s="76"/>
      <c r="R48" s="76"/>
      <c r="S48" s="76"/>
      <c r="T48" s="76"/>
      <c r="U48" s="76"/>
      <c r="V48" s="76"/>
      <c r="W48" s="76">
        <v>6813.92</v>
      </c>
      <c r="X48" s="76"/>
      <c r="Y48" s="76"/>
      <c r="Z48" s="76"/>
      <c r="AA48" s="76"/>
      <c r="AB48" s="76">
        <v>114.64</v>
      </c>
      <c r="AC48" s="76"/>
      <c r="AD48" s="76"/>
      <c r="AE48" s="76"/>
      <c r="AF48" s="76"/>
      <c r="AG48" s="76"/>
      <c r="AH48" s="76"/>
      <c r="AI48" s="76"/>
      <c r="AJ48" s="76"/>
      <c r="AK48" s="76"/>
      <c r="AL48" s="76"/>
      <c r="AM48" s="76"/>
      <c r="AN48" s="76"/>
      <c r="AO48" s="76"/>
      <c r="AP48" s="76"/>
      <c r="AQ48" s="76"/>
      <c r="AR48" s="76"/>
      <c r="AS48" s="76"/>
    </row>
    <row r="49" spans="1:45" hidden="1" outlineLevel="1" x14ac:dyDescent="0.25">
      <c r="A49" s="76"/>
      <c r="B49" s="76"/>
      <c r="C49" s="76">
        <f t="shared" si="4"/>
        <v>4617.4500000000007</v>
      </c>
      <c r="D49" s="77">
        <v>14</v>
      </c>
      <c r="E49" s="77" t="s">
        <v>758</v>
      </c>
      <c r="F49" s="77" t="s">
        <v>739</v>
      </c>
      <c r="G49" s="76"/>
      <c r="H49" s="76">
        <v>5.6</v>
      </c>
      <c r="I49" s="76"/>
      <c r="J49" s="76"/>
      <c r="K49" s="76"/>
      <c r="L49" s="76"/>
      <c r="M49" s="76"/>
      <c r="N49" s="76"/>
      <c r="O49" s="76"/>
      <c r="P49" s="76"/>
      <c r="Q49" s="76"/>
      <c r="R49" s="76"/>
      <c r="S49" s="76"/>
      <c r="T49" s="76"/>
      <c r="U49" s="76"/>
      <c r="V49" s="76"/>
      <c r="W49" s="76"/>
      <c r="X49" s="76">
        <v>4555.8500000000004</v>
      </c>
      <c r="Y49" s="76"/>
      <c r="Z49" s="76"/>
      <c r="AA49" s="76"/>
      <c r="AB49" s="76">
        <v>56</v>
      </c>
      <c r="AC49" s="76"/>
      <c r="AD49" s="76"/>
      <c r="AE49" s="76"/>
      <c r="AF49" s="76"/>
      <c r="AG49" s="76"/>
      <c r="AH49" s="76"/>
      <c r="AI49" s="76"/>
      <c r="AJ49" s="76"/>
      <c r="AK49" s="76"/>
      <c r="AL49" s="76"/>
      <c r="AM49" s="76"/>
      <c r="AN49" s="76"/>
      <c r="AO49" s="76"/>
      <c r="AP49" s="76"/>
      <c r="AQ49" s="76"/>
      <c r="AR49" s="76"/>
      <c r="AS49" s="76"/>
    </row>
    <row r="50" spans="1:45" hidden="1" outlineLevel="1" x14ac:dyDescent="0.25">
      <c r="A50" s="76"/>
      <c r="B50" s="76"/>
      <c r="C50" s="76">
        <f t="shared" si="4"/>
        <v>681.35</v>
      </c>
      <c r="D50" s="77">
        <v>15</v>
      </c>
      <c r="E50" s="77" t="s">
        <v>720</v>
      </c>
      <c r="F50" s="77" t="s">
        <v>721</v>
      </c>
      <c r="G50" s="76"/>
      <c r="H50" s="76"/>
      <c r="I50" s="76"/>
      <c r="J50" s="76"/>
      <c r="K50" s="76"/>
      <c r="L50" s="76"/>
      <c r="M50" s="76"/>
      <c r="N50" s="76"/>
      <c r="O50" s="76"/>
      <c r="P50" s="76"/>
      <c r="Q50" s="76"/>
      <c r="R50" s="76"/>
      <c r="S50" s="76">
        <v>681.35</v>
      </c>
      <c r="T50" s="76"/>
      <c r="U50" s="76"/>
      <c r="V50" s="76"/>
      <c r="W50" s="76"/>
      <c r="X50" s="76"/>
      <c r="Y50" s="76"/>
      <c r="Z50" s="76"/>
      <c r="AA50" s="76"/>
      <c r="AB50" s="76"/>
      <c r="AC50" s="76"/>
      <c r="AD50" s="76"/>
      <c r="AE50" s="76"/>
      <c r="AF50" s="76"/>
      <c r="AG50" s="76"/>
      <c r="AH50" s="76"/>
      <c r="AI50" s="76"/>
      <c r="AJ50" s="76"/>
      <c r="AK50" s="76"/>
      <c r="AL50" s="76"/>
      <c r="AM50" s="76"/>
      <c r="AN50" s="76"/>
      <c r="AO50" s="76"/>
      <c r="AP50" s="76"/>
      <c r="AQ50" s="76"/>
      <c r="AR50" s="76"/>
      <c r="AS50" s="76"/>
    </row>
    <row r="51" spans="1:45" hidden="1" outlineLevel="1" x14ac:dyDescent="0.25">
      <c r="A51" s="76"/>
      <c r="B51" s="76"/>
      <c r="C51" s="76">
        <f t="shared" si="4"/>
        <v>59.99</v>
      </c>
      <c r="D51" s="77">
        <v>21</v>
      </c>
      <c r="E51" s="77" t="s">
        <v>773</v>
      </c>
      <c r="F51" s="77" t="s">
        <v>774</v>
      </c>
      <c r="G51" s="76"/>
      <c r="H51" s="76">
        <v>5.45</v>
      </c>
      <c r="I51" s="76"/>
      <c r="J51" s="76"/>
      <c r="K51" s="76"/>
      <c r="L51" s="76"/>
      <c r="M51" s="76"/>
      <c r="N51" s="76"/>
      <c r="O51" s="76"/>
      <c r="P51" s="76"/>
      <c r="Q51" s="76">
        <v>54.54</v>
      </c>
      <c r="R51" s="76"/>
      <c r="S51" s="76"/>
      <c r="T51" s="76"/>
      <c r="U51" s="76"/>
      <c r="V51" s="76"/>
      <c r="W51" s="76"/>
      <c r="X51" s="76"/>
      <c r="Y51" s="76"/>
      <c r="Z51" s="76"/>
      <c r="AA51" s="76"/>
      <c r="AB51" s="76"/>
      <c r="AC51" s="76"/>
      <c r="AD51" s="76"/>
      <c r="AE51" s="76"/>
      <c r="AF51" s="76"/>
      <c r="AG51" s="76"/>
      <c r="AH51" s="76"/>
      <c r="AI51" s="76"/>
      <c r="AJ51" s="76"/>
      <c r="AK51" s="76"/>
      <c r="AL51" s="76"/>
      <c r="AM51" s="76"/>
      <c r="AN51" s="76"/>
      <c r="AO51" s="76"/>
      <c r="AP51" s="76"/>
      <c r="AQ51" s="76"/>
      <c r="AR51" s="76"/>
      <c r="AS51" s="76"/>
    </row>
    <row r="52" spans="1:45" hidden="1" outlineLevel="1" x14ac:dyDescent="0.25">
      <c r="A52" s="76"/>
      <c r="B52" s="76"/>
      <c r="C52" s="76">
        <f t="shared" si="4"/>
        <v>3048.32</v>
      </c>
      <c r="D52" s="77">
        <v>23</v>
      </c>
      <c r="E52" s="77" t="s">
        <v>738</v>
      </c>
      <c r="F52" s="77" t="s">
        <v>739</v>
      </c>
      <c r="G52" s="76"/>
      <c r="H52" s="76"/>
      <c r="I52" s="76"/>
      <c r="J52" s="76"/>
      <c r="K52" s="76"/>
      <c r="L52" s="76"/>
      <c r="M52" s="76"/>
      <c r="N52" s="76"/>
      <c r="O52" s="76"/>
      <c r="P52" s="76"/>
      <c r="Q52" s="76"/>
      <c r="R52" s="76"/>
      <c r="S52" s="76"/>
      <c r="T52" s="76"/>
      <c r="U52" s="76"/>
      <c r="V52" s="76"/>
      <c r="W52" s="76"/>
      <c r="X52" s="76"/>
      <c r="Y52" s="76">
        <v>3048.32</v>
      </c>
      <c r="Z52" s="76"/>
      <c r="AA52" s="76"/>
      <c r="AB52" s="76"/>
      <c r="AC52" s="76"/>
      <c r="AD52" s="76"/>
      <c r="AE52" s="76"/>
      <c r="AF52" s="76"/>
      <c r="AG52" s="76"/>
      <c r="AH52" s="76"/>
      <c r="AI52" s="76"/>
      <c r="AJ52" s="76"/>
      <c r="AK52" s="76"/>
      <c r="AL52" s="76"/>
      <c r="AM52" s="76"/>
      <c r="AN52" s="76"/>
      <c r="AO52" s="76"/>
      <c r="AP52" s="76"/>
      <c r="AQ52" s="76"/>
      <c r="AR52" s="76"/>
      <c r="AS52" s="76"/>
    </row>
    <row r="53" spans="1:45" hidden="1" outlineLevel="1" x14ac:dyDescent="0.25">
      <c r="A53" s="76"/>
      <c r="B53" s="76"/>
      <c r="C53" s="76">
        <f t="shared" si="4"/>
        <v>3046.41</v>
      </c>
      <c r="D53" s="77">
        <v>23</v>
      </c>
      <c r="E53" s="77" t="s">
        <v>740</v>
      </c>
      <c r="F53" s="77" t="s">
        <v>739</v>
      </c>
      <c r="G53" s="76"/>
      <c r="H53" s="76"/>
      <c r="I53" s="76"/>
      <c r="J53" s="76"/>
      <c r="K53" s="76"/>
      <c r="L53" s="76"/>
      <c r="M53" s="76"/>
      <c r="N53" s="76"/>
      <c r="O53" s="76"/>
      <c r="P53" s="76"/>
      <c r="Q53" s="76"/>
      <c r="R53" s="76"/>
      <c r="S53" s="76"/>
      <c r="T53" s="76"/>
      <c r="U53" s="76"/>
      <c r="V53" s="76"/>
      <c r="W53" s="76"/>
      <c r="X53" s="76"/>
      <c r="Y53" s="76"/>
      <c r="Z53" s="76">
        <v>3046.41</v>
      </c>
      <c r="AA53" s="76"/>
      <c r="AB53" s="76"/>
      <c r="AC53" s="76"/>
      <c r="AD53" s="76"/>
      <c r="AE53" s="76"/>
      <c r="AF53" s="76"/>
      <c r="AG53" s="76"/>
      <c r="AH53" s="76"/>
      <c r="AI53" s="76"/>
      <c r="AJ53" s="76"/>
      <c r="AK53" s="76"/>
      <c r="AL53" s="76"/>
      <c r="AM53" s="76"/>
      <c r="AN53" s="76"/>
      <c r="AO53" s="76"/>
      <c r="AP53" s="76"/>
      <c r="AQ53" s="76"/>
      <c r="AR53" s="76"/>
      <c r="AS53" s="76"/>
    </row>
    <row r="54" spans="1:45" hidden="1" outlineLevel="1" x14ac:dyDescent="0.25">
      <c r="A54" s="76"/>
      <c r="B54" s="76"/>
      <c r="C54" s="76">
        <f t="shared" ref="C54:C56" si="5">SUM(G54:AT54)</f>
        <v>1815</v>
      </c>
      <c r="D54" s="77">
        <v>25</v>
      </c>
      <c r="E54" s="77" t="s">
        <v>850</v>
      </c>
      <c r="F54" s="77" t="s">
        <v>851</v>
      </c>
      <c r="G54" s="76"/>
      <c r="H54" s="76">
        <v>165</v>
      </c>
      <c r="I54" s="76"/>
      <c r="J54" s="76"/>
      <c r="K54" s="76"/>
      <c r="L54" s="76"/>
      <c r="M54" s="76"/>
      <c r="N54" s="76"/>
      <c r="O54" s="76"/>
      <c r="P54" s="76"/>
      <c r="Q54" s="76"/>
      <c r="R54" s="76"/>
      <c r="S54" s="76"/>
      <c r="T54" s="76"/>
      <c r="U54" s="76"/>
      <c r="V54" s="76"/>
      <c r="W54" s="76"/>
      <c r="X54" s="76"/>
      <c r="Y54" s="76"/>
      <c r="Z54" s="76"/>
      <c r="AA54" s="76"/>
      <c r="AB54" s="76"/>
      <c r="AC54" s="76"/>
      <c r="AD54" s="76">
        <v>1650</v>
      </c>
      <c r="AE54" s="76"/>
      <c r="AF54" s="76"/>
      <c r="AG54" s="76"/>
      <c r="AH54" s="76"/>
      <c r="AI54" s="76"/>
      <c r="AJ54" s="76"/>
      <c r="AK54" s="76"/>
      <c r="AL54" s="76"/>
      <c r="AM54" s="76"/>
      <c r="AN54" s="76"/>
      <c r="AO54" s="76"/>
      <c r="AP54" s="76"/>
      <c r="AQ54" s="76"/>
      <c r="AR54" s="76"/>
      <c r="AS54" s="76"/>
    </row>
    <row r="55" spans="1:45" hidden="1" outlineLevel="1" x14ac:dyDescent="0.25">
      <c r="A55" s="76"/>
      <c r="B55" s="76"/>
      <c r="C55" s="76">
        <f t="shared" si="5"/>
        <v>1634</v>
      </c>
      <c r="D55" s="77">
        <v>28</v>
      </c>
      <c r="E55" s="77" t="s">
        <v>715</v>
      </c>
      <c r="F55" s="77" t="s">
        <v>716</v>
      </c>
      <c r="G55" s="76"/>
      <c r="H55" s="76"/>
      <c r="I55" s="76"/>
      <c r="J55" s="76"/>
      <c r="K55" s="76"/>
      <c r="L55" s="76"/>
      <c r="M55" s="76">
        <v>1100</v>
      </c>
      <c r="N55" s="76"/>
      <c r="O55" s="76"/>
      <c r="P55" s="76"/>
      <c r="Q55" s="76"/>
      <c r="R55" s="76"/>
      <c r="S55" s="76">
        <v>534</v>
      </c>
      <c r="T55" s="76"/>
      <c r="U55" s="76"/>
      <c r="V55" s="76"/>
      <c r="W55" s="76"/>
      <c r="X55" s="76"/>
      <c r="Y55" s="76"/>
      <c r="Z55" s="76"/>
      <c r="AA55" s="76"/>
      <c r="AB55" s="76"/>
      <c r="AC55" s="76"/>
      <c r="AD55" s="76"/>
      <c r="AE55" s="76"/>
      <c r="AF55" s="76"/>
      <c r="AG55" s="76"/>
      <c r="AH55" s="76"/>
      <c r="AI55" s="76"/>
      <c r="AJ55" s="76"/>
      <c r="AK55" s="76"/>
      <c r="AL55" s="76"/>
      <c r="AM55" s="76"/>
      <c r="AN55" s="76"/>
      <c r="AO55" s="76"/>
      <c r="AP55" s="76"/>
      <c r="AQ55" s="76"/>
      <c r="AR55" s="76"/>
      <c r="AS55" s="76"/>
    </row>
    <row r="56" spans="1:45" hidden="1" outlineLevel="1" x14ac:dyDescent="0.25">
      <c r="A56" s="76"/>
      <c r="B56" s="76"/>
      <c r="C56" s="76">
        <f t="shared" si="5"/>
        <v>1127.99</v>
      </c>
      <c r="D56" s="77">
        <v>29</v>
      </c>
      <c r="E56" s="77" t="s">
        <v>713</v>
      </c>
      <c r="F56" s="77" t="s">
        <v>714</v>
      </c>
      <c r="G56" s="76"/>
      <c r="H56" s="76">
        <v>102.54</v>
      </c>
      <c r="I56" s="76"/>
      <c r="J56" s="76"/>
      <c r="K56" s="76"/>
      <c r="L56" s="76"/>
      <c r="M56" s="76"/>
      <c r="N56" s="76"/>
      <c r="O56" s="76"/>
      <c r="P56" s="76">
        <v>1025.45</v>
      </c>
      <c r="Q56" s="76"/>
      <c r="R56" s="76"/>
      <c r="S56" s="76"/>
      <c r="T56" s="76"/>
      <c r="U56" s="76"/>
      <c r="V56" s="76"/>
      <c r="W56" s="76"/>
      <c r="X56" s="76"/>
      <c r="Y56" s="76"/>
      <c r="Z56" s="76"/>
      <c r="AA56" s="76"/>
      <c r="AB56" s="76"/>
      <c r="AC56" s="76"/>
      <c r="AD56" s="76"/>
      <c r="AE56" s="76"/>
      <c r="AF56" s="76"/>
      <c r="AG56" s="76"/>
      <c r="AH56" s="76"/>
      <c r="AI56" s="76"/>
      <c r="AJ56" s="76"/>
      <c r="AK56" s="76"/>
      <c r="AL56" s="76"/>
      <c r="AM56" s="76"/>
      <c r="AN56" s="76"/>
      <c r="AO56" s="76"/>
      <c r="AP56" s="76"/>
      <c r="AQ56" s="76"/>
      <c r="AR56" s="76"/>
      <c r="AS56" s="76"/>
    </row>
    <row r="57" spans="1:45" hidden="1" outlineLevel="1" x14ac:dyDescent="0.25">
      <c r="A57" s="78"/>
      <c r="B57" s="78"/>
      <c r="C57" s="78">
        <f t="shared" si="4"/>
        <v>681.35</v>
      </c>
      <c r="D57" s="79">
        <v>29</v>
      </c>
      <c r="E57" s="79" t="s">
        <v>720</v>
      </c>
      <c r="F57" s="79" t="s">
        <v>721</v>
      </c>
      <c r="G57" s="78"/>
      <c r="H57" s="78"/>
      <c r="I57" s="78"/>
      <c r="J57" s="78"/>
      <c r="K57" s="78"/>
      <c r="L57" s="78"/>
      <c r="M57" s="78"/>
      <c r="N57" s="78"/>
      <c r="O57" s="78"/>
      <c r="P57" s="78"/>
      <c r="Q57" s="78"/>
      <c r="R57" s="78"/>
      <c r="S57" s="78">
        <v>681.35</v>
      </c>
      <c r="T57" s="78"/>
      <c r="U57" s="78"/>
      <c r="V57" s="78"/>
      <c r="W57" s="78"/>
      <c r="X57" s="78"/>
      <c r="Y57" s="78"/>
      <c r="Z57" s="78"/>
      <c r="AA57" s="78"/>
      <c r="AB57" s="78"/>
      <c r="AC57" s="78"/>
      <c r="AD57" s="78"/>
      <c r="AE57" s="78"/>
      <c r="AF57" s="78"/>
      <c r="AG57" s="78"/>
      <c r="AH57" s="78"/>
      <c r="AI57" s="78"/>
      <c r="AJ57" s="78"/>
      <c r="AK57" s="78"/>
      <c r="AL57" s="78"/>
      <c r="AM57" s="78"/>
      <c r="AN57" s="78"/>
      <c r="AO57" s="78"/>
      <c r="AP57" s="78"/>
      <c r="AQ57" s="78"/>
      <c r="AR57" s="78"/>
      <c r="AS57" s="78"/>
    </row>
    <row r="58" spans="1:45" s="35" customFormat="1" collapsed="1" x14ac:dyDescent="0.25">
      <c r="A58" s="72">
        <f>A34-B58-C58</f>
        <v>19757.369999999981</v>
      </c>
      <c r="B58" s="72">
        <f>-rcpAug</f>
        <v>-106385.64000000001</v>
      </c>
      <c r="C58" s="72">
        <f>SUBTOTAL(9,C35:C57)</f>
        <v>129055.53000000004</v>
      </c>
      <c r="D58" s="73"/>
      <c r="E58" s="73" t="s">
        <v>72</v>
      </c>
      <c r="F58" s="73"/>
      <c r="G58" s="72">
        <f t="shared" ref="G58:AS58" si="6">SUBTOTAL(9,G34:G57)</f>
        <v>0</v>
      </c>
      <c r="H58" s="72">
        <f t="shared" si="6"/>
        <v>629.04272727272735</v>
      </c>
      <c r="I58" s="72">
        <f t="shared" si="6"/>
        <v>0</v>
      </c>
      <c r="J58" s="72">
        <f t="shared" si="6"/>
        <v>0</v>
      </c>
      <c r="K58" s="72">
        <f t="shared" si="6"/>
        <v>0</v>
      </c>
      <c r="L58" s="72">
        <f t="shared" si="6"/>
        <v>36.74545454545455</v>
      </c>
      <c r="M58" s="72">
        <f t="shared" si="6"/>
        <v>2211.3363636363638</v>
      </c>
      <c r="N58" s="72">
        <f t="shared" si="6"/>
        <v>0</v>
      </c>
      <c r="O58" s="72">
        <f t="shared" si="6"/>
        <v>11.32</v>
      </c>
      <c r="P58" s="72">
        <f t="shared" si="6"/>
        <v>1025.45</v>
      </c>
      <c r="Q58" s="72">
        <f t="shared" si="6"/>
        <v>54.54</v>
      </c>
      <c r="R58" s="72">
        <f t="shared" si="6"/>
        <v>0</v>
      </c>
      <c r="S58" s="72">
        <f t="shared" si="6"/>
        <v>9813.4500000000007</v>
      </c>
      <c r="T58" s="72">
        <f t="shared" si="6"/>
        <v>8642.3799999999992</v>
      </c>
      <c r="U58" s="72">
        <f t="shared" si="6"/>
        <v>6874.88</v>
      </c>
      <c r="V58" s="72">
        <f t="shared" si="6"/>
        <v>8102</v>
      </c>
      <c r="W58" s="72">
        <f t="shared" si="6"/>
        <v>6813.92</v>
      </c>
      <c r="X58" s="72">
        <f t="shared" si="6"/>
        <v>4555.8500000000004</v>
      </c>
      <c r="Y58" s="72">
        <f t="shared" si="6"/>
        <v>6165.04</v>
      </c>
      <c r="Z58" s="72">
        <f t="shared" si="6"/>
        <v>6158</v>
      </c>
      <c r="AA58" s="72">
        <f t="shared" si="6"/>
        <v>0</v>
      </c>
      <c r="AB58" s="72">
        <f t="shared" si="6"/>
        <v>3407.83</v>
      </c>
      <c r="AC58" s="72">
        <f t="shared" si="6"/>
        <v>0</v>
      </c>
      <c r="AD58" s="72">
        <f t="shared" si="6"/>
        <v>1650</v>
      </c>
      <c r="AE58" s="72">
        <f t="shared" si="6"/>
        <v>0</v>
      </c>
      <c r="AF58" s="72">
        <f t="shared" si="6"/>
        <v>0</v>
      </c>
      <c r="AG58" s="72">
        <f t="shared" si="6"/>
        <v>0</v>
      </c>
      <c r="AH58" s="72">
        <f t="shared" si="6"/>
        <v>0</v>
      </c>
      <c r="AI58" s="72">
        <f t="shared" si="6"/>
        <v>0</v>
      </c>
      <c r="AJ58" s="72">
        <f t="shared" si="6"/>
        <v>0</v>
      </c>
      <c r="AK58" s="72">
        <f t="shared" si="6"/>
        <v>0</v>
      </c>
      <c r="AL58" s="72">
        <f t="shared" si="6"/>
        <v>0</v>
      </c>
      <c r="AM58" s="72">
        <f t="shared" si="6"/>
        <v>0</v>
      </c>
      <c r="AN58" s="72">
        <f t="shared" si="6"/>
        <v>25338</v>
      </c>
      <c r="AO58" s="72">
        <f t="shared" si="6"/>
        <v>31861</v>
      </c>
      <c r="AP58" s="72">
        <f t="shared" si="6"/>
        <v>5600</v>
      </c>
      <c r="AQ58" s="72">
        <f t="shared" si="6"/>
        <v>0</v>
      </c>
      <c r="AR58" s="72">
        <f t="shared" si="6"/>
        <v>0</v>
      </c>
      <c r="AS58" s="72">
        <f t="shared" si="6"/>
        <v>104.74545454545455</v>
      </c>
    </row>
    <row r="59" spans="1:45" hidden="1" outlineLevel="1" x14ac:dyDescent="0.25">
      <c r="A59" s="74"/>
      <c r="B59" s="74"/>
      <c r="C59" s="74">
        <f t="shared" ref="C59:C88" si="7">SUM(G59:AT59)</f>
        <v>39.020000000000003</v>
      </c>
      <c r="D59" s="75">
        <v>1</v>
      </c>
      <c r="E59" s="75" t="s">
        <v>67</v>
      </c>
      <c r="F59" s="75" t="s">
        <v>710</v>
      </c>
      <c r="G59" s="74"/>
      <c r="H59" s="74"/>
      <c r="I59" s="74"/>
      <c r="J59" s="74"/>
      <c r="K59" s="74"/>
      <c r="L59" s="74"/>
      <c r="M59" s="74"/>
      <c r="N59" s="74"/>
      <c r="O59" s="74">
        <v>39.020000000000003</v>
      </c>
      <c r="P59" s="74"/>
      <c r="Q59" s="74"/>
      <c r="R59" s="74"/>
      <c r="S59" s="74"/>
      <c r="T59" s="74"/>
      <c r="U59" s="74"/>
      <c r="V59" s="74"/>
      <c r="W59" s="74"/>
      <c r="X59" s="74"/>
      <c r="Y59" s="74"/>
      <c r="Z59" s="74"/>
      <c r="AA59" s="74"/>
      <c r="AB59" s="74"/>
      <c r="AC59" s="74"/>
      <c r="AD59" s="74"/>
      <c r="AE59" s="74"/>
      <c r="AF59" s="74"/>
      <c r="AG59" s="74"/>
      <c r="AH59" s="74"/>
      <c r="AI59" s="74"/>
      <c r="AJ59" s="74"/>
      <c r="AK59" s="74"/>
      <c r="AL59" s="74"/>
      <c r="AM59" s="74"/>
      <c r="AN59" s="74"/>
      <c r="AO59" s="74"/>
      <c r="AP59" s="74"/>
      <c r="AQ59" s="74"/>
      <c r="AR59" s="74"/>
      <c r="AS59" s="74"/>
    </row>
    <row r="60" spans="1:45" hidden="1" outlineLevel="1" x14ac:dyDescent="0.25">
      <c r="A60" s="76"/>
      <c r="B60" s="76"/>
      <c r="C60" s="76">
        <f t="shared" si="7"/>
        <v>5</v>
      </c>
      <c r="D60" s="77">
        <v>1</v>
      </c>
      <c r="E60" s="77" t="s">
        <v>67</v>
      </c>
      <c r="F60" s="77" t="s">
        <v>709</v>
      </c>
      <c r="G60" s="76"/>
      <c r="H60" s="76"/>
      <c r="I60" s="76"/>
      <c r="J60" s="76"/>
      <c r="K60" s="76"/>
      <c r="L60" s="76"/>
      <c r="M60" s="76"/>
      <c r="N60" s="76"/>
      <c r="O60" s="76">
        <v>5</v>
      </c>
      <c r="P60" s="76"/>
      <c r="Q60" s="76"/>
      <c r="R60" s="76"/>
      <c r="S60" s="76"/>
      <c r="T60" s="76"/>
      <c r="U60" s="76"/>
      <c r="V60" s="76"/>
      <c r="W60" s="76"/>
      <c r="X60" s="76"/>
      <c r="Y60" s="76"/>
      <c r="Z60" s="76"/>
      <c r="AA60" s="76"/>
      <c r="AB60" s="76"/>
      <c r="AC60" s="76"/>
      <c r="AD60" s="76"/>
      <c r="AE60" s="76"/>
      <c r="AF60" s="76"/>
      <c r="AG60" s="76"/>
      <c r="AH60" s="76"/>
      <c r="AI60" s="76"/>
      <c r="AJ60" s="76"/>
      <c r="AK60" s="76"/>
      <c r="AL60" s="76"/>
      <c r="AM60" s="76"/>
      <c r="AN60" s="76"/>
      <c r="AO60" s="76"/>
      <c r="AP60" s="76"/>
      <c r="AQ60" s="76"/>
      <c r="AR60" s="76"/>
      <c r="AS60" s="76"/>
    </row>
    <row r="61" spans="1:45" hidden="1" outlineLevel="1" x14ac:dyDescent="0.25">
      <c r="A61" s="76"/>
      <c r="B61" s="76"/>
      <c r="C61" s="76">
        <f t="shared" si="7"/>
        <v>141.15</v>
      </c>
      <c r="D61" s="77">
        <v>1</v>
      </c>
      <c r="E61" s="77" t="s">
        <v>67</v>
      </c>
      <c r="F61" s="77" t="s">
        <v>863</v>
      </c>
      <c r="G61" s="76"/>
      <c r="H61" s="76"/>
      <c r="I61" s="76"/>
      <c r="J61" s="76"/>
      <c r="K61" s="76"/>
      <c r="L61" s="76"/>
      <c r="M61" s="76"/>
      <c r="N61" s="76"/>
      <c r="O61" s="76">
        <v>141.15</v>
      </c>
      <c r="P61" s="76"/>
      <c r="Q61" s="76"/>
      <c r="R61" s="76"/>
      <c r="S61" s="76"/>
      <c r="T61" s="76"/>
      <c r="U61" s="76"/>
      <c r="V61" s="76"/>
      <c r="W61" s="76"/>
      <c r="X61" s="76"/>
      <c r="Y61" s="76"/>
      <c r="Z61" s="76"/>
      <c r="AA61" s="76"/>
      <c r="AB61" s="76"/>
      <c r="AC61" s="76"/>
      <c r="AD61" s="76"/>
      <c r="AE61" s="76"/>
      <c r="AF61" s="76"/>
      <c r="AG61" s="76"/>
      <c r="AH61" s="76"/>
      <c r="AI61" s="76"/>
      <c r="AJ61" s="76"/>
      <c r="AK61" s="76"/>
      <c r="AL61" s="76"/>
      <c r="AM61" s="76"/>
      <c r="AN61" s="76"/>
      <c r="AO61" s="76"/>
      <c r="AP61" s="76"/>
      <c r="AQ61" s="76"/>
      <c r="AR61" s="76"/>
      <c r="AS61" s="76"/>
    </row>
    <row r="62" spans="1:45" hidden="1" outlineLevel="1" x14ac:dyDescent="0.25">
      <c r="A62" s="76"/>
      <c r="B62" s="76"/>
      <c r="C62" s="76">
        <f t="shared" si="7"/>
        <v>40</v>
      </c>
      <c r="D62" s="77">
        <v>2</v>
      </c>
      <c r="E62" s="77" t="s">
        <v>865</v>
      </c>
      <c r="F62" s="77" t="s">
        <v>717</v>
      </c>
      <c r="G62" s="76"/>
      <c r="H62" s="76"/>
      <c r="I62" s="76"/>
      <c r="J62" s="76"/>
      <c r="K62" s="76"/>
      <c r="L62" s="76"/>
      <c r="M62" s="76"/>
      <c r="N62" s="76"/>
      <c r="O62" s="76"/>
      <c r="P62" s="76"/>
      <c r="Q62" s="76"/>
      <c r="R62" s="76"/>
      <c r="S62" s="76">
        <v>40</v>
      </c>
      <c r="T62" s="76"/>
      <c r="U62" s="76"/>
      <c r="V62" s="76"/>
      <c r="W62" s="76"/>
      <c r="X62" s="76"/>
      <c r="Y62" s="76"/>
      <c r="Z62" s="76"/>
      <c r="AA62" s="76"/>
      <c r="AB62" s="76"/>
      <c r="AC62" s="76"/>
      <c r="AD62" s="76"/>
      <c r="AE62" s="76"/>
      <c r="AF62" s="76"/>
      <c r="AG62" s="76"/>
      <c r="AH62" s="76"/>
      <c r="AI62" s="76"/>
      <c r="AJ62" s="76"/>
      <c r="AK62" s="76"/>
      <c r="AL62" s="76"/>
      <c r="AM62" s="76"/>
      <c r="AN62" s="76"/>
      <c r="AO62" s="76"/>
      <c r="AP62" s="76"/>
      <c r="AQ62" s="76"/>
      <c r="AR62" s="76"/>
      <c r="AS62" s="76"/>
    </row>
    <row r="63" spans="1:45" hidden="1" outlineLevel="1" x14ac:dyDescent="0.25">
      <c r="A63" s="76"/>
      <c r="B63" s="76"/>
      <c r="C63" s="76">
        <f t="shared" si="7"/>
        <v>15203</v>
      </c>
      <c r="D63" s="77">
        <v>5</v>
      </c>
      <c r="E63" s="77" t="s">
        <v>789</v>
      </c>
      <c r="F63" s="77" t="s">
        <v>867</v>
      </c>
      <c r="G63" s="76"/>
      <c r="H63" s="76"/>
      <c r="I63" s="76"/>
      <c r="J63" s="76"/>
      <c r="K63" s="76"/>
      <c r="L63" s="76"/>
      <c r="M63" s="76"/>
      <c r="N63" s="76"/>
      <c r="O63" s="76"/>
      <c r="P63" s="76"/>
      <c r="Q63" s="76"/>
      <c r="R63" s="76"/>
      <c r="S63" s="76"/>
      <c r="T63" s="76"/>
      <c r="U63" s="76"/>
      <c r="V63" s="76"/>
      <c r="W63" s="76"/>
      <c r="X63" s="76"/>
      <c r="Y63" s="76"/>
      <c r="Z63" s="76"/>
      <c r="AA63" s="76"/>
      <c r="AB63" s="76"/>
      <c r="AC63" s="76"/>
      <c r="AD63" s="76"/>
      <c r="AE63" s="76"/>
      <c r="AF63" s="76"/>
      <c r="AG63" s="76"/>
      <c r="AH63" s="76"/>
      <c r="AI63" s="76"/>
      <c r="AJ63" s="76"/>
      <c r="AK63" s="76"/>
      <c r="AL63" s="76"/>
      <c r="AM63" s="76"/>
      <c r="AN63" s="76"/>
      <c r="AO63" s="76">
        <v>15203</v>
      </c>
      <c r="AP63" s="76"/>
      <c r="AQ63" s="76"/>
      <c r="AR63" s="76"/>
      <c r="AS63" s="76"/>
    </row>
    <row r="64" spans="1:45" hidden="1" outlineLevel="1" x14ac:dyDescent="0.25">
      <c r="A64" s="76"/>
      <c r="B64" s="76"/>
      <c r="C64" s="76">
        <f t="shared" si="7"/>
        <v>3948.24</v>
      </c>
      <c r="D64" s="77">
        <v>5</v>
      </c>
      <c r="E64" s="77" t="s">
        <v>738</v>
      </c>
      <c r="F64" s="77" t="s">
        <v>739</v>
      </c>
      <c r="G64" s="76"/>
      <c r="H64" s="76">
        <v>52.269999999999982</v>
      </c>
      <c r="I64" s="76"/>
      <c r="J64" s="76"/>
      <c r="K64" s="76"/>
      <c r="L64" s="76"/>
      <c r="M64" s="76"/>
      <c r="N64" s="76"/>
      <c r="O64" s="76"/>
      <c r="P64" s="76"/>
      <c r="Q64" s="76"/>
      <c r="R64" s="76"/>
      <c r="S64" s="76"/>
      <c r="T64" s="76"/>
      <c r="U64" s="76"/>
      <c r="V64" s="76"/>
      <c r="W64" s="76"/>
      <c r="X64" s="76"/>
      <c r="Y64" s="76">
        <v>3373.24</v>
      </c>
      <c r="Z64" s="76"/>
      <c r="AA64" s="76"/>
      <c r="AB64" s="76">
        <v>522.73</v>
      </c>
      <c r="AC64" s="76"/>
      <c r="AD64" s="76"/>
      <c r="AE64" s="76"/>
      <c r="AF64" s="76"/>
      <c r="AG64" s="76"/>
      <c r="AH64" s="76"/>
      <c r="AI64" s="76"/>
      <c r="AJ64" s="76"/>
      <c r="AK64" s="76"/>
      <c r="AL64" s="76"/>
      <c r="AM64" s="76"/>
      <c r="AN64" s="76"/>
      <c r="AO64" s="76"/>
      <c r="AP64" s="76"/>
      <c r="AQ64" s="76"/>
      <c r="AR64" s="76"/>
      <c r="AS64" s="76"/>
    </row>
    <row r="65" spans="1:45" hidden="1" outlineLevel="1" x14ac:dyDescent="0.25">
      <c r="A65" s="76"/>
      <c r="B65" s="76"/>
      <c r="C65" s="76">
        <f t="shared" si="7"/>
        <v>3935.9700000000003</v>
      </c>
      <c r="D65" s="77">
        <v>5</v>
      </c>
      <c r="E65" s="77" t="s">
        <v>740</v>
      </c>
      <c r="F65" s="77" t="s">
        <v>739</v>
      </c>
      <c r="G65" s="76"/>
      <c r="H65" s="76">
        <v>50.089999999999975</v>
      </c>
      <c r="I65" s="76"/>
      <c r="J65" s="76"/>
      <c r="K65" s="76"/>
      <c r="L65" s="76"/>
      <c r="M65" s="76"/>
      <c r="N65" s="76"/>
      <c r="O65" s="76"/>
      <c r="P65" s="76"/>
      <c r="Q65" s="76"/>
      <c r="R65" s="76"/>
      <c r="S65" s="76"/>
      <c r="T65" s="76"/>
      <c r="U65" s="76"/>
      <c r="V65" s="76"/>
      <c r="W65" s="76"/>
      <c r="X65" s="76"/>
      <c r="Y65" s="76"/>
      <c r="Z65" s="76">
        <v>3384.9700000000003</v>
      </c>
      <c r="AA65" s="76"/>
      <c r="AB65" s="76">
        <v>500.91</v>
      </c>
      <c r="AC65" s="76"/>
      <c r="AD65" s="76"/>
      <c r="AE65" s="76"/>
      <c r="AF65" s="76"/>
      <c r="AG65" s="76"/>
      <c r="AH65" s="76"/>
      <c r="AI65" s="76"/>
      <c r="AJ65" s="76"/>
      <c r="AK65" s="76"/>
      <c r="AL65" s="76"/>
      <c r="AM65" s="76"/>
      <c r="AN65" s="76"/>
      <c r="AO65" s="76"/>
      <c r="AP65" s="76"/>
      <c r="AQ65" s="76"/>
      <c r="AR65" s="76"/>
      <c r="AS65" s="76"/>
    </row>
    <row r="66" spans="1:45" hidden="1" outlineLevel="1" x14ac:dyDescent="0.25">
      <c r="A66" s="76"/>
      <c r="B66" s="76"/>
      <c r="C66" s="76">
        <f t="shared" si="7"/>
        <v>1634</v>
      </c>
      <c r="D66" s="77">
        <v>11</v>
      </c>
      <c r="E66" s="77" t="s">
        <v>715</v>
      </c>
      <c r="F66" s="77" t="s">
        <v>716</v>
      </c>
      <c r="G66" s="76"/>
      <c r="H66" s="76"/>
      <c r="I66" s="76"/>
      <c r="J66" s="76"/>
      <c r="K66" s="76"/>
      <c r="L66" s="76"/>
      <c r="M66" s="76">
        <v>1100</v>
      </c>
      <c r="N66" s="76"/>
      <c r="O66" s="76"/>
      <c r="P66" s="76"/>
      <c r="Q66" s="76"/>
      <c r="R66" s="76"/>
      <c r="S66" s="76">
        <v>534</v>
      </c>
      <c r="T66" s="76"/>
      <c r="U66" s="76"/>
      <c r="V66" s="76"/>
      <c r="W66" s="76"/>
      <c r="X66" s="76"/>
      <c r="Y66" s="76"/>
      <c r="Z66" s="76"/>
      <c r="AA66" s="76"/>
      <c r="AB66" s="76"/>
      <c r="AC66" s="76"/>
      <c r="AD66" s="76"/>
      <c r="AE66" s="76"/>
      <c r="AF66" s="76"/>
      <c r="AG66" s="76"/>
      <c r="AH66" s="76"/>
      <c r="AI66" s="76"/>
      <c r="AJ66" s="76"/>
      <c r="AK66" s="76"/>
      <c r="AL66" s="76"/>
      <c r="AM66" s="76"/>
      <c r="AN66" s="76"/>
      <c r="AO66" s="76"/>
      <c r="AP66" s="76"/>
      <c r="AQ66" s="76"/>
      <c r="AR66" s="76"/>
      <c r="AS66" s="76"/>
    </row>
    <row r="67" spans="1:45" hidden="1" outlineLevel="1" x14ac:dyDescent="0.25">
      <c r="A67" s="76"/>
      <c r="B67" s="76"/>
      <c r="C67" s="76">
        <f t="shared" si="7"/>
        <v>681.35</v>
      </c>
      <c r="D67" s="77">
        <v>12</v>
      </c>
      <c r="E67" s="77" t="s">
        <v>720</v>
      </c>
      <c r="F67" s="77" t="s">
        <v>721</v>
      </c>
      <c r="G67" s="76"/>
      <c r="H67" s="76"/>
      <c r="I67" s="76"/>
      <c r="J67" s="76"/>
      <c r="K67" s="76"/>
      <c r="L67" s="76"/>
      <c r="M67" s="76"/>
      <c r="N67" s="76"/>
      <c r="O67" s="76"/>
      <c r="P67" s="76"/>
      <c r="Q67" s="76"/>
      <c r="R67" s="76"/>
      <c r="S67" s="76">
        <v>681.35</v>
      </c>
      <c r="T67" s="76"/>
      <c r="U67" s="76"/>
      <c r="V67" s="76"/>
      <c r="W67" s="76"/>
      <c r="X67" s="76"/>
      <c r="Y67" s="76"/>
      <c r="Z67" s="76"/>
      <c r="AA67" s="76"/>
      <c r="AB67" s="76"/>
      <c r="AC67" s="76"/>
      <c r="AD67" s="76"/>
      <c r="AE67" s="76"/>
      <c r="AF67" s="76"/>
      <c r="AG67" s="76"/>
      <c r="AH67" s="76"/>
      <c r="AI67" s="76"/>
      <c r="AJ67" s="76"/>
      <c r="AK67" s="76"/>
      <c r="AL67" s="76"/>
      <c r="AM67" s="76"/>
      <c r="AN67" s="76"/>
      <c r="AO67" s="76"/>
      <c r="AP67" s="76"/>
      <c r="AQ67" s="76"/>
      <c r="AR67" s="76"/>
      <c r="AS67" s="76"/>
    </row>
    <row r="68" spans="1:45" hidden="1" outlineLevel="1" x14ac:dyDescent="0.25">
      <c r="A68" s="76"/>
      <c r="B68" s="76"/>
      <c r="C68" s="76">
        <f t="shared" si="7"/>
        <v>10229.15</v>
      </c>
      <c r="D68" s="77">
        <v>14</v>
      </c>
      <c r="E68" s="77" t="s">
        <v>759</v>
      </c>
      <c r="F68" s="77" t="s">
        <v>739</v>
      </c>
      <c r="G68" s="76"/>
      <c r="H68" s="76">
        <v>498.27000000000044</v>
      </c>
      <c r="I68" s="76"/>
      <c r="J68" s="76"/>
      <c r="K68" s="76"/>
      <c r="L68" s="76"/>
      <c r="M68" s="76"/>
      <c r="N68" s="76"/>
      <c r="O68" s="76"/>
      <c r="P68" s="76"/>
      <c r="Q68" s="76"/>
      <c r="R68" s="76"/>
      <c r="S68" s="76"/>
      <c r="T68" s="76">
        <v>4748.1499999999996</v>
      </c>
      <c r="U68" s="76"/>
      <c r="V68" s="76"/>
      <c r="W68" s="76"/>
      <c r="X68" s="76"/>
      <c r="Y68" s="76"/>
      <c r="Z68" s="76"/>
      <c r="AA68" s="76"/>
      <c r="AB68" s="76">
        <v>4982.7299999999996</v>
      </c>
      <c r="AC68" s="76"/>
      <c r="AD68" s="76"/>
      <c r="AE68" s="76"/>
      <c r="AF68" s="76"/>
      <c r="AG68" s="76"/>
      <c r="AH68" s="76"/>
      <c r="AI68" s="76"/>
      <c r="AJ68" s="76"/>
      <c r="AK68" s="76"/>
      <c r="AL68" s="76"/>
      <c r="AM68" s="76"/>
      <c r="AN68" s="76"/>
      <c r="AO68" s="76"/>
      <c r="AP68" s="76"/>
      <c r="AQ68" s="76"/>
      <c r="AR68" s="76"/>
      <c r="AS68" s="76"/>
    </row>
    <row r="69" spans="1:45" hidden="1" outlineLevel="1" x14ac:dyDescent="0.25">
      <c r="A69" s="76"/>
      <c r="B69" s="76"/>
      <c r="C69" s="76">
        <f t="shared" si="7"/>
        <v>10396.74</v>
      </c>
      <c r="D69" s="77">
        <v>14</v>
      </c>
      <c r="E69" s="77" t="s">
        <v>760</v>
      </c>
      <c r="F69" s="77" t="s">
        <v>739</v>
      </c>
      <c r="G69" s="76"/>
      <c r="H69" s="76">
        <v>141.73000000000002</v>
      </c>
      <c r="I69" s="76"/>
      <c r="J69" s="76"/>
      <c r="K69" s="76"/>
      <c r="L69" s="76"/>
      <c r="M69" s="76"/>
      <c r="N69" s="76"/>
      <c r="O69" s="76"/>
      <c r="P69" s="76"/>
      <c r="Q69" s="76"/>
      <c r="R69" s="76"/>
      <c r="S69" s="76"/>
      <c r="T69" s="76"/>
      <c r="U69" s="76">
        <v>8837.74</v>
      </c>
      <c r="V69" s="76"/>
      <c r="W69" s="76"/>
      <c r="X69" s="76"/>
      <c r="Y69" s="76"/>
      <c r="Z69" s="76"/>
      <c r="AA69" s="76"/>
      <c r="AB69" s="76">
        <v>1417.27</v>
      </c>
      <c r="AC69" s="76"/>
      <c r="AD69" s="76"/>
      <c r="AE69" s="76"/>
      <c r="AF69" s="76"/>
      <c r="AG69" s="76"/>
      <c r="AH69" s="76"/>
      <c r="AI69" s="76"/>
      <c r="AJ69" s="76"/>
      <c r="AK69" s="76"/>
      <c r="AL69" s="76"/>
      <c r="AM69" s="76"/>
      <c r="AN69" s="76"/>
      <c r="AO69" s="76"/>
      <c r="AP69" s="76"/>
      <c r="AQ69" s="76"/>
      <c r="AR69" s="76"/>
      <c r="AS69" s="76"/>
    </row>
    <row r="70" spans="1:45" hidden="1" outlineLevel="1" x14ac:dyDescent="0.25">
      <c r="A70" s="76"/>
      <c r="B70" s="76"/>
      <c r="C70" s="76">
        <f t="shared" si="7"/>
        <v>9158.01</v>
      </c>
      <c r="D70" s="77">
        <v>14</v>
      </c>
      <c r="E70" s="77" t="s">
        <v>756</v>
      </c>
      <c r="F70" s="77" t="s">
        <v>739</v>
      </c>
      <c r="G70" s="76"/>
      <c r="H70" s="76">
        <v>16.260000000000019</v>
      </c>
      <c r="I70" s="76"/>
      <c r="J70" s="76"/>
      <c r="K70" s="76"/>
      <c r="L70" s="76"/>
      <c r="M70" s="76"/>
      <c r="N70" s="76"/>
      <c r="O70" s="76"/>
      <c r="P70" s="76"/>
      <c r="Q70" s="76"/>
      <c r="R70" s="76"/>
      <c r="S70" s="76"/>
      <c r="T70" s="76"/>
      <c r="U70" s="76"/>
      <c r="V70" s="76">
        <v>8979.11</v>
      </c>
      <c r="W70" s="76"/>
      <c r="X70" s="76"/>
      <c r="Y70" s="76"/>
      <c r="Z70" s="76"/>
      <c r="AA70" s="76"/>
      <c r="AB70" s="76">
        <v>162.63999999999999</v>
      </c>
      <c r="AC70" s="76"/>
      <c r="AD70" s="76"/>
      <c r="AE70" s="76"/>
      <c r="AF70" s="76"/>
      <c r="AG70" s="76"/>
      <c r="AH70" s="76"/>
      <c r="AI70" s="76"/>
      <c r="AJ70" s="76"/>
      <c r="AK70" s="76"/>
      <c r="AL70" s="76"/>
      <c r="AM70" s="76"/>
      <c r="AN70" s="76"/>
      <c r="AO70" s="76"/>
      <c r="AP70" s="76"/>
      <c r="AQ70" s="76"/>
      <c r="AR70" s="76"/>
      <c r="AS70" s="76"/>
    </row>
    <row r="71" spans="1:45" hidden="1" outlineLevel="1" x14ac:dyDescent="0.25">
      <c r="A71" s="76"/>
      <c r="B71" s="76"/>
      <c r="C71" s="76">
        <f t="shared" si="7"/>
        <v>8185.16</v>
      </c>
      <c r="D71" s="77">
        <v>14</v>
      </c>
      <c r="E71" s="77" t="s">
        <v>757</v>
      </c>
      <c r="F71" s="77" t="s">
        <v>739</v>
      </c>
      <c r="G71" s="76"/>
      <c r="H71" s="76">
        <v>12.720000000000013</v>
      </c>
      <c r="I71" s="76"/>
      <c r="J71" s="76"/>
      <c r="K71" s="76"/>
      <c r="L71" s="76"/>
      <c r="M71" s="76"/>
      <c r="N71" s="76"/>
      <c r="O71" s="76"/>
      <c r="P71" s="76"/>
      <c r="Q71" s="76"/>
      <c r="R71" s="76"/>
      <c r="S71" s="76"/>
      <c r="T71" s="76"/>
      <c r="U71" s="76"/>
      <c r="V71" s="76"/>
      <c r="W71" s="76">
        <v>8045.21</v>
      </c>
      <c r="X71" s="76"/>
      <c r="Y71" s="76"/>
      <c r="Z71" s="76"/>
      <c r="AA71" s="76"/>
      <c r="AB71" s="76">
        <v>127.23</v>
      </c>
      <c r="AC71" s="76"/>
      <c r="AD71" s="76"/>
      <c r="AE71" s="76"/>
      <c r="AF71" s="76"/>
      <c r="AG71" s="76"/>
      <c r="AH71" s="76"/>
      <c r="AI71" s="76"/>
      <c r="AJ71" s="76"/>
      <c r="AK71" s="76"/>
      <c r="AL71" s="76"/>
      <c r="AM71" s="76"/>
      <c r="AN71" s="76"/>
      <c r="AO71" s="76"/>
      <c r="AP71" s="76"/>
      <c r="AQ71" s="76"/>
      <c r="AR71" s="76"/>
      <c r="AS71" s="76"/>
    </row>
    <row r="72" spans="1:45" hidden="1" outlineLevel="1" x14ac:dyDescent="0.25">
      <c r="A72" s="76"/>
      <c r="B72" s="76"/>
      <c r="C72" s="76">
        <f t="shared" si="7"/>
        <v>5388.7000000000007</v>
      </c>
      <c r="D72" s="77">
        <v>14</v>
      </c>
      <c r="E72" s="77" t="s">
        <v>758</v>
      </c>
      <c r="F72" s="77" t="s">
        <v>739</v>
      </c>
      <c r="G72" s="76"/>
      <c r="H72" s="76">
        <v>5.6000000000000014</v>
      </c>
      <c r="I72" s="76"/>
      <c r="J72" s="76"/>
      <c r="K72" s="76"/>
      <c r="L72" s="76"/>
      <c r="M72" s="76"/>
      <c r="N72" s="76"/>
      <c r="O72" s="76"/>
      <c r="P72" s="76"/>
      <c r="Q72" s="76"/>
      <c r="R72" s="76"/>
      <c r="S72" s="76"/>
      <c r="T72" s="76"/>
      <c r="U72" s="76"/>
      <c r="V72" s="76"/>
      <c r="W72" s="76"/>
      <c r="X72" s="76">
        <v>5327.1</v>
      </c>
      <c r="Y72" s="76"/>
      <c r="Z72" s="76"/>
      <c r="AA72" s="76"/>
      <c r="AB72" s="76">
        <v>56</v>
      </c>
      <c r="AC72" s="76"/>
      <c r="AD72" s="76"/>
      <c r="AE72" s="76"/>
      <c r="AF72" s="76"/>
      <c r="AG72" s="76"/>
      <c r="AH72" s="76"/>
      <c r="AI72" s="76"/>
      <c r="AJ72" s="76"/>
      <c r="AK72" s="76"/>
      <c r="AL72" s="76"/>
      <c r="AM72" s="76"/>
      <c r="AN72" s="76"/>
      <c r="AO72" s="76"/>
      <c r="AP72" s="76"/>
      <c r="AQ72" s="76"/>
      <c r="AR72" s="76"/>
      <c r="AS72" s="76"/>
    </row>
    <row r="73" spans="1:45" hidden="1" outlineLevel="1" x14ac:dyDescent="0.25">
      <c r="A73" s="76"/>
      <c r="B73" s="76"/>
      <c r="C73" s="76">
        <f t="shared" si="7"/>
        <v>384.1</v>
      </c>
      <c r="D73" s="77">
        <v>14</v>
      </c>
      <c r="E73" s="77" t="s">
        <v>751</v>
      </c>
      <c r="F73" s="77" t="s">
        <v>54</v>
      </c>
      <c r="G73" s="76"/>
      <c r="H73" s="76"/>
      <c r="I73" s="76"/>
      <c r="J73" s="76"/>
      <c r="K73" s="76"/>
      <c r="L73" s="76"/>
      <c r="M73" s="76"/>
      <c r="N73" s="76"/>
      <c r="O73" s="76"/>
      <c r="P73" s="76"/>
      <c r="Q73" s="76"/>
      <c r="R73" s="76"/>
      <c r="S73" s="76">
        <v>384.1</v>
      </c>
      <c r="T73" s="76"/>
      <c r="U73" s="76"/>
      <c r="V73" s="76"/>
      <c r="W73" s="76"/>
      <c r="X73" s="76"/>
      <c r="Y73" s="76"/>
      <c r="Z73" s="76"/>
      <c r="AA73" s="76"/>
      <c r="AB73" s="76"/>
      <c r="AC73" s="76"/>
      <c r="AD73" s="76"/>
      <c r="AE73" s="76"/>
      <c r="AF73" s="76"/>
      <c r="AG73" s="76"/>
      <c r="AH73" s="76"/>
      <c r="AI73" s="76"/>
      <c r="AJ73" s="76"/>
      <c r="AK73" s="76"/>
      <c r="AL73" s="76"/>
      <c r="AM73" s="76"/>
      <c r="AN73" s="76"/>
      <c r="AO73" s="76"/>
      <c r="AP73" s="76"/>
      <c r="AQ73" s="76"/>
      <c r="AR73" s="76"/>
      <c r="AS73" s="76"/>
    </row>
    <row r="74" spans="1:45" hidden="1" outlineLevel="1" x14ac:dyDescent="0.25">
      <c r="A74" s="76"/>
      <c r="B74" s="76"/>
      <c r="C74" s="76">
        <f t="shared" si="7"/>
        <v>3803.9145454545451</v>
      </c>
      <c r="D74" s="77">
        <v>15</v>
      </c>
      <c r="E74" s="77" t="s">
        <v>741</v>
      </c>
      <c r="F74" s="77" t="s">
        <v>742</v>
      </c>
      <c r="G74" s="76"/>
      <c r="H74" s="76">
        <v>15.973636363636361</v>
      </c>
      <c r="I74" s="76"/>
      <c r="J74" s="76"/>
      <c r="K74" s="76"/>
      <c r="L74" s="76"/>
      <c r="M74" s="76">
        <v>4.55</v>
      </c>
      <c r="N74" s="76"/>
      <c r="O74" s="76"/>
      <c r="P74" s="76"/>
      <c r="Q74" s="76"/>
      <c r="R74" s="76"/>
      <c r="S74" s="76">
        <v>3628.2</v>
      </c>
      <c r="T74" s="76"/>
      <c r="U74" s="76"/>
      <c r="V74" s="76"/>
      <c r="W74" s="76"/>
      <c r="X74" s="76"/>
      <c r="Y74" s="76"/>
      <c r="Z74" s="76"/>
      <c r="AA74" s="76"/>
      <c r="AB74" s="76"/>
      <c r="AC74" s="76"/>
      <c r="AD74" s="76"/>
      <c r="AE74" s="76"/>
      <c r="AF74" s="76"/>
      <c r="AG74" s="76"/>
      <c r="AH74" s="76"/>
      <c r="AI74" s="76"/>
      <c r="AJ74" s="76"/>
      <c r="AK74" s="76"/>
      <c r="AL74" s="76"/>
      <c r="AM74" s="76"/>
      <c r="AN74" s="76"/>
      <c r="AO74" s="76"/>
      <c r="AP74" s="76"/>
      <c r="AQ74" s="76"/>
      <c r="AR74" s="76"/>
      <c r="AS74" s="76">
        <v>155.19090909090909</v>
      </c>
    </row>
    <row r="75" spans="1:45" hidden="1" outlineLevel="1" x14ac:dyDescent="0.25">
      <c r="A75" s="76"/>
      <c r="B75" s="76"/>
      <c r="C75" s="76">
        <f t="shared" ref="C75" si="8">SUM(G75:AT75)</f>
        <v>700</v>
      </c>
      <c r="D75" s="77">
        <v>20</v>
      </c>
      <c r="E75" s="77" t="s">
        <v>722</v>
      </c>
      <c r="F75" s="77" t="s">
        <v>918</v>
      </c>
      <c r="G75" s="76"/>
      <c r="H75" s="76"/>
      <c r="I75" s="76"/>
      <c r="J75" s="76"/>
      <c r="K75" s="76"/>
      <c r="L75" s="76"/>
      <c r="M75" s="76"/>
      <c r="N75" s="76"/>
      <c r="O75" s="76"/>
      <c r="P75" s="76"/>
      <c r="Q75" s="76"/>
      <c r="R75" s="76"/>
      <c r="S75" s="76">
        <v>700</v>
      </c>
      <c r="T75" s="76"/>
      <c r="U75" s="76"/>
      <c r="V75" s="76"/>
      <c r="W75" s="76"/>
      <c r="X75" s="76"/>
      <c r="Y75" s="76"/>
      <c r="Z75" s="76"/>
      <c r="AA75" s="76"/>
      <c r="AB75" s="76"/>
      <c r="AC75" s="76"/>
      <c r="AD75" s="76"/>
      <c r="AE75" s="76"/>
      <c r="AF75" s="76"/>
      <c r="AG75" s="76"/>
      <c r="AH75" s="76"/>
      <c r="AI75" s="76"/>
      <c r="AJ75" s="76"/>
      <c r="AK75" s="76"/>
      <c r="AL75" s="76"/>
      <c r="AM75" s="76"/>
      <c r="AN75" s="76"/>
      <c r="AO75" s="76"/>
      <c r="AP75" s="76"/>
      <c r="AQ75" s="76"/>
      <c r="AR75" s="76"/>
      <c r="AS75" s="76"/>
    </row>
    <row r="76" spans="1:45" hidden="1" outlineLevel="1" x14ac:dyDescent="0.25">
      <c r="A76" s="76"/>
      <c r="B76" s="76"/>
      <c r="C76" s="76">
        <f t="shared" si="7"/>
        <v>3119.47</v>
      </c>
      <c r="D76" s="77">
        <v>20</v>
      </c>
      <c r="E76" s="77" t="s">
        <v>738</v>
      </c>
      <c r="F76" s="77" t="s">
        <v>739</v>
      </c>
      <c r="G76" s="76"/>
      <c r="H76" s="76"/>
      <c r="I76" s="76"/>
      <c r="J76" s="76"/>
      <c r="K76" s="76"/>
      <c r="L76" s="76"/>
      <c r="M76" s="76"/>
      <c r="N76" s="76"/>
      <c r="O76" s="76"/>
      <c r="P76" s="76"/>
      <c r="Q76" s="76"/>
      <c r="R76" s="76"/>
      <c r="S76" s="76"/>
      <c r="T76" s="76"/>
      <c r="U76" s="76"/>
      <c r="V76" s="76"/>
      <c r="W76" s="76"/>
      <c r="X76" s="76"/>
      <c r="Y76" s="76">
        <v>3119.47</v>
      </c>
      <c r="Z76" s="76"/>
      <c r="AA76" s="76"/>
      <c r="AB76" s="76"/>
      <c r="AC76" s="76"/>
      <c r="AD76" s="76"/>
      <c r="AE76" s="76"/>
      <c r="AF76" s="76"/>
      <c r="AG76" s="76"/>
      <c r="AH76" s="76"/>
      <c r="AI76" s="76"/>
      <c r="AJ76" s="76"/>
      <c r="AK76" s="76"/>
      <c r="AL76" s="76"/>
      <c r="AM76" s="76"/>
      <c r="AN76" s="76"/>
      <c r="AO76" s="76"/>
      <c r="AP76" s="76"/>
      <c r="AQ76" s="76"/>
      <c r="AR76" s="76"/>
      <c r="AS76" s="76"/>
    </row>
    <row r="77" spans="1:45" hidden="1" outlineLevel="1" x14ac:dyDescent="0.25">
      <c r="A77" s="76"/>
      <c r="B77" s="76"/>
      <c r="C77" s="76">
        <f t="shared" si="7"/>
        <v>3120.6</v>
      </c>
      <c r="D77" s="77">
        <v>20</v>
      </c>
      <c r="E77" s="77" t="s">
        <v>740</v>
      </c>
      <c r="F77" s="77" t="s">
        <v>739</v>
      </c>
      <c r="G77" s="76"/>
      <c r="H77" s="76"/>
      <c r="I77" s="76"/>
      <c r="J77" s="76"/>
      <c r="K77" s="76"/>
      <c r="L77" s="76"/>
      <c r="M77" s="76"/>
      <c r="N77" s="76"/>
      <c r="O77" s="76"/>
      <c r="P77" s="76"/>
      <c r="Q77" s="76"/>
      <c r="R77" s="76"/>
      <c r="S77" s="76"/>
      <c r="T77" s="76"/>
      <c r="U77" s="76"/>
      <c r="V77" s="76"/>
      <c r="W77" s="76"/>
      <c r="X77" s="76"/>
      <c r="Y77" s="76"/>
      <c r="Z77" s="76">
        <v>3120.6</v>
      </c>
      <c r="AA77" s="76"/>
      <c r="AB77" s="76"/>
      <c r="AC77" s="76"/>
      <c r="AD77" s="76"/>
      <c r="AE77" s="76"/>
      <c r="AF77" s="76"/>
      <c r="AG77" s="76"/>
      <c r="AH77" s="76"/>
      <c r="AI77" s="76"/>
      <c r="AJ77" s="76"/>
      <c r="AK77" s="76"/>
      <c r="AL77" s="76"/>
      <c r="AM77" s="76"/>
      <c r="AN77" s="76"/>
      <c r="AO77" s="76"/>
      <c r="AP77" s="76"/>
      <c r="AQ77" s="76"/>
      <c r="AR77" s="76"/>
      <c r="AS77" s="76"/>
    </row>
    <row r="78" spans="1:45" hidden="1" outlineLevel="1" x14ac:dyDescent="0.25">
      <c r="A78" s="76"/>
      <c r="B78" s="76"/>
      <c r="C78" s="76">
        <f t="shared" si="7"/>
        <v>-28000</v>
      </c>
      <c r="D78" s="77">
        <v>20</v>
      </c>
      <c r="E78" s="77" t="s">
        <v>851</v>
      </c>
      <c r="F78" s="77" t="s">
        <v>914</v>
      </c>
      <c r="G78" s="76"/>
      <c r="H78" s="76"/>
      <c r="I78" s="76"/>
      <c r="J78" s="76"/>
      <c r="K78" s="76"/>
      <c r="L78" s="76"/>
      <c r="M78" s="76"/>
      <c r="N78" s="76"/>
      <c r="O78" s="76"/>
      <c r="P78" s="76"/>
      <c r="Q78" s="76"/>
      <c r="R78" s="76"/>
      <c r="S78" s="76">
        <v>-28000</v>
      </c>
      <c r="T78" s="76"/>
      <c r="U78" s="76"/>
      <c r="V78" s="76"/>
      <c r="W78" s="76"/>
      <c r="X78" s="76"/>
      <c r="Y78" s="76"/>
      <c r="Z78" s="76"/>
      <c r="AA78" s="76"/>
      <c r="AB78" s="76"/>
      <c r="AC78" s="76"/>
      <c r="AD78" s="76"/>
      <c r="AE78" s="76"/>
      <c r="AF78" s="76"/>
      <c r="AG78" s="76"/>
      <c r="AH78" s="76"/>
      <c r="AI78" s="76"/>
      <c r="AJ78" s="76"/>
      <c r="AK78" s="76"/>
      <c r="AL78" s="76"/>
      <c r="AM78" s="76"/>
      <c r="AN78" s="76"/>
      <c r="AO78" s="76"/>
      <c r="AP78" s="76"/>
      <c r="AQ78" s="76"/>
      <c r="AR78" s="76"/>
      <c r="AS78" s="76"/>
    </row>
    <row r="79" spans="1:45" hidden="1" outlineLevel="1" x14ac:dyDescent="0.25">
      <c r="A79" s="76"/>
      <c r="B79" s="76"/>
      <c r="C79" s="76">
        <f t="shared" si="7"/>
        <v>59.99</v>
      </c>
      <c r="D79" s="77">
        <v>23</v>
      </c>
      <c r="E79" s="77" t="s">
        <v>773</v>
      </c>
      <c r="F79" s="77" t="s">
        <v>916</v>
      </c>
      <c r="G79" s="76"/>
      <c r="H79" s="76">
        <v>5.45</v>
      </c>
      <c r="I79" s="76"/>
      <c r="J79" s="76"/>
      <c r="K79" s="76"/>
      <c r="L79" s="76"/>
      <c r="M79" s="76"/>
      <c r="N79" s="76"/>
      <c r="O79" s="76"/>
      <c r="P79" s="76"/>
      <c r="Q79" s="76">
        <v>54.54</v>
      </c>
      <c r="R79" s="76"/>
      <c r="S79" s="76"/>
      <c r="T79" s="76"/>
      <c r="U79" s="76"/>
      <c r="V79" s="76"/>
      <c r="W79" s="76"/>
      <c r="X79" s="76"/>
      <c r="Y79" s="76"/>
      <c r="Z79" s="76"/>
      <c r="AA79" s="76"/>
      <c r="AB79" s="76"/>
      <c r="AC79" s="76"/>
      <c r="AD79" s="76"/>
      <c r="AE79" s="76"/>
      <c r="AF79" s="76"/>
      <c r="AG79" s="76"/>
      <c r="AH79" s="76"/>
      <c r="AI79" s="76"/>
      <c r="AJ79" s="76"/>
      <c r="AK79" s="76"/>
      <c r="AL79" s="76"/>
      <c r="AM79" s="76"/>
      <c r="AN79" s="76"/>
      <c r="AO79" s="76"/>
      <c r="AP79" s="76"/>
      <c r="AQ79" s="76"/>
      <c r="AR79" s="76"/>
      <c r="AS79" s="76"/>
    </row>
    <row r="80" spans="1:45" hidden="1" outlineLevel="1" x14ac:dyDescent="0.25">
      <c r="A80" s="76"/>
      <c r="B80" s="76"/>
      <c r="C80" s="76">
        <f t="shared" si="7"/>
        <v>1634</v>
      </c>
      <c r="D80" s="77">
        <v>25</v>
      </c>
      <c r="E80" s="77" t="s">
        <v>715</v>
      </c>
      <c r="F80" s="77" t="s">
        <v>716</v>
      </c>
      <c r="G80" s="76"/>
      <c r="H80" s="76"/>
      <c r="I80" s="76"/>
      <c r="J80" s="76"/>
      <c r="K80" s="76"/>
      <c r="L80" s="76"/>
      <c r="M80" s="76">
        <v>1100</v>
      </c>
      <c r="N80" s="76"/>
      <c r="O80" s="76"/>
      <c r="P80" s="76"/>
      <c r="Q80" s="76"/>
      <c r="R80" s="76"/>
      <c r="S80" s="76">
        <v>534</v>
      </c>
      <c r="T80" s="76"/>
      <c r="U80" s="76"/>
      <c r="V80" s="76"/>
      <c r="W80" s="76"/>
      <c r="X80" s="76"/>
      <c r="Y80" s="76"/>
      <c r="Z80" s="76"/>
      <c r="AA80" s="76"/>
      <c r="AB80" s="76"/>
      <c r="AC80" s="76"/>
      <c r="AD80" s="76"/>
      <c r="AE80" s="76"/>
      <c r="AF80" s="76"/>
      <c r="AG80" s="76"/>
      <c r="AH80" s="76"/>
      <c r="AI80" s="76"/>
      <c r="AJ80" s="76"/>
      <c r="AK80" s="76"/>
      <c r="AL80" s="76"/>
      <c r="AM80" s="76"/>
      <c r="AN80" s="76"/>
      <c r="AO80" s="76"/>
      <c r="AP80" s="76"/>
      <c r="AQ80" s="76"/>
      <c r="AR80" s="76"/>
      <c r="AS80" s="76"/>
    </row>
    <row r="81" spans="1:45" hidden="1" outlineLevel="1" x14ac:dyDescent="0.25">
      <c r="A81" s="76"/>
      <c r="B81" s="76"/>
      <c r="C81" s="76">
        <f t="shared" si="7"/>
        <v>40</v>
      </c>
      <c r="D81" s="77">
        <v>25</v>
      </c>
      <c r="E81" s="77" t="s">
        <v>68</v>
      </c>
      <c r="F81" s="77" t="s">
        <v>717</v>
      </c>
      <c r="G81" s="76"/>
      <c r="H81" s="76"/>
      <c r="I81" s="76"/>
      <c r="J81" s="76"/>
      <c r="K81" s="76"/>
      <c r="L81" s="76"/>
      <c r="M81" s="76"/>
      <c r="N81" s="76"/>
      <c r="O81" s="76"/>
      <c r="P81" s="76"/>
      <c r="Q81" s="76"/>
      <c r="R81" s="76"/>
      <c r="S81" s="76">
        <v>40</v>
      </c>
      <c r="T81" s="76"/>
      <c r="U81" s="76"/>
      <c r="V81" s="76"/>
      <c r="W81" s="76"/>
      <c r="X81" s="76"/>
      <c r="Y81" s="76"/>
      <c r="Z81" s="76"/>
      <c r="AA81" s="76"/>
      <c r="AB81" s="76"/>
      <c r="AC81" s="76"/>
      <c r="AD81" s="76"/>
      <c r="AE81" s="76"/>
      <c r="AF81" s="76"/>
      <c r="AG81" s="76"/>
      <c r="AH81" s="76"/>
      <c r="AI81" s="76"/>
      <c r="AJ81" s="76"/>
      <c r="AK81" s="76"/>
      <c r="AL81" s="76"/>
      <c r="AM81" s="76"/>
      <c r="AN81" s="76"/>
      <c r="AO81" s="76"/>
      <c r="AP81" s="76"/>
      <c r="AQ81" s="76"/>
      <c r="AR81" s="76"/>
      <c r="AS81" s="76"/>
    </row>
    <row r="82" spans="1:45" hidden="1" outlineLevel="1" x14ac:dyDescent="0.25">
      <c r="A82" s="76"/>
      <c r="B82" s="76"/>
      <c r="C82" s="76">
        <f t="shared" si="7"/>
        <v>-400</v>
      </c>
      <c r="D82" s="77">
        <v>26</v>
      </c>
      <c r="E82" s="77" t="s">
        <v>68</v>
      </c>
      <c r="F82" s="77" t="s">
        <v>918</v>
      </c>
      <c r="G82" s="76"/>
      <c r="H82" s="76"/>
      <c r="I82" s="76"/>
      <c r="J82" s="76"/>
      <c r="K82" s="76"/>
      <c r="L82" s="76"/>
      <c r="M82" s="76"/>
      <c r="N82" s="76"/>
      <c r="O82" s="76"/>
      <c r="P82" s="76"/>
      <c r="Q82" s="76"/>
      <c r="R82" s="76"/>
      <c r="S82" s="76">
        <v>-400</v>
      </c>
      <c r="T82" s="76"/>
      <c r="U82" s="76"/>
      <c r="V82" s="76"/>
      <c r="W82" s="76"/>
      <c r="X82" s="76"/>
      <c r="Y82" s="76"/>
      <c r="Z82" s="76"/>
      <c r="AA82" s="76"/>
      <c r="AB82" s="76"/>
      <c r="AC82" s="76"/>
      <c r="AD82" s="76"/>
      <c r="AE82" s="76"/>
      <c r="AF82" s="76"/>
      <c r="AG82" s="76"/>
      <c r="AH82" s="76"/>
      <c r="AI82" s="76"/>
      <c r="AJ82" s="76"/>
      <c r="AK82" s="76"/>
      <c r="AL82" s="76"/>
      <c r="AM82" s="76"/>
      <c r="AN82" s="76"/>
      <c r="AO82" s="76"/>
      <c r="AP82" s="76"/>
      <c r="AQ82" s="76"/>
      <c r="AR82" s="76"/>
      <c r="AS82" s="76"/>
    </row>
    <row r="83" spans="1:45" hidden="1" outlineLevel="1" x14ac:dyDescent="0.25">
      <c r="A83" s="76"/>
      <c r="B83" s="76"/>
      <c r="C83" s="76">
        <f t="shared" si="7"/>
        <v>681.35</v>
      </c>
      <c r="D83" s="77">
        <v>26</v>
      </c>
      <c r="E83" s="77" t="s">
        <v>720</v>
      </c>
      <c r="F83" s="77" t="s">
        <v>721</v>
      </c>
      <c r="G83" s="76"/>
      <c r="H83" s="76"/>
      <c r="I83" s="76"/>
      <c r="J83" s="76"/>
      <c r="K83" s="76"/>
      <c r="L83" s="76"/>
      <c r="M83" s="76"/>
      <c r="N83" s="76"/>
      <c r="O83" s="76"/>
      <c r="P83" s="76"/>
      <c r="Q83" s="76"/>
      <c r="R83" s="76"/>
      <c r="S83" s="76">
        <v>681.35</v>
      </c>
      <c r="T83" s="76"/>
      <c r="U83" s="76"/>
      <c r="V83" s="76"/>
      <c r="W83" s="76"/>
      <c r="X83" s="76"/>
      <c r="Y83" s="76"/>
      <c r="Z83" s="76"/>
      <c r="AA83" s="76"/>
      <c r="AB83" s="76"/>
      <c r="AC83" s="76"/>
      <c r="AD83" s="76"/>
      <c r="AE83" s="76"/>
      <c r="AF83" s="76"/>
      <c r="AG83" s="76"/>
      <c r="AH83" s="76"/>
      <c r="AI83" s="76"/>
      <c r="AJ83" s="76"/>
      <c r="AK83" s="76"/>
      <c r="AL83" s="76"/>
      <c r="AM83" s="76"/>
      <c r="AN83" s="76"/>
      <c r="AO83" s="76"/>
      <c r="AP83" s="76"/>
      <c r="AQ83" s="76"/>
      <c r="AR83" s="76"/>
      <c r="AS83" s="76"/>
    </row>
    <row r="84" spans="1:45" hidden="1" outlineLevel="1" x14ac:dyDescent="0.25">
      <c r="A84" s="76"/>
      <c r="B84" s="76"/>
      <c r="C84" s="76">
        <f t="shared" si="7"/>
        <v>822.26</v>
      </c>
      <c r="D84" s="77">
        <v>27</v>
      </c>
      <c r="E84" s="77" t="s">
        <v>919</v>
      </c>
      <c r="F84" s="77" t="s">
        <v>482</v>
      </c>
      <c r="G84" s="76"/>
      <c r="H84" s="76">
        <v>74.75</v>
      </c>
      <c r="I84" s="76"/>
      <c r="J84" s="76"/>
      <c r="K84" s="76"/>
      <c r="L84" s="76"/>
      <c r="M84" s="76"/>
      <c r="N84" s="76"/>
      <c r="O84" s="76"/>
      <c r="P84" s="76">
        <v>747.51</v>
      </c>
      <c r="Q84" s="76"/>
      <c r="R84" s="76"/>
      <c r="S84" s="84"/>
      <c r="T84" s="76"/>
      <c r="U84" s="76"/>
      <c r="V84" s="76"/>
      <c r="W84" s="76"/>
      <c r="X84" s="76"/>
      <c r="Y84" s="76"/>
      <c r="Z84" s="76"/>
      <c r="AA84" s="76"/>
      <c r="AB84" s="76"/>
      <c r="AC84" s="76"/>
      <c r="AD84" s="76"/>
      <c r="AE84" s="76"/>
      <c r="AF84" s="76"/>
      <c r="AG84" s="76"/>
      <c r="AH84" s="76"/>
      <c r="AI84" s="76"/>
      <c r="AJ84" s="76"/>
      <c r="AK84" s="76"/>
      <c r="AL84" s="76"/>
      <c r="AM84" s="76"/>
      <c r="AN84" s="76"/>
      <c r="AO84" s="76"/>
      <c r="AP84" s="76"/>
      <c r="AQ84" s="76"/>
      <c r="AR84" s="76"/>
      <c r="AS84" s="76"/>
    </row>
    <row r="85" spans="1:45" hidden="1" outlineLevel="1" x14ac:dyDescent="0.25">
      <c r="A85" s="76"/>
      <c r="B85" s="76"/>
      <c r="C85" s="76">
        <f t="shared" ref="C85" si="9">SUM(G85:AT85)</f>
        <v>-300</v>
      </c>
      <c r="D85" s="77">
        <v>30</v>
      </c>
      <c r="E85" s="77" t="s">
        <v>68</v>
      </c>
      <c r="F85" s="77" t="s">
        <v>917</v>
      </c>
      <c r="G85" s="76"/>
      <c r="H85" s="76"/>
      <c r="I85" s="76"/>
      <c r="J85" s="76"/>
      <c r="K85" s="76"/>
      <c r="L85" s="76"/>
      <c r="M85" s="76"/>
      <c r="N85" s="76"/>
      <c r="O85" s="76"/>
      <c r="P85" s="76"/>
      <c r="Q85" s="76"/>
      <c r="R85" s="76"/>
      <c r="S85" s="76">
        <v>-300</v>
      </c>
      <c r="T85" s="76"/>
      <c r="U85" s="76"/>
      <c r="V85" s="76"/>
      <c r="W85" s="76"/>
      <c r="X85" s="76"/>
      <c r="Y85" s="76"/>
      <c r="Z85" s="76"/>
      <c r="AA85" s="76"/>
      <c r="AB85" s="76"/>
      <c r="AC85" s="76"/>
      <c r="AD85" s="76"/>
      <c r="AE85" s="76"/>
      <c r="AF85" s="76"/>
      <c r="AG85" s="76"/>
      <c r="AH85" s="76"/>
      <c r="AI85" s="76"/>
      <c r="AJ85" s="76"/>
      <c r="AK85" s="76"/>
      <c r="AL85" s="76"/>
      <c r="AM85" s="76"/>
      <c r="AN85" s="76"/>
      <c r="AO85" s="76"/>
      <c r="AP85" s="76"/>
      <c r="AQ85" s="76"/>
      <c r="AR85" s="76"/>
      <c r="AS85" s="76"/>
    </row>
    <row r="86" spans="1:45" hidden="1" outlineLevel="1" x14ac:dyDescent="0.25">
      <c r="A86" s="76"/>
      <c r="B86" s="76"/>
      <c r="C86" s="76">
        <f t="shared" si="7"/>
        <v>137.5</v>
      </c>
      <c r="D86" s="77">
        <v>30</v>
      </c>
      <c r="E86" s="77"/>
      <c r="F86" s="77" t="s">
        <v>921</v>
      </c>
      <c r="G86" s="76"/>
      <c r="H86" s="76">
        <v>12.5</v>
      </c>
      <c r="I86" s="76"/>
      <c r="J86" s="76"/>
      <c r="K86" s="76"/>
      <c r="L86" s="76"/>
      <c r="M86" s="76"/>
      <c r="N86" s="76"/>
      <c r="O86" s="76"/>
      <c r="P86" s="76"/>
      <c r="Q86" s="76"/>
      <c r="R86" s="76"/>
      <c r="S86" s="76"/>
      <c r="T86" s="76"/>
      <c r="U86" s="76"/>
      <c r="V86" s="76"/>
      <c r="W86" s="76"/>
      <c r="X86" s="76"/>
      <c r="Y86" s="76"/>
      <c r="Z86" s="76"/>
      <c r="AA86" s="76"/>
      <c r="AB86" s="76"/>
      <c r="AC86" s="76"/>
      <c r="AD86" s="76">
        <v>125</v>
      </c>
      <c r="AE86" s="76"/>
      <c r="AF86" s="76"/>
      <c r="AG86" s="76"/>
      <c r="AH86" s="76"/>
      <c r="AI86" s="76"/>
      <c r="AJ86" s="76"/>
      <c r="AK86" s="76"/>
      <c r="AL86" s="76"/>
      <c r="AM86" s="76"/>
      <c r="AN86" s="76"/>
      <c r="AO86" s="76"/>
      <c r="AP86" s="76"/>
      <c r="AQ86" s="76"/>
      <c r="AR86" s="76"/>
      <c r="AS86" s="76"/>
    </row>
    <row r="87" spans="1:45" hidden="1" outlineLevel="1" x14ac:dyDescent="0.25">
      <c r="A87" s="76"/>
      <c r="B87" s="76"/>
      <c r="C87" s="76">
        <f t="shared" si="7"/>
        <v>1430</v>
      </c>
      <c r="D87" s="77">
        <v>30</v>
      </c>
      <c r="E87" s="77" t="s">
        <v>850</v>
      </c>
      <c r="F87" s="77" t="s">
        <v>258</v>
      </c>
      <c r="G87" s="76"/>
      <c r="H87" s="76">
        <v>130</v>
      </c>
      <c r="I87" s="76"/>
      <c r="J87" s="76"/>
      <c r="K87" s="76"/>
      <c r="L87" s="76"/>
      <c r="M87" s="76"/>
      <c r="N87" s="76"/>
      <c r="O87" s="76"/>
      <c r="P87" s="76"/>
      <c r="Q87" s="76"/>
      <c r="R87" s="76"/>
      <c r="S87" s="76"/>
      <c r="T87" s="76"/>
      <c r="U87" s="76"/>
      <c r="V87" s="76"/>
      <c r="W87" s="76"/>
      <c r="X87" s="76"/>
      <c r="Y87" s="76"/>
      <c r="Z87" s="76"/>
      <c r="AA87" s="76"/>
      <c r="AB87" s="76"/>
      <c r="AC87" s="76"/>
      <c r="AD87" s="76">
        <v>1300</v>
      </c>
      <c r="AE87" s="76"/>
      <c r="AF87" s="76"/>
      <c r="AG87" s="76"/>
      <c r="AH87" s="76"/>
      <c r="AI87" s="76"/>
      <c r="AJ87" s="76"/>
      <c r="AK87" s="76"/>
      <c r="AL87" s="76"/>
      <c r="AM87" s="76"/>
      <c r="AN87" s="76"/>
      <c r="AO87" s="76"/>
      <c r="AP87" s="76"/>
      <c r="AQ87" s="76"/>
      <c r="AR87" s="76"/>
      <c r="AS87" s="76"/>
    </row>
    <row r="88" spans="1:45" hidden="1" outlineLevel="1" x14ac:dyDescent="0.25">
      <c r="A88" s="78"/>
      <c r="B88" s="78"/>
      <c r="C88" s="78">
        <f t="shared" si="7"/>
        <v>1127.99</v>
      </c>
      <c r="D88" s="79">
        <v>30</v>
      </c>
      <c r="E88" s="79" t="s">
        <v>713</v>
      </c>
      <c r="F88" s="79" t="s">
        <v>714</v>
      </c>
      <c r="G88" s="78"/>
      <c r="H88" s="78">
        <v>102.54</v>
      </c>
      <c r="I88" s="78"/>
      <c r="J88" s="78"/>
      <c r="K88" s="78"/>
      <c r="L88" s="78"/>
      <c r="M88" s="78"/>
      <c r="N88" s="78"/>
      <c r="O88" s="78"/>
      <c r="P88" s="78">
        <v>1025.45</v>
      </c>
      <c r="Q88" s="78"/>
      <c r="R88" s="78"/>
      <c r="S88" s="78"/>
      <c r="T88" s="78"/>
      <c r="U88" s="78"/>
      <c r="V88" s="78"/>
      <c r="W88" s="78"/>
      <c r="X88" s="78"/>
      <c r="Y88" s="78"/>
      <c r="Z88" s="78"/>
      <c r="AA88" s="78"/>
      <c r="AB88" s="78"/>
      <c r="AC88" s="78"/>
      <c r="AD88" s="78"/>
      <c r="AE88" s="78"/>
      <c r="AF88" s="78"/>
      <c r="AG88" s="78"/>
      <c r="AH88" s="78"/>
      <c r="AI88" s="78"/>
      <c r="AJ88" s="78"/>
      <c r="AK88" s="78"/>
      <c r="AL88" s="78"/>
      <c r="AM88" s="78"/>
      <c r="AN88" s="78"/>
      <c r="AO88" s="78"/>
      <c r="AP88" s="78"/>
      <c r="AQ88" s="78"/>
      <c r="AR88" s="78"/>
      <c r="AS88" s="78"/>
    </row>
    <row r="89" spans="1:45" s="35" customFormat="1" collapsed="1" x14ac:dyDescent="0.25">
      <c r="A89" s="72">
        <f>A58-B89-C89</f>
        <v>76519.505454545433</v>
      </c>
      <c r="B89" s="72">
        <f>-rcpSep</f>
        <v>-114108.80000000002</v>
      </c>
      <c r="C89" s="72">
        <f>SUBTOTAL(9,C59:C88)</f>
        <v>57346.664545454551</v>
      </c>
      <c r="D89" s="73"/>
      <c r="E89" s="73" t="s">
        <v>73</v>
      </c>
      <c r="F89" s="73"/>
      <c r="G89" s="72">
        <f t="shared" ref="G89:AS89" si="10">SUBTOTAL(9,G59:G88)</f>
        <v>0</v>
      </c>
      <c r="H89" s="72">
        <f t="shared" si="10"/>
        <v>1118.1536363636369</v>
      </c>
      <c r="I89" s="72">
        <f t="shared" si="10"/>
        <v>0</v>
      </c>
      <c r="J89" s="72">
        <f t="shared" si="10"/>
        <v>0</v>
      </c>
      <c r="K89" s="72">
        <f t="shared" si="10"/>
        <v>0</v>
      </c>
      <c r="L89" s="72">
        <f t="shared" si="10"/>
        <v>0</v>
      </c>
      <c r="M89" s="72">
        <f t="shared" si="10"/>
        <v>2204.5500000000002</v>
      </c>
      <c r="N89" s="72">
        <f t="shared" si="10"/>
        <v>0</v>
      </c>
      <c r="O89" s="72">
        <f t="shared" si="10"/>
        <v>185.17000000000002</v>
      </c>
      <c r="P89" s="72">
        <f t="shared" si="10"/>
        <v>1772.96</v>
      </c>
      <c r="Q89" s="72">
        <f t="shared" si="10"/>
        <v>54.54</v>
      </c>
      <c r="R89" s="72">
        <f t="shared" si="10"/>
        <v>0</v>
      </c>
      <c r="S89" s="72">
        <f t="shared" si="10"/>
        <v>-21477</v>
      </c>
      <c r="T89" s="72">
        <f t="shared" si="10"/>
        <v>4748.1499999999996</v>
      </c>
      <c r="U89" s="72">
        <f t="shared" si="10"/>
        <v>8837.74</v>
      </c>
      <c r="V89" s="72">
        <f t="shared" si="10"/>
        <v>8979.11</v>
      </c>
      <c r="W89" s="72">
        <f t="shared" si="10"/>
        <v>8045.21</v>
      </c>
      <c r="X89" s="72">
        <f t="shared" si="10"/>
        <v>5327.1</v>
      </c>
      <c r="Y89" s="72">
        <f t="shared" si="10"/>
        <v>6492.7099999999991</v>
      </c>
      <c r="Z89" s="72">
        <f t="shared" si="10"/>
        <v>6505.57</v>
      </c>
      <c r="AA89" s="72">
        <f t="shared" si="10"/>
        <v>0</v>
      </c>
      <c r="AB89" s="72">
        <f t="shared" si="10"/>
        <v>7769.5099999999993</v>
      </c>
      <c r="AC89" s="72">
        <f t="shared" si="10"/>
        <v>0</v>
      </c>
      <c r="AD89" s="72">
        <f t="shared" si="10"/>
        <v>1425</v>
      </c>
      <c r="AE89" s="72">
        <f t="shared" si="10"/>
        <v>0</v>
      </c>
      <c r="AF89" s="72">
        <f t="shared" si="10"/>
        <v>0</v>
      </c>
      <c r="AG89" s="72">
        <f t="shared" si="10"/>
        <v>0</v>
      </c>
      <c r="AH89" s="72">
        <f t="shared" si="10"/>
        <v>0</v>
      </c>
      <c r="AI89" s="72">
        <f t="shared" si="10"/>
        <v>0</v>
      </c>
      <c r="AJ89" s="72">
        <f t="shared" si="10"/>
        <v>0</v>
      </c>
      <c r="AK89" s="72">
        <f t="shared" si="10"/>
        <v>0</v>
      </c>
      <c r="AL89" s="72">
        <f t="shared" si="10"/>
        <v>0</v>
      </c>
      <c r="AM89" s="72">
        <f t="shared" si="10"/>
        <v>0</v>
      </c>
      <c r="AN89" s="72">
        <f t="shared" si="10"/>
        <v>0</v>
      </c>
      <c r="AO89" s="72">
        <f t="shared" si="10"/>
        <v>15203</v>
      </c>
      <c r="AP89" s="72">
        <f t="shared" si="10"/>
        <v>0</v>
      </c>
      <c r="AQ89" s="72">
        <f t="shared" si="10"/>
        <v>0</v>
      </c>
      <c r="AR89" s="72">
        <f t="shared" si="10"/>
        <v>0</v>
      </c>
      <c r="AS89" s="72">
        <f t="shared" si="10"/>
        <v>155.19090909090909</v>
      </c>
    </row>
    <row r="90" spans="1:45" s="83" customFormat="1" x14ac:dyDescent="0.25">
      <c r="A90" s="80"/>
      <c r="B90" s="44">
        <f>SUBTOTAL(9,B5:B89)</f>
        <v>-330403.26</v>
      </c>
      <c r="C90" s="44">
        <f>SUBTOTAL(9,C5:C89)</f>
        <v>250665.26454545444</v>
      </c>
      <c r="D90" s="80"/>
      <c r="E90" s="81" t="s">
        <v>74</v>
      </c>
      <c r="F90" s="82"/>
      <c r="G90" s="44">
        <f t="shared" ref="G90:AS90" si="11">SUBTOTAL(9,G5:G89)</f>
        <v>0</v>
      </c>
      <c r="H90" s="44">
        <f t="shared" si="11"/>
        <v>2603.9163636363633</v>
      </c>
      <c r="I90" s="44">
        <f t="shared" si="11"/>
        <v>0</v>
      </c>
      <c r="J90" s="44">
        <f t="shared" si="11"/>
        <v>4.55</v>
      </c>
      <c r="K90" s="44">
        <f t="shared" si="11"/>
        <v>0</v>
      </c>
      <c r="L90" s="44">
        <f t="shared" si="11"/>
        <v>36.74545454545455</v>
      </c>
      <c r="M90" s="44">
        <f t="shared" si="11"/>
        <v>7865.9063636363635</v>
      </c>
      <c r="N90" s="44">
        <f t="shared" si="11"/>
        <v>0</v>
      </c>
      <c r="O90" s="44">
        <f t="shared" si="11"/>
        <v>408.40999999999997</v>
      </c>
      <c r="P90" s="44">
        <f t="shared" si="11"/>
        <v>6874.3099999999995</v>
      </c>
      <c r="Q90" s="44">
        <f t="shared" si="11"/>
        <v>186.33999999999997</v>
      </c>
      <c r="R90" s="44">
        <f t="shared" si="11"/>
        <v>0</v>
      </c>
      <c r="S90" s="44">
        <f t="shared" si="11"/>
        <v>-3812.1200000000049</v>
      </c>
      <c r="T90" s="44">
        <f t="shared" si="11"/>
        <v>18572.989999999998</v>
      </c>
      <c r="U90" s="44">
        <f t="shared" si="11"/>
        <v>21900.720000000001</v>
      </c>
      <c r="V90" s="44">
        <f t="shared" si="11"/>
        <v>24081.41</v>
      </c>
      <c r="W90" s="44">
        <f t="shared" si="11"/>
        <v>21763.52</v>
      </c>
      <c r="X90" s="44">
        <f t="shared" si="11"/>
        <v>14451.97</v>
      </c>
      <c r="Y90" s="44">
        <f t="shared" si="11"/>
        <v>18550.399999999998</v>
      </c>
      <c r="Z90" s="44">
        <f t="shared" si="11"/>
        <v>18556.219999999998</v>
      </c>
      <c r="AA90" s="44">
        <f t="shared" si="11"/>
        <v>0</v>
      </c>
      <c r="AB90" s="44">
        <f t="shared" si="11"/>
        <v>15282.53</v>
      </c>
      <c r="AC90" s="44">
        <f t="shared" si="11"/>
        <v>0</v>
      </c>
      <c r="AD90" s="44">
        <f t="shared" si="11"/>
        <v>4921</v>
      </c>
      <c r="AE90" s="44">
        <f t="shared" si="11"/>
        <v>0</v>
      </c>
      <c r="AF90" s="44">
        <f t="shared" si="11"/>
        <v>0</v>
      </c>
      <c r="AG90" s="44">
        <f t="shared" si="11"/>
        <v>0</v>
      </c>
      <c r="AH90" s="44">
        <f t="shared" si="11"/>
        <v>0</v>
      </c>
      <c r="AI90" s="44">
        <f t="shared" si="11"/>
        <v>0</v>
      </c>
      <c r="AJ90" s="44">
        <f t="shared" si="11"/>
        <v>0</v>
      </c>
      <c r="AK90" s="44">
        <f t="shared" si="11"/>
        <v>0</v>
      </c>
      <c r="AL90" s="44">
        <f t="shared" si="11"/>
        <v>0</v>
      </c>
      <c r="AM90" s="44">
        <f t="shared" si="11"/>
        <v>0</v>
      </c>
      <c r="AN90" s="44">
        <f t="shared" si="11"/>
        <v>25338</v>
      </c>
      <c r="AO90" s="44">
        <f t="shared" si="11"/>
        <v>47064</v>
      </c>
      <c r="AP90" s="44">
        <f t="shared" si="11"/>
        <v>5600</v>
      </c>
      <c r="AQ90" s="44">
        <f t="shared" si="11"/>
        <v>0</v>
      </c>
      <c r="AR90" s="44">
        <f t="shared" si="11"/>
        <v>0</v>
      </c>
      <c r="AS90" s="44">
        <f t="shared" si="11"/>
        <v>414.44636363636363</v>
      </c>
    </row>
    <row r="91" spans="1:45" outlineLevel="1" x14ac:dyDescent="0.25">
      <c r="A91" s="74"/>
      <c r="B91" s="74"/>
      <c r="C91" s="74">
        <f t="shared" ref="C91:C110" si="12">SUM(G91:AT91)</f>
        <v>19614</v>
      </c>
      <c r="D91" s="75">
        <v>4</v>
      </c>
      <c r="E91" s="75" t="s">
        <v>789</v>
      </c>
      <c r="F91" s="75" t="s">
        <v>926</v>
      </c>
      <c r="G91" s="74"/>
      <c r="H91" s="74"/>
      <c r="I91" s="74"/>
      <c r="J91" s="74"/>
      <c r="K91" s="74"/>
      <c r="L91" s="74"/>
      <c r="M91" s="74"/>
      <c r="N91" s="74"/>
      <c r="O91" s="74"/>
      <c r="P91" s="74"/>
      <c r="Q91" s="74"/>
      <c r="R91" s="74"/>
      <c r="S91" s="74"/>
      <c r="T91" s="74"/>
      <c r="U91" s="74"/>
      <c r="V91" s="74"/>
      <c r="W91" s="74"/>
      <c r="X91" s="74"/>
      <c r="Y91" s="74"/>
      <c r="Z91" s="74"/>
      <c r="AA91" s="74"/>
      <c r="AB91" s="74"/>
      <c r="AC91" s="74"/>
      <c r="AD91" s="74"/>
      <c r="AE91" s="74"/>
      <c r="AF91" s="74"/>
      <c r="AG91" s="74"/>
      <c r="AH91" s="74"/>
      <c r="AI91" s="74"/>
      <c r="AJ91" s="74"/>
      <c r="AK91" s="74"/>
      <c r="AL91" s="74"/>
      <c r="AM91" s="74"/>
      <c r="AN91" s="74"/>
      <c r="AO91" s="74">
        <v>19614</v>
      </c>
      <c r="AP91" s="74"/>
      <c r="AQ91" s="74"/>
      <c r="AR91" s="74"/>
      <c r="AS91" s="74"/>
    </row>
    <row r="92" spans="1:45" outlineLevel="1" x14ac:dyDescent="0.25">
      <c r="A92" s="76"/>
      <c r="B92" s="76"/>
      <c r="C92" s="76">
        <f t="shared" si="12"/>
        <v>3096.05</v>
      </c>
      <c r="D92" s="77">
        <v>4</v>
      </c>
      <c r="E92" s="77" t="s">
        <v>738</v>
      </c>
      <c r="F92" s="77"/>
      <c r="G92" s="76"/>
      <c r="H92" s="76">
        <v>54.549999999999955</v>
      </c>
      <c r="I92" s="76"/>
      <c r="J92" s="76"/>
      <c r="K92" s="76"/>
      <c r="L92" s="76"/>
      <c r="M92" s="76"/>
      <c r="N92" s="76"/>
      <c r="O92" s="76"/>
      <c r="P92" s="76"/>
      <c r="Q92" s="76"/>
      <c r="R92" s="76"/>
      <c r="S92" s="76"/>
      <c r="T92" s="76"/>
      <c r="U92" s="76"/>
      <c r="V92" s="76"/>
      <c r="W92" s="76"/>
      <c r="X92" s="76"/>
      <c r="Y92" s="76">
        <v>2496.0500000000002</v>
      </c>
      <c r="Z92" s="76"/>
      <c r="AA92" s="76"/>
      <c r="AB92" s="76">
        <v>545.45000000000005</v>
      </c>
      <c r="AC92" s="76"/>
      <c r="AD92" s="76"/>
      <c r="AE92" s="76"/>
      <c r="AF92" s="76"/>
      <c r="AG92" s="76"/>
      <c r="AH92" s="76"/>
      <c r="AI92" s="76"/>
      <c r="AJ92" s="76"/>
      <c r="AK92" s="76"/>
      <c r="AL92" s="76"/>
      <c r="AM92" s="76"/>
      <c r="AN92" s="76"/>
      <c r="AO92" s="76"/>
      <c r="AP92" s="76"/>
      <c r="AQ92" s="76"/>
      <c r="AR92" s="76"/>
      <c r="AS92" s="76"/>
    </row>
    <row r="93" spans="1:45" outlineLevel="1" x14ac:dyDescent="0.25">
      <c r="A93" s="76"/>
      <c r="B93" s="76"/>
      <c r="C93" s="76">
        <f t="shared" si="12"/>
        <v>3067.32</v>
      </c>
      <c r="D93" s="77">
        <v>4</v>
      </c>
      <c r="E93" s="77" t="s">
        <v>740</v>
      </c>
      <c r="F93" s="77"/>
      <c r="G93" s="76"/>
      <c r="H93" s="76">
        <v>47.819999999999993</v>
      </c>
      <c r="I93" s="76"/>
      <c r="J93" s="76"/>
      <c r="K93" s="76"/>
      <c r="L93" s="76"/>
      <c r="M93" s="76"/>
      <c r="N93" s="76"/>
      <c r="O93" s="76"/>
      <c r="P93" s="76"/>
      <c r="Q93" s="76"/>
      <c r="R93" s="76"/>
      <c r="S93" s="76"/>
      <c r="T93" s="76"/>
      <c r="U93" s="76"/>
      <c r="V93" s="76"/>
      <c r="W93" s="76"/>
      <c r="X93" s="76"/>
      <c r="Y93" s="76">
        <v>2541.3200000000002</v>
      </c>
      <c r="Z93" s="76"/>
      <c r="AA93" s="76"/>
      <c r="AB93" s="76">
        <v>478.18</v>
      </c>
      <c r="AC93" s="76"/>
      <c r="AD93" s="76"/>
      <c r="AE93" s="76"/>
      <c r="AF93" s="76"/>
      <c r="AG93" s="76"/>
      <c r="AH93" s="76"/>
      <c r="AI93" s="76"/>
      <c r="AJ93" s="76"/>
      <c r="AK93" s="76"/>
      <c r="AL93" s="76"/>
      <c r="AM93" s="76"/>
      <c r="AN93" s="76"/>
      <c r="AO93" s="76"/>
      <c r="AP93" s="76"/>
      <c r="AQ93" s="76"/>
      <c r="AR93" s="76"/>
      <c r="AS93" s="76"/>
    </row>
    <row r="94" spans="1:45" outlineLevel="1" x14ac:dyDescent="0.25">
      <c r="A94" s="76"/>
      <c r="B94" s="76"/>
      <c r="C94" s="76">
        <f t="shared" si="12"/>
        <v>0</v>
      </c>
      <c r="D94" s="77"/>
      <c r="E94" s="77"/>
      <c r="F94" s="77"/>
      <c r="G94" s="76"/>
      <c r="H94" s="76"/>
      <c r="I94" s="76"/>
      <c r="J94" s="76"/>
      <c r="K94" s="76"/>
      <c r="L94" s="76"/>
      <c r="M94" s="76"/>
      <c r="N94" s="76"/>
      <c r="O94" s="76"/>
      <c r="P94" s="76"/>
      <c r="Q94" s="76"/>
      <c r="R94" s="76"/>
      <c r="S94" s="76"/>
      <c r="T94" s="76"/>
      <c r="U94" s="76"/>
      <c r="V94" s="76"/>
      <c r="W94" s="76"/>
      <c r="X94" s="76"/>
      <c r="Y94" s="76"/>
      <c r="Z94" s="76"/>
      <c r="AA94" s="76"/>
      <c r="AB94" s="76"/>
      <c r="AC94" s="76"/>
      <c r="AD94" s="76"/>
      <c r="AE94" s="76"/>
      <c r="AF94" s="76"/>
      <c r="AG94" s="76"/>
      <c r="AH94" s="76"/>
      <c r="AI94" s="76"/>
      <c r="AJ94" s="76"/>
      <c r="AK94" s="76"/>
      <c r="AL94" s="76"/>
      <c r="AM94" s="76"/>
      <c r="AN94" s="76"/>
      <c r="AO94" s="76"/>
      <c r="AP94" s="76"/>
      <c r="AQ94" s="76"/>
      <c r="AR94" s="76"/>
      <c r="AS94" s="76"/>
    </row>
    <row r="95" spans="1:45" outlineLevel="1" x14ac:dyDescent="0.25">
      <c r="A95" s="76"/>
      <c r="B95" s="76"/>
      <c r="C95" s="76">
        <f t="shared" si="12"/>
        <v>0</v>
      </c>
      <c r="D95" s="77"/>
      <c r="E95" s="77"/>
      <c r="F95" s="77"/>
      <c r="G95" s="76"/>
      <c r="H95" s="76"/>
      <c r="I95" s="76"/>
      <c r="J95" s="76"/>
      <c r="K95" s="76"/>
      <c r="L95" s="76"/>
      <c r="M95" s="76"/>
      <c r="N95" s="76"/>
      <c r="O95" s="76"/>
      <c r="P95" s="76"/>
      <c r="Q95" s="76"/>
      <c r="R95" s="76"/>
      <c r="S95" s="76"/>
      <c r="T95" s="76"/>
      <c r="U95" s="76"/>
      <c r="V95" s="76"/>
      <c r="W95" s="76"/>
      <c r="X95" s="76"/>
      <c r="Y95" s="76"/>
      <c r="Z95" s="76"/>
      <c r="AA95" s="76"/>
      <c r="AB95" s="76"/>
      <c r="AC95" s="76"/>
      <c r="AD95" s="76"/>
      <c r="AE95" s="76"/>
      <c r="AF95" s="76"/>
      <c r="AG95" s="76"/>
      <c r="AH95" s="76"/>
      <c r="AI95" s="76"/>
      <c r="AJ95" s="76"/>
      <c r="AK95" s="76"/>
      <c r="AL95" s="76"/>
      <c r="AM95" s="76"/>
      <c r="AN95" s="76"/>
      <c r="AO95" s="76"/>
      <c r="AP95" s="76"/>
      <c r="AQ95" s="84"/>
      <c r="AR95" s="76"/>
      <c r="AS95" s="76"/>
    </row>
    <row r="96" spans="1:45" outlineLevel="1" x14ac:dyDescent="0.25">
      <c r="A96" s="76"/>
      <c r="B96" s="76"/>
      <c r="C96" s="76">
        <f t="shared" si="12"/>
        <v>0</v>
      </c>
      <c r="D96" s="77"/>
      <c r="E96" s="77"/>
      <c r="F96" s="77"/>
      <c r="G96" s="76"/>
      <c r="H96" s="76"/>
      <c r="I96" s="76"/>
      <c r="J96" s="76"/>
      <c r="K96" s="76"/>
      <c r="L96" s="76"/>
      <c r="M96" s="76"/>
      <c r="N96" s="76"/>
      <c r="O96" s="76"/>
      <c r="P96" s="76"/>
      <c r="Q96" s="76"/>
      <c r="R96" s="76"/>
      <c r="S96" s="84"/>
      <c r="T96" s="76"/>
      <c r="U96" s="76"/>
      <c r="V96" s="76"/>
      <c r="W96" s="76"/>
      <c r="X96" s="76"/>
      <c r="Y96" s="76"/>
      <c r="Z96" s="76"/>
      <c r="AA96" s="76"/>
      <c r="AB96" s="76"/>
      <c r="AC96" s="76"/>
      <c r="AD96" s="76"/>
      <c r="AE96" s="76"/>
      <c r="AF96" s="76"/>
      <c r="AG96" s="76"/>
      <c r="AH96" s="76"/>
      <c r="AI96" s="76"/>
      <c r="AJ96" s="76"/>
      <c r="AK96" s="76"/>
      <c r="AL96" s="76"/>
      <c r="AM96" s="76"/>
      <c r="AN96" s="76"/>
      <c r="AO96" s="76"/>
      <c r="AP96" s="76"/>
      <c r="AQ96" s="84"/>
      <c r="AR96" s="76"/>
      <c r="AS96" s="76"/>
    </row>
    <row r="97" spans="1:45" outlineLevel="1" x14ac:dyDescent="0.25">
      <c r="A97" s="76"/>
      <c r="B97" s="76"/>
      <c r="C97" s="76">
        <f t="shared" si="12"/>
        <v>0</v>
      </c>
      <c r="D97" s="77"/>
      <c r="E97" s="77"/>
      <c r="F97" s="77"/>
      <c r="G97" s="76"/>
      <c r="H97" s="76"/>
      <c r="I97" s="76"/>
      <c r="J97" s="76"/>
      <c r="K97" s="76"/>
      <c r="L97" s="76"/>
      <c r="M97" s="76"/>
      <c r="N97" s="76"/>
      <c r="O97" s="76"/>
      <c r="P97" s="76"/>
      <c r="Q97" s="76"/>
      <c r="R97" s="76"/>
      <c r="S97" s="76"/>
      <c r="T97" s="76"/>
      <c r="U97" s="76"/>
      <c r="V97" s="76"/>
      <c r="W97" s="76"/>
      <c r="X97" s="76"/>
      <c r="Y97" s="76"/>
      <c r="Z97" s="76"/>
      <c r="AA97" s="76"/>
      <c r="AB97" s="76"/>
      <c r="AC97" s="76"/>
      <c r="AD97" s="76"/>
      <c r="AE97" s="76"/>
      <c r="AF97" s="76"/>
      <c r="AG97" s="76"/>
      <c r="AH97" s="76"/>
      <c r="AI97" s="76"/>
      <c r="AJ97" s="76"/>
      <c r="AK97" s="76"/>
      <c r="AL97" s="76"/>
      <c r="AM97" s="76"/>
      <c r="AN97" s="76"/>
      <c r="AO97" s="76"/>
      <c r="AP97" s="76"/>
      <c r="AQ97" s="76"/>
      <c r="AR97" s="76"/>
      <c r="AS97" s="76"/>
    </row>
    <row r="98" spans="1:45" outlineLevel="1" x14ac:dyDescent="0.25">
      <c r="A98" s="76"/>
      <c r="B98" s="76"/>
      <c r="C98" s="76">
        <f t="shared" si="12"/>
        <v>0</v>
      </c>
      <c r="D98" s="77"/>
      <c r="E98" s="77"/>
      <c r="F98" s="77"/>
      <c r="G98" s="76"/>
      <c r="H98" s="76"/>
      <c r="I98" s="76"/>
      <c r="J98" s="76"/>
      <c r="K98" s="76"/>
      <c r="L98" s="76"/>
      <c r="M98" s="76"/>
      <c r="N98" s="76"/>
      <c r="O98" s="76"/>
      <c r="P98" s="76"/>
      <c r="Q98" s="76"/>
      <c r="R98" s="76"/>
      <c r="S98" s="76"/>
      <c r="T98" s="76"/>
      <c r="U98" s="76"/>
      <c r="V98" s="76"/>
      <c r="W98" s="76"/>
      <c r="X98" s="76"/>
      <c r="Y98" s="76"/>
      <c r="Z98" s="76"/>
      <c r="AA98" s="76"/>
      <c r="AB98" s="76"/>
      <c r="AC98" s="76"/>
      <c r="AD98" s="76"/>
      <c r="AE98" s="76"/>
      <c r="AF98" s="76"/>
      <c r="AG98" s="76"/>
      <c r="AH98" s="76"/>
      <c r="AI98" s="76"/>
      <c r="AJ98" s="76"/>
      <c r="AK98" s="76"/>
      <c r="AL98" s="76"/>
      <c r="AM98" s="76"/>
      <c r="AN98" s="76"/>
      <c r="AO98" s="76"/>
      <c r="AP98" s="76"/>
      <c r="AQ98" s="76"/>
      <c r="AR98" s="76"/>
      <c r="AS98" s="76"/>
    </row>
    <row r="99" spans="1:45" outlineLevel="1" x14ac:dyDescent="0.25">
      <c r="A99" s="76"/>
      <c r="B99" s="76"/>
      <c r="C99" s="76">
        <f t="shared" si="12"/>
        <v>0</v>
      </c>
      <c r="D99" s="77"/>
      <c r="E99" s="77"/>
      <c r="F99" s="77"/>
      <c r="G99" s="76"/>
      <c r="H99" s="76"/>
      <c r="I99" s="76"/>
      <c r="J99" s="76"/>
      <c r="K99" s="76"/>
      <c r="L99" s="76"/>
      <c r="M99" s="76"/>
      <c r="N99" s="76"/>
      <c r="O99" s="76"/>
      <c r="P99" s="76"/>
      <c r="Q99" s="76"/>
      <c r="R99" s="76"/>
      <c r="S99" s="76"/>
      <c r="T99" s="76"/>
      <c r="U99" s="76"/>
      <c r="V99" s="76"/>
      <c r="W99" s="76"/>
      <c r="X99" s="76"/>
      <c r="Y99" s="76"/>
      <c r="Z99" s="76"/>
      <c r="AA99" s="76"/>
      <c r="AB99" s="76"/>
      <c r="AC99" s="76"/>
      <c r="AD99" s="76"/>
      <c r="AE99" s="76"/>
      <c r="AF99" s="76"/>
      <c r="AG99" s="76"/>
      <c r="AH99" s="76"/>
      <c r="AI99" s="76"/>
      <c r="AJ99" s="76"/>
      <c r="AK99" s="76"/>
      <c r="AL99" s="76"/>
      <c r="AM99" s="76"/>
      <c r="AN99" s="76"/>
      <c r="AO99" s="76"/>
      <c r="AP99" s="76"/>
      <c r="AQ99" s="76"/>
      <c r="AR99" s="76"/>
      <c r="AS99" s="76"/>
    </row>
    <row r="100" spans="1:45" outlineLevel="1" x14ac:dyDescent="0.25">
      <c r="A100" s="76"/>
      <c r="B100" s="76"/>
      <c r="C100" s="76">
        <f t="shared" si="12"/>
        <v>0</v>
      </c>
      <c r="D100" s="77"/>
      <c r="E100" s="77"/>
      <c r="F100" s="77"/>
      <c r="G100" s="76"/>
      <c r="H100" s="76"/>
      <c r="I100" s="76"/>
      <c r="J100" s="76"/>
      <c r="K100" s="76"/>
      <c r="L100" s="76"/>
      <c r="M100" s="76"/>
      <c r="N100" s="76"/>
      <c r="O100" s="76"/>
      <c r="P100" s="76"/>
      <c r="Q100" s="76"/>
      <c r="R100" s="76"/>
      <c r="S100" s="76"/>
      <c r="T100" s="76"/>
      <c r="U100" s="76"/>
      <c r="V100" s="76"/>
      <c r="W100" s="76"/>
      <c r="X100" s="76"/>
      <c r="Y100" s="76"/>
      <c r="Z100" s="76"/>
      <c r="AA100" s="76"/>
      <c r="AB100" s="76"/>
      <c r="AC100" s="76"/>
      <c r="AD100" s="76"/>
      <c r="AE100" s="76"/>
      <c r="AF100" s="76"/>
      <c r="AG100" s="76"/>
      <c r="AH100" s="76"/>
      <c r="AI100" s="76"/>
      <c r="AJ100" s="76"/>
      <c r="AK100" s="76"/>
      <c r="AL100" s="76"/>
      <c r="AM100" s="76"/>
      <c r="AN100" s="76"/>
      <c r="AO100" s="76"/>
      <c r="AP100" s="76"/>
      <c r="AQ100" s="76"/>
      <c r="AR100" s="76"/>
      <c r="AS100" s="76"/>
    </row>
    <row r="101" spans="1:45" outlineLevel="1" x14ac:dyDescent="0.25">
      <c r="A101" s="76"/>
      <c r="B101" s="76"/>
      <c r="C101" s="76">
        <f t="shared" si="12"/>
        <v>0</v>
      </c>
      <c r="D101" s="77"/>
      <c r="E101" s="77"/>
      <c r="F101" s="77"/>
      <c r="G101" s="76"/>
      <c r="H101" s="76"/>
      <c r="I101" s="76"/>
      <c r="J101" s="76"/>
      <c r="K101" s="76"/>
      <c r="L101" s="76"/>
      <c r="M101" s="76"/>
      <c r="N101" s="76"/>
      <c r="O101" s="76"/>
      <c r="P101" s="76"/>
      <c r="Q101" s="76"/>
      <c r="R101" s="76"/>
      <c r="S101" s="76"/>
      <c r="T101" s="76"/>
      <c r="U101" s="76"/>
      <c r="V101" s="76"/>
      <c r="W101" s="76"/>
      <c r="X101" s="76"/>
      <c r="Y101" s="76"/>
      <c r="Z101" s="76"/>
      <c r="AA101" s="76"/>
      <c r="AB101" s="76"/>
      <c r="AC101" s="76"/>
      <c r="AD101" s="76"/>
      <c r="AE101" s="76"/>
      <c r="AF101" s="76"/>
      <c r="AG101" s="76"/>
      <c r="AH101" s="76"/>
      <c r="AI101" s="76"/>
      <c r="AJ101" s="76"/>
      <c r="AK101" s="76"/>
      <c r="AL101" s="76"/>
      <c r="AM101" s="76"/>
      <c r="AN101" s="76"/>
      <c r="AO101" s="76"/>
      <c r="AP101" s="76"/>
      <c r="AQ101" s="76"/>
      <c r="AR101" s="76"/>
      <c r="AS101" s="76"/>
    </row>
    <row r="102" spans="1:45" outlineLevel="1" x14ac:dyDescent="0.25">
      <c r="A102" s="76"/>
      <c r="B102" s="76"/>
      <c r="C102" s="76">
        <f t="shared" si="12"/>
        <v>0</v>
      </c>
      <c r="D102" s="77"/>
      <c r="E102" s="77"/>
      <c r="F102" s="77"/>
      <c r="G102" s="76"/>
      <c r="H102" s="76"/>
      <c r="I102" s="76"/>
      <c r="J102" s="76"/>
      <c r="K102" s="76"/>
      <c r="L102" s="76"/>
      <c r="M102" s="76"/>
      <c r="N102" s="76"/>
      <c r="O102" s="76"/>
      <c r="P102" s="76"/>
      <c r="Q102" s="76"/>
      <c r="R102" s="76"/>
      <c r="S102" s="76"/>
      <c r="T102" s="76"/>
      <c r="U102" s="76"/>
      <c r="V102" s="76"/>
      <c r="W102" s="76"/>
      <c r="X102" s="76"/>
      <c r="Y102" s="76"/>
      <c r="Z102" s="76"/>
      <c r="AA102" s="76"/>
      <c r="AB102" s="76"/>
      <c r="AC102" s="76"/>
      <c r="AD102" s="76"/>
      <c r="AE102" s="76"/>
      <c r="AF102" s="76"/>
      <c r="AG102" s="76"/>
      <c r="AH102" s="76"/>
      <c r="AI102" s="76"/>
      <c r="AJ102" s="76"/>
      <c r="AK102" s="76"/>
      <c r="AL102" s="76"/>
      <c r="AM102" s="76"/>
      <c r="AN102" s="76"/>
      <c r="AO102" s="76"/>
      <c r="AP102" s="76"/>
      <c r="AQ102" s="76"/>
      <c r="AR102" s="76"/>
      <c r="AS102" s="76"/>
    </row>
    <row r="103" spans="1:45" outlineLevel="1" x14ac:dyDescent="0.25">
      <c r="A103" s="76"/>
      <c r="B103" s="76"/>
      <c r="C103" s="76">
        <f t="shared" si="12"/>
        <v>0</v>
      </c>
      <c r="D103" s="77"/>
      <c r="E103" s="77"/>
      <c r="F103" s="77"/>
      <c r="G103" s="76"/>
      <c r="H103" s="76"/>
      <c r="I103" s="76"/>
      <c r="J103" s="76"/>
      <c r="K103" s="76"/>
      <c r="L103" s="76"/>
      <c r="M103" s="76"/>
      <c r="N103" s="76"/>
      <c r="O103" s="76"/>
      <c r="P103" s="76"/>
      <c r="Q103" s="76"/>
      <c r="R103" s="76"/>
      <c r="S103" s="76"/>
      <c r="T103" s="76"/>
      <c r="U103" s="76"/>
      <c r="V103" s="76"/>
      <c r="W103" s="76"/>
      <c r="X103" s="76"/>
      <c r="Y103" s="76"/>
      <c r="Z103" s="76"/>
      <c r="AA103" s="76"/>
      <c r="AB103" s="76"/>
      <c r="AC103" s="76"/>
      <c r="AD103" s="76"/>
      <c r="AE103" s="76"/>
      <c r="AF103" s="76"/>
      <c r="AG103" s="76"/>
      <c r="AH103" s="76"/>
      <c r="AI103" s="76"/>
      <c r="AJ103" s="76"/>
      <c r="AK103" s="76"/>
      <c r="AL103" s="76"/>
      <c r="AM103" s="76"/>
      <c r="AN103" s="76"/>
      <c r="AO103" s="76"/>
      <c r="AP103" s="76"/>
      <c r="AQ103" s="76"/>
      <c r="AR103" s="76"/>
      <c r="AS103" s="76"/>
    </row>
    <row r="104" spans="1:45" outlineLevel="1" x14ac:dyDescent="0.25">
      <c r="A104" s="76"/>
      <c r="B104" s="76"/>
      <c r="C104" s="76">
        <f t="shared" si="12"/>
        <v>0</v>
      </c>
      <c r="D104" s="77"/>
      <c r="E104" s="77"/>
      <c r="F104" s="77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 s="76"/>
      <c r="AE104" s="76"/>
      <c r="AF104" s="76"/>
      <c r="AG104" s="76"/>
      <c r="AH104" s="76"/>
      <c r="AI104" s="76"/>
      <c r="AJ104" s="76"/>
      <c r="AK104" s="76"/>
      <c r="AL104" s="76"/>
      <c r="AM104" s="76"/>
      <c r="AN104" s="76"/>
      <c r="AO104" s="76"/>
      <c r="AP104" s="76"/>
      <c r="AQ104" s="76"/>
      <c r="AR104" s="76"/>
      <c r="AS104" s="76"/>
    </row>
    <row r="105" spans="1:45" outlineLevel="1" x14ac:dyDescent="0.25">
      <c r="A105" s="76"/>
      <c r="B105" s="76"/>
      <c r="C105" s="76">
        <f t="shared" si="12"/>
        <v>0</v>
      </c>
      <c r="D105" s="77"/>
      <c r="E105" s="77"/>
      <c r="F105" s="77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 s="76"/>
      <c r="AE105" s="76"/>
      <c r="AF105" s="76"/>
      <c r="AG105" s="76"/>
      <c r="AH105" s="76"/>
      <c r="AI105" s="76"/>
      <c r="AJ105" s="76"/>
      <c r="AK105" s="76"/>
      <c r="AL105" s="76"/>
      <c r="AM105" s="76"/>
      <c r="AN105" s="76"/>
      <c r="AO105" s="76"/>
      <c r="AP105" s="76"/>
      <c r="AQ105" s="76"/>
      <c r="AR105" s="76"/>
      <c r="AS105" s="76"/>
    </row>
    <row r="106" spans="1:45" outlineLevel="1" x14ac:dyDescent="0.25">
      <c r="A106" s="76"/>
      <c r="B106" s="76"/>
      <c r="C106" s="76">
        <f t="shared" si="12"/>
        <v>0</v>
      </c>
      <c r="D106" s="77"/>
      <c r="E106" s="77"/>
      <c r="F106" s="77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76"/>
      <c r="AA106" s="76"/>
      <c r="AB106" s="76"/>
      <c r="AC106" s="76"/>
      <c r="AD106" s="76"/>
      <c r="AE106" s="76"/>
      <c r="AF106" s="76"/>
      <c r="AG106" s="76"/>
      <c r="AH106" s="76"/>
      <c r="AI106" s="76"/>
      <c r="AJ106" s="76"/>
      <c r="AK106" s="76"/>
      <c r="AL106" s="76"/>
      <c r="AM106" s="76"/>
      <c r="AN106" s="76"/>
      <c r="AO106" s="76"/>
      <c r="AP106" s="76"/>
      <c r="AQ106" s="76"/>
      <c r="AR106" s="76"/>
      <c r="AS106" s="76"/>
    </row>
    <row r="107" spans="1:45" outlineLevel="1" x14ac:dyDescent="0.25">
      <c r="A107" s="76"/>
      <c r="B107" s="76"/>
      <c r="C107" s="76">
        <f t="shared" si="12"/>
        <v>0</v>
      </c>
      <c r="D107" s="77"/>
      <c r="E107" s="77"/>
      <c r="F107" s="77"/>
      <c r="G107" s="76"/>
      <c r="H107" s="76"/>
      <c r="I107" s="76"/>
      <c r="J107" s="76"/>
      <c r="K107" s="76"/>
      <c r="L107" s="76"/>
      <c r="M107" s="76"/>
      <c r="N107" s="76"/>
      <c r="O107" s="76"/>
      <c r="P107" s="76"/>
      <c r="Q107" s="76"/>
      <c r="R107" s="76"/>
      <c r="S107" s="76"/>
      <c r="T107" s="76"/>
      <c r="U107" s="76"/>
      <c r="V107" s="76"/>
      <c r="W107" s="76"/>
      <c r="X107" s="76"/>
      <c r="Y107" s="76"/>
      <c r="Z107" s="76"/>
      <c r="AA107" s="76"/>
      <c r="AB107" s="76"/>
      <c r="AC107" s="76"/>
      <c r="AD107" s="76"/>
      <c r="AE107" s="76"/>
      <c r="AF107" s="76"/>
      <c r="AG107" s="76"/>
      <c r="AH107" s="76"/>
      <c r="AI107" s="76"/>
      <c r="AJ107" s="76"/>
      <c r="AK107" s="76"/>
      <c r="AL107" s="76"/>
      <c r="AM107" s="76"/>
      <c r="AN107" s="76"/>
      <c r="AO107" s="76"/>
      <c r="AP107" s="76"/>
      <c r="AQ107" s="76"/>
      <c r="AR107" s="76"/>
      <c r="AS107" s="76"/>
    </row>
    <row r="108" spans="1:45" outlineLevel="1" x14ac:dyDescent="0.25">
      <c r="A108" s="76"/>
      <c r="B108" s="76"/>
      <c r="C108" s="76">
        <f t="shared" si="12"/>
        <v>0</v>
      </c>
      <c r="D108" s="77"/>
      <c r="E108" s="77"/>
      <c r="F108" s="77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76"/>
      <c r="AE108" s="76"/>
      <c r="AF108" s="76"/>
      <c r="AG108" s="76"/>
      <c r="AH108" s="76"/>
      <c r="AI108" s="76"/>
      <c r="AJ108" s="76"/>
      <c r="AK108" s="76"/>
      <c r="AL108" s="76"/>
      <c r="AM108" s="76"/>
      <c r="AN108" s="76"/>
      <c r="AO108" s="76"/>
      <c r="AP108" s="76"/>
      <c r="AQ108" s="76"/>
      <c r="AR108" s="76"/>
      <c r="AS108" s="76"/>
    </row>
    <row r="109" spans="1:45" outlineLevel="1" x14ac:dyDescent="0.25">
      <c r="A109" s="76"/>
      <c r="B109" s="76"/>
      <c r="C109" s="76">
        <f t="shared" si="12"/>
        <v>0</v>
      </c>
      <c r="D109" s="77"/>
      <c r="E109" s="77"/>
      <c r="F109" s="77"/>
      <c r="G109" s="76"/>
      <c r="H109" s="76"/>
      <c r="I109" s="76"/>
      <c r="J109" s="76"/>
      <c r="K109" s="76"/>
      <c r="L109" s="76"/>
      <c r="M109" s="76"/>
      <c r="N109" s="76"/>
      <c r="O109" s="76"/>
      <c r="P109" s="76"/>
      <c r="Q109" s="76"/>
      <c r="R109" s="76"/>
      <c r="S109" s="76"/>
      <c r="T109" s="76"/>
      <c r="U109" s="76"/>
      <c r="V109" s="76"/>
      <c r="W109" s="76"/>
      <c r="X109" s="76"/>
      <c r="Y109" s="76"/>
      <c r="Z109" s="76"/>
      <c r="AA109" s="76"/>
      <c r="AB109" s="76"/>
      <c r="AC109" s="76"/>
      <c r="AD109" s="76"/>
      <c r="AE109" s="76"/>
      <c r="AF109" s="76"/>
      <c r="AG109" s="76"/>
      <c r="AH109" s="76"/>
      <c r="AI109" s="76"/>
      <c r="AJ109" s="76"/>
      <c r="AK109" s="76"/>
      <c r="AL109" s="76"/>
      <c r="AM109" s="76"/>
      <c r="AN109" s="76"/>
      <c r="AO109" s="76"/>
      <c r="AP109" s="76"/>
      <c r="AQ109" s="76"/>
      <c r="AR109" s="76"/>
      <c r="AS109" s="76"/>
    </row>
    <row r="110" spans="1:45" outlineLevel="1" x14ac:dyDescent="0.25">
      <c r="A110" s="78"/>
      <c r="B110" s="78"/>
      <c r="C110" s="78">
        <f t="shared" si="12"/>
        <v>0</v>
      </c>
      <c r="D110" s="79"/>
      <c r="E110" s="79"/>
      <c r="F110" s="79"/>
      <c r="G110" s="78"/>
      <c r="H110" s="78"/>
      <c r="I110" s="78"/>
      <c r="J110" s="78"/>
      <c r="K110" s="78"/>
      <c r="L110" s="78"/>
      <c r="M110" s="78"/>
      <c r="N110" s="78"/>
      <c r="O110" s="78"/>
      <c r="P110" s="78"/>
      <c r="Q110" s="78"/>
      <c r="R110" s="78"/>
      <c r="S110" s="78"/>
      <c r="T110" s="78"/>
      <c r="U110" s="78"/>
      <c r="V110" s="78"/>
      <c r="W110" s="78"/>
      <c r="X110" s="78"/>
      <c r="Y110" s="78"/>
      <c r="Z110" s="78"/>
      <c r="AA110" s="78"/>
      <c r="AB110" s="78"/>
      <c r="AC110" s="78"/>
      <c r="AD110" s="78"/>
      <c r="AE110" s="78"/>
      <c r="AF110" s="78"/>
      <c r="AG110" s="78"/>
      <c r="AH110" s="78"/>
      <c r="AI110" s="78"/>
      <c r="AJ110" s="78"/>
      <c r="AK110" s="78"/>
      <c r="AL110" s="78"/>
      <c r="AM110" s="78"/>
      <c r="AN110" s="78"/>
      <c r="AO110" s="78"/>
      <c r="AP110" s="78"/>
      <c r="AQ110" s="78"/>
      <c r="AR110" s="78"/>
      <c r="AS110" s="78"/>
    </row>
    <row r="111" spans="1:45" s="35" customFormat="1" x14ac:dyDescent="0.25">
      <c r="A111" s="72">
        <f>A89-B111-C111</f>
        <v>77032.135454545438</v>
      </c>
      <c r="B111" s="72">
        <f>-rcpOct</f>
        <v>-26290</v>
      </c>
      <c r="C111" s="72">
        <f>SUBTOTAL(9,C91:C110)</f>
        <v>25777.37</v>
      </c>
      <c r="D111" s="73"/>
      <c r="E111" s="73" t="s">
        <v>75</v>
      </c>
      <c r="F111" s="73"/>
      <c r="G111" s="72">
        <f t="shared" ref="G111:AS111" si="13">SUBTOTAL(9,G91:G110)</f>
        <v>0</v>
      </c>
      <c r="H111" s="72">
        <f t="shared" si="13"/>
        <v>102.36999999999995</v>
      </c>
      <c r="I111" s="72">
        <f t="shared" si="13"/>
        <v>0</v>
      </c>
      <c r="J111" s="72">
        <f t="shared" si="13"/>
        <v>0</v>
      </c>
      <c r="K111" s="72">
        <f t="shared" si="13"/>
        <v>0</v>
      </c>
      <c r="L111" s="72">
        <f t="shared" si="13"/>
        <v>0</v>
      </c>
      <c r="M111" s="72">
        <f t="shared" si="13"/>
        <v>0</v>
      </c>
      <c r="N111" s="72">
        <f t="shared" si="13"/>
        <v>0</v>
      </c>
      <c r="O111" s="72">
        <f t="shared" si="13"/>
        <v>0</v>
      </c>
      <c r="P111" s="72">
        <f t="shared" si="13"/>
        <v>0</v>
      </c>
      <c r="Q111" s="72">
        <f t="shared" si="13"/>
        <v>0</v>
      </c>
      <c r="R111" s="72">
        <f t="shared" si="13"/>
        <v>0</v>
      </c>
      <c r="S111" s="72">
        <f t="shared" si="13"/>
        <v>0</v>
      </c>
      <c r="T111" s="72">
        <f t="shared" si="13"/>
        <v>0</v>
      </c>
      <c r="U111" s="72">
        <f t="shared" si="13"/>
        <v>0</v>
      </c>
      <c r="V111" s="72">
        <f t="shared" si="13"/>
        <v>0</v>
      </c>
      <c r="W111" s="72">
        <f t="shared" si="13"/>
        <v>0</v>
      </c>
      <c r="X111" s="72">
        <f t="shared" si="13"/>
        <v>0</v>
      </c>
      <c r="Y111" s="72">
        <f t="shared" si="13"/>
        <v>5037.3700000000008</v>
      </c>
      <c r="Z111" s="72">
        <f t="shared" si="13"/>
        <v>0</v>
      </c>
      <c r="AA111" s="72">
        <f t="shared" si="13"/>
        <v>0</v>
      </c>
      <c r="AB111" s="72">
        <f t="shared" si="13"/>
        <v>1023.6300000000001</v>
      </c>
      <c r="AC111" s="72">
        <f t="shared" si="13"/>
        <v>0</v>
      </c>
      <c r="AD111" s="72">
        <f t="shared" si="13"/>
        <v>0</v>
      </c>
      <c r="AE111" s="72">
        <f t="shared" si="13"/>
        <v>0</v>
      </c>
      <c r="AF111" s="72">
        <f t="shared" si="13"/>
        <v>0</v>
      </c>
      <c r="AG111" s="72">
        <f t="shared" si="13"/>
        <v>0</v>
      </c>
      <c r="AH111" s="72">
        <f t="shared" si="13"/>
        <v>0</v>
      </c>
      <c r="AI111" s="72">
        <f t="shared" si="13"/>
        <v>0</v>
      </c>
      <c r="AJ111" s="72">
        <f t="shared" si="13"/>
        <v>0</v>
      </c>
      <c r="AK111" s="72">
        <f t="shared" si="13"/>
        <v>0</v>
      </c>
      <c r="AL111" s="72">
        <f t="shared" si="13"/>
        <v>0</v>
      </c>
      <c r="AM111" s="72">
        <f t="shared" si="13"/>
        <v>0</v>
      </c>
      <c r="AN111" s="72">
        <f t="shared" si="13"/>
        <v>0</v>
      </c>
      <c r="AO111" s="72">
        <f t="shared" si="13"/>
        <v>19614</v>
      </c>
      <c r="AP111" s="72">
        <f t="shared" si="13"/>
        <v>0</v>
      </c>
      <c r="AQ111" s="72">
        <f t="shared" si="13"/>
        <v>0</v>
      </c>
      <c r="AR111" s="72">
        <f t="shared" si="13"/>
        <v>0</v>
      </c>
      <c r="AS111" s="72">
        <f t="shared" si="13"/>
        <v>0</v>
      </c>
    </row>
    <row r="112" spans="1:45" hidden="1" outlineLevel="1" x14ac:dyDescent="0.25">
      <c r="A112" s="74"/>
      <c r="B112" s="74"/>
      <c r="C112" s="74">
        <f t="shared" ref="C112:C142" si="14">SUM(G112:AT112)</f>
        <v>0</v>
      </c>
      <c r="D112" s="75"/>
      <c r="E112" s="75"/>
      <c r="F112" s="75"/>
      <c r="G112" s="74"/>
      <c r="H112" s="74"/>
      <c r="I112" s="74"/>
      <c r="J112" s="74"/>
      <c r="K112" s="74"/>
      <c r="L112" s="74"/>
      <c r="M112" s="74"/>
      <c r="N112" s="74"/>
      <c r="O112" s="74"/>
      <c r="P112" s="74"/>
      <c r="Q112" s="74"/>
      <c r="R112" s="74"/>
      <c r="S112" s="74"/>
      <c r="T112" s="74"/>
      <c r="U112" s="74"/>
      <c r="V112" s="74"/>
      <c r="W112" s="74"/>
      <c r="X112" s="74"/>
      <c r="Y112" s="74"/>
      <c r="Z112" s="74"/>
      <c r="AA112" s="74"/>
      <c r="AB112" s="74"/>
      <c r="AC112" s="74"/>
      <c r="AD112" s="74"/>
      <c r="AE112" s="74"/>
      <c r="AF112" s="74"/>
      <c r="AG112" s="74"/>
      <c r="AH112" s="74"/>
      <c r="AI112" s="74"/>
      <c r="AJ112" s="74"/>
      <c r="AK112" s="74"/>
      <c r="AL112" s="74"/>
      <c r="AM112" s="74"/>
      <c r="AN112" s="74"/>
      <c r="AO112" s="74"/>
      <c r="AP112" s="74"/>
      <c r="AQ112" s="74"/>
      <c r="AR112" s="74"/>
      <c r="AS112" s="74"/>
    </row>
    <row r="113" spans="1:45" hidden="1" outlineLevel="1" x14ac:dyDescent="0.25">
      <c r="A113" s="76"/>
      <c r="B113" s="76"/>
      <c r="C113" s="76">
        <f t="shared" si="14"/>
        <v>0</v>
      </c>
      <c r="D113" s="77"/>
      <c r="E113" s="77"/>
      <c r="F113" s="77"/>
      <c r="G113" s="76"/>
      <c r="H113" s="76"/>
      <c r="I113" s="76"/>
      <c r="J113" s="76"/>
      <c r="K113" s="76"/>
      <c r="L113" s="76"/>
      <c r="M113" s="76"/>
      <c r="N113" s="76"/>
      <c r="O113" s="76"/>
      <c r="P113" s="76"/>
      <c r="Q113" s="76"/>
      <c r="R113" s="76"/>
      <c r="S113" s="76"/>
      <c r="T113" s="76"/>
      <c r="U113" s="76"/>
      <c r="V113" s="76"/>
      <c r="W113" s="76"/>
      <c r="X113" s="76"/>
      <c r="Y113" s="76"/>
      <c r="Z113" s="76"/>
      <c r="AA113" s="76"/>
      <c r="AB113" s="76"/>
      <c r="AC113" s="76"/>
      <c r="AD113" s="76"/>
      <c r="AE113" s="76"/>
      <c r="AF113" s="76"/>
      <c r="AG113" s="76"/>
      <c r="AH113" s="76"/>
      <c r="AI113" s="76"/>
      <c r="AJ113" s="76"/>
      <c r="AK113" s="76"/>
      <c r="AL113" s="76"/>
      <c r="AM113" s="76"/>
      <c r="AN113" s="76"/>
      <c r="AO113" s="76"/>
      <c r="AP113" s="76"/>
      <c r="AQ113" s="76"/>
      <c r="AR113" s="76"/>
      <c r="AS113" s="76"/>
    </row>
    <row r="114" spans="1:45" hidden="1" outlineLevel="1" x14ac:dyDescent="0.25">
      <c r="A114" s="76"/>
      <c r="B114" s="76"/>
      <c r="C114" s="76">
        <f t="shared" si="14"/>
        <v>0</v>
      </c>
      <c r="D114" s="77"/>
      <c r="E114" s="77"/>
      <c r="F114" s="77"/>
      <c r="G114" s="76"/>
      <c r="H114" s="76"/>
      <c r="I114" s="76"/>
      <c r="J114" s="76"/>
      <c r="K114" s="76"/>
      <c r="L114" s="76"/>
      <c r="M114" s="76"/>
      <c r="N114" s="76"/>
      <c r="O114" s="76"/>
      <c r="P114" s="76"/>
      <c r="Q114" s="76"/>
      <c r="R114" s="76"/>
      <c r="S114" s="76"/>
      <c r="T114" s="76"/>
      <c r="U114" s="76"/>
      <c r="V114" s="76"/>
      <c r="W114" s="76"/>
      <c r="X114" s="76"/>
      <c r="Y114" s="76"/>
      <c r="Z114" s="76"/>
      <c r="AA114" s="76"/>
      <c r="AB114" s="76"/>
      <c r="AC114" s="76"/>
      <c r="AD114" s="76"/>
      <c r="AE114" s="76"/>
      <c r="AF114" s="76"/>
      <c r="AG114" s="76"/>
      <c r="AH114" s="76"/>
      <c r="AI114" s="76"/>
      <c r="AJ114" s="76"/>
      <c r="AK114" s="76"/>
      <c r="AL114" s="76"/>
      <c r="AM114" s="76"/>
      <c r="AN114" s="76"/>
      <c r="AO114" s="76"/>
      <c r="AP114" s="76"/>
      <c r="AQ114" s="76"/>
      <c r="AR114" s="76"/>
      <c r="AS114" s="76"/>
    </row>
    <row r="115" spans="1:45" hidden="1" outlineLevel="1" x14ac:dyDescent="0.25">
      <c r="A115" s="76"/>
      <c r="B115" s="76"/>
      <c r="C115" s="76">
        <f t="shared" si="14"/>
        <v>0</v>
      </c>
      <c r="D115" s="77"/>
      <c r="E115" s="77"/>
      <c r="F115" s="77"/>
      <c r="G115" s="76"/>
      <c r="H115" s="76"/>
      <c r="I115" s="76"/>
      <c r="J115" s="76"/>
      <c r="K115" s="76"/>
      <c r="L115" s="76"/>
      <c r="M115" s="76"/>
      <c r="N115" s="76"/>
      <c r="O115" s="76"/>
      <c r="P115" s="76"/>
      <c r="Q115" s="76"/>
      <c r="R115" s="76"/>
      <c r="S115" s="76"/>
      <c r="T115" s="76"/>
      <c r="U115" s="76"/>
      <c r="V115" s="76"/>
      <c r="W115" s="76"/>
      <c r="X115" s="76"/>
      <c r="Y115" s="76"/>
      <c r="Z115" s="76"/>
      <c r="AA115" s="76"/>
      <c r="AB115" s="76"/>
      <c r="AC115" s="76"/>
      <c r="AD115" s="76"/>
      <c r="AE115" s="76"/>
      <c r="AF115" s="76"/>
      <c r="AG115" s="76"/>
      <c r="AH115" s="76"/>
      <c r="AI115" s="76"/>
      <c r="AJ115" s="76"/>
      <c r="AK115" s="76"/>
      <c r="AL115" s="76"/>
      <c r="AM115" s="76"/>
      <c r="AN115" s="76"/>
      <c r="AO115" s="76"/>
      <c r="AP115" s="76"/>
      <c r="AQ115" s="76"/>
      <c r="AR115" s="76"/>
      <c r="AS115" s="76"/>
    </row>
    <row r="116" spans="1:45" hidden="1" outlineLevel="1" x14ac:dyDescent="0.25">
      <c r="A116" s="76"/>
      <c r="B116" s="76"/>
      <c r="C116" s="76">
        <f t="shared" si="14"/>
        <v>0</v>
      </c>
      <c r="D116" s="77"/>
      <c r="E116" s="77"/>
      <c r="F116" s="77"/>
      <c r="G116" s="76"/>
      <c r="H116" s="76"/>
      <c r="I116" s="76"/>
      <c r="J116" s="76"/>
      <c r="K116" s="76"/>
      <c r="L116" s="76"/>
      <c r="M116" s="76"/>
      <c r="N116" s="76"/>
      <c r="O116" s="76"/>
      <c r="P116" s="76"/>
      <c r="Q116" s="76"/>
      <c r="R116" s="76"/>
      <c r="S116" s="76"/>
      <c r="T116" s="76"/>
      <c r="U116" s="76"/>
      <c r="V116" s="76"/>
      <c r="W116" s="76"/>
      <c r="X116" s="76"/>
      <c r="Y116" s="76"/>
      <c r="Z116" s="76"/>
      <c r="AA116" s="76"/>
      <c r="AB116" s="76"/>
      <c r="AC116" s="76"/>
      <c r="AD116" s="76"/>
      <c r="AE116" s="76"/>
      <c r="AF116" s="76"/>
      <c r="AG116" s="76"/>
      <c r="AH116" s="76"/>
      <c r="AI116" s="76"/>
      <c r="AJ116" s="76"/>
      <c r="AK116" s="76"/>
      <c r="AL116" s="76"/>
      <c r="AM116" s="76"/>
      <c r="AN116" s="76"/>
      <c r="AO116" s="76"/>
      <c r="AP116" s="76"/>
      <c r="AQ116" s="76"/>
      <c r="AR116" s="76"/>
      <c r="AS116" s="76"/>
    </row>
    <row r="117" spans="1:45" hidden="1" outlineLevel="1" x14ac:dyDescent="0.25">
      <c r="A117" s="76"/>
      <c r="B117" s="76"/>
      <c r="C117" s="76">
        <f t="shared" si="14"/>
        <v>0</v>
      </c>
      <c r="D117" s="77"/>
      <c r="E117" s="77"/>
      <c r="F117" s="77"/>
      <c r="G117" s="76"/>
      <c r="H117" s="76"/>
      <c r="I117" s="76"/>
      <c r="J117" s="76"/>
      <c r="K117" s="76"/>
      <c r="L117" s="76"/>
      <c r="M117" s="76"/>
      <c r="N117" s="76"/>
      <c r="O117" s="76"/>
      <c r="P117" s="76"/>
      <c r="Q117" s="76"/>
      <c r="R117" s="76"/>
      <c r="S117" s="76"/>
      <c r="T117" s="76"/>
      <c r="U117" s="76"/>
      <c r="V117" s="76"/>
      <c r="W117" s="76"/>
      <c r="X117" s="76"/>
      <c r="Y117" s="76"/>
      <c r="Z117" s="76"/>
      <c r="AA117" s="76"/>
      <c r="AB117" s="76"/>
      <c r="AC117" s="76"/>
      <c r="AD117" s="76"/>
      <c r="AE117" s="76"/>
      <c r="AF117" s="76"/>
      <c r="AG117" s="76"/>
      <c r="AH117" s="76"/>
      <c r="AI117" s="76"/>
      <c r="AJ117" s="76"/>
      <c r="AK117" s="76"/>
      <c r="AL117" s="76"/>
      <c r="AM117" s="76"/>
      <c r="AN117" s="76"/>
      <c r="AO117" s="76"/>
      <c r="AP117" s="76"/>
      <c r="AQ117" s="76"/>
      <c r="AR117" s="76"/>
      <c r="AS117" s="76"/>
    </row>
    <row r="118" spans="1:45" hidden="1" outlineLevel="1" x14ac:dyDescent="0.25">
      <c r="A118" s="76"/>
      <c r="B118" s="76"/>
      <c r="C118" s="76">
        <f t="shared" si="14"/>
        <v>0</v>
      </c>
      <c r="D118" s="77"/>
      <c r="E118" s="77"/>
      <c r="F118" s="77"/>
      <c r="G118" s="76"/>
      <c r="H118" s="76"/>
      <c r="I118" s="76"/>
      <c r="J118" s="76"/>
      <c r="K118" s="76"/>
      <c r="L118" s="76"/>
      <c r="M118" s="76"/>
      <c r="N118" s="76"/>
      <c r="O118" s="76"/>
      <c r="P118" s="76"/>
      <c r="Q118" s="76"/>
      <c r="R118" s="76"/>
      <c r="S118" s="76"/>
      <c r="T118" s="76"/>
      <c r="U118" s="76"/>
      <c r="V118" s="76"/>
      <c r="W118" s="76"/>
      <c r="X118" s="76"/>
      <c r="Y118" s="76"/>
      <c r="Z118" s="76"/>
      <c r="AA118" s="76"/>
      <c r="AB118" s="76"/>
      <c r="AC118" s="76"/>
      <c r="AD118" s="76"/>
      <c r="AE118" s="76"/>
      <c r="AF118" s="76"/>
      <c r="AG118" s="76"/>
      <c r="AH118" s="76"/>
      <c r="AI118" s="76"/>
      <c r="AJ118" s="76"/>
      <c r="AK118" s="76"/>
      <c r="AL118" s="76"/>
      <c r="AM118" s="76"/>
      <c r="AN118" s="76"/>
      <c r="AO118" s="76"/>
      <c r="AP118" s="76"/>
      <c r="AQ118" s="76"/>
      <c r="AR118" s="76"/>
      <c r="AS118" s="76"/>
    </row>
    <row r="119" spans="1:45" hidden="1" outlineLevel="1" x14ac:dyDescent="0.25">
      <c r="A119" s="76"/>
      <c r="B119" s="76"/>
      <c r="C119" s="76">
        <f t="shared" si="14"/>
        <v>0</v>
      </c>
      <c r="D119" s="77"/>
      <c r="E119" s="77"/>
      <c r="F119" s="77"/>
      <c r="G119" s="76"/>
      <c r="H119" s="76"/>
      <c r="I119" s="76"/>
      <c r="J119" s="76"/>
      <c r="K119" s="76"/>
      <c r="L119" s="76"/>
      <c r="M119" s="76"/>
      <c r="N119" s="76"/>
      <c r="O119" s="76"/>
      <c r="P119" s="76"/>
      <c r="Q119" s="76"/>
      <c r="R119" s="76"/>
      <c r="S119" s="76"/>
      <c r="T119" s="76"/>
      <c r="U119" s="76"/>
      <c r="V119" s="76"/>
      <c r="W119" s="76"/>
      <c r="X119" s="76"/>
      <c r="Y119" s="76"/>
      <c r="Z119" s="76"/>
      <c r="AA119" s="76"/>
      <c r="AB119" s="76"/>
      <c r="AC119" s="76"/>
      <c r="AD119" s="76"/>
      <c r="AE119" s="76"/>
      <c r="AF119" s="76"/>
      <c r="AG119" s="76"/>
      <c r="AH119" s="76"/>
      <c r="AI119" s="76"/>
      <c r="AJ119" s="76"/>
      <c r="AK119" s="76"/>
      <c r="AL119" s="76"/>
      <c r="AM119" s="76"/>
      <c r="AN119" s="76"/>
      <c r="AO119" s="76"/>
      <c r="AP119" s="76"/>
      <c r="AQ119" s="76"/>
      <c r="AR119" s="76"/>
      <c r="AS119" s="76"/>
    </row>
    <row r="120" spans="1:45" hidden="1" outlineLevel="1" x14ac:dyDescent="0.25">
      <c r="A120" s="76"/>
      <c r="B120" s="76"/>
      <c r="C120" s="76">
        <f>SUM(G120:AT120)</f>
        <v>0</v>
      </c>
      <c r="D120" s="77"/>
      <c r="E120" s="77"/>
      <c r="F120" s="77"/>
      <c r="G120" s="76"/>
      <c r="H120" s="76"/>
      <c r="I120" s="76"/>
      <c r="J120" s="76"/>
      <c r="K120" s="76"/>
      <c r="L120" s="76"/>
      <c r="M120" s="76"/>
      <c r="N120" s="76"/>
      <c r="O120" s="76"/>
      <c r="P120" s="76"/>
      <c r="Q120" s="76"/>
      <c r="R120" s="76"/>
      <c r="S120" s="76"/>
      <c r="T120" s="76"/>
      <c r="U120" s="76"/>
      <c r="V120" s="76"/>
      <c r="W120" s="76"/>
      <c r="X120" s="76"/>
      <c r="Y120" s="76"/>
      <c r="Z120" s="76"/>
      <c r="AA120" s="76"/>
      <c r="AB120" s="76"/>
      <c r="AC120" s="76"/>
      <c r="AD120" s="76"/>
      <c r="AE120" s="76"/>
      <c r="AF120" s="76"/>
      <c r="AG120" s="76"/>
      <c r="AH120" s="76"/>
      <c r="AI120" s="76"/>
      <c r="AJ120" s="76"/>
      <c r="AK120" s="76"/>
      <c r="AL120" s="76"/>
      <c r="AM120" s="76"/>
      <c r="AN120" s="76"/>
      <c r="AO120" s="76"/>
      <c r="AP120" s="76"/>
      <c r="AQ120" s="76"/>
      <c r="AR120" s="76"/>
      <c r="AS120" s="76"/>
    </row>
    <row r="121" spans="1:45" hidden="1" outlineLevel="1" x14ac:dyDescent="0.25">
      <c r="A121" s="76"/>
      <c r="B121" s="76"/>
      <c r="C121" s="76">
        <f>SUM(G121:AT121)</f>
        <v>0</v>
      </c>
      <c r="D121" s="77"/>
      <c r="E121" s="77"/>
      <c r="F121" s="77"/>
      <c r="G121" s="76"/>
      <c r="H121" s="76"/>
      <c r="I121" s="76"/>
      <c r="J121" s="76"/>
      <c r="K121" s="76"/>
      <c r="L121" s="76"/>
      <c r="M121" s="76"/>
      <c r="N121" s="76"/>
      <c r="O121" s="76"/>
      <c r="P121" s="76"/>
      <c r="Q121" s="76"/>
      <c r="R121" s="76"/>
      <c r="S121" s="76"/>
      <c r="T121" s="76"/>
      <c r="U121" s="76"/>
      <c r="V121" s="76"/>
      <c r="W121" s="76"/>
      <c r="X121" s="76"/>
      <c r="Y121" s="76"/>
      <c r="Z121" s="76"/>
      <c r="AA121" s="76"/>
      <c r="AB121" s="76"/>
      <c r="AC121" s="76"/>
      <c r="AD121" s="76"/>
      <c r="AE121" s="76"/>
      <c r="AF121" s="76"/>
      <c r="AG121" s="76"/>
      <c r="AH121" s="76"/>
      <c r="AI121" s="76"/>
      <c r="AJ121" s="76"/>
      <c r="AK121" s="76"/>
      <c r="AL121" s="76"/>
      <c r="AM121" s="76"/>
      <c r="AN121" s="76"/>
      <c r="AO121" s="76"/>
      <c r="AP121" s="76"/>
      <c r="AQ121" s="76"/>
      <c r="AR121" s="76"/>
      <c r="AS121" s="76"/>
    </row>
    <row r="122" spans="1:45" hidden="1" outlineLevel="1" x14ac:dyDescent="0.25">
      <c r="A122" s="76"/>
      <c r="B122" s="76"/>
      <c r="C122" s="76">
        <f>SUM(G122:AT122)</f>
        <v>0</v>
      </c>
      <c r="D122" s="77"/>
      <c r="E122" s="77"/>
      <c r="F122" s="77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  <c r="Z122" s="76"/>
      <c r="AA122" s="76"/>
      <c r="AB122" s="76"/>
      <c r="AC122" s="76"/>
      <c r="AD122" s="76"/>
      <c r="AE122" s="76"/>
      <c r="AF122" s="76"/>
      <c r="AG122" s="76"/>
      <c r="AH122" s="76"/>
      <c r="AI122" s="76"/>
      <c r="AJ122" s="76"/>
      <c r="AK122" s="76"/>
      <c r="AL122" s="76"/>
      <c r="AM122" s="76"/>
      <c r="AN122" s="76"/>
      <c r="AO122" s="76"/>
      <c r="AP122" s="76"/>
      <c r="AQ122" s="76"/>
      <c r="AR122" s="76"/>
      <c r="AS122" s="76"/>
    </row>
    <row r="123" spans="1:45" hidden="1" outlineLevel="1" x14ac:dyDescent="0.25">
      <c r="A123" s="76"/>
      <c r="B123" s="76"/>
      <c r="C123" s="76">
        <f>SUM(G123:AT123)</f>
        <v>0</v>
      </c>
      <c r="D123" s="77"/>
      <c r="E123" s="77"/>
      <c r="F123" s="77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D123" s="76"/>
      <c r="AE123" s="76"/>
      <c r="AF123" s="76"/>
      <c r="AG123" s="76"/>
      <c r="AH123" s="76"/>
      <c r="AI123" s="76"/>
      <c r="AJ123" s="76"/>
      <c r="AK123" s="76"/>
      <c r="AL123" s="76"/>
      <c r="AM123" s="76"/>
      <c r="AN123" s="76"/>
      <c r="AO123" s="76"/>
      <c r="AP123" s="76"/>
      <c r="AQ123" s="76"/>
      <c r="AR123" s="76"/>
      <c r="AS123" s="76"/>
    </row>
    <row r="124" spans="1:45" hidden="1" outlineLevel="1" x14ac:dyDescent="0.25">
      <c r="A124" s="76"/>
      <c r="B124" s="76"/>
      <c r="C124" s="76">
        <f>SUM(G124:AT124)</f>
        <v>0</v>
      </c>
      <c r="D124" s="77"/>
      <c r="E124" s="77"/>
      <c r="F124" s="77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D124" s="76"/>
      <c r="AE124" s="76"/>
      <c r="AF124" s="76"/>
      <c r="AG124" s="76"/>
      <c r="AH124" s="76"/>
      <c r="AI124" s="76"/>
      <c r="AJ124" s="76"/>
      <c r="AK124" s="76"/>
      <c r="AL124" s="76"/>
      <c r="AM124" s="76"/>
      <c r="AN124" s="76"/>
      <c r="AO124" s="76"/>
      <c r="AP124" s="76"/>
      <c r="AQ124" s="76"/>
      <c r="AR124" s="76"/>
      <c r="AS124" s="76"/>
    </row>
    <row r="125" spans="1:45" hidden="1" outlineLevel="1" x14ac:dyDescent="0.25">
      <c r="A125" s="76"/>
      <c r="B125" s="76"/>
      <c r="C125" s="76">
        <f t="shared" ref="C125:C128" si="15">SUM(G125:AT125)</f>
        <v>0</v>
      </c>
      <c r="D125" s="77"/>
      <c r="E125" s="77"/>
      <c r="F125" s="77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D125" s="76"/>
      <c r="AE125" s="76"/>
      <c r="AF125" s="76"/>
      <c r="AG125" s="76"/>
      <c r="AH125" s="76"/>
      <c r="AI125" s="76"/>
      <c r="AJ125" s="76"/>
      <c r="AK125" s="76"/>
      <c r="AL125" s="76"/>
      <c r="AM125" s="76"/>
      <c r="AN125" s="76"/>
      <c r="AO125" s="76"/>
      <c r="AP125" s="76"/>
      <c r="AQ125" s="76"/>
      <c r="AR125" s="76"/>
      <c r="AS125" s="76"/>
    </row>
    <row r="126" spans="1:45" hidden="1" outlineLevel="1" x14ac:dyDescent="0.25">
      <c r="A126" s="76"/>
      <c r="B126" s="76"/>
      <c r="C126" s="76">
        <f t="shared" si="15"/>
        <v>0</v>
      </c>
      <c r="D126" s="77"/>
      <c r="E126" s="77"/>
      <c r="F126" s="77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76"/>
      <c r="AE126" s="76"/>
      <c r="AF126" s="76"/>
      <c r="AG126" s="76"/>
      <c r="AH126" s="76"/>
      <c r="AI126" s="76"/>
      <c r="AJ126" s="76"/>
      <c r="AK126" s="76"/>
      <c r="AL126" s="76"/>
      <c r="AM126" s="76"/>
      <c r="AN126" s="76"/>
      <c r="AO126" s="76"/>
      <c r="AP126" s="76"/>
      <c r="AQ126" s="76"/>
      <c r="AR126" s="76"/>
      <c r="AS126" s="76"/>
    </row>
    <row r="127" spans="1:45" hidden="1" outlineLevel="1" x14ac:dyDescent="0.25">
      <c r="A127" s="76"/>
      <c r="B127" s="76"/>
      <c r="C127" s="76">
        <f t="shared" si="15"/>
        <v>0</v>
      </c>
      <c r="D127" s="77"/>
      <c r="E127" s="77"/>
      <c r="F127" s="77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76"/>
      <c r="AE127" s="76"/>
      <c r="AF127" s="76"/>
      <c r="AG127" s="76"/>
      <c r="AH127" s="76"/>
      <c r="AI127" s="76"/>
      <c r="AJ127" s="76"/>
      <c r="AK127" s="76"/>
      <c r="AL127" s="76"/>
      <c r="AM127" s="76"/>
      <c r="AN127" s="76"/>
      <c r="AO127" s="76"/>
      <c r="AP127" s="76"/>
      <c r="AQ127" s="76"/>
      <c r="AR127" s="76"/>
      <c r="AS127" s="76"/>
    </row>
    <row r="128" spans="1:45" hidden="1" outlineLevel="1" x14ac:dyDescent="0.25">
      <c r="A128" s="76"/>
      <c r="B128" s="76"/>
      <c r="C128" s="76">
        <f t="shared" si="15"/>
        <v>0</v>
      </c>
      <c r="D128" s="77"/>
      <c r="E128" s="77"/>
      <c r="F128" s="77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  <c r="AD128" s="76"/>
      <c r="AE128" s="76"/>
      <c r="AF128" s="76"/>
      <c r="AG128" s="76"/>
      <c r="AH128" s="76"/>
      <c r="AI128" s="76"/>
      <c r="AJ128" s="76"/>
      <c r="AK128" s="76"/>
      <c r="AL128" s="76"/>
      <c r="AM128" s="76"/>
      <c r="AN128" s="76"/>
      <c r="AO128" s="76"/>
      <c r="AP128" s="76"/>
      <c r="AQ128" s="76"/>
      <c r="AR128" s="76"/>
      <c r="AS128" s="76"/>
    </row>
    <row r="129" spans="1:45" hidden="1" outlineLevel="1" x14ac:dyDescent="0.25">
      <c r="A129" s="76"/>
      <c r="B129" s="76"/>
      <c r="C129" s="76">
        <f>SUM(G129:AT129)</f>
        <v>0</v>
      </c>
      <c r="D129" s="77"/>
      <c r="E129" s="77"/>
      <c r="F129" s="77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6"/>
      <c r="AC129" s="76"/>
      <c r="AD129" s="76"/>
      <c r="AE129" s="76"/>
      <c r="AF129" s="76"/>
      <c r="AG129" s="76"/>
      <c r="AH129" s="76"/>
      <c r="AI129" s="76"/>
      <c r="AJ129" s="76"/>
      <c r="AK129" s="76"/>
      <c r="AL129" s="76"/>
      <c r="AM129" s="76"/>
      <c r="AN129" s="76"/>
      <c r="AO129" s="76"/>
      <c r="AP129" s="76"/>
      <c r="AQ129" s="76"/>
      <c r="AR129" s="76"/>
      <c r="AS129" s="76"/>
    </row>
    <row r="130" spans="1:45" hidden="1" outlineLevel="1" x14ac:dyDescent="0.25">
      <c r="A130" s="76"/>
      <c r="B130" s="76"/>
      <c r="C130" s="76">
        <f t="shared" si="14"/>
        <v>0</v>
      </c>
      <c r="D130" s="77"/>
      <c r="E130" s="77"/>
      <c r="F130" s="77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  <c r="Z130" s="76"/>
      <c r="AA130" s="76"/>
      <c r="AB130" s="76"/>
      <c r="AC130" s="76"/>
      <c r="AD130" s="76"/>
      <c r="AE130" s="76"/>
      <c r="AF130" s="76"/>
      <c r="AG130" s="76"/>
      <c r="AH130" s="76"/>
      <c r="AI130" s="76"/>
      <c r="AJ130" s="76"/>
      <c r="AK130" s="76"/>
      <c r="AL130" s="76"/>
      <c r="AM130" s="76"/>
      <c r="AN130" s="76"/>
      <c r="AO130" s="76"/>
      <c r="AP130" s="76"/>
      <c r="AQ130" s="76"/>
      <c r="AR130" s="76"/>
      <c r="AS130" s="76"/>
    </row>
    <row r="131" spans="1:45" hidden="1" outlineLevel="1" x14ac:dyDescent="0.25">
      <c r="A131" s="76"/>
      <c r="B131" s="76"/>
      <c r="C131" s="76">
        <f t="shared" si="14"/>
        <v>0</v>
      </c>
      <c r="D131" s="77"/>
      <c r="E131" s="77"/>
      <c r="F131" s="77"/>
      <c r="G131" s="76"/>
      <c r="H131" s="76"/>
      <c r="I131" s="76"/>
      <c r="J131" s="76"/>
      <c r="K131" s="76"/>
      <c r="L131" s="76"/>
      <c r="M131" s="76"/>
      <c r="N131" s="76"/>
      <c r="O131" s="76"/>
      <c r="P131" s="76"/>
      <c r="Q131" s="76"/>
      <c r="R131" s="76"/>
      <c r="S131" s="76"/>
      <c r="T131" s="76"/>
      <c r="U131" s="76"/>
      <c r="V131" s="76"/>
      <c r="W131" s="76"/>
      <c r="X131" s="76"/>
      <c r="Y131" s="76"/>
      <c r="Z131" s="76"/>
      <c r="AA131" s="76"/>
      <c r="AB131" s="76"/>
      <c r="AC131" s="76"/>
      <c r="AD131" s="76"/>
      <c r="AE131" s="76"/>
      <c r="AF131" s="76"/>
      <c r="AG131" s="76"/>
      <c r="AH131" s="76"/>
      <c r="AI131" s="76"/>
      <c r="AJ131" s="76"/>
      <c r="AK131" s="76"/>
      <c r="AL131" s="76"/>
      <c r="AM131" s="76"/>
      <c r="AN131" s="76"/>
      <c r="AO131" s="76"/>
      <c r="AP131" s="76"/>
      <c r="AQ131" s="76"/>
      <c r="AR131" s="76"/>
      <c r="AS131" s="76"/>
    </row>
    <row r="132" spans="1:45" hidden="1" outlineLevel="1" x14ac:dyDescent="0.25">
      <c r="A132" s="76"/>
      <c r="B132" s="76"/>
      <c r="C132" s="76">
        <f>SUM(G132:AT132)</f>
        <v>0</v>
      </c>
      <c r="D132" s="77"/>
      <c r="E132" s="77"/>
      <c r="F132" s="77"/>
      <c r="G132" s="76"/>
      <c r="H132" s="76"/>
      <c r="I132" s="76"/>
      <c r="J132" s="76"/>
      <c r="K132" s="76"/>
      <c r="L132" s="76"/>
      <c r="M132" s="76"/>
      <c r="N132" s="76"/>
      <c r="O132" s="76"/>
      <c r="P132" s="76"/>
      <c r="Q132" s="76"/>
      <c r="R132" s="76"/>
      <c r="S132" s="76"/>
      <c r="T132" s="76"/>
      <c r="U132" s="76"/>
      <c r="V132" s="76"/>
      <c r="W132" s="76"/>
      <c r="X132" s="76"/>
      <c r="Y132" s="76"/>
      <c r="Z132" s="76"/>
      <c r="AA132" s="76"/>
      <c r="AB132" s="76"/>
      <c r="AC132" s="76"/>
      <c r="AD132" s="76"/>
      <c r="AE132" s="76"/>
      <c r="AF132" s="76"/>
      <c r="AG132" s="76"/>
      <c r="AH132" s="76"/>
      <c r="AI132" s="76"/>
      <c r="AJ132" s="76"/>
      <c r="AK132" s="76"/>
      <c r="AL132" s="76"/>
      <c r="AM132" s="76"/>
      <c r="AN132" s="76"/>
      <c r="AO132" s="76"/>
      <c r="AP132" s="76"/>
      <c r="AQ132" s="76"/>
      <c r="AR132" s="76"/>
      <c r="AS132" s="76"/>
    </row>
    <row r="133" spans="1:45" hidden="1" outlineLevel="1" x14ac:dyDescent="0.25">
      <c r="A133" s="76"/>
      <c r="B133" s="76"/>
      <c r="C133" s="76">
        <f t="shared" ref="C133:C134" si="16">SUM(G133:AT133)</f>
        <v>0</v>
      </c>
      <c r="D133" s="77"/>
      <c r="E133" s="77"/>
      <c r="F133" s="77"/>
      <c r="G133" s="76"/>
      <c r="H133" s="76"/>
      <c r="I133" s="76"/>
      <c r="J133" s="76"/>
      <c r="K133" s="76"/>
      <c r="L133" s="76"/>
      <c r="M133" s="76"/>
      <c r="N133" s="76"/>
      <c r="O133" s="76"/>
      <c r="P133" s="76"/>
      <c r="Q133" s="76"/>
      <c r="R133" s="76"/>
      <c r="S133" s="76"/>
      <c r="T133" s="76"/>
      <c r="U133" s="76"/>
      <c r="V133" s="76"/>
      <c r="W133" s="76"/>
      <c r="X133" s="76"/>
      <c r="Y133" s="76"/>
      <c r="Z133" s="76"/>
      <c r="AA133" s="76"/>
      <c r="AB133" s="76"/>
      <c r="AC133" s="76"/>
      <c r="AD133" s="76"/>
      <c r="AE133" s="76"/>
      <c r="AF133" s="76"/>
      <c r="AG133" s="76"/>
      <c r="AH133" s="76"/>
      <c r="AI133" s="76"/>
      <c r="AJ133" s="76"/>
      <c r="AK133" s="76"/>
      <c r="AL133" s="76"/>
      <c r="AM133" s="76"/>
      <c r="AN133" s="76"/>
      <c r="AO133" s="76"/>
      <c r="AP133" s="76"/>
      <c r="AQ133" s="76"/>
      <c r="AR133" s="76"/>
      <c r="AS133" s="76"/>
    </row>
    <row r="134" spans="1:45" hidden="1" outlineLevel="1" x14ac:dyDescent="0.25">
      <c r="A134" s="76"/>
      <c r="B134" s="76"/>
      <c r="C134" s="76">
        <f t="shared" si="16"/>
        <v>0</v>
      </c>
      <c r="D134" s="77"/>
      <c r="E134" s="77"/>
      <c r="F134" s="77"/>
      <c r="G134" s="76"/>
      <c r="H134" s="76"/>
      <c r="I134" s="76"/>
      <c r="J134" s="76"/>
      <c r="K134" s="76"/>
      <c r="L134" s="76"/>
      <c r="M134" s="76"/>
      <c r="N134" s="76"/>
      <c r="O134" s="76"/>
      <c r="P134" s="76"/>
      <c r="Q134" s="76"/>
      <c r="R134" s="76"/>
      <c r="S134" s="76"/>
      <c r="T134" s="76"/>
      <c r="U134" s="76"/>
      <c r="V134" s="76"/>
      <c r="W134" s="76"/>
      <c r="X134" s="76"/>
      <c r="Y134" s="76"/>
      <c r="Z134" s="76"/>
      <c r="AA134" s="76"/>
      <c r="AB134" s="76"/>
      <c r="AC134" s="76"/>
      <c r="AD134" s="76"/>
      <c r="AE134" s="76"/>
      <c r="AF134" s="76"/>
      <c r="AG134" s="76"/>
      <c r="AH134" s="76"/>
      <c r="AI134" s="76"/>
      <c r="AJ134" s="76"/>
      <c r="AK134" s="76"/>
      <c r="AL134" s="76"/>
      <c r="AM134" s="76"/>
      <c r="AN134" s="76"/>
      <c r="AO134" s="76"/>
      <c r="AP134" s="76"/>
      <c r="AQ134" s="76"/>
      <c r="AR134" s="76"/>
      <c r="AS134" s="76"/>
    </row>
    <row r="135" spans="1:45" hidden="1" outlineLevel="1" x14ac:dyDescent="0.25">
      <c r="A135" s="76"/>
      <c r="B135" s="76"/>
      <c r="C135" s="76">
        <f t="shared" si="14"/>
        <v>0</v>
      </c>
      <c r="D135" s="77"/>
      <c r="E135" s="77"/>
      <c r="F135" s="77"/>
      <c r="G135" s="76"/>
      <c r="H135" s="76"/>
      <c r="I135" s="76"/>
      <c r="J135" s="76"/>
      <c r="K135" s="76"/>
      <c r="L135" s="76"/>
      <c r="M135" s="76"/>
      <c r="N135" s="76"/>
      <c r="O135" s="76"/>
      <c r="P135" s="76"/>
      <c r="Q135" s="76"/>
      <c r="R135" s="76"/>
      <c r="S135" s="76"/>
      <c r="T135" s="76"/>
      <c r="U135" s="76"/>
      <c r="V135" s="76"/>
      <c r="W135" s="76"/>
      <c r="X135" s="76"/>
      <c r="Y135" s="76"/>
      <c r="Z135" s="76"/>
      <c r="AA135" s="76"/>
      <c r="AB135" s="76"/>
      <c r="AC135" s="76"/>
      <c r="AD135" s="76"/>
      <c r="AE135" s="76"/>
      <c r="AF135" s="76"/>
      <c r="AG135" s="76"/>
      <c r="AH135" s="76"/>
      <c r="AI135" s="76"/>
      <c r="AJ135" s="76"/>
      <c r="AK135" s="76"/>
      <c r="AL135" s="76"/>
      <c r="AM135" s="76"/>
      <c r="AN135" s="76"/>
      <c r="AO135" s="76"/>
      <c r="AP135" s="76"/>
      <c r="AQ135" s="76"/>
      <c r="AR135" s="76"/>
      <c r="AS135" s="76"/>
    </row>
    <row r="136" spans="1:45" hidden="1" outlineLevel="1" x14ac:dyDescent="0.25">
      <c r="A136" s="76"/>
      <c r="B136" s="76"/>
      <c r="C136" s="76">
        <f t="shared" ref="C136:C138" si="17">SUM(G136:AT136)</f>
        <v>0</v>
      </c>
      <c r="D136" s="77"/>
      <c r="E136" s="77"/>
      <c r="F136" s="77"/>
      <c r="G136" s="76"/>
      <c r="H136" s="76"/>
      <c r="I136" s="76"/>
      <c r="J136" s="76"/>
      <c r="K136" s="76"/>
      <c r="L136" s="76"/>
      <c r="M136" s="76"/>
      <c r="N136" s="76"/>
      <c r="O136" s="76"/>
      <c r="P136" s="76"/>
      <c r="Q136" s="76"/>
      <c r="R136" s="76"/>
      <c r="S136" s="76"/>
      <c r="T136" s="76"/>
      <c r="U136" s="76"/>
      <c r="V136" s="76"/>
      <c r="W136" s="76"/>
      <c r="X136" s="76"/>
      <c r="Y136" s="76"/>
      <c r="Z136" s="76"/>
      <c r="AA136" s="76"/>
      <c r="AB136" s="76"/>
      <c r="AC136" s="76"/>
      <c r="AD136" s="76"/>
      <c r="AE136" s="76"/>
      <c r="AF136" s="76"/>
      <c r="AG136" s="76"/>
      <c r="AH136" s="76"/>
      <c r="AI136" s="76"/>
      <c r="AJ136" s="76"/>
      <c r="AK136" s="76"/>
      <c r="AL136" s="76"/>
      <c r="AM136" s="76"/>
      <c r="AN136" s="76"/>
      <c r="AO136" s="76"/>
      <c r="AP136" s="76"/>
      <c r="AQ136" s="76"/>
      <c r="AR136" s="76"/>
      <c r="AS136" s="76"/>
    </row>
    <row r="137" spans="1:45" hidden="1" outlineLevel="1" x14ac:dyDescent="0.25">
      <c r="A137" s="76"/>
      <c r="B137" s="76"/>
      <c r="C137" s="76">
        <f t="shared" si="17"/>
        <v>0</v>
      </c>
      <c r="D137" s="77"/>
      <c r="E137" s="77"/>
      <c r="F137" s="77"/>
      <c r="G137" s="76"/>
      <c r="H137" s="76"/>
      <c r="I137" s="76"/>
      <c r="J137" s="76"/>
      <c r="K137" s="76"/>
      <c r="L137" s="76"/>
      <c r="M137" s="76"/>
      <c r="N137" s="76"/>
      <c r="O137" s="76"/>
      <c r="P137" s="76"/>
      <c r="Q137" s="76"/>
      <c r="R137" s="76"/>
      <c r="S137" s="76"/>
      <c r="T137" s="76"/>
      <c r="U137" s="76"/>
      <c r="V137" s="76"/>
      <c r="W137" s="76"/>
      <c r="X137" s="76"/>
      <c r="Y137" s="76"/>
      <c r="Z137" s="76"/>
      <c r="AA137" s="76"/>
      <c r="AB137" s="76"/>
      <c r="AC137" s="76"/>
      <c r="AD137" s="76"/>
      <c r="AE137" s="76"/>
      <c r="AF137" s="76"/>
      <c r="AG137" s="76"/>
      <c r="AH137" s="76"/>
      <c r="AI137" s="76"/>
      <c r="AJ137" s="76"/>
      <c r="AK137" s="76"/>
      <c r="AL137" s="76"/>
      <c r="AM137" s="76"/>
      <c r="AN137" s="76"/>
      <c r="AO137" s="76"/>
      <c r="AP137" s="76"/>
      <c r="AQ137" s="76"/>
      <c r="AR137" s="76"/>
      <c r="AS137" s="76"/>
    </row>
    <row r="138" spans="1:45" hidden="1" outlineLevel="1" x14ac:dyDescent="0.25">
      <c r="A138" s="76"/>
      <c r="B138" s="76"/>
      <c r="C138" s="76">
        <f t="shared" si="17"/>
        <v>0</v>
      </c>
      <c r="D138" s="77"/>
      <c r="E138" s="77"/>
      <c r="F138" s="77"/>
      <c r="G138" s="76"/>
      <c r="H138" s="76"/>
      <c r="I138" s="76"/>
      <c r="J138" s="76"/>
      <c r="K138" s="76"/>
      <c r="L138" s="76"/>
      <c r="M138" s="76"/>
      <c r="N138" s="76"/>
      <c r="O138" s="76"/>
      <c r="P138" s="76"/>
      <c r="Q138" s="76"/>
      <c r="R138" s="76"/>
      <c r="S138" s="76"/>
      <c r="T138" s="76"/>
      <c r="U138" s="76"/>
      <c r="V138" s="76"/>
      <c r="W138" s="76"/>
      <c r="X138" s="76"/>
      <c r="Y138" s="76"/>
      <c r="Z138" s="76"/>
      <c r="AA138" s="76"/>
      <c r="AB138" s="76"/>
      <c r="AC138" s="76"/>
      <c r="AD138" s="76"/>
      <c r="AE138" s="76"/>
      <c r="AF138" s="76"/>
      <c r="AG138" s="76"/>
      <c r="AH138" s="76"/>
      <c r="AI138" s="76"/>
      <c r="AJ138" s="76"/>
      <c r="AK138" s="76"/>
      <c r="AL138" s="76"/>
      <c r="AM138" s="76"/>
      <c r="AN138" s="76"/>
      <c r="AO138" s="76"/>
      <c r="AP138" s="76"/>
      <c r="AQ138" s="76"/>
      <c r="AR138" s="76"/>
      <c r="AS138" s="76"/>
    </row>
    <row r="139" spans="1:45" hidden="1" outlineLevel="1" x14ac:dyDescent="0.25">
      <c r="A139" s="76"/>
      <c r="B139" s="76"/>
      <c r="C139" s="76">
        <f t="shared" si="14"/>
        <v>0</v>
      </c>
      <c r="D139" s="77"/>
      <c r="E139" s="77"/>
      <c r="F139" s="77"/>
      <c r="G139" s="76"/>
      <c r="H139" s="76"/>
      <c r="I139" s="76"/>
      <c r="J139" s="76"/>
      <c r="K139" s="76"/>
      <c r="L139" s="76"/>
      <c r="M139" s="76"/>
      <c r="N139" s="76"/>
      <c r="O139" s="76"/>
      <c r="P139" s="76"/>
      <c r="Q139" s="76"/>
      <c r="R139" s="76"/>
      <c r="S139" s="76"/>
      <c r="T139" s="76"/>
      <c r="U139" s="76"/>
      <c r="V139" s="76"/>
      <c r="W139" s="76"/>
      <c r="X139" s="76"/>
      <c r="Y139" s="76"/>
      <c r="Z139" s="76"/>
      <c r="AA139" s="76"/>
      <c r="AB139" s="76"/>
      <c r="AC139" s="76"/>
      <c r="AD139" s="76"/>
      <c r="AE139" s="76"/>
      <c r="AF139" s="76"/>
      <c r="AG139" s="76"/>
      <c r="AH139" s="76"/>
      <c r="AI139" s="76"/>
      <c r="AJ139" s="76"/>
      <c r="AK139" s="76"/>
      <c r="AL139" s="76"/>
      <c r="AM139" s="76"/>
      <c r="AN139" s="76"/>
      <c r="AO139" s="76"/>
      <c r="AP139" s="76"/>
      <c r="AQ139" s="76"/>
      <c r="AR139" s="76"/>
      <c r="AS139" s="76"/>
    </row>
    <row r="140" spans="1:45" hidden="1" outlineLevel="1" x14ac:dyDescent="0.25">
      <c r="A140" s="76"/>
      <c r="B140" s="76"/>
      <c r="C140" s="76">
        <f t="shared" si="14"/>
        <v>0</v>
      </c>
      <c r="D140" s="77"/>
      <c r="E140" s="77"/>
      <c r="F140" s="77"/>
      <c r="G140" s="76"/>
      <c r="H140" s="76"/>
      <c r="I140" s="76"/>
      <c r="J140" s="76"/>
      <c r="K140" s="76"/>
      <c r="L140" s="76"/>
      <c r="M140" s="76"/>
      <c r="N140" s="76"/>
      <c r="O140" s="76"/>
      <c r="P140" s="76"/>
      <c r="Q140" s="76"/>
      <c r="R140" s="76"/>
      <c r="S140" s="76"/>
      <c r="T140" s="76"/>
      <c r="U140" s="76"/>
      <c r="V140" s="76"/>
      <c r="W140" s="76"/>
      <c r="X140" s="76"/>
      <c r="Y140" s="76"/>
      <c r="Z140" s="76"/>
      <c r="AA140" s="76"/>
      <c r="AB140" s="76"/>
      <c r="AC140" s="76"/>
      <c r="AD140" s="76"/>
      <c r="AE140" s="76"/>
      <c r="AF140" s="76"/>
      <c r="AG140" s="76"/>
      <c r="AH140" s="76"/>
      <c r="AI140" s="76"/>
      <c r="AJ140" s="76"/>
      <c r="AK140" s="76"/>
      <c r="AL140" s="76"/>
      <c r="AM140" s="76"/>
      <c r="AN140" s="76"/>
      <c r="AO140" s="76"/>
      <c r="AP140" s="76"/>
      <c r="AQ140" s="76"/>
      <c r="AR140" s="76"/>
      <c r="AS140" s="76"/>
    </row>
    <row r="141" spans="1:45" hidden="1" outlineLevel="1" x14ac:dyDescent="0.25">
      <c r="A141" s="76"/>
      <c r="B141" s="76"/>
      <c r="C141" s="76">
        <f t="shared" ref="C141" si="18">SUM(G141:AT141)</f>
        <v>0</v>
      </c>
      <c r="D141" s="77"/>
      <c r="E141" s="77"/>
      <c r="F141" s="77"/>
      <c r="G141" s="76"/>
      <c r="H141" s="76"/>
      <c r="I141" s="76"/>
      <c r="J141" s="76"/>
      <c r="K141" s="76"/>
      <c r="L141" s="76"/>
      <c r="M141" s="76"/>
      <c r="N141" s="76"/>
      <c r="O141" s="76"/>
      <c r="P141" s="76"/>
      <c r="Q141" s="76"/>
      <c r="R141" s="76"/>
      <c r="S141" s="76"/>
      <c r="T141" s="76"/>
      <c r="U141" s="76"/>
      <c r="V141" s="76"/>
      <c r="W141" s="76"/>
      <c r="X141" s="76"/>
      <c r="Y141" s="76"/>
      <c r="Z141" s="76"/>
      <c r="AA141" s="76"/>
      <c r="AB141" s="76"/>
      <c r="AC141" s="76"/>
      <c r="AD141" s="76"/>
      <c r="AE141" s="76"/>
      <c r="AF141" s="76"/>
      <c r="AG141" s="76"/>
      <c r="AH141" s="76"/>
      <c r="AI141" s="76"/>
      <c r="AJ141" s="76"/>
      <c r="AK141" s="76"/>
      <c r="AL141" s="76"/>
      <c r="AM141" s="76"/>
      <c r="AN141" s="76"/>
      <c r="AO141" s="76"/>
      <c r="AP141" s="76"/>
      <c r="AQ141" s="76"/>
      <c r="AR141" s="76"/>
      <c r="AS141" s="76"/>
    </row>
    <row r="142" spans="1:45" hidden="1" outlineLevel="1" x14ac:dyDescent="0.25">
      <c r="A142" s="78"/>
      <c r="B142" s="78"/>
      <c r="C142" s="78">
        <f t="shared" si="14"/>
        <v>0</v>
      </c>
      <c r="D142" s="79"/>
      <c r="E142" s="79"/>
      <c r="F142" s="79"/>
      <c r="G142" s="78"/>
      <c r="H142" s="78"/>
      <c r="I142" s="78"/>
      <c r="J142" s="78"/>
      <c r="K142" s="78"/>
      <c r="L142" s="78"/>
      <c r="M142" s="78"/>
      <c r="N142" s="78"/>
      <c r="O142" s="78"/>
      <c r="P142" s="78"/>
      <c r="Q142" s="78"/>
      <c r="R142" s="78"/>
      <c r="S142" s="78"/>
      <c r="T142" s="78"/>
      <c r="U142" s="78"/>
      <c r="V142" s="78"/>
      <c r="W142" s="78"/>
      <c r="X142" s="78"/>
      <c r="Y142" s="78"/>
      <c r="Z142" s="78"/>
      <c r="AA142" s="78"/>
      <c r="AB142" s="78"/>
      <c r="AC142" s="78"/>
      <c r="AD142" s="78"/>
      <c r="AE142" s="78"/>
      <c r="AF142" s="78"/>
      <c r="AG142" s="78"/>
      <c r="AH142" s="78"/>
      <c r="AI142" s="78"/>
      <c r="AJ142" s="78"/>
      <c r="AK142" s="78"/>
      <c r="AL142" s="78"/>
      <c r="AM142" s="78"/>
      <c r="AN142" s="78"/>
      <c r="AO142" s="78"/>
      <c r="AP142" s="78"/>
      <c r="AQ142" s="78"/>
      <c r="AR142" s="78"/>
      <c r="AS142" s="78"/>
    </row>
    <row r="143" spans="1:45" s="35" customFormat="1" collapsed="1" x14ac:dyDescent="0.25">
      <c r="A143" s="72">
        <f>A111-B143-C143</f>
        <v>77032.135454545438</v>
      </c>
      <c r="B143" s="72">
        <f>-rcpNov</f>
        <v>0</v>
      </c>
      <c r="C143" s="72">
        <f>SUBTOTAL(9,C112:C142)</f>
        <v>0</v>
      </c>
      <c r="D143" s="73"/>
      <c r="E143" s="73" t="s">
        <v>76</v>
      </c>
      <c r="F143" s="73"/>
      <c r="G143" s="72">
        <f t="shared" ref="G143:AS143" si="19">SUBTOTAL(9,G112:G142)</f>
        <v>0</v>
      </c>
      <c r="H143" s="72">
        <f t="shared" si="19"/>
        <v>0</v>
      </c>
      <c r="I143" s="72">
        <f t="shared" si="19"/>
        <v>0</v>
      </c>
      <c r="J143" s="72">
        <f t="shared" si="19"/>
        <v>0</v>
      </c>
      <c r="K143" s="72">
        <f t="shared" si="19"/>
        <v>0</v>
      </c>
      <c r="L143" s="72">
        <f t="shared" si="19"/>
        <v>0</v>
      </c>
      <c r="M143" s="72">
        <f t="shared" si="19"/>
        <v>0</v>
      </c>
      <c r="N143" s="72">
        <f t="shared" si="19"/>
        <v>0</v>
      </c>
      <c r="O143" s="72">
        <f t="shared" si="19"/>
        <v>0</v>
      </c>
      <c r="P143" s="72">
        <f t="shared" si="19"/>
        <v>0</v>
      </c>
      <c r="Q143" s="72">
        <f t="shared" si="19"/>
        <v>0</v>
      </c>
      <c r="R143" s="72">
        <f t="shared" si="19"/>
        <v>0</v>
      </c>
      <c r="S143" s="72">
        <f t="shared" si="19"/>
        <v>0</v>
      </c>
      <c r="T143" s="72">
        <f t="shared" si="19"/>
        <v>0</v>
      </c>
      <c r="U143" s="72">
        <f t="shared" si="19"/>
        <v>0</v>
      </c>
      <c r="V143" s="72">
        <f t="shared" si="19"/>
        <v>0</v>
      </c>
      <c r="W143" s="72">
        <f t="shared" si="19"/>
        <v>0</v>
      </c>
      <c r="X143" s="72">
        <f t="shared" si="19"/>
        <v>0</v>
      </c>
      <c r="Y143" s="72">
        <f t="shared" si="19"/>
        <v>0</v>
      </c>
      <c r="Z143" s="72">
        <f t="shared" si="19"/>
        <v>0</v>
      </c>
      <c r="AA143" s="72">
        <f t="shared" si="19"/>
        <v>0</v>
      </c>
      <c r="AB143" s="72">
        <f t="shared" si="19"/>
        <v>0</v>
      </c>
      <c r="AC143" s="72">
        <f t="shared" si="19"/>
        <v>0</v>
      </c>
      <c r="AD143" s="72">
        <f t="shared" si="19"/>
        <v>0</v>
      </c>
      <c r="AE143" s="72">
        <f t="shared" si="19"/>
        <v>0</v>
      </c>
      <c r="AF143" s="72">
        <f t="shared" si="19"/>
        <v>0</v>
      </c>
      <c r="AG143" s="72">
        <f t="shared" si="19"/>
        <v>0</v>
      </c>
      <c r="AH143" s="72">
        <f t="shared" si="19"/>
        <v>0</v>
      </c>
      <c r="AI143" s="72">
        <f t="shared" si="19"/>
        <v>0</v>
      </c>
      <c r="AJ143" s="72">
        <f t="shared" si="19"/>
        <v>0</v>
      </c>
      <c r="AK143" s="72">
        <f t="shared" si="19"/>
        <v>0</v>
      </c>
      <c r="AL143" s="72">
        <f t="shared" si="19"/>
        <v>0</v>
      </c>
      <c r="AM143" s="72">
        <f t="shared" si="19"/>
        <v>0</v>
      </c>
      <c r="AN143" s="72">
        <f t="shared" si="19"/>
        <v>0</v>
      </c>
      <c r="AO143" s="72">
        <f t="shared" si="19"/>
        <v>0</v>
      </c>
      <c r="AP143" s="72">
        <f t="shared" si="19"/>
        <v>0</v>
      </c>
      <c r="AQ143" s="72">
        <f t="shared" si="19"/>
        <v>0</v>
      </c>
      <c r="AR143" s="72">
        <f t="shared" si="19"/>
        <v>0</v>
      </c>
      <c r="AS143" s="72">
        <f t="shared" si="19"/>
        <v>0</v>
      </c>
    </row>
    <row r="144" spans="1:45" hidden="1" outlineLevel="1" x14ac:dyDescent="0.25">
      <c r="A144" s="74"/>
      <c r="B144" s="74"/>
      <c r="C144" s="74">
        <f t="shared" ref="C144:C172" si="20">SUM(G144:AT144)</f>
        <v>0</v>
      </c>
      <c r="D144" s="75"/>
      <c r="E144" s="75"/>
      <c r="F144" s="75"/>
      <c r="G144" s="74"/>
      <c r="H144" s="74"/>
      <c r="I144" s="74"/>
      <c r="J144" s="74"/>
      <c r="K144" s="74"/>
      <c r="L144" s="74"/>
      <c r="M144" s="74"/>
      <c r="N144" s="74"/>
      <c r="O144" s="74"/>
      <c r="P144" s="74"/>
      <c r="Q144" s="74"/>
      <c r="R144" s="74"/>
      <c r="S144" s="74"/>
      <c r="T144" s="74"/>
      <c r="U144" s="74"/>
      <c r="V144" s="74"/>
      <c r="W144" s="74"/>
      <c r="X144" s="74"/>
      <c r="Y144" s="74"/>
      <c r="Z144" s="74"/>
      <c r="AA144" s="74"/>
      <c r="AB144" s="74"/>
      <c r="AC144" s="74"/>
      <c r="AD144" s="74"/>
      <c r="AE144" s="74"/>
      <c r="AF144" s="74"/>
      <c r="AG144" s="74"/>
      <c r="AH144" s="74"/>
      <c r="AI144" s="74"/>
      <c r="AJ144" s="74"/>
      <c r="AK144" s="74"/>
      <c r="AL144" s="74"/>
      <c r="AM144" s="74"/>
      <c r="AN144" s="74"/>
      <c r="AO144" s="74"/>
      <c r="AP144" s="74"/>
      <c r="AQ144" s="74"/>
      <c r="AR144" s="74"/>
      <c r="AS144" s="74"/>
    </row>
    <row r="145" spans="1:45" hidden="1" outlineLevel="1" x14ac:dyDescent="0.25">
      <c r="A145" s="76"/>
      <c r="B145" s="76"/>
      <c r="C145" s="76">
        <f t="shared" si="20"/>
        <v>0</v>
      </c>
      <c r="D145" s="77"/>
      <c r="E145" s="77"/>
      <c r="F145" s="77"/>
      <c r="G145" s="76"/>
      <c r="H145" s="76"/>
      <c r="I145" s="76"/>
      <c r="J145" s="76"/>
      <c r="K145" s="76"/>
      <c r="L145" s="76"/>
      <c r="M145" s="76"/>
      <c r="N145" s="76"/>
      <c r="O145" s="76"/>
      <c r="P145" s="76"/>
      <c r="Q145" s="76"/>
      <c r="R145" s="76"/>
      <c r="S145" s="76"/>
      <c r="T145" s="76"/>
      <c r="U145" s="76"/>
      <c r="V145" s="76"/>
      <c r="W145" s="76"/>
      <c r="X145" s="76"/>
      <c r="Y145" s="76"/>
      <c r="Z145" s="76"/>
      <c r="AA145" s="76"/>
      <c r="AB145" s="76"/>
      <c r="AC145" s="76"/>
      <c r="AD145" s="76"/>
      <c r="AE145" s="76"/>
      <c r="AF145" s="76"/>
      <c r="AG145" s="76"/>
      <c r="AH145" s="76"/>
      <c r="AI145" s="76"/>
      <c r="AJ145" s="76"/>
      <c r="AK145" s="76"/>
      <c r="AL145" s="76"/>
      <c r="AM145" s="76"/>
      <c r="AN145" s="76"/>
      <c r="AO145" s="76"/>
      <c r="AP145" s="76"/>
      <c r="AQ145" s="76"/>
      <c r="AR145" s="76"/>
      <c r="AS145" s="76"/>
    </row>
    <row r="146" spans="1:45" hidden="1" outlineLevel="1" x14ac:dyDescent="0.25">
      <c r="A146" s="76"/>
      <c r="B146" s="76"/>
      <c r="C146" s="76">
        <f t="shared" si="20"/>
        <v>0</v>
      </c>
      <c r="D146" s="77"/>
      <c r="E146" s="77"/>
      <c r="F146" s="77"/>
      <c r="G146" s="76"/>
      <c r="H146" s="76"/>
      <c r="I146" s="76"/>
      <c r="J146" s="76"/>
      <c r="K146" s="76"/>
      <c r="L146" s="76"/>
      <c r="M146" s="76"/>
      <c r="N146" s="76"/>
      <c r="O146" s="76"/>
      <c r="P146" s="76"/>
      <c r="Q146" s="76"/>
      <c r="R146" s="76"/>
      <c r="S146" s="76"/>
      <c r="T146" s="76"/>
      <c r="U146" s="76"/>
      <c r="V146" s="76"/>
      <c r="W146" s="76"/>
      <c r="X146" s="76"/>
      <c r="Y146" s="76"/>
      <c r="Z146" s="76"/>
      <c r="AA146" s="76"/>
      <c r="AB146" s="76"/>
      <c r="AC146" s="76"/>
      <c r="AD146" s="76"/>
      <c r="AE146" s="76"/>
      <c r="AF146" s="76"/>
      <c r="AG146" s="76"/>
      <c r="AH146" s="76"/>
      <c r="AI146" s="76"/>
      <c r="AJ146" s="76"/>
      <c r="AK146" s="76"/>
      <c r="AL146" s="76"/>
      <c r="AM146" s="76"/>
      <c r="AN146" s="76"/>
      <c r="AO146" s="76"/>
      <c r="AP146" s="76"/>
      <c r="AQ146" s="76"/>
      <c r="AR146" s="76"/>
      <c r="AS146" s="76"/>
    </row>
    <row r="147" spans="1:45" hidden="1" outlineLevel="1" x14ac:dyDescent="0.25">
      <c r="A147" s="76"/>
      <c r="B147" s="76"/>
      <c r="C147" s="76">
        <f t="shared" si="20"/>
        <v>0</v>
      </c>
      <c r="D147" s="77"/>
      <c r="E147" s="77"/>
      <c r="F147" s="77"/>
      <c r="G147" s="76"/>
      <c r="H147" s="76"/>
      <c r="I147" s="76"/>
      <c r="J147" s="76"/>
      <c r="K147" s="76"/>
      <c r="L147" s="76"/>
      <c r="M147" s="76"/>
      <c r="N147" s="76"/>
      <c r="O147" s="76"/>
      <c r="P147" s="76"/>
      <c r="Q147" s="76"/>
      <c r="R147" s="76"/>
      <c r="S147" s="76"/>
      <c r="T147" s="76"/>
      <c r="U147" s="76"/>
      <c r="V147" s="76"/>
      <c r="W147" s="76"/>
      <c r="X147" s="76"/>
      <c r="Y147" s="76"/>
      <c r="Z147" s="76"/>
      <c r="AA147" s="76"/>
      <c r="AB147" s="76"/>
      <c r="AC147" s="76"/>
      <c r="AD147" s="76"/>
      <c r="AE147" s="76"/>
      <c r="AF147" s="76"/>
      <c r="AG147" s="76"/>
      <c r="AH147" s="76"/>
      <c r="AI147" s="76"/>
      <c r="AJ147" s="76"/>
      <c r="AK147" s="76"/>
      <c r="AL147" s="76"/>
      <c r="AM147" s="76"/>
      <c r="AN147" s="76"/>
      <c r="AO147" s="76"/>
      <c r="AP147" s="76"/>
      <c r="AQ147" s="76"/>
      <c r="AR147" s="76"/>
      <c r="AS147" s="76"/>
    </row>
    <row r="148" spans="1:45" hidden="1" outlineLevel="1" x14ac:dyDescent="0.25">
      <c r="A148" s="76"/>
      <c r="B148" s="76"/>
      <c r="C148" s="76">
        <f t="shared" si="20"/>
        <v>0</v>
      </c>
      <c r="D148" s="77"/>
      <c r="E148" s="77"/>
      <c r="F148" s="77"/>
      <c r="G148" s="76"/>
      <c r="H148" s="76"/>
      <c r="I148" s="76"/>
      <c r="J148" s="76"/>
      <c r="K148" s="76"/>
      <c r="L148" s="76"/>
      <c r="M148" s="76"/>
      <c r="N148" s="76"/>
      <c r="O148" s="76"/>
      <c r="P148" s="76"/>
      <c r="Q148" s="76"/>
      <c r="R148" s="76"/>
      <c r="S148" s="76"/>
      <c r="T148" s="76"/>
      <c r="U148" s="76"/>
      <c r="V148" s="76"/>
      <c r="W148" s="76"/>
      <c r="X148" s="76"/>
      <c r="Y148" s="76"/>
      <c r="Z148" s="76"/>
      <c r="AA148" s="76"/>
      <c r="AB148" s="76"/>
      <c r="AC148" s="76"/>
      <c r="AD148" s="76"/>
      <c r="AE148" s="76"/>
      <c r="AF148" s="76"/>
      <c r="AG148" s="76"/>
      <c r="AH148" s="76"/>
      <c r="AI148" s="76"/>
      <c r="AJ148" s="76"/>
      <c r="AK148" s="76"/>
      <c r="AL148" s="76"/>
      <c r="AM148" s="76"/>
      <c r="AN148" s="76"/>
      <c r="AO148" s="76"/>
      <c r="AP148" s="76"/>
      <c r="AQ148" s="76"/>
      <c r="AR148" s="76"/>
      <c r="AS148" s="76"/>
    </row>
    <row r="149" spans="1:45" hidden="1" outlineLevel="1" x14ac:dyDescent="0.25">
      <c r="A149" s="76"/>
      <c r="B149" s="76"/>
      <c r="C149" s="76">
        <f t="shared" si="20"/>
        <v>0</v>
      </c>
      <c r="D149" s="77"/>
      <c r="E149" s="77"/>
      <c r="F149" s="77"/>
      <c r="G149" s="76"/>
      <c r="H149" s="76"/>
      <c r="I149" s="76"/>
      <c r="J149" s="76"/>
      <c r="K149" s="76"/>
      <c r="L149" s="76"/>
      <c r="M149" s="76"/>
      <c r="N149" s="76"/>
      <c r="O149" s="76"/>
      <c r="P149" s="76"/>
      <c r="Q149" s="76"/>
      <c r="R149" s="76"/>
      <c r="S149" s="76"/>
      <c r="T149" s="76"/>
      <c r="U149" s="76"/>
      <c r="V149" s="76"/>
      <c r="W149" s="76"/>
      <c r="X149" s="76"/>
      <c r="Y149" s="76"/>
      <c r="Z149" s="76"/>
      <c r="AA149" s="76"/>
      <c r="AB149" s="76"/>
      <c r="AC149" s="76"/>
      <c r="AD149" s="76"/>
      <c r="AE149" s="76"/>
      <c r="AF149" s="76"/>
      <c r="AG149" s="76"/>
      <c r="AH149" s="76"/>
      <c r="AI149" s="76"/>
      <c r="AJ149" s="76"/>
      <c r="AK149" s="76"/>
      <c r="AL149" s="76"/>
      <c r="AM149" s="76"/>
      <c r="AN149" s="76"/>
      <c r="AO149" s="76"/>
      <c r="AP149" s="76"/>
      <c r="AQ149" s="76"/>
      <c r="AR149" s="76"/>
      <c r="AS149" s="76"/>
    </row>
    <row r="150" spans="1:45" hidden="1" outlineLevel="1" x14ac:dyDescent="0.25">
      <c r="A150" s="76"/>
      <c r="B150" s="76"/>
      <c r="C150" s="76">
        <f t="shared" si="20"/>
        <v>0</v>
      </c>
      <c r="D150" s="77"/>
      <c r="E150" s="77"/>
      <c r="F150" s="77"/>
      <c r="G150" s="76"/>
      <c r="H150" s="76"/>
      <c r="I150" s="76"/>
      <c r="J150" s="76"/>
      <c r="K150" s="76"/>
      <c r="L150" s="76"/>
      <c r="M150" s="76"/>
      <c r="N150" s="76"/>
      <c r="O150" s="76"/>
      <c r="P150" s="76"/>
      <c r="Q150" s="76"/>
      <c r="R150" s="76"/>
      <c r="S150" s="76"/>
      <c r="T150" s="76"/>
      <c r="U150" s="76"/>
      <c r="V150" s="76"/>
      <c r="W150" s="76"/>
      <c r="X150" s="76"/>
      <c r="Y150" s="76"/>
      <c r="Z150" s="76"/>
      <c r="AA150" s="76"/>
      <c r="AB150" s="76"/>
      <c r="AC150" s="76"/>
      <c r="AD150" s="76"/>
      <c r="AE150" s="76"/>
      <c r="AF150" s="76"/>
      <c r="AG150" s="76"/>
      <c r="AH150" s="76"/>
      <c r="AI150" s="76"/>
      <c r="AJ150" s="76"/>
      <c r="AK150" s="76"/>
      <c r="AL150" s="76"/>
      <c r="AM150" s="76"/>
      <c r="AN150" s="76"/>
      <c r="AO150" s="76"/>
      <c r="AP150" s="76"/>
      <c r="AQ150" s="76"/>
      <c r="AR150" s="76"/>
      <c r="AS150" s="76"/>
    </row>
    <row r="151" spans="1:45" hidden="1" outlineLevel="1" x14ac:dyDescent="0.25">
      <c r="A151" s="76"/>
      <c r="B151" s="76"/>
      <c r="C151" s="76">
        <f t="shared" si="20"/>
        <v>0</v>
      </c>
      <c r="D151" s="77"/>
      <c r="E151" s="77"/>
      <c r="F151" s="77"/>
      <c r="G151" s="76"/>
      <c r="H151" s="76"/>
      <c r="I151" s="76"/>
      <c r="J151" s="76"/>
      <c r="K151" s="76"/>
      <c r="L151" s="76"/>
      <c r="M151" s="76"/>
      <c r="N151" s="76"/>
      <c r="O151" s="76"/>
      <c r="P151" s="76"/>
      <c r="Q151" s="76"/>
      <c r="R151" s="76"/>
      <c r="S151" s="76"/>
      <c r="T151" s="76"/>
      <c r="U151" s="76"/>
      <c r="V151" s="76"/>
      <c r="W151" s="76"/>
      <c r="X151" s="76"/>
      <c r="Y151" s="76"/>
      <c r="Z151" s="76"/>
      <c r="AA151" s="76"/>
      <c r="AB151" s="76"/>
      <c r="AC151" s="76"/>
      <c r="AD151" s="76"/>
      <c r="AE151" s="76"/>
      <c r="AF151" s="76"/>
      <c r="AG151" s="76"/>
      <c r="AH151" s="76"/>
      <c r="AI151" s="76"/>
      <c r="AJ151" s="76"/>
      <c r="AK151" s="76"/>
      <c r="AL151" s="76"/>
      <c r="AM151" s="76"/>
      <c r="AN151" s="76"/>
      <c r="AO151" s="76"/>
      <c r="AP151" s="76"/>
      <c r="AQ151" s="76"/>
      <c r="AR151" s="76"/>
      <c r="AS151" s="76"/>
    </row>
    <row r="152" spans="1:45" hidden="1" outlineLevel="1" x14ac:dyDescent="0.25">
      <c r="A152" s="76"/>
      <c r="B152" s="76"/>
      <c r="C152" s="76">
        <f t="shared" si="20"/>
        <v>0</v>
      </c>
      <c r="D152" s="77"/>
      <c r="E152" s="77"/>
      <c r="F152" s="77"/>
      <c r="G152" s="76"/>
      <c r="H152" s="76"/>
      <c r="I152" s="76"/>
      <c r="J152" s="76"/>
      <c r="K152" s="76"/>
      <c r="L152" s="76"/>
      <c r="M152" s="76"/>
      <c r="N152" s="76"/>
      <c r="O152" s="76"/>
      <c r="P152" s="76"/>
      <c r="Q152" s="76"/>
      <c r="R152" s="76"/>
      <c r="S152" s="76"/>
      <c r="T152" s="76"/>
      <c r="U152" s="76"/>
      <c r="V152" s="76"/>
      <c r="W152" s="76"/>
      <c r="X152" s="76"/>
      <c r="Y152" s="76"/>
      <c r="Z152" s="76"/>
      <c r="AA152" s="76"/>
      <c r="AB152" s="76"/>
      <c r="AC152" s="76"/>
      <c r="AD152" s="76"/>
      <c r="AE152" s="76"/>
      <c r="AF152" s="76"/>
      <c r="AG152" s="76"/>
      <c r="AH152" s="76"/>
      <c r="AI152" s="76"/>
      <c r="AJ152" s="76"/>
      <c r="AK152" s="76"/>
      <c r="AL152" s="76"/>
      <c r="AM152" s="76"/>
      <c r="AN152" s="76"/>
      <c r="AO152" s="76"/>
      <c r="AP152" s="76"/>
      <c r="AQ152" s="76"/>
      <c r="AR152" s="76"/>
      <c r="AS152" s="76"/>
    </row>
    <row r="153" spans="1:45" hidden="1" outlineLevel="1" x14ac:dyDescent="0.25">
      <c r="A153" s="76"/>
      <c r="B153" s="76"/>
      <c r="C153" s="76">
        <f t="shared" si="20"/>
        <v>0</v>
      </c>
      <c r="D153" s="77"/>
      <c r="E153" s="77"/>
      <c r="F153" s="77"/>
      <c r="G153" s="76"/>
      <c r="H153" s="76"/>
      <c r="I153" s="76"/>
      <c r="J153" s="76"/>
      <c r="K153" s="76"/>
      <c r="L153" s="76"/>
      <c r="M153" s="76"/>
      <c r="N153" s="76"/>
      <c r="O153" s="76"/>
      <c r="P153" s="76"/>
      <c r="Q153" s="76"/>
      <c r="R153" s="76"/>
      <c r="S153" s="76"/>
      <c r="T153" s="76"/>
      <c r="U153" s="76"/>
      <c r="V153" s="76"/>
      <c r="W153" s="76"/>
      <c r="X153" s="76"/>
      <c r="Y153" s="76"/>
      <c r="Z153" s="76"/>
      <c r="AA153" s="76"/>
      <c r="AB153" s="76"/>
      <c r="AC153" s="76"/>
      <c r="AD153" s="76"/>
      <c r="AE153" s="76"/>
      <c r="AF153" s="76"/>
      <c r="AG153" s="76"/>
      <c r="AH153" s="76"/>
      <c r="AI153" s="76"/>
      <c r="AJ153" s="76"/>
      <c r="AK153" s="76"/>
      <c r="AL153" s="76"/>
      <c r="AM153" s="76"/>
      <c r="AN153" s="76"/>
      <c r="AO153" s="76"/>
      <c r="AP153" s="76"/>
      <c r="AQ153" s="76"/>
      <c r="AR153" s="76"/>
      <c r="AS153" s="76"/>
    </row>
    <row r="154" spans="1:45" hidden="1" outlineLevel="1" x14ac:dyDescent="0.25">
      <c r="A154" s="76"/>
      <c r="B154" s="76"/>
      <c r="C154" s="76">
        <f t="shared" si="20"/>
        <v>0</v>
      </c>
      <c r="D154" s="77"/>
      <c r="E154" s="77"/>
      <c r="F154" s="77"/>
      <c r="G154" s="76"/>
      <c r="H154" s="76"/>
      <c r="I154" s="76"/>
      <c r="J154" s="76"/>
      <c r="K154" s="76"/>
      <c r="L154" s="76"/>
      <c r="M154" s="76"/>
      <c r="N154" s="76"/>
      <c r="O154" s="76"/>
      <c r="P154" s="76"/>
      <c r="Q154" s="76"/>
      <c r="R154" s="76"/>
      <c r="S154" s="76"/>
      <c r="T154" s="76"/>
      <c r="U154" s="76"/>
      <c r="V154" s="76"/>
      <c r="W154" s="76"/>
      <c r="X154" s="76"/>
      <c r="Y154" s="76"/>
      <c r="Z154" s="76"/>
      <c r="AA154" s="76"/>
      <c r="AB154" s="76"/>
      <c r="AC154" s="76"/>
      <c r="AD154" s="76"/>
      <c r="AE154" s="76"/>
      <c r="AF154" s="76"/>
      <c r="AG154" s="76"/>
      <c r="AH154" s="76"/>
      <c r="AI154" s="76"/>
      <c r="AJ154" s="76"/>
      <c r="AK154" s="76"/>
      <c r="AL154" s="76"/>
      <c r="AM154" s="76"/>
      <c r="AN154" s="76"/>
      <c r="AO154" s="76"/>
      <c r="AP154" s="76"/>
      <c r="AQ154" s="76"/>
      <c r="AR154" s="76"/>
      <c r="AS154" s="76"/>
    </row>
    <row r="155" spans="1:45" hidden="1" outlineLevel="1" x14ac:dyDescent="0.25">
      <c r="A155" s="76"/>
      <c r="B155" s="76"/>
      <c r="C155" s="76">
        <f t="shared" si="20"/>
        <v>0</v>
      </c>
      <c r="D155" s="77"/>
      <c r="E155" s="77"/>
      <c r="F155" s="77"/>
      <c r="G155" s="76"/>
      <c r="H155" s="76"/>
      <c r="I155" s="76"/>
      <c r="J155" s="76"/>
      <c r="K155" s="76"/>
      <c r="L155" s="76"/>
      <c r="M155" s="76"/>
      <c r="N155" s="76"/>
      <c r="O155" s="76"/>
      <c r="P155" s="76"/>
      <c r="Q155" s="76"/>
      <c r="R155" s="76"/>
      <c r="S155" s="76"/>
      <c r="T155" s="76"/>
      <c r="U155" s="76"/>
      <c r="V155" s="76"/>
      <c r="W155" s="76"/>
      <c r="X155" s="76"/>
      <c r="Y155" s="76"/>
      <c r="Z155" s="76"/>
      <c r="AA155" s="76"/>
      <c r="AB155" s="76"/>
      <c r="AC155" s="76"/>
      <c r="AD155" s="76"/>
      <c r="AE155" s="76"/>
      <c r="AF155" s="76"/>
      <c r="AG155" s="76"/>
      <c r="AH155" s="76"/>
      <c r="AI155" s="76"/>
      <c r="AJ155" s="76"/>
      <c r="AK155" s="76"/>
      <c r="AL155" s="76"/>
      <c r="AM155" s="76"/>
      <c r="AN155" s="76"/>
      <c r="AO155" s="76"/>
      <c r="AP155" s="76"/>
      <c r="AQ155" s="76"/>
      <c r="AR155" s="76"/>
      <c r="AS155" s="76"/>
    </row>
    <row r="156" spans="1:45" hidden="1" outlineLevel="1" x14ac:dyDescent="0.25">
      <c r="A156" s="76"/>
      <c r="B156" s="76"/>
      <c r="C156" s="76">
        <f t="shared" si="20"/>
        <v>0</v>
      </c>
      <c r="D156" s="77"/>
      <c r="E156" s="77"/>
      <c r="F156" s="77"/>
      <c r="G156" s="76"/>
      <c r="H156" s="76"/>
      <c r="I156" s="76"/>
      <c r="J156" s="76"/>
      <c r="K156" s="76"/>
      <c r="L156" s="76"/>
      <c r="M156" s="76"/>
      <c r="N156" s="76"/>
      <c r="O156" s="76"/>
      <c r="P156" s="76"/>
      <c r="Q156" s="76"/>
      <c r="R156" s="76"/>
      <c r="S156" s="76"/>
      <c r="T156" s="76"/>
      <c r="U156" s="76"/>
      <c r="V156" s="76"/>
      <c r="W156" s="76"/>
      <c r="X156" s="76"/>
      <c r="Y156" s="76"/>
      <c r="Z156" s="76"/>
      <c r="AA156" s="76"/>
      <c r="AB156" s="76"/>
      <c r="AC156" s="76"/>
      <c r="AD156" s="76"/>
      <c r="AE156" s="76"/>
      <c r="AF156" s="76"/>
      <c r="AG156" s="76"/>
      <c r="AH156" s="76"/>
      <c r="AI156" s="76"/>
      <c r="AJ156" s="76"/>
      <c r="AK156" s="76"/>
      <c r="AL156" s="76"/>
      <c r="AM156" s="76"/>
      <c r="AN156" s="76"/>
      <c r="AO156" s="76"/>
      <c r="AP156" s="76"/>
      <c r="AQ156" s="76"/>
      <c r="AR156" s="76"/>
      <c r="AS156" s="76"/>
    </row>
    <row r="157" spans="1:45" hidden="1" outlineLevel="1" x14ac:dyDescent="0.25">
      <c r="A157" s="76"/>
      <c r="B157" s="76"/>
      <c r="C157" s="76">
        <f t="shared" si="20"/>
        <v>0</v>
      </c>
      <c r="D157" s="77"/>
      <c r="E157" s="77"/>
      <c r="F157" s="77"/>
      <c r="G157" s="76"/>
      <c r="H157" s="76"/>
      <c r="I157" s="76"/>
      <c r="J157" s="76"/>
      <c r="K157" s="76"/>
      <c r="L157" s="76"/>
      <c r="M157" s="76"/>
      <c r="N157" s="76"/>
      <c r="O157" s="76"/>
      <c r="P157" s="76"/>
      <c r="Q157" s="76"/>
      <c r="R157" s="76"/>
      <c r="S157" s="76"/>
      <c r="T157" s="76"/>
      <c r="U157" s="76"/>
      <c r="V157" s="76"/>
      <c r="W157" s="76"/>
      <c r="X157" s="76"/>
      <c r="Y157" s="76"/>
      <c r="Z157" s="76"/>
      <c r="AA157" s="76"/>
      <c r="AB157" s="76"/>
      <c r="AC157" s="76"/>
      <c r="AD157" s="76"/>
      <c r="AE157" s="76"/>
      <c r="AF157" s="76"/>
      <c r="AG157" s="76"/>
      <c r="AH157" s="76"/>
      <c r="AI157" s="76"/>
      <c r="AJ157" s="76"/>
      <c r="AK157" s="76"/>
      <c r="AL157" s="76"/>
      <c r="AM157" s="76"/>
      <c r="AN157" s="76"/>
      <c r="AO157" s="76"/>
      <c r="AP157" s="76"/>
      <c r="AQ157" s="76"/>
      <c r="AR157" s="76"/>
      <c r="AS157" s="76"/>
    </row>
    <row r="158" spans="1:45" hidden="1" outlineLevel="1" x14ac:dyDescent="0.25">
      <c r="A158" s="76"/>
      <c r="B158" s="76"/>
      <c r="C158" s="76">
        <f t="shared" si="20"/>
        <v>0</v>
      </c>
      <c r="D158" s="77"/>
      <c r="E158" s="77"/>
      <c r="F158" s="77"/>
      <c r="G158" s="76"/>
      <c r="H158" s="76"/>
      <c r="I158" s="76"/>
      <c r="J158" s="76"/>
      <c r="K158" s="76"/>
      <c r="L158" s="76"/>
      <c r="M158" s="76"/>
      <c r="N158" s="76"/>
      <c r="O158" s="76"/>
      <c r="P158" s="76"/>
      <c r="Q158" s="76"/>
      <c r="R158" s="76"/>
      <c r="S158" s="76"/>
      <c r="T158" s="76"/>
      <c r="U158" s="76"/>
      <c r="V158" s="76"/>
      <c r="W158" s="76"/>
      <c r="X158" s="76"/>
      <c r="Y158" s="76"/>
      <c r="Z158" s="76"/>
      <c r="AA158" s="76"/>
      <c r="AB158" s="76"/>
      <c r="AC158" s="76"/>
      <c r="AD158" s="76"/>
      <c r="AE158" s="76"/>
      <c r="AF158" s="76"/>
      <c r="AG158" s="76"/>
      <c r="AH158" s="76"/>
      <c r="AI158" s="76"/>
      <c r="AJ158" s="76"/>
      <c r="AK158" s="76"/>
      <c r="AL158" s="76"/>
      <c r="AM158" s="76"/>
      <c r="AN158" s="76"/>
      <c r="AO158" s="76"/>
      <c r="AP158" s="76"/>
      <c r="AQ158" s="76"/>
      <c r="AR158" s="76"/>
      <c r="AS158" s="76"/>
    </row>
    <row r="159" spans="1:45" hidden="1" outlineLevel="1" x14ac:dyDescent="0.25">
      <c r="A159" s="76"/>
      <c r="B159" s="76"/>
      <c r="C159" s="76">
        <f t="shared" si="20"/>
        <v>0</v>
      </c>
      <c r="D159" s="77"/>
      <c r="E159" s="77"/>
      <c r="F159" s="77"/>
      <c r="G159" s="76"/>
      <c r="H159" s="76"/>
      <c r="I159" s="76"/>
      <c r="J159" s="76"/>
      <c r="K159" s="76"/>
      <c r="L159" s="76"/>
      <c r="M159" s="76"/>
      <c r="N159" s="76"/>
      <c r="O159" s="76"/>
      <c r="P159" s="76"/>
      <c r="Q159" s="76"/>
      <c r="R159" s="76"/>
      <c r="S159" s="76"/>
      <c r="T159" s="76"/>
      <c r="U159" s="76"/>
      <c r="V159" s="76"/>
      <c r="W159" s="76"/>
      <c r="X159" s="76"/>
      <c r="Y159" s="76"/>
      <c r="Z159" s="76"/>
      <c r="AA159" s="76"/>
      <c r="AB159" s="76"/>
      <c r="AC159" s="76"/>
      <c r="AD159" s="76"/>
      <c r="AE159" s="76"/>
      <c r="AF159" s="76"/>
      <c r="AG159" s="76"/>
      <c r="AH159" s="76"/>
      <c r="AI159" s="76"/>
      <c r="AJ159" s="76"/>
      <c r="AK159" s="76"/>
      <c r="AL159" s="76"/>
      <c r="AM159" s="76"/>
      <c r="AN159" s="76"/>
      <c r="AO159" s="76"/>
      <c r="AP159" s="76"/>
      <c r="AQ159" s="76"/>
      <c r="AR159" s="76"/>
      <c r="AS159" s="76"/>
    </row>
    <row r="160" spans="1:45" hidden="1" outlineLevel="1" x14ac:dyDescent="0.25">
      <c r="A160" s="76"/>
      <c r="B160" s="76"/>
      <c r="C160" s="76">
        <f t="shared" si="20"/>
        <v>0</v>
      </c>
      <c r="D160" s="77"/>
      <c r="E160" s="77"/>
      <c r="F160" s="77"/>
      <c r="G160" s="76"/>
      <c r="H160" s="76"/>
      <c r="I160" s="76"/>
      <c r="J160" s="76"/>
      <c r="K160" s="76"/>
      <c r="L160" s="76"/>
      <c r="M160" s="76"/>
      <c r="N160" s="76"/>
      <c r="O160" s="76"/>
      <c r="P160" s="76"/>
      <c r="Q160" s="76"/>
      <c r="R160" s="76"/>
      <c r="S160" s="76"/>
      <c r="T160" s="76"/>
      <c r="U160" s="76"/>
      <c r="V160" s="76"/>
      <c r="W160" s="76"/>
      <c r="X160" s="76"/>
      <c r="Y160" s="76"/>
      <c r="Z160" s="76"/>
      <c r="AA160" s="76"/>
      <c r="AB160" s="76"/>
      <c r="AC160" s="76"/>
      <c r="AD160" s="76"/>
      <c r="AE160" s="76"/>
      <c r="AF160" s="76"/>
      <c r="AG160" s="76"/>
      <c r="AH160" s="76"/>
      <c r="AI160" s="76"/>
      <c r="AJ160" s="76"/>
      <c r="AK160" s="76"/>
      <c r="AL160" s="76"/>
      <c r="AM160" s="76"/>
      <c r="AN160" s="76"/>
      <c r="AO160" s="76"/>
      <c r="AP160" s="76"/>
      <c r="AQ160" s="76"/>
      <c r="AR160" s="76"/>
      <c r="AS160" s="76"/>
    </row>
    <row r="161" spans="1:45" hidden="1" outlineLevel="1" x14ac:dyDescent="0.25">
      <c r="A161" s="76"/>
      <c r="B161" s="76"/>
      <c r="C161" s="76">
        <f t="shared" si="20"/>
        <v>0</v>
      </c>
      <c r="D161" s="77"/>
      <c r="E161" s="77"/>
      <c r="F161" s="77"/>
      <c r="G161" s="76"/>
      <c r="H161" s="76"/>
      <c r="I161" s="76"/>
      <c r="J161" s="76"/>
      <c r="K161" s="76"/>
      <c r="L161" s="76"/>
      <c r="M161" s="76"/>
      <c r="N161" s="76"/>
      <c r="O161" s="76"/>
      <c r="P161" s="76"/>
      <c r="Q161" s="76"/>
      <c r="R161" s="76"/>
      <c r="S161" s="76"/>
      <c r="T161" s="76"/>
      <c r="U161" s="76"/>
      <c r="V161" s="76"/>
      <c r="W161" s="76"/>
      <c r="X161" s="76"/>
      <c r="Y161" s="76"/>
      <c r="Z161" s="76"/>
      <c r="AA161" s="76"/>
      <c r="AB161" s="76"/>
      <c r="AC161" s="76"/>
      <c r="AD161" s="76"/>
      <c r="AE161" s="76"/>
      <c r="AF161" s="76"/>
      <c r="AG161" s="76"/>
      <c r="AH161" s="76"/>
      <c r="AI161" s="76"/>
      <c r="AJ161" s="76"/>
      <c r="AK161" s="76"/>
      <c r="AL161" s="76"/>
      <c r="AM161" s="76"/>
      <c r="AN161" s="76"/>
      <c r="AO161" s="76"/>
      <c r="AP161" s="76"/>
      <c r="AQ161" s="76"/>
      <c r="AR161" s="76"/>
      <c r="AS161" s="76"/>
    </row>
    <row r="162" spans="1:45" hidden="1" outlineLevel="1" x14ac:dyDescent="0.25">
      <c r="A162" s="76"/>
      <c r="B162" s="76"/>
      <c r="C162" s="76">
        <f t="shared" si="20"/>
        <v>0</v>
      </c>
      <c r="D162" s="77"/>
      <c r="E162" s="77"/>
      <c r="F162" s="77"/>
      <c r="G162" s="76"/>
      <c r="H162" s="76"/>
      <c r="I162" s="76"/>
      <c r="J162" s="76"/>
      <c r="K162" s="76"/>
      <c r="L162" s="76"/>
      <c r="M162" s="76"/>
      <c r="N162" s="76"/>
      <c r="O162" s="76"/>
      <c r="P162" s="76"/>
      <c r="Q162" s="76"/>
      <c r="R162" s="76"/>
      <c r="S162" s="76"/>
      <c r="T162" s="76"/>
      <c r="U162" s="76"/>
      <c r="V162" s="76"/>
      <c r="W162" s="76"/>
      <c r="X162" s="76"/>
      <c r="Y162" s="76"/>
      <c r="Z162" s="76"/>
      <c r="AA162" s="76"/>
      <c r="AB162" s="76"/>
      <c r="AC162" s="76"/>
      <c r="AD162" s="76"/>
      <c r="AE162" s="76"/>
      <c r="AF162" s="76"/>
      <c r="AG162" s="76"/>
      <c r="AH162" s="76"/>
      <c r="AI162" s="76"/>
      <c r="AJ162" s="76"/>
      <c r="AK162" s="76"/>
      <c r="AL162" s="76"/>
      <c r="AM162" s="76"/>
      <c r="AN162" s="76"/>
      <c r="AO162" s="76"/>
      <c r="AP162" s="76"/>
      <c r="AQ162" s="76"/>
      <c r="AR162" s="76"/>
      <c r="AS162" s="76"/>
    </row>
    <row r="163" spans="1:45" hidden="1" outlineLevel="1" x14ac:dyDescent="0.25">
      <c r="A163" s="76"/>
      <c r="B163" s="76"/>
      <c r="C163" s="76">
        <f t="shared" si="20"/>
        <v>0</v>
      </c>
      <c r="D163" s="77"/>
      <c r="E163" s="77"/>
      <c r="F163" s="77"/>
      <c r="G163" s="76"/>
      <c r="H163" s="76"/>
      <c r="I163" s="76"/>
      <c r="J163" s="76"/>
      <c r="K163" s="76"/>
      <c r="L163" s="76"/>
      <c r="M163" s="76"/>
      <c r="N163" s="76"/>
      <c r="O163" s="76"/>
      <c r="P163" s="76"/>
      <c r="Q163" s="76"/>
      <c r="R163" s="76"/>
      <c r="S163" s="76"/>
      <c r="T163" s="76"/>
      <c r="U163" s="76"/>
      <c r="V163" s="76"/>
      <c r="W163" s="76"/>
      <c r="X163" s="76"/>
      <c r="Y163" s="76"/>
      <c r="Z163" s="76"/>
      <c r="AA163" s="76"/>
      <c r="AB163" s="76"/>
      <c r="AC163" s="76"/>
      <c r="AD163" s="76"/>
      <c r="AE163" s="76"/>
      <c r="AF163" s="76"/>
      <c r="AG163" s="76"/>
      <c r="AH163" s="76"/>
      <c r="AI163" s="76"/>
      <c r="AJ163" s="76"/>
      <c r="AK163" s="76"/>
      <c r="AL163" s="76"/>
      <c r="AM163" s="76"/>
      <c r="AN163" s="76"/>
      <c r="AO163" s="76"/>
      <c r="AP163" s="76"/>
      <c r="AQ163" s="76"/>
      <c r="AR163" s="76"/>
      <c r="AS163" s="76"/>
    </row>
    <row r="164" spans="1:45" hidden="1" outlineLevel="1" x14ac:dyDescent="0.25">
      <c r="A164" s="76"/>
      <c r="B164" s="76"/>
      <c r="C164" s="76">
        <f t="shared" si="20"/>
        <v>0</v>
      </c>
      <c r="D164" s="77"/>
      <c r="E164" s="77"/>
      <c r="F164" s="77"/>
      <c r="G164" s="76"/>
      <c r="H164" s="76"/>
      <c r="I164" s="76"/>
      <c r="J164" s="76"/>
      <c r="K164" s="76"/>
      <c r="L164" s="76"/>
      <c r="M164" s="76"/>
      <c r="N164" s="76"/>
      <c r="O164" s="76"/>
      <c r="P164" s="76"/>
      <c r="Q164" s="76"/>
      <c r="R164" s="76"/>
      <c r="S164" s="76"/>
      <c r="T164" s="76"/>
      <c r="U164" s="76"/>
      <c r="V164" s="76"/>
      <c r="W164" s="76"/>
      <c r="X164" s="76"/>
      <c r="Y164" s="76"/>
      <c r="Z164" s="76"/>
      <c r="AA164" s="76"/>
      <c r="AB164" s="76"/>
      <c r="AC164" s="76"/>
      <c r="AD164" s="76"/>
      <c r="AE164" s="76"/>
      <c r="AF164" s="76"/>
      <c r="AG164" s="76"/>
      <c r="AH164" s="76"/>
      <c r="AI164" s="76"/>
      <c r="AJ164" s="76"/>
      <c r="AK164" s="76"/>
      <c r="AL164" s="76"/>
      <c r="AM164" s="76"/>
      <c r="AN164" s="76"/>
      <c r="AO164" s="76"/>
      <c r="AP164" s="76"/>
      <c r="AQ164" s="76"/>
      <c r="AR164" s="76"/>
      <c r="AS164" s="76"/>
    </row>
    <row r="165" spans="1:45" hidden="1" outlineLevel="1" x14ac:dyDescent="0.25">
      <c r="A165" s="76"/>
      <c r="B165" s="76"/>
      <c r="C165" s="76">
        <f t="shared" si="20"/>
        <v>0</v>
      </c>
      <c r="D165" s="77"/>
      <c r="E165" s="77"/>
      <c r="F165" s="77"/>
      <c r="G165" s="76"/>
      <c r="H165" s="76"/>
      <c r="I165" s="76"/>
      <c r="J165" s="76"/>
      <c r="K165" s="76"/>
      <c r="L165" s="76"/>
      <c r="M165" s="76"/>
      <c r="N165" s="76"/>
      <c r="O165" s="76"/>
      <c r="P165" s="76"/>
      <c r="Q165" s="76"/>
      <c r="R165" s="76"/>
      <c r="S165" s="76"/>
      <c r="T165" s="76"/>
      <c r="U165" s="76"/>
      <c r="V165" s="76"/>
      <c r="W165" s="76"/>
      <c r="X165" s="76"/>
      <c r="Y165" s="76"/>
      <c r="Z165" s="76"/>
      <c r="AA165" s="76"/>
      <c r="AB165" s="76"/>
      <c r="AC165" s="76"/>
      <c r="AD165" s="76"/>
      <c r="AE165" s="76"/>
      <c r="AF165" s="76"/>
      <c r="AG165" s="76"/>
      <c r="AH165" s="76"/>
      <c r="AI165" s="76"/>
      <c r="AJ165" s="76"/>
      <c r="AK165" s="76"/>
      <c r="AL165" s="76"/>
      <c r="AM165" s="76"/>
      <c r="AN165" s="76"/>
      <c r="AO165" s="76"/>
      <c r="AP165" s="76"/>
      <c r="AQ165" s="76"/>
      <c r="AR165" s="76"/>
      <c r="AS165" s="76"/>
    </row>
    <row r="166" spans="1:45" hidden="1" outlineLevel="1" x14ac:dyDescent="0.25">
      <c r="A166" s="76"/>
      <c r="B166" s="76"/>
      <c r="C166" s="76">
        <f t="shared" ref="C166:C168" si="21">SUM(G166:AT166)</f>
        <v>0</v>
      </c>
      <c r="D166" s="77"/>
      <c r="E166" s="77"/>
      <c r="F166" s="77"/>
      <c r="G166" s="76"/>
      <c r="H166" s="76"/>
      <c r="I166" s="76"/>
      <c r="J166" s="76"/>
      <c r="K166" s="76"/>
      <c r="L166" s="76"/>
      <c r="M166" s="76"/>
      <c r="N166" s="76"/>
      <c r="O166" s="76"/>
      <c r="P166" s="76"/>
      <c r="Q166" s="76"/>
      <c r="R166" s="76"/>
      <c r="S166" s="76"/>
      <c r="T166" s="76"/>
      <c r="U166" s="76"/>
      <c r="V166" s="76"/>
      <c r="W166" s="76"/>
      <c r="X166" s="76"/>
      <c r="Y166" s="76"/>
      <c r="Z166" s="76"/>
      <c r="AA166" s="76"/>
      <c r="AB166" s="76"/>
      <c r="AC166" s="76"/>
      <c r="AD166" s="76"/>
      <c r="AE166" s="76"/>
      <c r="AF166" s="76"/>
      <c r="AG166" s="76"/>
      <c r="AH166" s="76"/>
      <c r="AI166" s="76"/>
      <c r="AJ166" s="76"/>
      <c r="AK166" s="76"/>
      <c r="AL166" s="76"/>
      <c r="AM166" s="76"/>
      <c r="AN166" s="76"/>
      <c r="AO166" s="76"/>
      <c r="AP166" s="76"/>
      <c r="AQ166" s="76"/>
      <c r="AR166" s="76"/>
      <c r="AS166" s="76"/>
    </row>
    <row r="167" spans="1:45" hidden="1" outlineLevel="1" x14ac:dyDescent="0.25">
      <c r="A167" s="76"/>
      <c r="B167" s="76"/>
      <c r="C167" s="76">
        <f t="shared" si="21"/>
        <v>0</v>
      </c>
      <c r="D167" s="77"/>
      <c r="E167" s="77"/>
      <c r="F167" s="77"/>
      <c r="G167" s="76"/>
      <c r="H167" s="76"/>
      <c r="I167" s="76"/>
      <c r="J167" s="76"/>
      <c r="K167" s="76"/>
      <c r="L167" s="76"/>
      <c r="M167" s="76"/>
      <c r="N167" s="76"/>
      <c r="O167" s="76"/>
      <c r="P167" s="76"/>
      <c r="Q167" s="76"/>
      <c r="R167" s="76"/>
      <c r="S167" s="76"/>
      <c r="T167" s="76"/>
      <c r="U167" s="76"/>
      <c r="V167" s="76"/>
      <c r="W167" s="76"/>
      <c r="X167" s="76"/>
      <c r="Y167" s="76"/>
      <c r="Z167" s="76"/>
      <c r="AA167" s="76"/>
      <c r="AB167" s="76"/>
      <c r="AC167" s="76"/>
      <c r="AD167" s="76"/>
      <c r="AE167" s="76"/>
      <c r="AF167" s="76"/>
      <c r="AG167" s="76"/>
      <c r="AH167" s="76"/>
      <c r="AI167" s="76"/>
      <c r="AJ167" s="76"/>
      <c r="AK167" s="76"/>
      <c r="AL167" s="76"/>
      <c r="AM167" s="76"/>
      <c r="AN167" s="76"/>
      <c r="AO167" s="76"/>
      <c r="AP167" s="76"/>
      <c r="AQ167" s="76"/>
      <c r="AR167" s="76"/>
      <c r="AS167" s="76"/>
    </row>
    <row r="168" spans="1:45" hidden="1" outlineLevel="1" x14ac:dyDescent="0.25">
      <c r="A168" s="76"/>
      <c r="B168" s="76"/>
      <c r="C168" s="76">
        <f t="shared" si="21"/>
        <v>0</v>
      </c>
      <c r="D168" s="77"/>
      <c r="E168" s="77"/>
      <c r="F168" s="77"/>
      <c r="G168" s="76"/>
      <c r="H168" s="76"/>
      <c r="I168" s="76"/>
      <c r="J168" s="76"/>
      <c r="K168" s="76"/>
      <c r="L168" s="76"/>
      <c r="M168" s="76"/>
      <c r="N168" s="76"/>
      <c r="O168" s="76"/>
      <c r="P168" s="76"/>
      <c r="Q168" s="76"/>
      <c r="R168" s="76"/>
      <c r="S168" s="76"/>
      <c r="T168" s="76"/>
      <c r="U168" s="76"/>
      <c r="V168" s="76"/>
      <c r="W168" s="76"/>
      <c r="X168" s="76"/>
      <c r="Y168" s="76"/>
      <c r="Z168" s="76"/>
      <c r="AA168" s="76"/>
      <c r="AB168" s="76"/>
      <c r="AC168" s="76"/>
      <c r="AD168" s="76"/>
      <c r="AE168" s="76"/>
      <c r="AF168" s="76"/>
      <c r="AG168" s="76"/>
      <c r="AH168" s="76"/>
      <c r="AI168" s="76"/>
      <c r="AJ168" s="76"/>
      <c r="AK168" s="76"/>
      <c r="AL168" s="76"/>
      <c r="AM168" s="76"/>
      <c r="AN168" s="76"/>
      <c r="AO168" s="76"/>
      <c r="AP168" s="76"/>
      <c r="AQ168" s="76"/>
      <c r="AR168" s="76"/>
      <c r="AS168" s="76"/>
    </row>
    <row r="169" spans="1:45" hidden="1" outlineLevel="1" x14ac:dyDescent="0.25">
      <c r="A169" s="76"/>
      <c r="B169" s="76"/>
      <c r="C169" s="76">
        <f t="shared" si="20"/>
        <v>0</v>
      </c>
      <c r="D169" s="77"/>
      <c r="E169" s="77"/>
      <c r="F169" s="77"/>
      <c r="G169" s="76"/>
      <c r="H169" s="76"/>
      <c r="I169" s="76"/>
      <c r="J169" s="76"/>
      <c r="K169" s="76"/>
      <c r="L169" s="76"/>
      <c r="M169" s="76"/>
      <c r="N169" s="76"/>
      <c r="O169" s="76"/>
      <c r="P169" s="76"/>
      <c r="Q169" s="76"/>
      <c r="R169" s="76"/>
      <c r="S169" s="76"/>
      <c r="T169" s="76"/>
      <c r="U169" s="76"/>
      <c r="V169" s="76"/>
      <c r="W169" s="76"/>
      <c r="X169" s="76"/>
      <c r="Y169" s="76"/>
      <c r="Z169" s="76"/>
      <c r="AA169" s="76"/>
      <c r="AB169" s="76"/>
      <c r="AC169" s="76"/>
      <c r="AD169" s="76"/>
      <c r="AE169" s="76"/>
      <c r="AF169" s="76"/>
      <c r="AG169" s="76"/>
      <c r="AH169" s="76"/>
      <c r="AI169" s="76"/>
      <c r="AJ169" s="76"/>
      <c r="AK169" s="76"/>
      <c r="AL169" s="76"/>
      <c r="AM169" s="76"/>
      <c r="AN169" s="76"/>
      <c r="AO169" s="76"/>
      <c r="AP169" s="76"/>
      <c r="AQ169" s="76"/>
      <c r="AR169" s="76"/>
      <c r="AS169" s="76"/>
    </row>
    <row r="170" spans="1:45" hidden="1" outlineLevel="1" x14ac:dyDescent="0.25">
      <c r="A170" s="76"/>
      <c r="B170" s="76"/>
      <c r="C170" s="76">
        <f t="shared" si="20"/>
        <v>0</v>
      </c>
      <c r="D170" s="77"/>
      <c r="E170" s="77"/>
      <c r="F170" s="77"/>
      <c r="G170" s="76"/>
      <c r="H170" s="76"/>
      <c r="I170" s="76"/>
      <c r="J170" s="76"/>
      <c r="K170" s="76"/>
      <c r="L170" s="76"/>
      <c r="M170" s="76"/>
      <c r="N170" s="76"/>
      <c r="O170" s="76"/>
      <c r="P170" s="76"/>
      <c r="Q170" s="76"/>
      <c r="R170" s="76"/>
      <c r="S170" s="76"/>
      <c r="T170" s="76"/>
      <c r="U170" s="76"/>
      <c r="V170" s="76"/>
      <c r="W170" s="76"/>
      <c r="X170" s="76"/>
      <c r="Y170" s="76"/>
      <c r="Z170" s="76"/>
      <c r="AA170" s="76"/>
      <c r="AB170" s="76"/>
      <c r="AC170" s="76"/>
      <c r="AD170" s="76"/>
      <c r="AE170" s="76"/>
      <c r="AF170" s="76"/>
      <c r="AG170" s="76"/>
      <c r="AH170" s="76"/>
      <c r="AI170" s="76"/>
      <c r="AJ170" s="76"/>
      <c r="AK170" s="76"/>
      <c r="AL170" s="76"/>
      <c r="AM170" s="76"/>
      <c r="AN170" s="76"/>
      <c r="AO170" s="76"/>
      <c r="AP170" s="76"/>
      <c r="AQ170" s="76"/>
      <c r="AR170" s="76"/>
      <c r="AS170" s="76"/>
    </row>
    <row r="171" spans="1:45" hidden="1" outlineLevel="1" x14ac:dyDescent="0.25">
      <c r="A171" s="76"/>
      <c r="B171" s="76"/>
      <c r="C171" s="76">
        <f t="shared" si="20"/>
        <v>0</v>
      </c>
      <c r="D171" s="77"/>
      <c r="E171" s="77"/>
      <c r="F171" s="77"/>
      <c r="G171" s="76"/>
      <c r="H171" s="76"/>
      <c r="I171" s="76"/>
      <c r="J171" s="76"/>
      <c r="K171" s="76"/>
      <c r="L171" s="76"/>
      <c r="M171" s="76"/>
      <c r="N171" s="76"/>
      <c r="O171" s="76"/>
      <c r="P171" s="76"/>
      <c r="Q171" s="76"/>
      <c r="R171" s="76"/>
      <c r="S171" s="76"/>
      <c r="T171" s="76"/>
      <c r="U171" s="76"/>
      <c r="V171" s="76"/>
      <c r="W171" s="76"/>
      <c r="X171" s="76"/>
      <c r="Y171" s="76"/>
      <c r="Z171" s="76"/>
      <c r="AA171" s="76"/>
      <c r="AB171" s="76"/>
      <c r="AC171" s="76"/>
      <c r="AD171" s="76"/>
      <c r="AE171" s="76"/>
      <c r="AF171" s="76"/>
      <c r="AG171" s="76"/>
      <c r="AH171" s="76"/>
      <c r="AI171" s="76"/>
      <c r="AJ171" s="76"/>
      <c r="AK171" s="76"/>
      <c r="AL171" s="76"/>
      <c r="AM171" s="76"/>
      <c r="AN171" s="76"/>
      <c r="AO171" s="76"/>
      <c r="AP171" s="76"/>
      <c r="AQ171" s="76"/>
      <c r="AR171" s="76"/>
      <c r="AS171" s="76"/>
    </row>
    <row r="172" spans="1:45" hidden="1" outlineLevel="1" x14ac:dyDescent="0.25">
      <c r="A172" s="78"/>
      <c r="B172" s="78"/>
      <c r="C172" s="78">
        <f t="shared" si="20"/>
        <v>0</v>
      </c>
      <c r="D172" s="79"/>
      <c r="E172" s="79"/>
      <c r="F172" s="79"/>
      <c r="G172" s="78"/>
      <c r="H172" s="78"/>
      <c r="I172" s="78"/>
      <c r="J172" s="78"/>
      <c r="K172" s="78"/>
      <c r="L172" s="78"/>
      <c r="M172" s="78"/>
      <c r="N172" s="78"/>
      <c r="O172" s="78"/>
      <c r="P172" s="78"/>
      <c r="Q172" s="78"/>
      <c r="R172" s="78"/>
      <c r="S172" s="78"/>
      <c r="T172" s="78"/>
      <c r="U172" s="78"/>
      <c r="V172" s="78"/>
      <c r="W172" s="78"/>
      <c r="X172" s="78"/>
      <c r="Y172" s="78"/>
      <c r="Z172" s="78"/>
      <c r="AA172" s="78"/>
      <c r="AB172" s="78"/>
      <c r="AC172" s="78"/>
      <c r="AD172" s="78"/>
      <c r="AE172" s="78"/>
      <c r="AF172" s="78"/>
      <c r="AG172" s="78"/>
      <c r="AH172" s="78"/>
      <c r="AI172" s="78"/>
      <c r="AJ172" s="78"/>
      <c r="AK172" s="78"/>
      <c r="AL172" s="78"/>
      <c r="AM172" s="78"/>
      <c r="AN172" s="78"/>
      <c r="AO172" s="78"/>
      <c r="AP172" s="78"/>
      <c r="AQ172" s="78"/>
      <c r="AR172" s="78"/>
      <c r="AS172" s="78"/>
    </row>
    <row r="173" spans="1:45" s="35" customFormat="1" collapsed="1" x14ac:dyDescent="0.25">
      <c r="A173" s="72">
        <f>A143-B173-C173</f>
        <v>77032.135454545438</v>
      </c>
      <c r="B173" s="72">
        <f>-rcpDec</f>
        <v>0</v>
      </c>
      <c r="C173" s="72">
        <f>SUBTOTAL(9,C144:C172)</f>
        <v>0</v>
      </c>
      <c r="D173" s="73"/>
      <c r="E173" s="73" t="s">
        <v>77</v>
      </c>
      <c r="F173" s="73"/>
      <c r="G173" s="72">
        <f t="shared" ref="G173:AS173" si="22">SUBTOTAL(9,G144:G172)</f>
        <v>0</v>
      </c>
      <c r="H173" s="72">
        <f t="shared" si="22"/>
        <v>0</v>
      </c>
      <c r="I173" s="72">
        <f t="shared" si="22"/>
        <v>0</v>
      </c>
      <c r="J173" s="72">
        <f t="shared" si="22"/>
        <v>0</v>
      </c>
      <c r="K173" s="72">
        <f t="shared" si="22"/>
        <v>0</v>
      </c>
      <c r="L173" s="72">
        <f t="shared" si="22"/>
        <v>0</v>
      </c>
      <c r="M173" s="72">
        <f t="shared" si="22"/>
        <v>0</v>
      </c>
      <c r="N173" s="72">
        <f t="shared" si="22"/>
        <v>0</v>
      </c>
      <c r="O173" s="72">
        <f t="shared" si="22"/>
        <v>0</v>
      </c>
      <c r="P173" s="72">
        <f t="shared" si="22"/>
        <v>0</v>
      </c>
      <c r="Q173" s="72">
        <f t="shared" si="22"/>
        <v>0</v>
      </c>
      <c r="R173" s="72">
        <f t="shared" si="22"/>
        <v>0</v>
      </c>
      <c r="S173" s="72">
        <f t="shared" si="22"/>
        <v>0</v>
      </c>
      <c r="T173" s="72">
        <f t="shared" si="22"/>
        <v>0</v>
      </c>
      <c r="U173" s="72">
        <f t="shared" si="22"/>
        <v>0</v>
      </c>
      <c r="V173" s="72">
        <f t="shared" si="22"/>
        <v>0</v>
      </c>
      <c r="W173" s="72">
        <f t="shared" si="22"/>
        <v>0</v>
      </c>
      <c r="X173" s="72">
        <f t="shared" si="22"/>
        <v>0</v>
      </c>
      <c r="Y173" s="72">
        <f t="shared" si="22"/>
        <v>0</v>
      </c>
      <c r="Z173" s="72">
        <f t="shared" si="22"/>
        <v>0</v>
      </c>
      <c r="AA173" s="72">
        <f t="shared" si="22"/>
        <v>0</v>
      </c>
      <c r="AB173" s="72">
        <f t="shared" si="22"/>
        <v>0</v>
      </c>
      <c r="AC173" s="72">
        <f t="shared" si="22"/>
        <v>0</v>
      </c>
      <c r="AD173" s="72">
        <f t="shared" si="22"/>
        <v>0</v>
      </c>
      <c r="AE173" s="72">
        <f t="shared" si="22"/>
        <v>0</v>
      </c>
      <c r="AF173" s="72">
        <f t="shared" si="22"/>
        <v>0</v>
      </c>
      <c r="AG173" s="72">
        <f t="shared" si="22"/>
        <v>0</v>
      </c>
      <c r="AH173" s="72">
        <f t="shared" si="22"/>
        <v>0</v>
      </c>
      <c r="AI173" s="72">
        <f t="shared" si="22"/>
        <v>0</v>
      </c>
      <c r="AJ173" s="72">
        <f t="shared" si="22"/>
        <v>0</v>
      </c>
      <c r="AK173" s="72">
        <f t="shared" si="22"/>
        <v>0</v>
      </c>
      <c r="AL173" s="72">
        <f t="shared" si="22"/>
        <v>0</v>
      </c>
      <c r="AM173" s="72">
        <f t="shared" si="22"/>
        <v>0</v>
      </c>
      <c r="AN173" s="72">
        <f t="shared" si="22"/>
        <v>0</v>
      </c>
      <c r="AO173" s="72">
        <f t="shared" si="22"/>
        <v>0</v>
      </c>
      <c r="AP173" s="72">
        <f t="shared" si="22"/>
        <v>0</v>
      </c>
      <c r="AQ173" s="72">
        <f t="shared" si="22"/>
        <v>0</v>
      </c>
      <c r="AR173" s="72">
        <f t="shared" si="22"/>
        <v>0</v>
      </c>
      <c r="AS173" s="72">
        <f t="shared" si="22"/>
        <v>0</v>
      </c>
    </row>
    <row r="174" spans="1:45" s="35" customFormat="1" x14ac:dyDescent="0.25">
      <c r="A174" s="80"/>
      <c r="B174" s="44">
        <f>SUBTOTAL(9,B91:B173)</f>
        <v>-26290</v>
      </c>
      <c r="C174" s="44">
        <f>SUBTOTAL(9,C91:C173)</f>
        <v>25777.37</v>
      </c>
      <c r="D174" s="82"/>
      <c r="E174" s="81" t="s">
        <v>78</v>
      </c>
      <c r="F174" s="82"/>
      <c r="G174" s="44">
        <f t="shared" ref="G174:AS174" si="23">SUBTOTAL(9,G91:G173)</f>
        <v>0</v>
      </c>
      <c r="H174" s="44">
        <f t="shared" si="23"/>
        <v>102.36999999999995</v>
      </c>
      <c r="I174" s="44">
        <f t="shared" si="23"/>
        <v>0</v>
      </c>
      <c r="J174" s="44">
        <f t="shared" si="23"/>
        <v>0</v>
      </c>
      <c r="K174" s="44">
        <f t="shared" si="23"/>
        <v>0</v>
      </c>
      <c r="L174" s="44">
        <f t="shared" si="23"/>
        <v>0</v>
      </c>
      <c r="M174" s="44">
        <f t="shared" si="23"/>
        <v>0</v>
      </c>
      <c r="N174" s="44">
        <f t="shared" si="23"/>
        <v>0</v>
      </c>
      <c r="O174" s="44">
        <f t="shared" si="23"/>
        <v>0</v>
      </c>
      <c r="P174" s="44">
        <f t="shared" si="23"/>
        <v>0</v>
      </c>
      <c r="Q174" s="44">
        <f t="shared" si="23"/>
        <v>0</v>
      </c>
      <c r="R174" s="44">
        <f t="shared" si="23"/>
        <v>0</v>
      </c>
      <c r="S174" s="44">
        <f t="shared" si="23"/>
        <v>0</v>
      </c>
      <c r="T174" s="44">
        <f t="shared" si="23"/>
        <v>0</v>
      </c>
      <c r="U174" s="44">
        <f t="shared" si="23"/>
        <v>0</v>
      </c>
      <c r="V174" s="44">
        <f t="shared" si="23"/>
        <v>0</v>
      </c>
      <c r="W174" s="44">
        <f t="shared" si="23"/>
        <v>0</v>
      </c>
      <c r="X174" s="44">
        <f t="shared" si="23"/>
        <v>0</v>
      </c>
      <c r="Y174" s="44">
        <f t="shared" si="23"/>
        <v>5037.3700000000008</v>
      </c>
      <c r="Z174" s="44">
        <f t="shared" si="23"/>
        <v>0</v>
      </c>
      <c r="AA174" s="44">
        <f t="shared" si="23"/>
        <v>0</v>
      </c>
      <c r="AB174" s="44">
        <f t="shared" si="23"/>
        <v>1023.6300000000001</v>
      </c>
      <c r="AC174" s="44">
        <f t="shared" si="23"/>
        <v>0</v>
      </c>
      <c r="AD174" s="44">
        <f t="shared" si="23"/>
        <v>0</v>
      </c>
      <c r="AE174" s="44">
        <f t="shared" si="23"/>
        <v>0</v>
      </c>
      <c r="AF174" s="44">
        <f t="shared" si="23"/>
        <v>0</v>
      </c>
      <c r="AG174" s="44">
        <f t="shared" si="23"/>
        <v>0</v>
      </c>
      <c r="AH174" s="44">
        <f t="shared" si="23"/>
        <v>0</v>
      </c>
      <c r="AI174" s="44">
        <f t="shared" si="23"/>
        <v>0</v>
      </c>
      <c r="AJ174" s="44">
        <f t="shared" si="23"/>
        <v>0</v>
      </c>
      <c r="AK174" s="44">
        <f t="shared" si="23"/>
        <v>0</v>
      </c>
      <c r="AL174" s="44">
        <f t="shared" si="23"/>
        <v>0</v>
      </c>
      <c r="AM174" s="44">
        <f t="shared" si="23"/>
        <v>0</v>
      </c>
      <c r="AN174" s="44">
        <f t="shared" si="23"/>
        <v>0</v>
      </c>
      <c r="AO174" s="44">
        <f t="shared" si="23"/>
        <v>19614</v>
      </c>
      <c r="AP174" s="44">
        <f t="shared" si="23"/>
        <v>0</v>
      </c>
      <c r="AQ174" s="44">
        <f t="shared" si="23"/>
        <v>0</v>
      </c>
      <c r="AR174" s="44">
        <f t="shared" si="23"/>
        <v>0</v>
      </c>
      <c r="AS174" s="44">
        <f t="shared" si="23"/>
        <v>0</v>
      </c>
    </row>
    <row r="175" spans="1:45" hidden="1" outlineLevel="1" x14ac:dyDescent="0.25">
      <c r="A175" s="74"/>
      <c r="B175" s="74"/>
      <c r="C175" s="74">
        <f t="shared" ref="C175:C203" si="24">SUM(G175:AT175)</f>
        <v>0</v>
      </c>
      <c r="D175" s="75"/>
      <c r="E175" s="75"/>
      <c r="F175" s="75"/>
      <c r="G175" s="74"/>
      <c r="H175" s="74"/>
      <c r="I175" s="74"/>
      <c r="J175" s="74"/>
      <c r="K175" s="74"/>
      <c r="L175" s="74"/>
      <c r="M175" s="74"/>
      <c r="N175" s="74"/>
      <c r="O175" s="74"/>
      <c r="P175" s="74"/>
      <c r="Q175" s="74"/>
      <c r="R175" s="74"/>
      <c r="S175" s="74"/>
      <c r="T175" s="74"/>
      <c r="U175" s="74"/>
      <c r="V175" s="74"/>
      <c r="W175" s="74"/>
      <c r="X175" s="74"/>
      <c r="Y175" s="74"/>
      <c r="Z175" s="74"/>
      <c r="AA175" s="74"/>
      <c r="AB175" s="74"/>
      <c r="AC175" s="74"/>
      <c r="AD175" s="74"/>
      <c r="AE175" s="74"/>
      <c r="AF175" s="74"/>
      <c r="AG175" s="74"/>
      <c r="AH175" s="74"/>
      <c r="AI175" s="74"/>
      <c r="AJ175" s="74"/>
      <c r="AK175" s="74"/>
      <c r="AL175" s="74"/>
      <c r="AM175" s="74"/>
      <c r="AN175" s="74"/>
      <c r="AO175" s="74"/>
      <c r="AP175" s="74"/>
      <c r="AQ175" s="74"/>
      <c r="AR175" s="74"/>
      <c r="AS175" s="74"/>
    </row>
    <row r="176" spans="1:45" hidden="1" outlineLevel="1" x14ac:dyDescent="0.25">
      <c r="A176" s="76"/>
      <c r="B176" s="76"/>
      <c r="C176" s="76">
        <f t="shared" si="24"/>
        <v>0</v>
      </c>
      <c r="D176" s="77"/>
      <c r="E176" s="77"/>
      <c r="F176" s="77"/>
      <c r="G176" s="76"/>
      <c r="H176" s="76"/>
      <c r="I176" s="76"/>
      <c r="J176" s="76"/>
      <c r="K176" s="76"/>
      <c r="L176" s="76"/>
      <c r="M176" s="76"/>
      <c r="N176" s="76"/>
      <c r="O176" s="76"/>
      <c r="P176" s="76"/>
      <c r="Q176" s="76"/>
      <c r="R176" s="76"/>
      <c r="S176" s="76"/>
      <c r="T176" s="76"/>
      <c r="U176" s="76"/>
      <c r="V176" s="76"/>
      <c r="W176" s="76"/>
      <c r="X176" s="76"/>
      <c r="Y176" s="76"/>
      <c r="Z176" s="76"/>
      <c r="AA176" s="76"/>
      <c r="AB176" s="76"/>
      <c r="AC176" s="76"/>
      <c r="AD176" s="76"/>
      <c r="AE176" s="76"/>
      <c r="AF176" s="76"/>
      <c r="AG176" s="76"/>
      <c r="AH176" s="76"/>
      <c r="AI176" s="76"/>
      <c r="AJ176" s="76"/>
      <c r="AK176" s="76"/>
      <c r="AL176" s="76"/>
      <c r="AM176" s="76"/>
      <c r="AN176" s="76"/>
      <c r="AO176" s="76"/>
      <c r="AP176" s="76"/>
      <c r="AQ176" s="76"/>
      <c r="AR176" s="76"/>
      <c r="AS176" s="76"/>
    </row>
    <row r="177" spans="1:45" hidden="1" outlineLevel="1" x14ac:dyDescent="0.25">
      <c r="A177" s="76"/>
      <c r="B177" s="76"/>
      <c r="C177" s="76">
        <f t="shared" si="24"/>
        <v>0</v>
      </c>
      <c r="D177" s="77"/>
      <c r="E177" s="77"/>
      <c r="F177" s="77"/>
      <c r="G177" s="76"/>
      <c r="H177" s="76"/>
      <c r="I177" s="76"/>
      <c r="J177" s="76"/>
      <c r="K177" s="76"/>
      <c r="L177" s="76"/>
      <c r="M177" s="76"/>
      <c r="N177" s="76"/>
      <c r="O177" s="76"/>
      <c r="P177" s="76"/>
      <c r="Q177" s="76"/>
      <c r="R177" s="76"/>
      <c r="S177" s="76"/>
      <c r="T177" s="76"/>
      <c r="U177" s="76"/>
      <c r="V177" s="76"/>
      <c r="W177" s="76"/>
      <c r="X177" s="76"/>
      <c r="Y177" s="76"/>
      <c r="Z177" s="76"/>
      <c r="AA177" s="76"/>
      <c r="AB177" s="76"/>
      <c r="AC177" s="76"/>
      <c r="AD177" s="76"/>
      <c r="AE177" s="76"/>
      <c r="AF177" s="76"/>
      <c r="AG177" s="76"/>
      <c r="AH177" s="76"/>
      <c r="AI177" s="76"/>
      <c r="AJ177" s="76"/>
      <c r="AK177" s="76"/>
      <c r="AL177" s="76"/>
      <c r="AM177" s="76"/>
      <c r="AN177" s="76"/>
      <c r="AO177" s="76"/>
      <c r="AP177" s="76"/>
      <c r="AQ177" s="76"/>
      <c r="AR177" s="76"/>
      <c r="AS177" s="76"/>
    </row>
    <row r="178" spans="1:45" hidden="1" outlineLevel="1" x14ac:dyDescent="0.25">
      <c r="A178" s="76"/>
      <c r="B178" s="76"/>
      <c r="C178" s="76">
        <f t="shared" si="24"/>
        <v>0</v>
      </c>
      <c r="D178" s="77"/>
      <c r="E178" s="77"/>
      <c r="F178" s="77"/>
      <c r="G178" s="76"/>
      <c r="H178" s="76"/>
      <c r="I178" s="76"/>
      <c r="J178" s="76"/>
      <c r="K178" s="76"/>
      <c r="L178" s="76"/>
      <c r="M178" s="76"/>
      <c r="N178" s="76"/>
      <c r="O178" s="76"/>
      <c r="P178" s="76"/>
      <c r="Q178" s="76"/>
      <c r="R178" s="76"/>
      <c r="S178" s="76"/>
      <c r="T178" s="76"/>
      <c r="U178" s="76"/>
      <c r="V178" s="76"/>
      <c r="W178" s="76"/>
      <c r="X178" s="76"/>
      <c r="Y178" s="76"/>
      <c r="Z178" s="76"/>
      <c r="AA178" s="76"/>
      <c r="AB178" s="76"/>
      <c r="AC178" s="76"/>
      <c r="AD178" s="76"/>
      <c r="AE178" s="76"/>
      <c r="AF178" s="76"/>
      <c r="AG178" s="76"/>
      <c r="AH178" s="76"/>
      <c r="AI178" s="76"/>
      <c r="AJ178" s="76"/>
      <c r="AK178" s="76"/>
      <c r="AL178" s="76"/>
      <c r="AM178" s="76"/>
      <c r="AN178" s="76"/>
      <c r="AO178" s="76"/>
      <c r="AP178" s="76"/>
      <c r="AQ178" s="76"/>
      <c r="AR178" s="76"/>
      <c r="AS178" s="76"/>
    </row>
    <row r="179" spans="1:45" hidden="1" outlineLevel="1" x14ac:dyDescent="0.25">
      <c r="A179" s="76"/>
      <c r="B179" s="76"/>
      <c r="C179" s="76">
        <f t="shared" si="24"/>
        <v>0</v>
      </c>
      <c r="D179" s="77"/>
      <c r="E179" s="77"/>
      <c r="F179" s="77"/>
      <c r="G179" s="76"/>
      <c r="H179" s="76"/>
      <c r="I179" s="76"/>
      <c r="J179" s="76"/>
      <c r="K179" s="76"/>
      <c r="L179" s="76"/>
      <c r="M179" s="76"/>
      <c r="N179" s="76"/>
      <c r="O179" s="76"/>
      <c r="P179" s="76"/>
      <c r="Q179" s="76"/>
      <c r="R179" s="76"/>
      <c r="S179" s="76"/>
      <c r="T179" s="76"/>
      <c r="U179" s="76"/>
      <c r="V179" s="76"/>
      <c r="W179" s="76"/>
      <c r="X179" s="76"/>
      <c r="Y179" s="76"/>
      <c r="Z179" s="76"/>
      <c r="AA179" s="76"/>
      <c r="AB179" s="76"/>
      <c r="AC179" s="76"/>
      <c r="AD179" s="76"/>
      <c r="AE179" s="76"/>
      <c r="AF179" s="76"/>
      <c r="AG179" s="76"/>
      <c r="AH179" s="76"/>
      <c r="AI179" s="76"/>
      <c r="AJ179" s="76"/>
      <c r="AK179" s="76"/>
      <c r="AL179" s="76"/>
      <c r="AM179" s="76"/>
      <c r="AN179" s="76"/>
      <c r="AO179" s="76"/>
      <c r="AP179" s="76"/>
      <c r="AQ179" s="76"/>
      <c r="AR179" s="76"/>
      <c r="AS179" s="76"/>
    </row>
    <row r="180" spans="1:45" hidden="1" outlineLevel="1" x14ac:dyDescent="0.25">
      <c r="A180" s="76"/>
      <c r="B180" s="76"/>
      <c r="C180" s="76">
        <f t="shared" si="24"/>
        <v>0</v>
      </c>
      <c r="D180" s="77"/>
      <c r="E180" s="77"/>
      <c r="F180" s="77"/>
      <c r="G180" s="76"/>
      <c r="H180" s="76"/>
      <c r="I180" s="76"/>
      <c r="J180" s="76"/>
      <c r="K180" s="76"/>
      <c r="L180" s="76"/>
      <c r="M180" s="76"/>
      <c r="N180" s="76"/>
      <c r="O180" s="76"/>
      <c r="P180" s="76"/>
      <c r="Q180" s="76"/>
      <c r="R180" s="76"/>
      <c r="S180" s="76"/>
      <c r="T180" s="76"/>
      <c r="U180" s="76"/>
      <c r="V180" s="76"/>
      <c r="W180" s="76"/>
      <c r="X180" s="76"/>
      <c r="Y180" s="76"/>
      <c r="Z180" s="76"/>
      <c r="AA180" s="76"/>
      <c r="AB180" s="76"/>
      <c r="AC180" s="76"/>
      <c r="AD180" s="76"/>
      <c r="AE180" s="76"/>
      <c r="AF180" s="76"/>
      <c r="AG180" s="76"/>
      <c r="AH180" s="76"/>
      <c r="AI180" s="76"/>
      <c r="AJ180" s="76"/>
      <c r="AK180" s="76"/>
      <c r="AL180" s="76"/>
      <c r="AM180" s="76"/>
      <c r="AN180" s="76"/>
      <c r="AO180" s="76"/>
      <c r="AP180" s="76"/>
      <c r="AQ180" s="76"/>
      <c r="AR180" s="76"/>
      <c r="AS180" s="76"/>
    </row>
    <row r="181" spans="1:45" hidden="1" outlineLevel="1" x14ac:dyDescent="0.25">
      <c r="A181" s="76"/>
      <c r="B181" s="76"/>
      <c r="C181" s="76">
        <f t="shared" si="24"/>
        <v>0</v>
      </c>
      <c r="D181" s="77"/>
      <c r="E181" s="77"/>
      <c r="F181" s="77"/>
      <c r="G181" s="76"/>
      <c r="H181" s="76"/>
      <c r="I181" s="76"/>
      <c r="J181" s="76"/>
      <c r="K181" s="76"/>
      <c r="L181" s="76"/>
      <c r="M181" s="76"/>
      <c r="N181" s="76"/>
      <c r="O181" s="76"/>
      <c r="P181" s="76"/>
      <c r="Q181" s="76"/>
      <c r="R181" s="76"/>
      <c r="S181" s="76"/>
      <c r="T181" s="76"/>
      <c r="U181" s="76"/>
      <c r="V181" s="76"/>
      <c r="W181" s="76"/>
      <c r="X181" s="76"/>
      <c r="Y181" s="76"/>
      <c r="Z181" s="76"/>
      <c r="AA181" s="76"/>
      <c r="AB181" s="76"/>
      <c r="AC181" s="76"/>
      <c r="AD181" s="76"/>
      <c r="AE181" s="76"/>
      <c r="AF181" s="76"/>
      <c r="AG181" s="76"/>
      <c r="AH181" s="76"/>
      <c r="AI181" s="76"/>
      <c r="AJ181" s="76"/>
      <c r="AK181" s="76"/>
      <c r="AL181" s="76"/>
      <c r="AM181" s="76"/>
      <c r="AN181" s="76"/>
      <c r="AO181" s="76"/>
      <c r="AP181" s="76"/>
      <c r="AQ181" s="76"/>
      <c r="AR181" s="76"/>
      <c r="AS181" s="76"/>
    </row>
    <row r="182" spans="1:45" hidden="1" outlineLevel="1" x14ac:dyDescent="0.25">
      <c r="A182" s="76"/>
      <c r="B182" s="76"/>
      <c r="C182" s="76">
        <f t="shared" si="24"/>
        <v>0</v>
      </c>
      <c r="D182" s="77"/>
      <c r="E182" s="77"/>
      <c r="F182" s="77"/>
      <c r="G182" s="76"/>
      <c r="H182" s="76"/>
      <c r="I182" s="76"/>
      <c r="J182" s="76"/>
      <c r="K182" s="76"/>
      <c r="L182" s="76"/>
      <c r="M182" s="76"/>
      <c r="N182" s="76"/>
      <c r="O182" s="76"/>
      <c r="P182" s="76"/>
      <c r="Q182" s="76"/>
      <c r="R182" s="76"/>
      <c r="S182" s="76"/>
      <c r="T182" s="76"/>
      <c r="U182" s="76"/>
      <c r="V182" s="76"/>
      <c r="W182" s="76"/>
      <c r="X182" s="76"/>
      <c r="Y182" s="76"/>
      <c r="Z182" s="76"/>
      <c r="AA182" s="76"/>
      <c r="AB182" s="76"/>
      <c r="AC182" s="76"/>
      <c r="AD182" s="76"/>
      <c r="AE182" s="76"/>
      <c r="AF182" s="76"/>
      <c r="AG182" s="76"/>
      <c r="AH182" s="76"/>
      <c r="AI182" s="76"/>
      <c r="AJ182" s="76"/>
      <c r="AK182" s="76"/>
      <c r="AL182" s="76"/>
      <c r="AM182" s="76"/>
      <c r="AN182" s="76"/>
      <c r="AO182" s="76"/>
      <c r="AP182" s="76"/>
      <c r="AQ182" s="76"/>
      <c r="AR182" s="76"/>
      <c r="AS182" s="76"/>
    </row>
    <row r="183" spans="1:45" hidden="1" outlineLevel="1" x14ac:dyDescent="0.25">
      <c r="A183" s="76"/>
      <c r="B183" s="76"/>
      <c r="C183" s="76">
        <f t="shared" si="24"/>
        <v>0</v>
      </c>
      <c r="D183" s="77"/>
      <c r="E183" s="77"/>
      <c r="F183" s="77"/>
      <c r="G183" s="76"/>
      <c r="H183" s="76"/>
      <c r="I183" s="76"/>
      <c r="J183" s="76"/>
      <c r="K183" s="76"/>
      <c r="L183" s="76"/>
      <c r="M183" s="76"/>
      <c r="N183" s="76"/>
      <c r="O183" s="76"/>
      <c r="P183" s="76"/>
      <c r="Q183" s="76"/>
      <c r="R183" s="76"/>
      <c r="S183" s="76"/>
      <c r="T183" s="76"/>
      <c r="U183" s="76"/>
      <c r="V183" s="76"/>
      <c r="W183" s="76"/>
      <c r="X183" s="76"/>
      <c r="Y183" s="76"/>
      <c r="Z183" s="76"/>
      <c r="AA183" s="76"/>
      <c r="AB183" s="76"/>
      <c r="AC183" s="76"/>
      <c r="AD183" s="76"/>
      <c r="AE183" s="76"/>
      <c r="AF183" s="76"/>
      <c r="AG183" s="76"/>
      <c r="AH183" s="76"/>
      <c r="AI183" s="76"/>
      <c r="AJ183" s="76"/>
      <c r="AK183" s="76"/>
      <c r="AL183" s="76"/>
      <c r="AM183" s="76"/>
      <c r="AN183" s="76"/>
      <c r="AO183" s="76"/>
      <c r="AP183" s="76"/>
      <c r="AQ183" s="76"/>
      <c r="AR183" s="76"/>
      <c r="AS183" s="76"/>
    </row>
    <row r="184" spans="1:45" hidden="1" outlineLevel="1" x14ac:dyDescent="0.25">
      <c r="A184" s="76"/>
      <c r="B184" s="76"/>
      <c r="C184" s="76">
        <f t="shared" si="24"/>
        <v>0</v>
      </c>
      <c r="D184" s="77"/>
      <c r="E184" s="77"/>
      <c r="F184" s="77"/>
      <c r="G184" s="76"/>
      <c r="H184" s="76"/>
      <c r="I184" s="76"/>
      <c r="J184" s="76"/>
      <c r="K184" s="76"/>
      <c r="L184" s="76"/>
      <c r="M184" s="76"/>
      <c r="N184" s="76"/>
      <c r="O184" s="76"/>
      <c r="P184" s="76"/>
      <c r="Q184" s="76"/>
      <c r="R184" s="76"/>
      <c r="S184" s="76"/>
      <c r="T184" s="76"/>
      <c r="U184" s="76"/>
      <c r="V184" s="76"/>
      <c r="W184" s="76"/>
      <c r="X184" s="76"/>
      <c r="Y184" s="76"/>
      <c r="Z184" s="76"/>
      <c r="AA184" s="76"/>
      <c r="AB184" s="76"/>
      <c r="AC184" s="76"/>
      <c r="AD184" s="76"/>
      <c r="AE184" s="76"/>
      <c r="AF184" s="76"/>
      <c r="AG184" s="76"/>
      <c r="AH184" s="76"/>
      <c r="AI184" s="76"/>
      <c r="AJ184" s="76"/>
      <c r="AK184" s="76"/>
      <c r="AL184" s="76"/>
      <c r="AM184" s="76"/>
      <c r="AN184" s="76"/>
      <c r="AO184" s="76"/>
      <c r="AP184" s="76"/>
      <c r="AQ184" s="76"/>
      <c r="AR184" s="76"/>
      <c r="AS184" s="76"/>
    </row>
    <row r="185" spans="1:45" hidden="1" outlineLevel="1" x14ac:dyDescent="0.25">
      <c r="A185" s="76"/>
      <c r="B185" s="76"/>
      <c r="C185" s="76">
        <f t="shared" si="24"/>
        <v>0</v>
      </c>
      <c r="D185" s="77"/>
      <c r="E185" s="77"/>
      <c r="F185" s="77"/>
      <c r="G185" s="76"/>
      <c r="H185" s="76"/>
      <c r="I185" s="76"/>
      <c r="J185" s="76"/>
      <c r="K185" s="76"/>
      <c r="L185" s="76"/>
      <c r="M185" s="76"/>
      <c r="N185" s="76"/>
      <c r="O185" s="76"/>
      <c r="P185" s="76"/>
      <c r="Q185" s="76"/>
      <c r="R185" s="76"/>
      <c r="S185" s="76"/>
      <c r="T185" s="76"/>
      <c r="U185" s="76"/>
      <c r="V185" s="76"/>
      <c r="W185" s="76"/>
      <c r="X185" s="76"/>
      <c r="Y185" s="76"/>
      <c r="Z185" s="76"/>
      <c r="AA185" s="76"/>
      <c r="AB185" s="76"/>
      <c r="AC185" s="76"/>
      <c r="AD185" s="76"/>
      <c r="AE185" s="76"/>
      <c r="AF185" s="76"/>
      <c r="AG185" s="76"/>
      <c r="AH185" s="76"/>
      <c r="AI185" s="76"/>
      <c r="AJ185" s="76"/>
      <c r="AK185" s="76"/>
      <c r="AL185" s="76"/>
      <c r="AM185" s="76"/>
      <c r="AN185" s="76"/>
      <c r="AO185" s="76"/>
      <c r="AP185" s="76"/>
      <c r="AQ185" s="76"/>
      <c r="AR185" s="76"/>
      <c r="AS185" s="76"/>
    </row>
    <row r="186" spans="1:45" hidden="1" outlineLevel="1" x14ac:dyDescent="0.25">
      <c r="A186" s="76"/>
      <c r="B186" s="76"/>
      <c r="C186" s="76">
        <f t="shared" si="24"/>
        <v>0</v>
      </c>
      <c r="D186" s="77"/>
      <c r="E186" s="77"/>
      <c r="F186" s="77"/>
      <c r="G186" s="76"/>
      <c r="H186" s="76"/>
      <c r="I186" s="76"/>
      <c r="J186" s="76"/>
      <c r="K186" s="76"/>
      <c r="L186" s="76"/>
      <c r="M186" s="76"/>
      <c r="N186" s="76"/>
      <c r="O186" s="76"/>
      <c r="P186" s="76"/>
      <c r="Q186" s="76"/>
      <c r="R186" s="76"/>
      <c r="S186" s="76"/>
      <c r="T186" s="76"/>
      <c r="U186" s="76"/>
      <c r="V186" s="76"/>
      <c r="W186" s="76"/>
      <c r="X186" s="76"/>
      <c r="Y186" s="76"/>
      <c r="Z186" s="76"/>
      <c r="AA186" s="76"/>
      <c r="AB186" s="76"/>
      <c r="AC186" s="76"/>
      <c r="AD186" s="76"/>
      <c r="AE186" s="76"/>
      <c r="AF186" s="76"/>
      <c r="AG186" s="76"/>
      <c r="AH186" s="76"/>
      <c r="AI186" s="76"/>
      <c r="AJ186" s="76"/>
      <c r="AK186" s="76"/>
      <c r="AL186" s="76"/>
      <c r="AM186" s="76"/>
      <c r="AN186" s="76"/>
      <c r="AO186" s="76"/>
      <c r="AP186" s="76"/>
      <c r="AQ186" s="76"/>
      <c r="AR186" s="76"/>
      <c r="AS186" s="76"/>
    </row>
    <row r="187" spans="1:45" hidden="1" outlineLevel="1" x14ac:dyDescent="0.25">
      <c r="A187" s="76"/>
      <c r="B187" s="76"/>
      <c r="C187" s="76">
        <f t="shared" si="24"/>
        <v>0</v>
      </c>
      <c r="D187" s="77"/>
      <c r="E187" s="77"/>
      <c r="F187" s="77"/>
      <c r="G187" s="76"/>
      <c r="H187" s="76"/>
      <c r="I187" s="76"/>
      <c r="J187" s="76"/>
      <c r="K187" s="76"/>
      <c r="L187" s="76"/>
      <c r="M187" s="76"/>
      <c r="N187" s="76"/>
      <c r="O187" s="76"/>
      <c r="P187" s="76"/>
      <c r="Q187" s="76"/>
      <c r="R187" s="76"/>
      <c r="S187" s="76"/>
      <c r="T187" s="76"/>
      <c r="U187" s="76"/>
      <c r="V187" s="76"/>
      <c r="W187" s="76"/>
      <c r="X187" s="76"/>
      <c r="Y187" s="76"/>
      <c r="Z187" s="76"/>
      <c r="AA187" s="76"/>
      <c r="AB187" s="76"/>
      <c r="AC187" s="76"/>
      <c r="AD187" s="76"/>
      <c r="AE187" s="76"/>
      <c r="AF187" s="76"/>
      <c r="AG187" s="76"/>
      <c r="AH187" s="76"/>
      <c r="AI187" s="76"/>
      <c r="AJ187" s="76"/>
      <c r="AK187" s="76"/>
      <c r="AL187" s="76"/>
      <c r="AM187" s="76"/>
      <c r="AN187" s="76"/>
      <c r="AO187" s="76"/>
      <c r="AP187" s="76"/>
      <c r="AQ187" s="76"/>
      <c r="AR187" s="76"/>
      <c r="AS187" s="76"/>
    </row>
    <row r="188" spans="1:45" hidden="1" outlineLevel="1" x14ac:dyDescent="0.25">
      <c r="A188" s="76"/>
      <c r="B188" s="76"/>
      <c r="C188" s="76">
        <f t="shared" si="24"/>
        <v>0</v>
      </c>
      <c r="D188" s="77"/>
      <c r="E188" s="77"/>
      <c r="F188" s="77"/>
      <c r="G188" s="76"/>
      <c r="H188" s="76"/>
      <c r="I188" s="76"/>
      <c r="J188" s="76"/>
      <c r="K188" s="76"/>
      <c r="L188" s="76"/>
      <c r="M188" s="76"/>
      <c r="N188" s="76"/>
      <c r="O188" s="76"/>
      <c r="P188" s="76"/>
      <c r="Q188" s="76"/>
      <c r="R188" s="76"/>
      <c r="S188" s="76"/>
      <c r="T188" s="76"/>
      <c r="U188" s="76"/>
      <c r="V188" s="76"/>
      <c r="W188" s="76"/>
      <c r="X188" s="76"/>
      <c r="Y188" s="76"/>
      <c r="Z188" s="76"/>
      <c r="AA188" s="76"/>
      <c r="AB188" s="76"/>
      <c r="AC188" s="76"/>
      <c r="AD188" s="76"/>
      <c r="AE188" s="76"/>
      <c r="AF188" s="76"/>
      <c r="AG188" s="76"/>
      <c r="AH188" s="76"/>
      <c r="AI188" s="76"/>
      <c r="AJ188" s="76"/>
      <c r="AK188" s="76"/>
      <c r="AL188" s="76"/>
      <c r="AM188" s="76"/>
      <c r="AN188" s="76"/>
      <c r="AO188" s="76"/>
      <c r="AP188" s="76"/>
      <c r="AQ188" s="76"/>
      <c r="AR188" s="76"/>
      <c r="AS188" s="76"/>
    </row>
    <row r="189" spans="1:45" hidden="1" outlineLevel="1" x14ac:dyDescent="0.25">
      <c r="A189" s="76"/>
      <c r="B189" s="76"/>
      <c r="C189" s="76">
        <f t="shared" si="24"/>
        <v>0</v>
      </c>
      <c r="D189" s="77"/>
      <c r="E189" s="77"/>
      <c r="F189" s="77"/>
      <c r="G189" s="76"/>
      <c r="H189" s="76"/>
      <c r="I189" s="76"/>
      <c r="J189" s="76"/>
      <c r="K189" s="76"/>
      <c r="L189" s="76"/>
      <c r="M189" s="76"/>
      <c r="N189" s="76"/>
      <c r="O189" s="76"/>
      <c r="P189" s="76"/>
      <c r="Q189" s="76"/>
      <c r="R189" s="76"/>
      <c r="S189" s="76"/>
      <c r="T189" s="76"/>
      <c r="U189" s="76"/>
      <c r="V189" s="76"/>
      <c r="W189" s="76"/>
      <c r="X189" s="76"/>
      <c r="Y189" s="76"/>
      <c r="Z189" s="76"/>
      <c r="AA189" s="76"/>
      <c r="AB189" s="76"/>
      <c r="AC189" s="76"/>
      <c r="AD189" s="76"/>
      <c r="AE189" s="76"/>
      <c r="AF189" s="76"/>
      <c r="AG189" s="76"/>
      <c r="AH189" s="76"/>
      <c r="AI189" s="76"/>
      <c r="AJ189" s="76"/>
      <c r="AK189" s="76"/>
      <c r="AL189" s="76"/>
      <c r="AM189" s="76"/>
      <c r="AN189" s="76"/>
      <c r="AO189" s="76"/>
      <c r="AP189" s="76"/>
      <c r="AQ189" s="76"/>
      <c r="AR189" s="76"/>
      <c r="AS189" s="76"/>
    </row>
    <row r="190" spans="1:45" hidden="1" outlineLevel="1" x14ac:dyDescent="0.25">
      <c r="A190" s="76"/>
      <c r="B190" s="76"/>
      <c r="C190" s="76">
        <f t="shared" si="24"/>
        <v>0</v>
      </c>
      <c r="D190" s="77"/>
      <c r="E190" s="77"/>
      <c r="F190" s="77"/>
      <c r="G190" s="76"/>
      <c r="H190" s="76"/>
      <c r="I190" s="76"/>
      <c r="J190" s="76"/>
      <c r="K190" s="76"/>
      <c r="L190" s="76"/>
      <c r="M190" s="76"/>
      <c r="N190" s="76"/>
      <c r="O190" s="76"/>
      <c r="P190" s="76"/>
      <c r="Q190" s="76"/>
      <c r="R190" s="76"/>
      <c r="S190" s="76"/>
      <c r="T190" s="76"/>
      <c r="U190" s="76"/>
      <c r="V190" s="76"/>
      <c r="W190" s="76"/>
      <c r="X190" s="76"/>
      <c r="Y190" s="76"/>
      <c r="Z190" s="76"/>
      <c r="AA190" s="76"/>
      <c r="AB190" s="76"/>
      <c r="AC190" s="76"/>
      <c r="AD190" s="76"/>
      <c r="AE190" s="76"/>
      <c r="AF190" s="76"/>
      <c r="AG190" s="76"/>
      <c r="AH190" s="76"/>
      <c r="AI190" s="76"/>
      <c r="AJ190" s="76"/>
      <c r="AK190" s="76"/>
      <c r="AL190" s="76"/>
      <c r="AM190" s="76"/>
      <c r="AN190" s="76"/>
      <c r="AO190" s="76"/>
      <c r="AP190" s="76"/>
      <c r="AQ190" s="76"/>
      <c r="AR190" s="76"/>
      <c r="AS190" s="76"/>
    </row>
    <row r="191" spans="1:45" hidden="1" outlineLevel="1" x14ac:dyDescent="0.25">
      <c r="A191" s="76"/>
      <c r="B191" s="76"/>
      <c r="C191" s="76">
        <f t="shared" si="24"/>
        <v>0</v>
      </c>
      <c r="D191" s="77"/>
      <c r="E191" s="77"/>
      <c r="F191" s="77"/>
      <c r="G191" s="76"/>
      <c r="H191" s="76"/>
      <c r="I191" s="76"/>
      <c r="J191" s="76"/>
      <c r="K191" s="76"/>
      <c r="L191" s="76"/>
      <c r="M191" s="76"/>
      <c r="N191" s="76"/>
      <c r="O191" s="76"/>
      <c r="P191" s="76"/>
      <c r="Q191" s="76"/>
      <c r="R191" s="76"/>
      <c r="S191" s="76"/>
      <c r="T191" s="76"/>
      <c r="U191" s="76"/>
      <c r="V191" s="76"/>
      <c r="W191" s="76"/>
      <c r="X191" s="76"/>
      <c r="Y191" s="76"/>
      <c r="Z191" s="76"/>
      <c r="AA191" s="76"/>
      <c r="AB191" s="76"/>
      <c r="AC191" s="76"/>
      <c r="AD191" s="76"/>
      <c r="AE191" s="76"/>
      <c r="AF191" s="76"/>
      <c r="AG191" s="76"/>
      <c r="AH191" s="76"/>
      <c r="AI191" s="76"/>
      <c r="AJ191" s="76"/>
      <c r="AK191" s="76"/>
      <c r="AL191" s="76"/>
      <c r="AM191" s="76"/>
      <c r="AN191" s="76"/>
      <c r="AO191" s="76"/>
      <c r="AP191" s="76"/>
      <c r="AQ191" s="76"/>
      <c r="AR191" s="76"/>
      <c r="AS191" s="76"/>
    </row>
    <row r="192" spans="1:45" hidden="1" outlineLevel="1" x14ac:dyDescent="0.25">
      <c r="A192" s="76"/>
      <c r="B192" s="76"/>
      <c r="C192" s="76">
        <f t="shared" si="24"/>
        <v>0</v>
      </c>
      <c r="D192" s="77"/>
      <c r="E192" s="77"/>
      <c r="F192" s="77"/>
      <c r="G192" s="76"/>
      <c r="H192" s="76"/>
      <c r="I192" s="76"/>
      <c r="J192" s="76"/>
      <c r="K192" s="76"/>
      <c r="L192" s="76"/>
      <c r="M192" s="76"/>
      <c r="N192" s="76"/>
      <c r="O192" s="76"/>
      <c r="P192" s="76"/>
      <c r="Q192" s="76"/>
      <c r="R192" s="76"/>
      <c r="S192" s="76"/>
      <c r="T192" s="76"/>
      <c r="U192" s="76"/>
      <c r="V192" s="76"/>
      <c r="W192" s="76"/>
      <c r="X192" s="76"/>
      <c r="Y192" s="76"/>
      <c r="Z192" s="76"/>
      <c r="AA192" s="76"/>
      <c r="AB192" s="76"/>
      <c r="AC192" s="76"/>
      <c r="AD192" s="76"/>
      <c r="AE192" s="76"/>
      <c r="AF192" s="76"/>
      <c r="AG192" s="76"/>
      <c r="AH192" s="76"/>
      <c r="AI192" s="76"/>
      <c r="AJ192" s="76"/>
      <c r="AK192" s="76"/>
      <c r="AL192" s="76"/>
      <c r="AM192" s="76"/>
      <c r="AN192" s="76"/>
      <c r="AO192" s="76"/>
      <c r="AP192" s="76"/>
      <c r="AQ192" s="76"/>
      <c r="AR192" s="76"/>
      <c r="AS192" s="76"/>
    </row>
    <row r="193" spans="1:45" hidden="1" outlineLevel="1" x14ac:dyDescent="0.25">
      <c r="A193" s="76"/>
      <c r="B193" s="76"/>
      <c r="C193" s="76">
        <f t="shared" ref="C193:C194" si="25">SUM(G193:AT193)</f>
        <v>0</v>
      </c>
      <c r="D193" s="77"/>
      <c r="E193" s="77"/>
      <c r="F193" s="77"/>
      <c r="G193" s="76"/>
      <c r="H193" s="76"/>
      <c r="I193" s="76"/>
      <c r="J193" s="76"/>
      <c r="K193" s="76"/>
      <c r="L193" s="76"/>
      <c r="M193" s="76"/>
      <c r="N193" s="76"/>
      <c r="O193" s="76"/>
      <c r="P193" s="76"/>
      <c r="Q193" s="76"/>
      <c r="R193" s="76"/>
      <c r="S193" s="76"/>
      <c r="T193" s="76"/>
      <c r="U193" s="76"/>
      <c r="V193" s="76"/>
      <c r="W193" s="76"/>
      <c r="X193" s="76"/>
      <c r="Y193" s="76"/>
      <c r="Z193" s="76"/>
      <c r="AA193" s="76"/>
      <c r="AB193" s="76"/>
      <c r="AC193" s="76"/>
      <c r="AD193" s="76"/>
      <c r="AE193" s="76"/>
      <c r="AF193" s="76"/>
      <c r="AG193" s="76"/>
      <c r="AH193" s="76"/>
      <c r="AI193" s="76"/>
      <c r="AJ193" s="76"/>
      <c r="AK193" s="76"/>
      <c r="AL193" s="76"/>
      <c r="AM193" s="76"/>
      <c r="AN193" s="76"/>
      <c r="AO193" s="76"/>
      <c r="AP193" s="76"/>
      <c r="AQ193" s="76"/>
      <c r="AR193" s="76"/>
      <c r="AS193" s="76"/>
    </row>
    <row r="194" spans="1:45" hidden="1" outlineLevel="1" x14ac:dyDescent="0.25">
      <c r="A194" s="76"/>
      <c r="B194" s="76"/>
      <c r="C194" s="76">
        <f t="shared" si="25"/>
        <v>0</v>
      </c>
      <c r="D194" s="77"/>
      <c r="E194" s="77"/>
      <c r="F194" s="77"/>
      <c r="G194" s="76"/>
      <c r="H194" s="76"/>
      <c r="I194" s="76"/>
      <c r="J194" s="76"/>
      <c r="K194" s="76"/>
      <c r="L194" s="76"/>
      <c r="M194" s="76"/>
      <c r="N194" s="76"/>
      <c r="O194" s="76"/>
      <c r="P194" s="76"/>
      <c r="Q194" s="76"/>
      <c r="R194" s="76"/>
      <c r="S194" s="76"/>
      <c r="T194" s="76"/>
      <c r="U194" s="76"/>
      <c r="V194" s="76"/>
      <c r="W194" s="76"/>
      <c r="X194" s="76"/>
      <c r="Y194" s="76"/>
      <c r="Z194" s="76"/>
      <c r="AA194" s="76"/>
      <c r="AB194" s="76"/>
      <c r="AC194" s="76"/>
      <c r="AD194" s="76"/>
      <c r="AE194" s="76"/>
      <c r="AF194" s="76"/>
      <c r="AG194" s="76"/>
      <c r="AH194" s="76"/>
      <c r="AI194" s="76"/>
      <c r="AJ194" s="76"/>
      <c r="AK194" s="76"/>
      <c r="AL194" s="76"/>
      <c r="AM194" s="76"/>
      <c r="AN194" s="76"/>
      <c r="AO194" s="76"/>
      <c r="AP194" s="76"/>
      <c r="AQ194" s="76"/>
      <c r="AR194" s="76"/>
      <c r="AS194" s="76"/>
    </row>
    <row r="195" spans="1:45" hidden="1" outlineLevel="1" x14ac:dyDescent="0.25">
      <c r="A195" s="76"/>
      <c r="B195" s="76"/>
      <c r="C195" s="76">
        <f t="shared" ref="C195:C196" si="26">SUM(G195:AT195)</f>
        <v>0</v>
      </c>
      <c r="D195" s="77"/>
      <c r="E195" s="77"/>
      <c r="F195" s="77"/>
      <c r="G195" s="76"/>
      <c r="H195" s="76"/>
      <c r="I195" s="76"/>
      <c r="J195" s="76"/>
      <c r="K195" s="76"/>
      <c r="L195" s="76"/>
      <c r="M195" s="76"/>
      <c r="N195" s="76"/>
      <c r="O195" s="76"/>
      <c r="P195" s="76"/>
      <c r="Q195" s="76"/>
      <c r="R195" s="76"/>
      <c r="S195" s="76"/>
      <c r="T195" s="76"/>
      <c r="U195" s="76"/>
      <c r="V195" s="76"/>
      <c r="W195" s="76"/>
      <c r="X195" s="76"/>
      <c r="Y195" s="76"/>
      <c r="Z195" s="76"/>
      <c r="AA195" s="76"/>
      <c r="AB195" s="76"/>
      <c r="AC195" s="76"/>
      <c r="AD195" s="76"/>
      <c r="AE195" s="76"/>
      <c r="AF195" s="76"/>
      <c r="AG195" s="76"/>
      <c r="AH195" s="76"/>
      <c r="AI195" s="76"/>
      <c r="AJ195" s="76"/>
      <c r="AK195" s="76"/>
      <c r="AL195" s="76"/>
      <c r="AM195" s="76"/>
      <c r="AN195" s="76"/>
      <c r="AO195" s="76"/>
      <c r="AP195" s="76"/>
      <c r="AQ195" s="76"/>
      <c r="AR195" s="76"/>
      <c r="AS195" s="76"/>
    </row>
    <row r="196" spans="1:45" hidden="1" outlineLevel="1" x14ac:dyDescent="0.25">
      <c r="A196" s="76"/>
      <c r="B196" s="76"/>
      <c r="C196" s="76">
        <f t="shared" si="26"/>
        <v>0</v>
      </c>
      <c r="D196" s="77"/>
      <c r="E196" s="77"/>
      <c r="F196" s="77"/>
      <c r="G196" s="76"/>
      <c r="H196" s="76"/>
      <c r="I196" s="76"/>
      <c r="J196" s="76"/>
      <c r="K196" s="76"/>
      <c r="L196" s="76"/>
      <c r="M196" s="76"/>
      <c r="N196" s="76"/>
      <c r="O196" s="76"/>
      <c r="P196" s="76"/>
      <c r="Q196" s="76"/>
      <c r="R196" s="76"/>
      <c r="S196" s="76"/>
      <c r="T196" s="76"/>
      <c r="U196" s="76"/>
      <c r="V196" s="76"/>
      <c r="W196" s="76"/>
      <c r="X196" s="76"/>
      <c r="Y196" s="76"/>
      <c r="Z196" s="76"/>
      <c r="AA196" s="76"/>
      <c r="AB196" s="76"/>
      <c r="AC196" s="76"/>
      <c r="AD196" s="76"/>
      <c r="AE196" s="76"/>
      <c r="AF196" s="76"/>
      <c r="AG196" s="76"/>
      <c r="AH196" s="76"/>
      <c r="AI196" s="76"/>
      <c r="AJ196" s="76"/>
      <c r="AK196" s="76"/>
      <c r="AL196" s="76"/>
      <c r="AM196" s="76"/>
      <c r="AN196" s="76"/>
      <c r="AO196" s="76"/>
      <c r="AP196" s="76"/>
      <c r="AQ196" s="76"/>
      <c r="AR196" s="76"/>
      <c r="AS196" s="76"/>
    </row>
    <row r="197" spans="1:45" hidden="1" outlineLevel="1" x14ac:dyDescent="0.25">
      <c r="A197" s="76"/>
      <c r="B197" s="76"/>
      <c r="C197" s="76">
        <f t="shared" ref="C197:C198" si="27">SUM(G197:AT197)</f>
        <v>0</v>
      </c>
      <c r="D197" s="77"/>
      <c r="E197" s="77"/>
      <c r="F197" s="231"/>
      <c r="G197" s="76"/>
      <c r="H197" s="76"/>
      <c r="I197" s="76"/>
      <c r="J197" s="76"/>
      <c r="K197" s="76"/>
      <c r="L197" s="76"/>
      <c r="M197" s="76"/>
      <c r="N197" s="76"/>
      <c r="O197" s="76"/>
      <c r="P197" s="76"/>
      <c r="Q197" s="76"/>
      <c r="R197" s="76"/>
      <c r="S197" s="76"/>
      <c r="T197" s="76"/>
      <c r="U197" s="76"/>
      <c r="V197" s="76"/>
      <c r="W197" s="76"/>
      <c r="X197" s="76"/>
      <c r="Y197" s="76"/>
      <c r="Z197" s="76"/>
      <c r="AA197" s="76"/>
      <c r="AB197" s="76"/>
      <c r="AC197" s="76"/>
      <c r="AD197" s="76"/>
      <c r="AE197" s="76"/>
      <c r="AF197" s="76"/>
      <c r="AG197" s="76"/>
      <c r="AH197" s="76"/>
      <c r="AI197" s="76"/>
      <c r="AJ197" s="76"/>
      <c r="AK197" s="76"/>
      <c r="AL197" s="76"/>
      <c r="AM197" s="76"/>
      <c r="AN197" s="76"/>
      <c r="AO197" s="76"/>
      <c r="AP197" s="76"/>
      <c r="AQ197" s="76"/>
      <c r="AR197" s="76"/>
      <c r="AS197" s="76"/>
    </row>
    <row r="198" spans="1:45" hidden="1" outlineLevel="1" x14ac:dyDescent="0.25">
      <c r="A198" s="76"/>
      <c r="B198" s="76"/>
      <c r="C198" s="76">
        <f t="shared" si="27"/>
        <v>0</v>
      </c>
      <c r="D198" s="77"/>
      <c r="E198" s="77"/>
      <c r="F198" s="77"/>
      <c r="G198" s="76"/>
      <c r="H198" s="76"/>
      <c r="I198" s="76"/>
      <c r="J198" s="76"/>
      <c r="K198" s="76"/>
      <c r="L198" s="76"/>
      <c r="M198" s="76"/>
      <c r="N198" s="76"/>
      <c r="O198" s="76"/>
      <c r="P198" s="76"/>
      <c r="Q198" s="76"/>
      <c r="R198" s="76"/>
      <c r="S198" s="76"/>
      <c r="T198" s="76"/>
      <c r="U198" s="76"/>
      <c r="V198" s="76"/>
      <c r="W198" s="76"/>
      <c r="X198" s="76"/>
      <c r="Y198" s="76"/>
      <c r="Z198" s="76"/>
      <c r="AA198" s="76"/>
      <c r="AB198" s="76"/>
      <c r="AC198" s="76"/>
      <c r="AD198" s="76"/>
      <c r="AE198" s="76"/>
      <c r="AF198" s="76"/>
      <c r="AG198" s="76"/>
      <c r="AH198" s="76"/>
      <c r="AI198" s="76"/>
      <c r="AJ198" s="76"/>
      <c r="AK198" s="76"/>
      <c r="AL198" s="76"/>
      <c r="AM198" s="76"/>
      <c r="AN198" s="76"/>
      <c r="AO198" s="76"/>
      <c r="AP198" s="76"/>
      <c r="AQ198" s="76"/>
      <c r="AR198" s="76"/>
      <c r="AS198" s="76"/>
    </row>
    <row r="199" spans="1:45" hidden="1" outlineLevel="1" x14ac:dyDescent="0.25">
      <c r="A199" s="76"/>
      <c r="B199" s="76"/>
      <c r="C199" s="76">
        <f t="shared" ref="C199:C200" si="28">SUM(G199:AT199)</f>
        <v>0</v>
      </c>
      <c r="D199" s="77"/>
      <c r="E199" s="77"/>
      <c r="F199" s="77"/>
      <c r="G199" s="76"/>
      <c r="H199" s="76"/>
      <c r="I199" s="76"/>
      <c r="J199" s="76"/>
      <c r="K199" s="76"/>
      <c r="L199" s="76"/>
      <c r="M199" s="76"/>
      <c r="N199" s="76"/>
      <c r="O199" s="76"/>
      <c r="P199" s="76"/>
      <c r="Q199" s="76"/>
      <c r="R199" s="76"/>
      <c r="S199" s="76"/>
      <c r="T199" s="76"/>
      <c r="U199" s="76"/>
      <c r="V199" s="76"/>
      <c r="W199" s="76"/>
      <c r="X199" s="76"/>
      <c r="Y199" s="76"/>
      <c r="Z199" s="76"/>
      <c r="AA199" s="76"/>
      <c r="AB199" s="76"/>
      <c r="AC199" s="76"/>
      <c r="AD199" s="76"/>
      <c r="AE199" s="76"/>
      <c r="AF199" s="76"/>
      <c r="AG199" s="76"/>
      <c r="AH199" s="76"/>
      <c r="AI199" s="76"/>
      <c r="AJ199" s="76"/>
      <c r="AK199" s="76"/>
      <c r="AL199" s="76"/>
      <c r="AM199" s="76"/>
      <c r="AN199" s="76"/>
      <c r="AO199" s="76"/>
      <c r="AP199" s="76"/>
      <c r="AQ199" s="76"/>
      <c r="AR199" s="76"/>
      <c r="AS199" s="76"/>
    </row>
    <row r="200" spans="1:45" hidden="1" outlineLevel="1" x14ac:dyDescent="0.25">
      <c r="A200" s="76"/>
      <c r="B200" s="76"/>
      <c r="C200" s="76">
        <f t="shared" si="28"/>
        <v>0</v>
      </c>
      <c r="D200" s="77"/>
      <c r="E200" s="77"/>
      <c r="F200" s="77"/>
      <c r="G200" s="76"/>
      <c r="H200" s="76"/>
      <c r="I200" s="76"/>
      <c r="J200" s="76"/>
      <c r="K200" s="76"/>
      <c r="L200" s="76"/>
      <c r="M200" s="76"/>
      <c r="N200" s="76"/>
      <c r="O200" s="76"/>
      <c r="P200" s="76"/>
      <c r="Q200" s="76"/>
      <c r="R200" s="76"/>
      <c r="S200" s="76"/>
      <c r="T200" s="76"/>
      <c r="U200" s="76"/>
      <c r="V200" s="76"/>
      <c r="W200" s="76"/>
      <c r="X200" s="76"/>
      <c r="Y200" s="76"/>
      <c r="Z200" s="76"/>
      <c r="AA200" s="76"/>
      <c r="AB200" s="76"/>
      <c r="AC200" s="76"/>
      <c r="AD200" s="76"/>
      <c r="AE200" s="76"/>
      <c r="AF200" s="76"/>
      <c r="AG200" s="76"/>
      <c r="AH200" s="76"/>
      <c r="AI200" s="76"/>
      <c r="AJ200" s="76"/>
      <c r="AK200" s="76"/>
      <c r="AL200" s="76"/>
      <c r="AM200" s="76"/>
      <c r="AN200" s="76"/>
      <c r="AO200" s="76"/>
      <c r="AP200" s="76"/>
      <c r="AQ200" s="76"/>
      <c r="AR200" s="76"/>
      <c r="AS200" s="76"/>
    </row>
    <row r="201" spans="1:45" hidden="1" outlineLevel="1" x14ac:dyDescent="0.25">
      <c r="A201" s="76"/>
      <c r="B201" s="76"/>
      <c r="C201" s="76">
        <f t="shared" si="24"/>
        <v>0</v>
      </c>
      <c r="D201" s="77"/>
      <c r="E201" s="77"/>
      <c r="F201" s="77"/>
      <c r="G201" s="76"/>
      <c r="H201" s="76"/>
      <c r="I201" s="76"/>
      <c r="J201" s="76"/>
      <c r="K201" s="76"/>
      <c r="L201" s="76"/>
      <c r="M201" s="76"/>
      <c r="N201" s="76"/>
      <c r="O201" s="76"/>
      <c r="P201" s="76"/>
      <c r="Q201" s="76"/>
      <c r="R201" s="76"/>
      <c r="S201" s="76"/>
      <c r="T201" s="76"/>
      <c r="U201" s="76"/>
      <c r="V201" s="76"/>
      <c r="W201" s="76"/>
      <c r="X201" s="76"/>
      <c r="Y201" s="76"/>
      <c r="Z201" s="76"/>
      <c r="AA201" s="76"/>
      <c r="AB201" s="76"/>
      <c r="AC201" s="76"/>
      <c r="AD201" s="76"/>
      <c r="AE201" s="76"/>
      <c r="AF201" s="76"/>
      <c r="AG201" s="76"/>
      <c r="AH201" s="76"/>
      <c r="AI201" s="76"/>
      <c r="AJ201" s="76"/>
      <c r="AK201" s="76"/>
      <c r="AL201" s="76"/>
      <c r="AM201" s="76"/>
      <c r="AN201" s="76"/>
      <c r="AO201" s="76"/>
      <c r="AP201" s="76"/>
      <c r="AQ201" s="76"/>
      <c r="AR201" s="76"/>
      <c r="AS201" s="76"/>
    </row>
    <row r="202" spans="1:45" hidden="1" outlineLevel="1" x14ac:dyDescent="0.25">
      <c r="A202" s="76"/>
      <c r="B202" s="76"/>
      <c r="C202" s="76">
        <f t="shared" si="24"/>
        <v>0</v>
      </c>
      <c r="D202" s="77"/>
      <c r="E202" s="77"/>
      <c r="F202" s="77"/>
      <c r="G202" s="76"/>
      <c r="H202" s="76"/>
      <c r="I202" s="76"/>
      <c r="J202" s="76"/>
      <c r="K202" s="76"/>
      <c r="L202" s="76"/>
      <c r="M202" s="76"/>
      <c r="N202" s="76"/>
      <c r="O202" s="76"/>
      <c r="P202" s="76"/>
      <c r="Q202" s="76"/>
      <c r="R202" s="76"/>
      <c r="S202" s="76"/>
      <c r="T202" s="76"/>
      <c r="U202" s="76"/>
      <c r="V202" s="76"/>
      <c r="W202" s="76"/>
      <c r="X202" s="76"/>
      <c r="Y202" s="76"/>
      <c r="Z202" s="76"/>
      <c r="AA202" s="76"/>
      <c r="AB202" s="76"/>
      <c r="AC202" s="76"/>
      <c r="AD202" s="76"/>
      <c r="AE202" s="76"/>
      <c r="AF202" s="76"/>
      <c r="AG202" s="76"/>
      <c r="AH202" s="76"/>
      <c r="AI202" s="76"/>
      <c r="AJ202" s="76"/>
      <c r="AK202" s="76"/>
      <c r="AL202" s="76"/>
      <c r="AM202" s="76"/>
      <c r="AN202" s="76"/>
      <c r="AO202" s="76"/>
      <c r="AP202" s="76"/>
      <c r="AQ202" s="76"/>
      <c r="AR202" s="76"/>
      <c r="AS202" s="76"/>
    </row>
    <row r="203" spans="1:45" hidden="1" outlineLevel="1" x14ac:dyDescent="0.25">
      <c r="A203" s="78"/>
      <c r="B203" s="78"/>
      <c r="C203" s="78">
        <f t="shared" si="24"/>
        <v>0</v>
      </c>
      <c r="D203" s="79"/>
      <c r="E203" s="79"/>
      <c r="F203" s="79"/>
      <c r="G203" s="78"/>
      <c r="H203" s="78"/>
      <c r="I203" s="78"/>
      <c r="J203" s="78"/>
      <c r="K203" s="78"/>
      <c r="L203" s="78"/>
      <c r="M203" s="78"/>
      <c r="N203" s="78"/>
      <c r="O203" s="78"/>
      <c r="P203" s="78"/>
      <c r="Q203" s="78"/>
      <c r="R203" s="78"/>
      <c r="S203" s="78"/>
      <c r="T203" s="78"/>
      <c r="U203" s="78"/>
      <c r="V203" s="78"/>
      <c r="W203" s="78"/>
      <c r="X203" s="78"/>
      <c r="Y203" s="78"/>
      <c r="Z203" s="78"/>
      <c r="AA203" s="78"/>
      <c r="AB203" s="78"/>
      <c r="AC203" s="78"/>
      <c r="AD203" s="78"/>
      <c r="AE203" s="78"/>
      <c r="AF203" s="78"/>
      <c r="AG203" s="78"/>
      <c r="AH203" s="78"/>
      <c r="AI203" s="78"/>
      <c r="AJ203" s="78"/>
      <c r="AK203" s="78"/>
      <c r="AL203" s="78"/>
      <c r="AM203" s="78"/>
      <c r="AN203" s="78"/>
      <c r="AO203" s="78"/>
      <c r="AP203" s="78"/>
      <c r="AQ203" s="78"/>
      <c r="AR203" s="78"/>
      <c r="AS203" s="78"/>
    </row>
    <row r="204" spans="1:45" s="35" customFormat="1" collapsed="1" x14ac:dyDescent="0.25">
      <c r="A204" s="72">
        <f>A173-B204-C204</f>
        <v>77032.135454545438</v>
      </c>
      <c r="B204" s="72">
        <f>-rcpJan</f>
        <v>0</v>
      </c>
      <c r="C204" s="72">
        <f>SUBTOTAL(9,C175:C203)</f>
        <v>0</v>
      </c>
      <c r="D204" s="73"/>
      <c r="E204" s="73" t="s">
        <v>79</v>
      </c>
      <c r="F204" s="73"/>
      <c r="G204" s="72">
        <f t="shared" ref="G204:AS204" si="29">SUBTOTAL(9,G175:G203)</f>
        <v>0</v>
      </c>
      <c r="H204" s="72">
        <f t="shared" si="29"/>
        <v>0</v>
      </c>
      <c r="I204" s="72">
        <f t="shared" si="29"/>
        <v>0</v>
      </c>
      <c r="J204" s="72">
        <f t="shared" si="29"/>
        <v>0</v>
      </c>
      <c r="K204" s="72">
        <f t="shared" si="29"/>
        <v>0</v>
      </c>
      <c r="L204" s="72">
        <f t="shared" si="29"/>
        <v>0</v>
      </c>
      <c r="M204" s="72">
        <f t="shared" si="29"/>
        <v>0</v>
      </c>
      <c r="N204" s="72">
        <f t="shared" si="29"/>
        <v>0</v>
      </c>
      <c r="O204" s="72">
        <f t="shared" si="29"/>
        <v>0</v>
      </c>
      <c r="P204" s="72">
        <f t="shared" si="29"/>
        <v>0</v>
      </c>
      <c r="Q204" s="72">
        <f t="shared" si="29"/>
        <v>0</v>
      </c>
      <c r="R204" s="72">
        <f t="shared" si="29"/>
        <v>0</v>
      </c>
      <c r="S204" s="72">
        <f t="shared" si="29"/>
        <v>0</v>
      </c>
      <c r="T204" s="72">
        <f t="shared" si="29"/>
        <v>0</v>
      </c>
      <c r="U204" s="72">
        <f t="shared" si="29"/>
        <v>0</v>
      </c>
      <c r="V204" s="72">
        <f t="shared" ref="V204:W204" si="30">SUBTOTAL(9,V175:V203)</f>
        <v>0</v>
      </c>
      <c r="W204" s="72">
        <f t="shared" si="30"/>
        <v>0</v>
      </c>
      <c r="X204" s="72">
        <f t="shared" ref="X204:Z204" si="31">SUBTOTAL(9,X175:X203)</f>
        <v>0</v>
      </c>
      <c r="Y204" s="72">
        <f t="shared" si="29"/>
        <v>0</v>
      </c>
      <c r="Z204" s="72">
        <f t="shared" si="31"/>
        <v>0</v>
      </c>
      <c r="AA204" s="72">
        <f t="shared" si="29"/>
        <v>0</v>
      </c>
      <c r="AB204" s="72">
        <f t="shared" si="29"/>
        <v>0</v>
      </c>
      <c r="AC204" s="72">
        <f t="shared" si="29"/>
        <v>0</v>
      </c>
      <c r="AD204" s="72">
        <f>SUBTOTAL(9,AD175:AD203)</f>
        <v>0</v>
      </c>
      <c r="AE204" s="72">
        <f t="shared" si="29"/>
        <v>0</v>
      </c>
      <c r="AF204" s="72">
        <f t="shared" si="29"/>
        <v>0</v>
      </c>
      <c r="AG204" s="72">
        <f t="shared" si="29"/>
        <v>0</v>
      </c>
      <c r="AH204" s="72">
        <f>SUBTOTAL(9,AH175:AH203)</f>
        <v>0</v>
      </c>
      <c r="AI204" s="72">
        <f t="shared" ref="AI204:AJ204" si="32">SUBTOTAL(9,AI175:AI203)</f>
        <v>0</v>
      </c>
      <c r="AJ204" s="72">
        <f t="shared" si="32"/>
        <v>0</v>
      </c>
      <c r="AK204" s="72">
        <f t="shared" si="29"/>
        <v>0</v>
      </c>
      <c r="AL204" s="72">
        <f t="shared" si="29"/>
        <v>0</v>
      </c>
      <c r="AM204" s="72">
        <f t="shared" si="29"/>
        <v>0</v>
      </c>
      <c r="AN204" s="72">
        <f t="shared" si="29"/>
        <v>0</v>
      </c>
      <c r="AO204" s="72">
        <f t="shared" si="29"/>
        <v>0</v>
      </c>
      <c r="AP204" s="72">
        <f t="shared" si="29"/>
        <v>0</v>
      </c>
      <c r="AQ204" s="72">
        <f t="shared" si="29"/>
        <v>0</v>
      </c>
      <c r="AR204" s="72">
        <f t="shared" si="29"/>
        <v>0</v>
      </c>
      <c r="AS204" s="72">
        <f t="shared" si="29"/>
        <v>0</v>
      </c>
    </row>
    <row r="205" spans="1:45" hidden="1" outlineLevel="1" x14ac:dyDescent="0.25">
      <c r="A205" s="74"/>
      <c r="B205" s="74"/>
      <c r="C205" s="74">
        <f t="shared" ref="C205:C225" si="33">SUM(G205:AT205)</f>
        <v>0</v>
      </c>
      <c r="D205" s="75"/>
      <c r="E205" s="75"/>
      <c r="F205" s="75"/>
      <c r="G205" s="74"/>
      <c r="H205" s="74"/>
      <c r="I205" s="74"/>
      <c r="J205" s="74"/>
      <c r="K205" s="74"/>
      <c r="L205" s="74"/>
      <c r="M205" s="74"/>
      <c r="N205" s="74"/>
      <c r="O205" s="74"/>
      <c r="P205" s="74"/>
      <c r="Q205" s="74"/>
      <c r="R205" s="74"/>
      <c r="S205" s="74"/>
      <c r="T205" s="74"/>
      <c r="U205" s="74"/>
      <c r="V205" s="74"/>
      <c r="W205" s="74"/>
      <c r="X205" s="74"/>
      <c r="Y205" s="74"/>
      <c r="Z205" s="74"/>
      <c r="AA205" s="74"/>
      <c r="AB205" s="74"/>
      <c r="AC205" s="74"/>
      <c r="AD205" s="74"/>
      <c r="AE205" s="74"/>
      <c r="AF205" s="74"/>
      <c r="AG205" s="74"/>
      <c r="AH205" s="74"/>
      <c r="AI205" s="74"/>
      <c r="AJ205" s="74"/>
      <c r="AK205" s="74"/>
      <c r="AL205" s="74"/>
      <c r="AM205" s="74"/>
      <c r="AN205" s="74"/>
      <c r="AO205" s="74"/>
      <c r="AP205" s="74"/>
      <c r="AQ205" s="74"/>
      <c r="AR205" s="74"/>
      <c r="AS205" s="74"/>
    </row>
    <row r="206" spans="1:45" hidden="1" outlineLevel="1" x14ac:dyDescent="0.25">
      <c r="A206" s="76"/>
      <c r="B206" s="76"/>
      <c r="C206" s="76">
        <f t="shared" si="33"/>
        <v>0</v>
      </c>
      <c r="D206" s="77"/>
      <c r="E206" s="77"/>
      <c r="F206" s="77"/>
      <c r="G206" s="76"/>
      <c r="H206" s="76"/>
      <c r="I206" s="76"/>
      <c r="J206" s="76"/>
      <c r="K206" s="76"/>
      <c r="L206" s="76"/>
      <c r="M206" s="76"/>
      <c r="N206" s="76"/>
      <c r="O206" s="76"/>
      <c r="P206" s="76"/>
      <c r="Q206" s="76"/>
      <c r="R206" s="76"/>
      <c r="S206" s="76"/>
      <c r="T206" s="76"/>
      <c r="U206" s="76"/>
      <c r="V206" s="76"/>
      <c r="W206" s="76"/>
      <c r="X206" s="76"/>
      <c r="Y206" s="76"/>
      <c r="Z206" s="76"/>
      <c r="AA206" s="76"/>
      <c r="AB206" s="76"/>
      <c r="AC206" s="76"/>
      <c r="AD206" s="76"/>
      <c r="AE206" s="76"/>
      <c r="AF206" s="76"/>
      <c r="AG206" s="76"/>
      <c r="AH206" s="76"/>
      <c r="AI206" s="76"/>
      <c r="AJ206" s="76"/>
      <c r="AK206" s="76"/>
      <c r="AL206" s="76"/>
      <c r="AM206" s="76"/>
      <c r="AN206" s="76"/>
      <c r="AO206" s="76"/>
      <c r="AP206" s="76"/>
      <c r="AQ206" s="76"/>
      <c r="AR206" s="76"/>
      <c r="AS206" s="76"/>
    </row>
    <row r="207" spans="1:45" hidden="1" outlineLevel="1" x14ac:dyDescent="0.25">
      <c r="A207" s="76"/>
      <c r="B207" s="76"/>
      <c r="C207" s="76">
        <f t="shared" si="33"/>
        <v>0</v>
      </c>
      <c r="D207" s="77"/>
      <c r="E207" s="77"/>
      <c r="F207" s="77"/>
      <c r="G207" s="76"/>
      <c r="H207" s="76"/>
      <c r="I207" s="76"/>
      <c r="J207" s="76"/>
      <c r="K207" s="76"/>
      <c r="L207" s="76"/>
      <c r="M207" s="76"/>
      <c r="N207" s="76"/>
      <c r="O207" s="76"/>
      <c r="P207" s="76"/>
      <c r="Q207" s="76"/>
      <c r="R207" s="76"/>
      <c r="S207" s="76"/>
      <c r="T207" s="76"/>
      <c r="U207" s="76"/>
      <c r="V207" s="76"/>
      <c r="W207" s="76"/>
      <c r="X207" s="76"/>
      <c r="Y207" s="76"/>
      <c r="Z207" s="76"/>
      <c r="AA207" s="76"/>
      <c r="AB207" s="76"/>
      <c r="AC207" s="76"/>
      <c r="AD207" s="76"/>
      <c r="AE207" s="76"/>
      <c r="AF207" s="76"/>
      <c r="AG207" s="76"/>
      <c r="AH207" s="76"/>
      <c r="AI207" s="76"/>
      <c r="AJ207" s="76"/>
      <c r="AK207" s="76"/>
      <c r="AL207" s="76"/>
      <c r="AM207" s="76"/>
      <c r="AN207" s="76"/>
      <c r="AO207" s="76"/>
      <c r="AP207" s="76"/>
      <c r="AQ207" s="76"/>
      <c r="AR207" s="76"/>
      <c r="AS207" s="76"/>
    </row>
    <row r="208" spans="1:45" hidden="1" outlineLevel="1" x14ac:dyDescent="0.25">
      <c r="A208" s="76"/>
      <c r="B208" s="76"/>
      <c r="C208" s="76">
        <f t="shared" si="33"/>
        <v>0</v>
      </c>
      <c r="D208" s="77"/>
      <c r="E208" s="77"/>
      <c r="F208" s="77"/>
      <c r="G208" s="76"/>
      <c r="H208" s="76"/>
      <c r="I208" s="76"/>
      <c r="J208" s="76"/>
      <c r="K208" s="76"/>
      <c r="L208" s="76"/>
      <c r="M208" s="76"/>
      <c r="N208" s="76"/>
      <c r="O208" s="76"/>
      <c r="P208" s="76"/>
      <c r="Q208" s="76"/>
      <c r="R208" s="76"/>
      <c r="S208" s="76"/>
      <c r="T208" s="76"/>
      <c r="U208" s="76"/>
      <c r="V208" s="76"/>
      <c r="W208" s="76"/>
      <c r="X208" s="76"/>
      <c r="Y208" s="76"/>
      <c r="Z208" s="76"/>
      <c r="AA208" s="76"/>
      <c r="AB208" s="76"/>
      <c r="AC208" s="76"/>
      <c r="AD208" s="76"/>
      <c r="AE208" s="76"/>
      <c r="AF208" s="76"/>
      <c r="AG208" s="76"/>
      <c r="AH208" s="76"/>
      <c r="AI208" s="76"/>
      <c r="AJ208" s="76"/>
      <c r="AK208" s="76"/>
      <c r="AL208" s="76"/>
      <c r="AM208" s="76"/>
      <c r="AN208" s="76"/>
      <c r="AO208" s="76"/>
      <c r="AP208" s="76"/>
      <c r="AQ208" s="76"/>
      <c r="AR208" s="76"/>
      <c r="AS208" s="76"/>
    </row>
    <row r="209" spans="1:45" hidden="1" outlineLevel="1" x14ac:dyDescent="0.25">
      <c r="A209" s="76"/>
      <c r="B209" s="76"/>
      <c r="C209" s="76">
        <f t="shared" si="33"/>
        <v>0</v>
      </c>
      <c r="D209" s="77"/>
      <c r="E209" s="77"/>
      <c r="F209" s="77"/>
      <c r="G209" s="76"/>
      <c r="H209" s="76"/>
      <c r="I209" s="76"/>
      <c r="J209" s="76"/>
      <c r="K209" s="76"/>
      <c r="L209" s="76"/>
      <c r="M209" s="76"/>
      <c r="N209" s="76"/>
      <c r="O209" s="76"/>
      <c r="P209" s="76"/>
      <c r="Q209" s="76"/>
      <c r="R209" s="76"/>
      <c r="S209" s="76"/>
      <c r="T209" s="76"/>
      <c r="U209" s="76"/>
      <c r="V209" s="76"/>
      <c r="W209" s="76"/>
      <c r="X209" s="76"/>
      <c r="Y209" s="76"/>
      <c r="Z209" s="76"/>
      <c r="AA209" s="76"/>
      <c r="AB209" s="76"/>
      <c r="AC209" s="76"/>
      <c r="AD209" s="76"/>
      <c r="AE209" s="76"/>
      <c r="AF209" s="76"/>
      <c r="AG209" s="76"/>
      <c r="AH209" s="76"/>
      <c r="AI209" s="76"/>
      <c r="AJ209" s="76"/>
      <c r="AK209" s="76"/>
      <c r="AL209" s="76"/>
      <c r="AM209" s="76"/>
      <c r="AN209" s="76"/>
      <c r="AO209" s="76"/>
      <c r="AP209" s="76"/>
      <c r="AQ209" s="76"/>
      <c r="AR209" s="76"/>
      <c r="AS209" s="76"/>
    </row>
    <row r="210" spans="1:45" hidden="1" outlineLevel="1" x14ac:dyDescent="0.25">
      <c r="A210" s="76"/>
      <c r="B210" s="76"/>
      <c r="C210" s="76">
        <f t="shared" si="33"/>
        <v>0</v>
      </c>
      <c r="D210" s="77"/>
      <c r="E210" s="77"/>
      <c r="F210" s="77"/>
      <c r="G210" s="76"/>
      <c r="H210" s="76"/>
      <c r="I210" s="76"/>
      <c r="J210" s="76"/>
      <c r="K210" s="76"/>
      <c r="L210" s="76"/>
      <c r="M210" s="76"/>
      <c r="N210" s="76"/>
      <c r="O210" s="76"/>
      <c r="P210" s="76"/>
      <c r="Q210" s="76"/>
      <c r="R210" s="76"/>
      <c r="S210" s="76"/>
      <c r="T210" s="76"/>
      <c r="U210" s="76"/>
      <c r="V210" s="76"/>
      <c r="W210" s="76"/>
      <c r="X210" s="76"/>
      <c r="Y210" s="76"/>
      <c r="Z210" s="76"/>
      <c r="AA210" s="76"/>
      <c r="AB210" s="76"/>
      <c r="AC210" s="76"/>
      <c r="AD210" s="76"/>
      <c r="AE210" s="76"/>
      <c r="AF210" s="76"/>
      <c r="AG210" s="76"/>
      <c r="AH210" s="76"/>
      <c r="AI210" s="76"/>
      <c r="AJ210" s="76"/>
      <c r="AK210" s="76"/>
      <c r="AL210" s="76"/>
      <c r="AM210" s="76"/>
      <c r="AN210" s="76"/>
      <c r="AO210" s="76"/>
      <c r="AP210" s="76"/>
      <c r="AQ210" s="76"/>
      <c r="AR210" s="76"/>
      <c r="AS210" s="76"/>
    </row>
    <row r="211" spans="1:45" hidden="1" outlineLevel="1" x14ac:dyDescent="0.25">
      <c r="A211" s="76"/>
      <c r="B211" s="76"/>
      <c r="C211" s="76">
        <f t="shared" si="33"/>
        <v>0</v>
      </c>
      <c r="D211" s="77"/>
      <c r="E211" s="77"/>
      <c r="F211" s="77"/>
      <c r="G211" s="84"/>
      <c r="H211" s="76"/>
      <c r="I211" s="76"/>
      <c r="J211" s="76"/>
      <c r="K211" s="76"/>
      <c r="L211" s="76"/>
      <c r="M211" s="76"/>
      <c r="N211" s="76"/>
      <c r="O211" s="76"/>
      <c r="P211" s="76"/>
      <c r="Q211" s="76"/>
      <c r="R211" s="76"/>
      <c r="S211" s="76"/>
      <c r="T211" s="76"/>
      <c r="U211" s="76"/>
      <c r="V211" s="76"/>
      <c r="W211" s="76"/>
      <c r="X211" s="76"/>
      <c r="Y211" s="76"/>
      <c r="Z211" s="76"/>
      <c r="AA211" s="76"/>
      <c r="AB211" s="76"/>
      <c r="AC211" s="76"/>
      <c r="AD211" s="76"/>
      <c r="AE211" s="76"/>
      <c r="AF211" s="76"/>
      <c r="AG211" s="76"/>
      <c r="AH211" s="76"/>
      <c r="AI211" s="76"/>
      <c r="AJ211" s="76"/>
      <c r="AK211" s="76"/>
      <c r="AL211" s="76"/>
      <c r="AM211" s="76"/>
      <c r="AN211" s="76"/>
      <c r="AO211" s="76"/>
      <c r="AP211" s="76"/>
      <c r="AQ211" s="76"/>
      <c r="AR211" s="76"/>
      <c r="AS211" s="76"/>
    </row>
    <row r="212" spans="1:45" hidden="1" outlineLevel="1" x14ac:dyDescent="0.25">
      <c r="A212" s="76"/>
      <c r="B212" s="76"/>
      <c r="C212" s="76">
        <f t="shared" si="33"/>
        <v>0</v>
      </c>
      <c r="D212" s="77"/>
      <c r="E212" s="77"/>
      <c r="F212" s="77"/>
      <c r="G212" s="76"/>
      <c r="H212" s="76"/>
      <c r="I212" s="76"/>
      <c r="J212" s="76"/>
      <c r="K212" s="76"/>
      <c r="L212" s="76"/>
      <c r="M212" s="76"/>
      <c r="N212" s="76"/>
      <c r="O212" s="76"/>
      <c r="P212" s="76"/>
      <c r="Q212" s="76"/>
      <c r="R212" s="76"/>
      <c r="S212" s="76"/>
      <c r="T212" s="76"/>
      <c r="U212" s="76"/>
      <c r="V212" s="76"/>
      <c r="W212" s="76"/>
      <c r="X212" s="76"/>
      <c r="Y212" s="76"/>
      <c r="Z212" s="76"/>
      <c r="AA212" s="76"/>
      <c r="AB212" s="76"/>
      <c r="AC212" s="76"/>
      <c r="AD212" s="76"/>
      <c r="AE212" s="76"/>
      <c r="AF212" s="76"/>
      <c r="AG212" s="76"/>
      <c r="AH212" s="76"/>
      <c r="AI212" s="76"/>
      <c r="AJ212" s="76"/>
      <c r="AK212" s="76"/>
      <c r="AL212" s="76"/>
      <c r="AM212" s="76"/>
      <c r="AN212" s="76"/>
      <c r="AO212" s="76"/>
      <c r="AP212" s="76"/>
      <c r="AQ212" s="76"/>
      <c r="AR212" s="76"/>
      <c r="AS212" s="76"/>
    </row>
    <row r="213" spans="1:45" hidden="1" outlineLevel="1" x14ac:dyDescent="0.25">
      <c r="A213" s="76"/>
      <c r="B213" s="76"/>
      <c r="C213" s="76">
        <f t="shared" si="33"/>
        <v>0</v>
      </c>
      <c r="D213" s="77"/>
      <c r="E213" s="77"/>
      <c r="F213" s="77"/>
      <c r="G213" s="76"/>
      <c r="H213" s="76"/>
      <c r="I213" s="76"/>
      <c r="J213" s="76"/>
      <c r="K213" s="76"/>
      <c r="L213" s="76"/>
      <c r="M213" s="76"/>
      <c r="N213" s="76"/>
      <c r="O213" s="76"/>
      <c r="P213" s="76"/>
      <c r="Q213" s="76"/>
      <c r="R213" s="76"/>
      <c r="S213" s="76"/>
      <c r="T213" s="76"/>
      <c r="U213" s="76"/>
      <c r="V213" s="76"/>
      <c r="W213" s="76"/>
      <c r="X213" s="76"/>
      <c r="Y213" s="76"/>
      <c r="Z213" s="76"/>
      <c r="AA213" s="76"/>
      <c r="AB213" s="76"/>
      <c r="AC213" s="76"/>
      <c r="AD213" s="76"/>
      <c r="AE213" s="76"/>
      <c r="AF213" s="76"/>
      <c r="AG213" s="76"/>
      <c r="AH213" s="76"/>
      <c r="AI213" s="76"/>
      <c r="AJ213" s="76"/>
      <c r="AK213" s="76"/>
      <c r="AL213" s="76"/>
      <c r="AM213" s="76"/>
      <c r="AN213" s="76"/>
      <c r="AO213" s="76"/>
      <c r="AP213" s="76"/>
      <c r="AQ213" s="76"/>
      <c r="AR213" s="76"/>
      <c r="AS213" s="76"/>
    </row>
    <row r="214" spans="1:45" hidden="1" outlineLevel="1" x14ac:dyDescent="0.25">
      <c r="A214" s="76"/>
      <c r="B214" s="76"/>
      <c r="C214" s="76">
        <f>SUM(G214:AT214)</f>
        <v>0</v>
      </c>
      <c r="D214" s="77"/>
      <c r="E214" s="77"/>
      <c r="F214" s="77"/>
      <c r="G214" s="76"/>
      <c r="H214" s="76"/>
      <c r="I214" s="76"/>
      <c r="J214" s="76"/>
      <c r="K214" s="76"/>
      <c r="L214" s="76"/>
      <c r="M214" s="76"/>
      <c r="N214" s="76"/>
      <c r="O214" s="76"/>
      <c r="P214" s="76"/>
      <c r="Q214" s="76"/>
      <c r="R214" s="76"/>
      <c r="S214" s="76"/>
      <c r="T214" s="76"/>
      <c r="U214" s="76"/>
      <c r="V214" s="76"/>
      <c r="W214" s="76"/>
      <c r="X214" s="76"/>
      <c r="Y214" s="76"/>
      <c r="Z214" s="76"/>
      <c r="AA214" s="76"/>
      <c r="AB214" s="76"/>
      <c r="AC214" s="76"/>
      <c r="AD214" s="76"/>
      <c r="AE214" s="76"/>
      <c r="AF214" s="76"/>
      <c r="AG214" s="76"/>
      <c r="AH214" s="76"/>
      <c r="AI214" s="76"/>
      <c r="AJ214" s="76"/>
      <c r="AK214" s="76"/>
      <c r="AL214" s="76"/>
      <c r="AM214" s="76"/>
      <c r="AN214" s="76"/>
      <c r="AO214" s="76"/>
      <c r="AP214" s="76"/>
      <c r="AQ214" s="76"/>
      <c r="AR214" s="76"/>
      <c r="AS214" s="76"/>
    </row>
    <row r="215" spans="1:45" hidden="1" outlineLevel="1" x14ac:dyDescent="0.25">
      <c r="A215" s="76"/>
      <c r="B215" s="76"/>
      <c r="C215" s="76">
        <f t="shared" si="33"/>
        <v>0</v>
      </c>
      <c r="D215" s="77"/>
      <c r="E215" s="77"/>
      <c r="F215" s="77"/>
      <c r="G215" s="76"/>
      <c r="H215" s="76"/>
      <c r="I215" s="76"/>
      <c r="J215" s="76"/>
      <c r="K215" s="76"/>
      <c r="L215" s="76"/>
      <c r="M215" s="76"/>
      <c r="N215" s="76"/>
      <c r="O215" s="76"/>
      <c r="P215" s="76"/>
      <c r="Q215" s="76"/>
      <c r="R215" s="76"/>
      <c r="S215" s="76"/>
      <c r="T215" s="76"/>
      <c r="U215" s="76"/>
      <c r="V215" s="76"/>
      <c r="W215" s="76"/>
      <c r="X215" s="76"/>
      <c r="Y215" s="76"/>
      <c r="Z215" s="76"/>
      <c r="AA215" s="76"/>
      <c r="AB215" s="76"/>
      <c r="AC215" s="76"/>
      <c r="AD215" s="76"/>
      <c r="AE215" s="76"/>
      <c r="AF215" s="76"/>
      <c r="AG215" s="76"/>
      <c r="AH215" s="76"/>
      <c r="AI215" s="76"/>
      <c r="AJ215" s="76"/>
      <c r="AK215" s="76"/>
      <c r="AL215" s="76"/>
      <c r="AM215" s="76"/>
      <c r="AN215" s="76"/>
      <c r="AO215" s="76"/>
      <c r="AP215" s="76"/>
      <c r="AQ215" s="76"/>
      <c r="AR215" s="76"/>
      <c r="AS215" s="76"/>
    </row>
    <row r="216" spans="1:45" hidden="1" outlineLevel="1" x14ac:dyDescent="0.25">
      <c r="A216" s="76"/>
      <c r="B216" s="76"/>
      <c r="C216" s="76">
        <f t="shared" si="33"/>
        <v>0</v>
      </c>
      <c r="D216" s="77"/>
      <c r="E216" s="77"/>
      <c r="F216" s="77"/>
      <c r="G216" s="76"/>
      <c r="H216" s="76"/>
      <c r="I216" s="76"/>
      <c r="J216" s="76"/>
      <c r="K216" s="76"/>
      <c r="L216" s="76"/>
      <c r="M216" s="76"/>
      <c r="N216" s="76"/>
      <c r="O216" s="76"/>
      <c r="P216" s="76"/>
      <c r="Q216" s="76"/>
      <c r="R216" s="76"/>
      <c r="S216" s="76"/>
      <c r="T216" s="76"/>
      <c r="U216" s="76"/>
      <c r="V216" s="76"/>
      <c r="W216" s="76"/>
      <c r="X216" s="76"/>
      <c r="Y216" s="76"/>
      <c r="Z216" s="76"/>
      <c r="AA216" s="76"/>
      <c r="AB216" s="76"/>
      <c r="AC216" s="76"/>
      <c r="AD216" s="76"/>
      <c r="AE216" s="76"/>
      <c r="AF216" s="76"/>
      <c r="AG216" s="76"/>
      <c r="AH216" s="76"/>
      <c r="AI216" s="76"/>
      <c r="AJ216" s="76"/>
      <c r="AK216" s="76"/>
      <c r="AL216" s="76"/>
      <c r="AM216" s="76"/>
      <c r="AN216" s="76"/>
      <c r="AO216" s="76"/>
      <c r="AP216" s="76"/>
      <c r="AQ216" s="76"/>
      <c r="AR216" s="76"/>
      <c r="AS216" s="76"/>
    </row>
    <row r="217" spans="1:45" hidden="1" outlineLevel="1" x14ac:dyDescent="0.25">
      <c r="A217" s="76"/>
      <c r="B217" s="76"/>
      <c r="C217" s="76">
        <f t="shared" si="33"/>
        <v>0</v>
      </c>
      <c r="D217" s="77"/>
      <c r="E217" s="77"/>
      <c r="F217" s="77"/>
      <c r="G217" s="76"/>
      <c r="H217" s="76"/>
      <c r="I217" s="76"/>
      <c r="J217" s="76"/>
      <c r="K217" s="76"/>
      <c r="L217" s="76"/>
      <c r="M217" s="76"/>
      <c r="N217" s="76"/>
      <c r="O217" s="76"/>
      <c r="P217" s="76"/>
      <c r="Q217" s="76"/>
      <c r="R217" s="76"/>
      <c r="S217" s="76"/>
      <c r="T217" s="76"/>
      <c r="U217" s="76"/>
      <c r="V217" s="76"/>
      <c r="W217" s="76"/>
      <c r="X217" s="76"/>
      <c r="Y217" s="76"/>
      <c r="Z217" s="76"/>
      <c r="AA217" s="76"/>
      <c r="AB217" s="76"/>
      <c r="AC217" s="76"/>
      <c r="AD217" s="76"/>
      <c r="AE217" s="76"/>
      <c r="AF217" s="76"/>
      <c r="AG217" s="76"/>
      <c r="AH217" s="76"/>
      <c r="AI217" s="76"/>
      <c r="AJ217" s="76"/>
      <c r="AK217" s="76"/>
      <c r="AL217" s="76"/>
      <c r="AM217" s="76"/>
      <c r="AN217" s="76"/>
      <c r="AO217" s="76"/>
      <c r="AP217" s="76"/>
      <c r="AQ217" s="76"/>
      <c r="AR217" s="76"/>
      <c r="AS217" s="76"/>
    </row>
    <row r="218" spans="1:45" hidden="1" outlineLevel="1" x14ac:dyDescent="0.25">
      <c r="A218" s="76"/>
      <c r="B218" s="76"/>
      <c r="C218" s="76">
        <f t="shared" si="33"/>
        <v>0</v>
      </c>
      <c r="D218" s="77"/>
      <c r="E218" s="77"/>
      <c r="F218" s="77"/>
      <c r="G218" s="76"/>
      <c r="H218" s="76"/>
      <c r="I218" s="76"/>
      <c r="J218" s="76"/>
      <c r="K218" s="76"/>
      <c r="L218" s="76"/>
      <c r="M218" s="76"/>
      <c r="N218" s="76"/>
      <c r="O218" s="76"/>
      <c r="P218" s="76"/>
      <c r="Q218" s="76"/>
      <c r="R218" s="76"/>
      <c r="S218" s="76"/>
      <c r="T218" s="76"/>
      <c r="U218" s="76"/>
      <c r="V218" s="76"/>
      <c r="W218" s="76"/>
      <c r="X218" s="76"/>
      <c r="Y218" s="76"/>
      <c r="Z218" s="76"/>
      <c r="AA218" s="76"/>
      <c r="AB218" s="76"/>
      <c r="AC218" s="76"/>
      <c r="AD218" s="76"/>
      <c r="AE218" s="76"/>
      <c r="AF218" s="76"/>
      <c r="AG218" s="76"/>
      <c r="AH218" s="76"/>
      <c r="AI218" s="76"/>
      <c r="AJ218" s="76"/>
      <c r="AK218" s="76"/>
      <c r="AL218" s="76"/>
      <c r="AM218" s="76"/>
      <c r="AN218" s="76"/>
      <c r="AO218" s="76"/>
      <c r="AP218" s="76"/>
      <c r="AQ218" s="76"/>
      <c r="AR218" s="76"/>
      <c r="AS218" s="76"/>
    </row>
    <row r="219" spans="1:45" hidden="1" outlineLevel="1" x14ac:dyDescent="0.25">
      <c r="A219" s="76"/>
      <c r="B219" s="76"/>
      <c r="C219" s="76">
        <f t="shared" si="33"/>
        <v>0</v>
      </c>
      <c r="D219" s="77"/>
      <c r="E219" s="77"/>
      <c r="F219" s="77"/>
      <c r="G219" s="76"/>
      <c r="H219" s="76"/>
      <c r="I219" s="76"/>
      <c r="J219" s="76"/>
      <c r="K219" s="76"/>
      <c r="L219" s="76"/>
      <c r="M219" s="76"/>
      <c r="N219" s="76"/>
      <c r="O219" s="76"/>
      <c r="P219" s="76"/>
      <c r="Q219" s="76"/>
      <c r="R219" s="76"/>
      <c r="S219" s="76"/>
      <c r="T219" s="76"/>
      <c r="U219" s="76"/>
      <c r="V219" s="76"/>
      <c r="W219" s="76"/>
      <c r="X219" s="76"/>
      <c r="Y219" s="76"/>
      <c r="Z219" s="76"/>
      <c r="AA219" s="76"/>
      <c r="AB219" s="76"/>
      <c r="AC219" s="76"/>
      <c r="AD219" s="76"/>
      <c r="AE219" s="76"/>
      <c r="AF219" s="76"/>
      <c r="AG219" s="76"/>
      <c r="AH219" s="76"/>
      <c r="AI219" s="76"/>
      <c r="AJ219" s="76"/>
      <c r="AK219" s="76"/>
      <c r="AL219" s="76"/>
      <c r="AM219" s="76"/>
      <c r="AN219" s="76"/>
      <c r="AO219" s="76"/>
      <c r="AP219" s="76"/>
      <c r="AQ219" s="76"/>
      <c r="AR219" s="76"/>
      <c r="AS219" s="76"/>
    </row>
    <row r="220" spans="1:45" hidden="1" outlineLevel="1" x14ac:dyDescent="0.25">
      <c r="A220" s="76"/>
      <c r="B220" s="76"/>
      <c r="C220" s="76">
        <f t="shared" si="33"/>
        <v>0</v>
      </c>
      <c r="D220" s="77"/>
      <c r="E220" s="77"/>
      <c r="F220" s="77"/>
      <c r="G220" s="76"/>
      <c r="H220" s="76"/>
      <c r="I220" s="76"/>
      <c r="J220" s="76"/>
      <c r="K220" s="76"/>
      <c r="L220" s="76"/>
      <c r="M220" s="76"/>
      <c r="N220" s="76"/>
      <c r="O220" s="76"/>
      <c r="P220" s="76"/>
      <c r="Q220" s="76"/>
      <c r="R220" s="76"/>
      <c r="S220" s="76"/>
      <c r="T220" s="76"/>
      <c r="U220" s="76"/>
      <c r="V220" s="76"/>
      <c r="W220" s="76"/>
      <c r="X220" s="76"/>
      <c r="Y220" s="76"/>
      <c r="Z220" s="76"/>
      <c r="AA220" s="76"/>
      <c r="AB220" s="76"/>
      <c r="AC220" s="76"/>
      <c r="AD220" s="76"/>
      <c r="AE220" s="76"/>
      <c r="AF220" s="76"/>
      <c r="AG220" s="76"/>
      <c r="AH220" s="76"/>
      <c r="AI220" s="76"/>
      <c r="AJ220" s="76"/>
      <c r="AK220" s="76"/>
      <c r="AL220" s="76"/>
      <c r="AM220" s="76"/>
      <c r="AN220" s="76"/>
      <c r="AO220" s="76"/>
      <c r="AP220" s="76"/>
      <c r="AQ220" s="76"/>
      <c r="AR220" s="76"/>
      <c r="AS220" s="76"/>
    </row>
    <row r="221" spans="1:45" hidden="1" outlineLevel="1" x14ac:dyDescent="0.25">
      <c r="A221" s="76"/>
      <c r="B221" s="76"/>
      <c r="C221" s="76">
        <f t="shared" si="33"/>
        <v>0</v>
      </c>
      <c r="D221" s="77"/>
      <c r="E221" s="77"/>
      <c r="F221" s="77"/>
      <c r="G221" s="76"/>
      <c r="H221" s="76"/>
      <c r="I221" s="76"/>
      <c r="J221" s="76"/>
      <c r="K221" s="76"/>
      <c r="L221" s="76"/>
      <c r="M221" s="76"/>
      <c r="N221" s="76"/>
      <c r="O221" s="76"/>
      <c r="P221" s="76"/>
      <c r="Q221" s="76"/>
      <c r="R221" s="76"/>
      <c r="S221" s="76"/>
      <c r="T221" s="76"/>
      <c r="U221" s="76"/>
      <c r="V221" s="76"/>
      <c r="W221" s="76"/>
      <c r="X221" s="76"/>
      <c r="Y221" s="76"/>
      <c r="Z221" s="76"/>
      <c r="AA221" s="76"/>
      <c r="AB221" s="76"/>
      <c r="AC221" s="76"/>
      <c r="AD221" s="76"/>
      <c r="AE221" s="76"/>
      <c r="AF221" s="76"/>
      <c r="AG221" s="76"/>
      <c r="AH221" s="76"/>
      <c r="AI221" s="76"/>
      <c r="AJ221" s="76"/>
      <c r="AK221" s="76"/>
      <c r="AL221" s="76"/>
      <c r="AM221" s="76"/>
      <c r="AN221" s="76"/>
      <c r="AO221" s="76"/>
      <c r="AP221" s="76"/>
      <c r="AQ221" s="76"/>
      <c r="AR221" s="76"/>
      <c r="AS221" s="76"/>
    </row>
    <row r="222" spans="1:45" hidden="1" outlineLevel="1" x14ac:dyDescent="0.25">
      <c r="A222" s="76"/>
      <c r="B222" s="76"/>
      <c r="C222" s="76">
        <f t="shared" si="33"/>
        <v>0</v>
      </c>
      <c r="D222" s="77"/>
      <c r="E222" s="77"/>
      <c r="F222" s="77"/>
      <c r="G222" s="76"/>
      <c r="H222" s="76"/>
      <c r="I222" s="76"/>
      <c r="J222" s="76"/>
      <c r="K222" s="76"/>
      <c r="L222" s="76"/>
      <c r="M222" s="76"/>
      <c r="N222" s="76"/>
      <c r="O222" s="76"/>
      <c r="P222" s="76"/>
      <c r="Q222" s="76"/>
      <c r="R222" s="76"/>
      <c r="S222" s="76"/>
      <c r="T222" s="76"/>
      <c r="U222" s="76"/>
      <c r="V222" s="76"/>
      <c r="W222" s="76"/>
      <c r="X222" s="76"/>
      <c r="Y222" s="76"/>
      <c r="Z222" s="76"/>
      <c r="AA222" s="76"/>
      <c r="AB222" s="76"/>
      <c r="AC222" s="76"/>
      <c r="AD222" s="76"/>
      <c r="AE222" s="76"/>
      <c r="AF222" s="76"/>
      <c r="AG222" s="76"/>
      <c r="AH222" s="76"/>
      <c r="AI222" s="76"/>
      <c r="AJ222" s="76"/>
      <c r="AK222" s="76"/>
      <c r="AL222" s="76"/>
      <c r="AM222" s="76"/>
      <c r="AN222" s="76"/>
      <c r="AO222" s="76"/>
      <c r="AP222" s="76"/>
      <c r="AQ222" s="76"/>
      <c r="AR222" s="76"/>
      <c r="AS222" s="76"/>
    </row>
    <row r="223" spans="1:45" hidden="1" outlineLevel="1" x14ac:dyDescent="0.25">
      <c r="A223" s="76"/>
      <c r="B223" s="76"/>
      <c r="C223" s="76">
        <f t="shared" si="33"/>
        <v>0</v>
      </c>
      <c r="D223" s="77"/>
      <c r="E223" s="77"/>
      <c r="F223" s="77"/>
      <c r="G223" s="76"/>
      <c r="H223" s="76"/>
      <c r="I223" s="76"/>
      <c r="J223" s="76"/>
      <c r="K223" s="76"/>
      <c r="L223" s="76"/>
      <c r="M223" s="76"/>
      <c r="N223" s="76"/>
      <c r="O223" s="76"/>
      <c r="P223" s="76"/>
      <c r="Q223" s="76"/>
      <c r="R223" s="76"/>
      <c r="S223" s="76"/>
      <c r="T223" s="76"/>
      <c r="U223" s="76"/>
      <c r="V223" s="76"/>
      <c r="W223" s="76"/>
      <c r="X223" s="76"/>
      <c r="Y223" s="76"/>
      <c r="Z223" s="76"/>
      <c r="AA223" s="76"/>
      <c r="AB223" s="76"/>
      <c r="AC223" s="76"/>
      <c r="AD223" s="76"/>
      <c r="AE223" s="76"/>
      <c r="AF223" s="76"/>
      <c r="AG223" s="76"/>
      <c r="AH223" s="76"/>
      <c r="AI223" s="76"/>
      <c r="AJ223" s="76"/>
      <c r="AK223" s="76"/>
      <c r="AL223" s="76"/>
      <c r="AM223" s="76"/>
      <c r="AN223" s="76"/>
      <c r="AO223" s="76"/>
      <c r="AP223" s="76"/>
      <c r="AQ223" s="76"/>
      <c r="AR223" s="76"/>
      <c r="AS223" s="76"/>
    </row>
    <row r="224" spans="1:45" hidden="1" outlineLevel="1" x14ac:dyDescent="0.25">
      <c r="A224" s="76"/>
      <c r="B224" s="76"/>
      <c r="C224" s="76">
        <f t="shared" si="33"/>
        <v>0</v>
      </c>
      <c r="D224" s="77"/>
      <c r="E224" s="77"/>
      <c r="F224" s="77"/>
      <c r="G224" s="76"/>
      <c r="H224" s="76"/>
      <c r="I224" s="76"/>
      <c r="J224" s="76"/>
      <c r="K224" s="76"/>
      <c r="L224" s="76"/>
      <c r="M224" s="76"/>
      <c r="N224" s="76"/>
      <c r="O224" s="76"/>
      <c r="P224" s="76"/>
      <c r="Q224" s="76"/>
      <c r="R224" s="76"/>
      <c r="S224" s="76"/>
      <c r="T224" s="76"/>
      <c r="U224" s="76"/>
      <c r="V224" s="76"/>
      <c r="W224" s="76"/>
      <c r="X224" s="76"/>
      <c r="Y224" s="76"/>
      <c r="Z224" s="76"/>
      <c r="AA224" s="76"/>
      <c r="AB224" s="76"/>
      <c r="AC224" s="76"/>
      <c r="AD224" s="76"/>
      <c r="AE224" s="76"/>
      <c r="AF224" s="76"/>
      <c r="AG224" s="76"/>
      <c r="AH224" s="76"/>
      <c r="AI224" s="76"/>
      <c r="AJ224" s="76"/>
      <c r="AK224" s="76"/>
      <c r="AL224" s="76"/>
      <c r="AM224" s="76"/>
      <c r="AN224" s="76"/>
      <c r="AO224" s="76"/>
      <c r="AP224" s="76"/>
      <c r="AQ224" s="76"/>
      <c r="AR224" s="76"/>
      <c r="AS224" s="76"/>
    </row>
    <row r="225" spans="1:45" hidden="1" outlineLevel="1" x14ac:dyDescent="0.25">
      <c r="A225" s="78"/>
      <c r="B225" s="78"/>
      <c r="C225" s="78">
        <f t="shared" si="33"/>
        <v>0</v>
      </c>
      <c r="D225" s="79"/>
      <c r="E225" s="79"/>
      <c r="F225" s="79"/>
      <c r="G225" s="78"/>
      <c r="H225" s="78"/>
      <c r="I225" s="78"/>
      <c r="J225" s="78"/>
      <c r="K225" s="78"/>
      <c r="L225" s="78"/>
      <c r="M225" s="78"/>
      <c r="N225" s="78"/>
      <c r="O225" s="78"/>
      <c r="P225" s="78"/>
      <c r="Q225" s="78"/>
      <c r="R225" s="78"/>
      <c r="S225" s="78"/>
      <c r="T225" s="78"/>
      <c r="U225" s="78"/>
      <c r="V225" s="78"/>
      <c r="W225" s="78"/>
      <c r="X225" s="78"/>
      <c r="Y225" s="78"/>
      <c r="Z225" s="78"/>
      <c r="AA225" s="78"/>
      <c r="AB225" s="78"/>
      <c r="AC225" s="78"/>
      <c r="AD225" s="78"/>
      <c r="AE225" s="78"/>
      <c r="AF225" s="78"/>
      <c r="AG225" s="78"/>
      <c r="AH225" s="78"/>
      <c r="AI225" s="78"/>
      <c r="AJ225" s="78"/>
      <c r="AK225" s="78"/>
      <c r="AL225" s="78"/>
      <c r="AM225" s="78"/>
      <c r="AN225" s="78"/>
      <c r="AO225" s="78"/>
      <c r="AP225" s="78"/>
      <c r="AQ225" s="78"/>
      <c r="AR225" s="78"/>
      <c r="AS225" s="78"/>
    </row>
    <row r="226" spans="1:45" s="35" customFormat="1" collapsed="1" x14ac:dyDescent="0.25">
      <c r="A226" s="72">
        <f>A204-B226-C226</f>
        <v>77032.135454545438</v>
      </c>
      <c r="B226" s="72">
        <f>-rcpFeb</f>
        <v>0</v>
      </c>
      <c r="C226" s="72">
        <f>SUBTOTAL(9,C205:C225)</f>
        <v>0</v>
      </c>
      <c r="D226" s="73"/>
      <c r="E226" s="73" t="s">
        <v>80</v>
      </c>
      <c r="F226" s="73"/>
      <c r="G226" s="72">
        <f t="shared" ref="G226:AS226" si="34">SUBTOTAL(9,G205:G225)</f>
        <v>0</v>
      </c>
      <c r="H226" s="72">
        <f t="shared" si="34"/>
        <v>0</v>
      </c>
      <c r="I226" s="72">
        <f t="shared" si="34"/>
        <v>0</v>
      </c>
      <c r="J226" s="72">
        <f t="shared" si="34"/>
        <v>0</v>
      </c>
      <c r="K226" s="72">
        <f t="shared" si="34"/>
        <v>0</v>
      </c>
      <c r="L226" s="72">
        <f t="shared" si="34"/>
        <v>0</v>
      </c>
      <c r="M226" s="72">
        <f t="shared" si="34"/>
        <v>0</v>
      </c>
      <c r="N226" s="72">
        <f t="shared" si="34"/>
        <v>0</v>
      </c>
      <c r="O226" s="72">
        <f t="shared" si="34"/>
        <v>0</v>
      </c>
      <c r="P226" s="72">
        <f t="shared" si="34"/>
        <v>0</v>
      </c>
      <c r="Q226" s="72">
        <f t="shared" si="34"/>
        <v>0</v>
      </c>
      <c r="R226" s="72">
        <f t="shared" si="34"/>
        <v>0</v>
      </c>
      <c r="S226" s="72">
        <f t="shared" si="34"/>
        <v>0</v>
      </c>
      <c r="T226" s="72">
        <f t="shared" si="34"/>
        <v>0</v>
      </c>
      <c r="U226" s="72">
        <f t="shared" si="34"/>
        <v>0</v>
      </c>
      <c r="V226" s="72">
        <f t="shared" si="34"/>
        <v>0</v>
      </c>
      <c r="W226" s="72">
        <f t="shared" si="34"/>
        <v>0</v>
      </c>
      <c r="X226" s="72">
        <f t="shared" si="34"/>
        <v>0</v>
      </c>
      <c r="Y226" s="72">
        <f t="shared" si="34"/>
        <v>0</v>
      </c>
      <c r="Z226" s="72">
        <f t="shared" si="34"/>
        <v>0</v>
      </c>
      <c r="AA226" s="72">
        <f t="shared" si="34"/>
        <v>0</v>
      </c>
      <c r="AB226" s="72">
        <f t="shared" si="34"/>
        <v>0</v>
      </c>
      <c r="AC226" s="72">
        <f t="shared" si="34"/>
        <v>0</v>
      </c>
      <c r="AD226" s="72">
        <f t="shared" si="34"/>
        <v>0</v>
      </c>
      <c r="AE226" s="72">
        <f t="shared" si="34"/>
        <v>0</v>
      </c>
      <c r="AF226" s="72">
        <f t="shared" si="34"/>
        <v>0</v>
      </c>
      <c r="AG226" s="72">
        <f t="shared" si="34"/>
        <v>0</v>
      </c>
      <c r="AH226" s="72">
        <f t="shared" si="34"/>
        <v>0</v>
      </c>
      <c r="AI226" s="72">
        <f t="shared" si="34"/>
        <v>0</v>
      </c>
      <c r="AJ226" s="72">
        <f t="shared" si="34"/>
        <v>0</v>
      </c>
      <c r="AK226" s="72">
        <f t="shared" si="34"/>
        <v>0</v>
      </c>
      <c r="AL226" s="72">
        <f t="shared" si="34"/>
        <v>0</v>
      </c>
      <c r="AM226" s="72">
        <f t="shared" si="34"/>
        <v>0</v>
      </c>
      <c r="AN226" s="72">
        <f t="shared" si="34"/>
        <v>0</v>
      </c>
      <c r="AO226" s="72">
        <f t="shared" si="34"/>
        <v>0</v>
      </c>
      <c r="AP226" s="72">
        <f t="shared" si="34"/>
        <v>0</v>
      </c>
      <c r="AQ226" s="72">
        <f t="shared" si="34"/>
        <v>0</v>
      </c>
      <c r="AR226" s="72">
        <f t="shared" si="34"/>
        <v>0</v>
      </c>
      <c r="AS226" s="72">
        <f t="shared" si="34"/>
        <v>0</v>
      </c>
    </row>
    <row r="227" spans="1:45" hidden="1" outlineLevel="1" x14ac:dyDescent="0.25">
      <c r="A227" s="74"/>
      <c r="B227" s="74"/>
      <c r="C227" s="74">
        <f t="shared" ref="C227:C251" si="35">SUM(G227:AT227)</f>
        <v>0</v>
      </c>
      <c r="D227" s="75"/>
      <c r="E227" s="75"/>
      <c r="F227" s="75"/>
      <c r="G227" s="74"/>
      <c r="H227" s="74"/>
      <c r="I227" s="74"/>
      <c r="J227" s="74"/>
      <c r="K227" s="74"/>
      <c r="L227" s="74"/>
      <c r="M227" s="74"/>
      <c r="N227" s="74"/>
      <c r="O227" s="74"/>
      <c r="P227" s="74"/>
      <c r="Q227" s="74"/>
      <c r="R227" s="74"/>
      <c r="S227" s="74"/>
      <c r="T227" s="74"/>
      <c r="U227" s="74"/>
      <c r="V227" s="74"/>
      <c r="W227" s="74"/>
      <c r="X227" s="74"/>
      <c r="Y227" s="74"/>
      <c r="Z227" s="74"/>
      <c r="AA227" s="74"/>
      <c r="AB227" s="74"/>
      <c r="AC227" s="74"/>
      <c r="AD227" s="74"/>
      <c r="AE227" s="74"/>
      <c r="AF227" s="74"/>
      <c r="AG227" s="74"/>
      <c r="AH227" s="74"/>
      <c r="AI227" s="74"/>
      <c r="AJ227" s="74"/>
      <c r="AK227" s="74"/>
      <c r="AL227" s="74"/>
      <c r="AM227" s="74"/>
      <c r="AN227" s="74"/>
      <c r="AO227" s="74"/>
      <c r="AP227" s="74"/>
      <c r="AQ227" s="74"/>
      <c r="AR227" s="74"/>
      <c r="AS227" s="74"/>
    </row>
    <row r="228" spans="1:45" hidden="1" outlineLevel="1" x14ac:dyDescent="0.25">
      <c r="A228" s="76"/>
      <c r="B228" s="76"/>
      <c r="C228" s="76">
        <f t="shared" si="35"/>
        <v>0</v>
      </c>
      <c r="D228" s="77"/>
      <c r="E228" s="77"/>
      <c r="F228" s="77"/>
      <c r="G228" s="76"/>
      <c r="H228" s="76"/>
      <c r="I228" s="76"/>
      <c r="J228" s="76"/>
      <c r="K228" s="76"/>
      <c r="L228" s="76"/>
      <c r="M228" s="76"/>
      <c r="N228" s="76"/>
      <c r="O228" s="76"/>
      <c r="P228" s="76"/>
      <c r="Q228" s="76"/>
      <c r="R228" s="76"/>
      <c r="S228" s="76"/>
      <c r="T228" s="76"/>
      <c r="U228" s="76"/>
      <c r="V228" s="76"/>
      <c r="W228" s="76"/>
      <c r="X228" s="76"/>
      <c r="Y228" s="76"/>
      <c r="Z228" s="76"/>
      <c r="AA228" s="76"/>
      <c r="AB228" s="76"/>
      <c r="AC228" s="76"/>
      <c r="AD228" s="76"/>
      <c r="AE228" s="76"/>
      <c r="AF228" s="76"/>
      <c r="AG228" s="76"/>
      <c r="AH228" s="76"/>
      <c r="AI228" s="76"/>
      <c r="AJ228" s="76"/>
      <c r="AK228" s="76"/>
      <c r="AL228" s="76"/>
      <c r="AM228" s="76"/>
      <c r="AN228" s="76"/>
      <c r="AO228" s="76"/>
      <c r="AP228" s="76"/>
      <c r="AQ228" s="76"/>
      <c r="AR228" s="76"/>
      <c r="AS228" s="76"/>
    </row>
    <row r="229" spans="1:45" hidden="1" outlineLevel="1" x14ac:dyDescent="0.25">
      <c r="A229" s="76"/>
      <c r="B229" s="76"/>
      <c r="C229" s="76">
        <f t="shared" si="35"/>
        <v>0</v>
      </c>
      <c r="D229" s="77"/>
      <c r="E229" s="77"/>
      <c r="F229" s="77"/>
      <c r="G229" s="76"/>
      <c r="H229" s="76"/>
      <c r="I229" s="76"/>
      <c r="J229" s="76"/>
      <c r="K229" s="76"/>
      <c r="L229" s="76"/>
      <c r="M229" s="76"/>
      <c r="N229" s="76"/>
      <c r="O229" s="76"/>
      <c r="P229" s="76"/>
      <c r="Q229" s="76"/>
      <c r="R229" s="76"/>
      <c r="S229" s="76"/>
      <c r="T229" s="76"/>
      <c r="U229" s="76"/>
      <c r="V229" s="76"/>
      <c r="W229" s="76"/>
      <c r="X229" s="76"/>
      <c r="Y229" s="76"/>
      <c r="Z229" s="76"/>
      <c r="AA229" s="76"/>
      <c r="AB229" s="76"/>
      <c r="AC229" s="76"/>
      <c r="AD229" s="76"/>
      <c r="AE229" s="76"/>
      <c r="AF229" s="76"/>
      <c r="AG229" s="76"/>
      <c r="AH229" s="76"/>
      <c r="AI229" s="76"/>
      <c r="AJ229" s="76"/>
      <c r="AK229" s="76"/>
      <c r="AL229" s="76"/>
      <c r="AM229" s="76"/>
      <c r="AN229" s="76"/>
      <c r="AO229" s="76"/>
      <c r="AP229" s="76"/>
      <c r="AQ229" s="76"/>
      <c r="AR229" s="76"/>
      <c r="AS229" s="76"/>
    </row>
    <row r="230" spans="1:45" hidden="1" outlineLevel="1" x14ac:dyDescent="0.25">
      <c r="A230" s="76"/>
      <c r="B230" s="76"/>
      <c r="C230" s="76">
        <f t="shared" si="35"/>
        <v>0</v>
      </c>
      <c r="D230" s="77"/>
      <c r="E230" s="77"/>
      <c r="F230" s="77"/>
      <c r="G230" s="76"/>
      <c r="H230" s="76"/>
      <c r="I230" s="76"/>
      <c r="J230" s="76"/>
      <c r="K230" s="76"/>
      <c r="L230" s="76"/>
      <c r="M230" s="76"/>
      <c r="N230" s="76"/>
      <c r="O230" s="76"/>
      <c r="P230" s="76"/>
      <c r="Q230" s="76"/>
      <c r="R230" s="76"/>
      <c r="S230" s="76"/>
      <c r="T230" s="76"/>
      <c r="U230" s="76"/>
      <c r="V230" s="76"/>
      <c r="W230" s="76"/>
      <c r="X230" s="76"/>
      <c r="Y230" s="76"/>
      <c r="Z230" s="76"/>
      <c r="AA230" s="76"/>
      <c r="AB230" s="76"/>
      <c r="AC230" s="76"/>
      <c r="AD230" s="76"/>
      <c r="AE230" s="76"/>
      <c r="AF230" s="76"/>
      <c r="AG230" s="76"/>
      <c r="AH230" s="76"/>
      <c r="AI230" s="76"/>
      <c r="AJ230" s="76"/>
      <c r="AK230" s="76"/>
      <c r="AL230" s="76"/>
      <c r="AM230" s="76"/>
      <c r="AN230" s="76"/>
      <c r="AO230" s="76"/>
      <c r="AP230" s="76"/>
      <c r="AQ230" s="76"/>
      <c r="AR230" s="76"/>
      <c r="AS230" s="76"/>
    </row>
    <row r="231" spans="1:45" hidden="1" outlineLevel="1" x14ac:dyDescent="0.25">
      <c r="A231" s="76"/>
      <c r="B231" s="76"/>
      <c r="C231" s="76">
        <f t="shared" si="35"/>
        <v>0</v>
      </c>
      <c r="D231" s="77"/>
      <c r="E231" s="77"/>
      <c r="F231" s="77"/>
      <c r="G231" s="76"/>
      <c r="H231" s="76"/>
      <c r="I231" s="76"/>
      <c r="J231" s="76"/>
      <c r="K231" s="76"/>
      <c r="L231" s="76"/>
      <c r="M231" s="76"/>
      <c r="N231" s="76"/>
      <c r="O231" s="76"/>
      <c r="P231" s="76"/>
      <c r="Q231" s="76"/>
      <c r="R231" s="76"/>
      <c r="S231" s="76"/>
      <c r="T231" s="76"/>
      <c r="U231" s="76"/>
      <c r="V231" s="76"/>
      <c r="W231" s="76"/>
      <c r="X231" s="76"/>
      <c r="Y231" s="76"/>
      <c r="Z231" s="76"/>
      <c r="AA231" s="76"/>
      <c r="AB231" s="76"/>
      <c r="AC231" s="76"/>
      <c r="AD231" s="76"/>
      <c r="AE231" s="76"/>
      <c r="AF231" s="76"/>
      <c r="AG231" s="76"/>
      <c r="AH231" s="76"/>
      <c r="AI231" s="76"/>
      <c r="AJ231" s="76"/>
      <c r="AK231" s="76"/>
      <c r="AL231" s="76"/>
      <c r="AM231" s="76"/>
      <c r="AN231" s="76"/>
      <c r="AO231" s="76"/>
      <c r="AP231" s="76"/>
      <c r="AQ231" s="76"/>
      <c r="AR231" s="76"/>
      <c r="AS231" s="76"/>
    </row>
    <row r="232" spans="1:45" hidden="1" outlineLevel="1" x14ac:dyDescent="0.25">
      <c r="A232" s="76"/>
      <c r="B232" s="76"/>
      <c r="C232" s="76">
        <f t="shared" si="35"/>
        <v>0</v>
      </c>
      <c r="D232" s="77"/>
      <c r="E232" s="77"/>
      <c r="F232" s="77"/>
      <c r="G232" s="76"/>
      <c r="H232" s="76"/>
      <c r="I232" s="76"/>
      <c r="J232" s="76"/>
      <c r="K232" s="76"/>
      <c r="L232" s="76"/>
      <c r="M232" s="76"/>
      <c r="N232" s="76"/>
      <c r="O232" s="76"/>
      <c r="P232" s="76"/>
      <c r="Q232" s="76"/>
      <c r="R232" s="76"/>
      <c r="S232" s="76"/>
      <c r="T232" s="76"/>
      <c r="U232" s="76"/>
      <c r="V232" s="76"/>
      <c r="W232" s="76"/>
      <c r="X232" s="76"/>
      <c r="Y232" s="76"/>
      <c r="Z232" s="76"/>
      <c r="AA232" s="76"/>
      <c r="AB232" s="76"/>
      <c r="AC232" s="76"/>
      <c r="AD232" s="76"/>
      <c r="AE232" s="76"/>
      <c r="AF232" s="76"/>
      <c r="AG232" s="76"/>
      <c r="AH232" s="76"/>
      <c r="AI232" s="76"/>
      <c r="AJ232" s="76"/>
      <c r="AK232" s="76"/>
      <c r="AL232" s="76"/>
      <c r="AM232" s="76"/>
      <c r="AN232" s="76"/>
      <c r="AO232" s="76"/>
      <c r="AP232" s="76"/>
      <c r="AQ232" s="76"/>
      <c r="AR232" s="76"/>
      <c r="AS232" s="76"/>
    </row>
    <row r="233" spans="1:45" hidden="1" outlineLevel="1" x14ac:dyDescent="0.25">
      <c r="A233" s="76"/>
      <c r="B233" s="76"/>
      <c r="C233" s="76">
        <f t="shared" si="35"/>
        <v>0</v>
      </c>
      <c r="D233" s="77"/>
      <c r="E233" s="77"/>
      <c r="F233" s="77"/>
      <c r="G233" s="76"/>
      <c r="H233" s="76"/>
      <c r="I233" s="76"/>
      <c r="J233" s="76"/>
      <c r="K233" s="76"/>
      <c r="L233" s="76"/>
      <c r="M233" s="76"/>
      <c r="N233" s="76"/>
      <c r="O233" s="76"/>
      <c r="P233" s="76"/>
      <c r="Q233" s="76"/>
      <c r="R233" s="76"/>
      <c r="S233" s="76"/>
      <c r="T233" s="76"/>
      <c r="U233" s="76"/>
      <c r="V233" s="76"/>
      <c r="W233" s="76"/>
      <c r="X233" s="76"/>
      <c r="Y233" s="76"/>
      <c r="Z233" s="76"/>
      <c r="AA233" s="76"/>
      <c r="AB233" s="76"/>
      <c r="AC233" s="76"/>
      <c r="AD233" s="76"/>
      <c r="AE233" s="76"/>
      <c r="AF233" s="76"/>
      <c r="AG233" s="76"/>
      <c r="AH233" s="76"/>
      <c r="AI233" s="76"/>
      <c r="AJ233" s="76"/>
      <c r="AK233" s="76"/>
      <c r="AL233" s="76"/>
      <c r="AM233" s="76"/>
      <c r="AN233" s="76"/>
      <c r="AO233" s="76"/>
      <c r="AP233" s="76"/>
      <c r="AQ233" s="76"/>
      <c r="AR233" s="76"/>
      <c r="AS233" s="76"/>
    </row>
    <row r="234" spans="1:45" hidden="1" outlineLevel="1" x14ac:dyDescent="0.25">
      <c r="A234" s="76"/>
      <c r="B234" s="76"/>
      <c r="C234" s="76">
        <f t="shared" si="35"/>
        <v>0</v>
      </c>
      <c r="D234" s="77"/>
      <c r="E234" s="77"/>
      <c r="F234" s="77"/>
      <c r="G234" s="76"/>
      <c r="H234" s="76"/>
      <c r="I234" s="76"/>
      <c r="J234" s="76"/>
      <c r="K234" s="76"/>
      <c r="L234" s="76"/>
      <c r="M234" s="76"/>
      <c r="N234" s="76"/>
      <c r="O234" s="76"/>
      <c r="P234" s="76"/>
      <c r="Q234" s="76"/>
      <c r="R234" s="76"/>
      <c r="S234" s="76"/>
      <c r="T234" s="76"/>
      <c r="U234" s="76"/>
      <c r="V234" s="76"/>
      <c r="W234" s="76"/>
      <c r="X234" s="76"/>
      <c r="Y234" s="76"/>
      <c r="Z234" s="76"/>
      <c r="AA234" s="76"/>
      <c r="AB234" s="76"/>
      <c r="AC234" s="76"/>
      <c r="AD234" s="76"/>
      <c r="AE234" s="76"/>
      <c r="AF234" s="76"/>
      <c r="AG234" s="76"/>
      <c r="AH234" s="76"/>
      <c r="AI234" s="76"/>
      <c r="AJ234" s="76"/>
      <c r="AK234" s="76"/>
      <c r="AL234" s="76"/>
      <c r="AM234" s="76"/>
      <c r="AN234" s="76"/>
      <c r="AO234" s="336"/>
      <c r="AP234" s="76"/>
      <c r="AQ234" s="76"/>
      <c r="AR234" s="76"/>
      <c r="AS234" s="76"/>
    </row>
    <row r="235" spans="1:45" hidden="1" outlineLevel="1" x14ac:dyDescent="0.25">
      <c r="A235" s="76"/>
      <c r="B235" s="76"/>
      <c r="C235" s="76">
        <f t="shared" si="35"/>
        <v>0</v>
      </c>
      <c r="D235" s="77"/>
      <c r="E235" s="77"/>
      <c r="F235" s="77"/>
      <c r="G235" s="76"/>
      <c r="H235" s="76"/>
      <c r="I235" s="76"/>
      <c r="J235" s="76"/>
      <c r="K235" s="76"/>
      <c r="L235" s="76"/>
      <c r="M235" s="76"/>
      <c r="N235" s="76"/>
      <c r="O235" s="76"/>
      <c r="P235" s="76"/>
      <c r="Q235" s="76"/>
      <c r="R235" s="76"/>
      <c r="S235" s="76"/>
      <c r="T235" s="76"/>
      <c r="U235" s="76"/>
      <c r="V235" s="76"/>
      <c r="W235" s="76"/>
      <c r="X235" s="76"/>
      <c r="Y235" s="76"/>
      <c r="Z235" s="76"/>
      <c r="AA235" s="76"/>
      <c r="AB235" s="76"/>
      <c r="AC235" s="76"/>
      <c r="AD235" s="76"/>
      <c r="AE235" s="76"/>
      <c r="AF235" s="76"/>
      <c r="AG235" s="76"/>
      <c r="AH235" s="76"/>
      <c r="AI235" s="76"/>
      <c r="AJ235" s="76"/>
      <c r="AK235" s="76"/>
      <c r="AL235" s="76"/>
      <c r="AM235" s="76"/>
      <c r="AN235" s="76"/>
      <c r="AO235" s="76"/>
      <c r="AP235" s="76"/>
      <c r="AQ235" s="76"/>
      <c r="AR235" s="76"/>
      <c r="AS235" s="76"/>
    </row>
    <row r="236" spans="1:45" hidden="1" outlineLevel="1" x14ac:dyDescent="0.25">
      <c r="A236" s="76"/>
      <c r="B236" s="76"/>
      <c r="C236" s="76">
        <f>SUM(G236:AT236)</f>
        <v>0</v>
      </c>
      <c r="D236" s="77"/>
      <c r="E236" s="77"/>
      <c r="F236" s="77"/>
      <c r="G236" s="76"/>
      <c r="H236" s="76"/>
      <c r="I236" s="76"/>
      <c r="J236" s="76"/>
      <c r="K236" s="76"/>
      <c r="L236" s="76"/>
      <c r="M236" s="76"/>
      <c r="N236" s="76"/>
      <c r="O236" s="76"/>
      <c r="P236" s="76"/>
      <c r="Q236" s="76"/>
      <c r="R236" s="76"/>
      <c r="S236" s="76"/>
      <c r="T236" s="76"/>
      <c r="U236" s="76"/>
      <c r="V236" s="76"/>
      <c r="W236" s="76"/>
      <c r="X236" s="76"/>
      <c r="Y236" s="76"/>
      <c r="Z236" s="76"/>
      <c r="AA236" s="76"/>
      <c r="AB236" s="76"/>
      <c r="AC236" s="76"/>
      <c r="AD236" s="76"/>
      <c r="AE236" s="76"/>
      <c r="AF236" s="76"/>
      <c r="AG236" s="76"/>
      <c r="AH236" s="76"/>
      <c r="AI236" s="76"/>
      <c r="AJ236" s="76"/>
      <c r="AK236" s="76"/>
      <c r="AL236" s="76"/>
      <c r="AM236" s="76"/>
      <c r="AN236" s="76"/>
      <c r="AO236" s="76"/>
      <c r="AP236" s="76"/>
      <c r="AQ236" s="76"/>
      <c r="AR236" s="76"/>
      <c r="AS236" s="76"/>
    </row>
    <row r="237" spans="1:45" hidden="1" outlineLevel="1" x14ac:dyDescent="0.25">
      <c r="A237" s="76"/>
      <c r="B237" s="76"/>
      <c r="C237" s="76">
        <f t="shared" si="35"/>
        <v>0</v>
      </c>
      <c r="D237" s="77"/>
      <c r="E237" s="77"/>
      <c r="F237" s="77"/>
      <c r="G237" s="76"/>
      <c r="H237" s="76"/>
      <c r="I237" s="76"/>
      <c r="J237" s="76"/>
      <c r="K237" s="76"/>
      <c r="L237" s="76"/>
      <c r="M237" s="76"/>
      <c r="N237" s="76"/>
      <c r="O237" s="76"/>
      <c r="P237" s="76"/>
      <c r="Q237" s="76"/>
      <c r="R237" s="76"/>
      <c r="S237" s="76"/>
      <c r="T237" s="76"/>
      <c r="U237" s="76"/>
      <c r="V237" s="76"/>
      <c r="W237" s="76"/>
      <c r="X237" s="76"/>
      <c r="Y237" s="76"/>
      <c r="Z237" s="76"/>
      <c r="AA237" s="76"/>
      <c r="AB237" s="76"/>
      <c r="AC237" s="76"/>
      <c r="AD237" s="76"/>
      <c r="AE237" s="76"/>
      <c r="AF237" s="76"/>
      <c r="AG237" s="76"/>
      <c r="AH237" s="76"/>
      <c r="AI237" s="76"/>
      <c r="AJ237" s="76"/>
      <c r="AK237" s="76"/>
      <c r="AL237" s="76"/>
      <c r="AM237" s="76"/>
      <c r="AN237" s="76"/>
      <c r="AO237" s="76"/>
      <c r="AP237" s="76"/>
      <c r="AQ237" s="76"/>
      <c r="AR237" s="76"/>
      <c r="AS237" s="76"/>
    </row>
    <row r="238" spans="1:45" hidden="1" outlineLevel="1" x14ac:dyDescent="0.25">
      <c r="A238" s="76"/>
      <c r="B238" s="76"/>
      <c r="C238" s="76">
        <f>SUM(G238:AT238)</f>
        <v>0</v>
      </c>
      <c r="D238" s="77"/>
      <c r="E238" s="77"/>
      <c r="F238" s="77"/>
      <c r="G238" s="76"/>
      <c r="H238" s="76"/>
      <c r="I238" s="76"/>
      <c r="J238" s="76"/>
      <c r="K238" s="76"/>
      <c r="L238" s="76"/>
      <c r="M238" s="76"/>
      <c r="N238" s="76"/>
      <c r="O238" s="76"/>
      <c r="P238" s="76"/>
      <c r="Q238" s="76"/>
      <c r="R238" s="76"/>
      <c r="S238" s="76"/>
      <c r="T238" s="76"/>
      <c r="U238" s="76"/>
      <c r="V238" s="76"/>
      <c r="W238" s="76"/>
      <c r="X238" s="76"/>
      <c r="Y238" s="76"/>
      <c r="Z238" s="76"/>
      <c r="AA238" s="76"/>
      <c r="AB238" s="76"/>
      <c r="AC238" s="76"/>
      <c r="AD238" s="76"/>
      <c r="AE238" s="76"/>
      <c r="AF238" s="76"/>
      <c r="AG238" s="76"/>
      <c r="AH238" s="76"/>
      <c r="AI238" s="76"/>
      <c r="AJ238" s="76"/>
      <c r="AK238" s="76"/>
      <c r="AL238" s="76"/>
      <c r="AM238" s="76"/>
      <c r="AN238" s="76"/>
      <c r="AO238" s="76"/>
      <c r="AP238" s="76"/>
      <c r="AQ238" s="76"/>
      <c r="AR238" s="76"/>
      <c r="AS238" s="76"/>
    </row>
    <row r="239" spans="1:45" hidden="1" outlineLevel="1" x14ac:dyDescent="0.25">
      <c r="A239" s="76"/>
      <c r="B239" s="76"/>
      <c r="C239" s="76">
        <f>SUM(G239:AT239)</f>
        <v>0</v>
      </c>
      <c r="D239" s="77"/>
      <c r="E239" s="77"/>
      <c r="F239" s="77"/>
      <c r="G239" s="76"/>
      <c r="H239" s="76"/>
      <c r="I239" s="76"/>
      <c r="J239" s="76"/>
      <c r="K239" s="76"/>
      <c r="L239" s="76"/>
      <c r="M239" s="76"/>
      <c r="N239" s="76"/>
      <c r="O239" s="76"/>
      <c r="P239" s="76"/>
      <c r="Q239" s="76"/>
      <c r="R239" s="76"/>
      <c r="S239" s="76"/>
      <c r="T239" s="76"/>
      <c r="U239" s="76"/>
      <c r="V239" s="76"/>
      <c r="W239" s="76"/>
      <c r="X239" s="76"/>
      <c r="Y239" s="76"/>
      <c r="Z239" s="76"/>
      <c r="AA239" s="76"/>
      <c r="AB239" s="76"/>
      <c r="AC239" s="76"/>
      <c r="AD239" s="76"/>
      <c r="AE239" s="76"/>
      <c r="AF239" s="76"/>
      <c r="AG239" s="76"/>
      <c r="AH239" s="76"/>
      <c r="AI239" s="76"/>
      <c r="AJ239" s="76"/>
      <c r="AK239" s="76"/>
      <c r="AL239" s="76"/>
      <c r="AM239" s="76"/>
      <c r="AN239" s="76"/>
      <c r="AO239" s="76"/>
      <c r="AP239" s="76"/>
      <c r="AQ239" s="76"/>
      <c r="AR239" s="76"/>
      <c r="AS239" s="76"/>
    </row>
    <row r="240" spans="1:45" hidden="1" outlineLevel="1" x14ac:dyDescent="0.25">
      <c r="A240" s="76"/>
      <c r="B240" s="76"/>
      <c r="C240" s="76">
        <f>SUM(G240:AT240)</f>
        <v>0</v>
      </c>
      <c r="D240" s="77"/>
      <c r="E240" s="77"/>
      <c r="F240" s="77"/>
      <c r="G240" s="76"/>
      <c r="H240" s="76"/>
      <c r="I240" s="76"/>
      <c r="J240" s="76"/>
      <c r="K240" s="76"/>
      <c r="L240" s="76"/>
      <c r="M240" s="76"/>
      <c r="N240" s="76"/>
      <c r="O240" s="76"/>
      <c r="P240" s="76"/>
      <c r="Q240" s="76"/>
      <c r="R240" s="76"/>
      <c r="S240" s="76"/>
      <c r="T240" s="76"/>
      <c r="U240" s="76"/>
      <c r="V240" s="76"/>
      <c r="W240" s="76"/>
      <c r="X240" s="76"/>
      <c r="Y240" s="76"/>
      <c r="Z240" s="76"/>
      <c r="AA240" s="76"/>
      <c r="AB240" s="76"/>
      <c r="AC240" s="76"/>
      <c r="AD240" s="76"/>
      <c r="AE240" s="76"/>
      <c r="AF240" s="76"/>
      <c r="AG240" s="76"/>
      <c r="AH240" s="76"/>
      <c r="AI240" s="76"/>
      <c r="AJ240" s="76"/>
      <c r="AK240" s="76"/>
      <c r="AL240" s="76"/>
      <c r="AM240" s="76"/>
      <c r="AN240" s="76"/>
      <c r="AO240" s="76"/>
      <c r="AP240" s="76"/>
      <c r="AQ240" s="76"/>
      <c r="AR240" s="76"/>
      <c r="AS240" s="76"/>
    </row>
    <row r="241" spans="1:45" hidden="1" outlineLevel="1" x14ac:dyDescent="0.25">
      <c r="A241" s="76"/>
      <c r="B241" s="76"/>
      <c r="C241" s="76">
        <f>SUM(G241:AT241)</f>
        <v>0</v>
      </c>
      <c r="D241" s="77"/>
      <c r="E241" s="77"/>
      <c r="F241" s="77"/>
      <c r="G241" s="76"/>
      <c r="H241" s="76"/>
      <c r="I241" s="76"/>
      <c r="J241" s="76"/>
      <c r="K241" s="76"/>
      <c r="L241" s="76"/>
      <c r="M241" s="76"/>
      <c r="N241" s="76"/>
      <c r="O241" s="76"/>
      <c r="P241" s="76"/>
      <c r="Q241" s="76"/>
      <c r="R241" s="76"/>
      <c r="S241" s="76"/>
      <c r="T241" s="76"/>
      <c r="U241" s="76"/>
      <c r="V241" s="76"/>
      <c r="W241" s="76"/>
      <c r="X241" s="76"/>
      <c r="Y241" s="76"/>
      <c r="Z241" s="76"/>
      <c r="AA241" s="76"/>
      <c r="AB241" s="76"/>
      <c r="AC241" s="76"/>
      <c r="AD241" s="76"/>
      <c r="AE241" s="76"/>
      <c r="AF241" s="76"/>
      <c r="AG241" s="76"/>
      <c r="AH241" s="76"/>
      <c r="AI241" s="76"/>
      <c r="AJ241" s="76"/>
      <c r="AK241" s="76"/>
      <c r="AL241" s="76"/>
      <c r="AM241" s="76"/>
      <c r="AN241" s="76"/>
      <c r="AO241" s="76"/>
      <c r="AP241" s="76"/>
      <c r="AQ241" s="76"/>
      <c r="AR241" s="76"/>
      <c r="AS241" s="76"/>
    </row>
    <row r="242" spans="1:45" hidden="1" outlineLevel="1" x14ac:dyDescent="0.25">
      <c r="A242" s="76"/>
      <c r="B242" s="76"/>
      <c r="C242" s="76">
        <f t="shared" si="35"/>
        <v>0</v>
      </c>
      <c r="D242" s="77"/>
      <c r="E242" s="77"/>
      <c r="F242" s="77"/>
      <c r="G242" s="76"/>
      <c r="H242" s="76"/>
      <c r="I242" s="76"/>
      <c r="J242" s="76"/>
      <c r="K242" s="76"/>
      <c r="L242" s="76"/>
      <c r="M242" s="76"/>
      <c r="N242" s="76"/>
      <c r="O242" s="76"/>
      <c r="P242" s="76"/>
      <c r="Q242" s="76"/>
      <c r="R242" s="76"/>
      <c r="S242" s="76"/>
      <c r="T242" s="76"/>
      <c r="U242" s="76"/>
      <c r="V242" s="76"/>
      <c r="W242" s="76"/>
      <c r="X242" s="76"/>
      <c r="Y242" s="76"/>
      <c r="Z242" s="76"/>
      <c r="AA242" s="76"/>
      <c r="AB242" s="76"/>
      <c r="AC242" s="76"/>
      <c r="AD242" s="76"/>
      <c r="AE242" s="76"/>
      <c r="AF242" s="76"/>
      <c r="AG242" s="76"/>
      <c r="AH242" s="76"/>
      <c r="AI242" s="76"/>
      <c r="AJ242" s="76"/>
      <c r="AK242" s="76"/>
      <c r="AL242" s="76"/>
      <c r="AM242" s="76"/>
      <c r="AN242" s="76"/>
      <c r="AO242" s="76"/>
      <c r="AP242" s="76"/>
      <c r="AQ242" s="76"/>
      <c r="AR242" s="76"/>
      <c r="AS242" s="76"/>
    </row>
    <row r="243" spans="1:45" hidden="1" outlineLevel="1" x14ac:dyDescent="0.25">
      <c r="A243" s="76"/>
      <c r="B243" s="76"/>
      <c r="C243" s="76">
        <f t="shared" si="35"/>
        <v>0</v>
      </c>
      <c r="D243" s="77"/>
      <c r="E243" s="77"/>
      <c r="F243" s="77"/>
      <c r="G243" s="76"/>
      <c r="H243" s="76"/>
      <c r="I243" s="76"/>
      <c r="J243" s="76"/>
      <c r="K243" s="76"/>
      <c r="L243" s="76"/>
      <c r="M243" s="76"/>
      <c r="N243" s="76"/>
      <c r="O243" s="76"/>
      <c r="P243" s="76"/>
      <c r="Q243" s="76"/>
      <c r="R243" s="76"/>
      <c r="S243" s="76"/>
      <c r="T243" s="76"/>
      <c r="U243" s="76"/>
      <c r="V243" s="76"/>
      <c r="W243" s="76"/>
      <c r="X243" s="76"/>
      <c r="Y243" s="76"/>
      <c r="Z243" s="76"/>
      <c r="AA243" s="76"/>
      <c r="AB243" s="76"/>
      <c r="AC243" s="76"/>
      <c r="AD243" s="76"/>
      <c r="AE243" s="76"/>
      <c r="AF243" s="76"/>
      <c r="AG243" s="76"/>
      <c r="AH243" s="76"/>
      <c r="AI243" s="76"/>
      <c r="AJ243" s="76"/>
      <c r="AK243" s="76"/>
      <c r="AL243" s="76"/>
      <c r="AM243" s="76"/>
      <c r="AN243" s="76"/>
      <c r="AO243" s="76"/>
      <c r="AP243" s="76"/>
      <c r="AQ243" s="76"/>
      <c r="AR243" s="76"/>
      <c r="AS243" s="76"/>
    </row>
    <row r="244" spans="1:45" hidden="1" outlineLevel="1" x14ac:dyDescent="0.25">
      <c r="A244" s="76"/>
      <c r="B244" s="76"/>
      <c r="C244" s="76">
        <f t="shared" si="35"/>
        <v>0</v>
      </c>
      <c r="D244" s="77"/>
      <c r="E244" s="77"/>
      <c r="F244" s="77"/>
      <c r="G244" s="76"/>
      <c r="H244" s="76"/>
      <c r="I244" s="76"/>
      <c r="J244" s="76"/>
      <c r="K244" s="76"/>
      <c r="L244" s="76"/>
      <c r="M244" s="76"/>
      <c r="N244" s="76"/>
      <c r="O244" s="76"/>
      <c r="P244" s="76"/>
      <c r="Q244" s="76"/>
      <c r="R244" s="76"/>
      <c r="S244" s="76"/>
      <c r="T244" s="76"/>
      <c r="U244" s="76"/>
      <c r="V244" s="76"/>
      <c r="W244" s="76"/>
      <c r="X244" s="76"/>
      <c r="Y244" s="76"/>
      <c r="Z244" s="76"/>
      <c r="AA244" s="76"/>
      <c r="AB244" s="76"/>
      <c r="AC244" s="76"/>
      <c r="AD244" s="76"/>
      <c r="AE244" s="76"/>
      <c r="AF244" s="76"/>
      <c r="AG244" s="76"/>
      <c r="AH244" s="76"/>
      <c r="AI244" s="76"/>
      <c r="AJ244" s="76"/>
      <c r="AK244" s="76"/>
      <c r="AL244" s="76"/>
      <c r="AM244" s="76"/>
      <c r="AN244" s="76"/>
      <c r="AO244" s="76"/>
      <c r="AP244" s="76"/>
      <c r="AQ244" s="76"/>
      <c r="AR244" s="76"/>
      <c r="AS244" s="76"/>
    </row>
    <row r="245" spans="1:45" hidden="1" outlineLevel="1" x14ac:dyDescent="0.25">
      <c r="A245" s="76"/>
      <c r="B245" s="76"/>
      <c r="C245" s="76">
        <f t="shared" si="35"/>
        <v>0</v>
      </c>
      <c r="D245" s="77"/>
      <c r="E245" s="77"/>
      <c r="F245" s="77"/>
      <c r="G245" s="76"/>
      <c r="H245" s="76"/>
      <c r="I245" s="76"/>
      <c r="J245" s="76"/>
      <c r="K245" s="76"/>
      <c r="L245" s="76"/>
      <c r="M245" s="76"/>
      <c r="N245" s="76"/>
      <c r="O245" s="76"/>
      <c r="P245" s="76"/>
      <c r="Q245" s="76"/>
      <c r="R245" s="76"/>
      <c r="S245" s="76"/>
      <c r="T245" s="76"/>
      <c r="U245" s="76"/>
      <c r="V245" s="76"/>
      <c r="W245" s="76"/>
      <c r="X245" s="76"/>
      <c r="Y245" s="76"/>
      <c r="Z245" s="76"/>
      <c r="AA245" s="76"/>
      <c r="AB245" s="76"/>
      <c r="AC245" s="76"/>
      <c r="AD245" s="76"/>
      <c r="AE245" s="76"/>
      <c r="AF245" s="76"/>
      <c r="AG245" s="76"/>
      <c r="AH245" s="76"/>
      <c r="AI245" s="76"/>
      <c r="AJ245" s="76"/>
      <c r="AK245" s="76"/>
      <c r="AL245" s="76"/>
      <c r="AM245" s="76"/>
      <c r="AN245" s="76"/>
      <c r="AO245" s="76"/>
      <c r="AP245" s="76"/>
      <c r="AQ245" s="76"/>
      <c r="AR245" s="76"/>
      <c r="AS245" s="76"/>
    </row>
    <row r="246" spans="1:45" hidden="1" outlineLevel="1" x14ac:dyDescent="0.25">
      <c r="A246" s="76"/>
      <c r="B246" s="76"/>
      <c r="C246" s="76">
        <f t="shared" si="35"/>
        <v>0</v>
      </c>
      <c r="D246" s="77"/>
      <c r="E246" s="77"/>
      <c r="F246" s="77"/>
      <c r="G246" s="76"/>
      <c r="H246" s="76"/>
      <c r="I246" s="76"/>
      <c r="J246" s="76"/>
      <c r="K246" s="76"/>
      <c r="L246" s="76"/>
      <c r="M246" s="76"/>
      <c r="N246" s="76"/>
      <c r="O246" s="76"/>
      <c r="P246" s="76"/>
      <c r="Q246" s="76"/>
      <c r="R246" s="76"/>
      <c r="S246" s="76"/>
      <c r="T246" s="76"/>
      <c r="U246" s="76"/>
      <c r="V246" s="76"/>
      <c r="W246" s="76"/>
      <c r="X246" s="76"/>
      <c r="Y246" s="76"/>
      <c r="Z246" s="76"/>
      <c r="AA246" s="76"/>
      <c r="AB246" s="76"/>
      <c r="AC246" s="76"/>
      <c r="AD246" s="76"/>
      <c r="AE246" s="76"/>
      <c r="AF246" s="76"/>
      <c r="AG246" s="76"/>
      <c r="AH246" s="76"/>
      <c r="AI246" s="76"/>
      <c r="AJ246" s="76"/>
      <c r="AK246" s="76"/>
      <c r="AL246" s="76"/>
      <c r="AM246" s="76"/>
      <c r="AN246" s="76"/>
      <c r="AO246" s="76"/>
      <c r="AP246" s="76"/>
      <c r="AQ246" s="76"/>
      <c r="AR246" s="76"/>
      <c r="AS246" s="76"/>
    </row>
    <row r="247" spans="1:45" hidden="1" outlineLevel="1" x14ac:dyDescent="0.25">
      <c r="A247" s="76"/>
      <c r="B247" s="76"/>
      <c r="C247" s="76">
        <f>SUM(G247:AT247)</f>
        <v>0</v>
      </c>
      <c r="D247" s="77"/>
      <c r="E247" s="77"/>
      <c r="F247" s="77"/>
      <c r="G247" s="76"/>
      <c r="H247" s="76"/>
      <c r="I247" s="76"/>
      <c r="J247" s="76"/>
      <c r="K247" s="76"/>
      <c r="L247" s="76"/>
      <c r="M247" s="76"/>
      <c r="N247" s="76"/>
      <c r="O247" s="76"/>
      <c r="P247" s="76"/>
      <c r="Q247" s="76"/>
      <c r="R247" s="76"/>
      <c r="S247" s="76"/>
      <c r="T247" s="76"/>
      <c r="U247" s="76"/>
      <c r="V247" s="76"/>
      <c r="W247" s="76"/>
      <c r="X247" s="76"/>
      <c r="Y247" s="76"/>
      <c r="Z247" s="76"/>
      <c r="AA247" s="76"/>
      <c r="AB247" s="76"/>
      <c r="AC247" s="76"/>
      <c r="AD247" s="76"/>
      <c r="AE247" s="76"/>
      <c r="AF247" s="76"/>
      <c r="AG247" s="76"/>
      <c r="AH247" s="76"/>
      <c r="AI247" s="76"/>
      <c r="AJ247" s="76"/>
      <c r="AK247" s="76"/>
      <c r="AL247" s="76"/>
      <c r="AM247" s="76"/>
      <c r="AN247" s="76"/>
      <c r="AO247" s="76"/>
      <c r="AP247" s="76"/>
      <c r="AQ247" s="76"/>
      <c r="AR247" s="76"/>
      <c r="AS247" s="76"/>
    </row>
    <row r="248" spans="1:45" hidden="1" outlineLevel="1" x14ac:dyDescent="0.25">
      <c r="A248" s="76"/>
      <c r="B248" s="76"/>
      <c r="C248" s="76">
        <f>SUM(G248:AT248)</f>
        <v>0</v>
      </c>
      <c r="D248" s="77"/>
      <c r="E248" s="77"/>
      <c r="F248" s="77"/>
      <c r="G248" s="76"/>
      <c r="H248" s="76"/>
      <c r="I248" s="76"/>
      <c r="J248" s="76"/>
      <c r="K248" s="76"/>
      <c r="L248" s="76"/>
      <c r="M248" s="76"/>
      <c r="N248" s="76"/>
      <c r="O248" s="76"/>
      <c r="P248" s="76"/>
      <c r="Q248" s="76"/>
      <c r="R248" s="76"/>
      <c r="S248" s="76"/>
      <c r="T248" s="76"/>
      <c r="U248" s="76"/>
      <c r="V248" s="76"/>
      <c r="W248" s="76"/>
      <c r="X248" s="76"/>
      <c r="Y248" s="76"/>
      <c r="Z248" s="76"/>
      <c r="AA248" s="76"/>
      <c r="AB248" s="76"/>
      <c r="AC248" s="76"/>
      <c r="AD248" s="76"/>
      <c r="AE248" s="76"/>
      <c r="AF248" s="76"/>
      <c r="AG248" s="76"/>
      <c r="AH248" s="76"/>
      <c r="AI248" s="76"/>
      <c r="AJ248" s="76"/>
      <c r="AK248" s="76"/>
      <c r="AL248" s="76"/>
      <c r="AM248" s="76"/>
      <c r="AN248" s="76"/>
      <c r="AO248" s="76"/>
      <c r="AP248" s="76"/>
      <c r="AQ248" s="76"/>
      <c r="AR248" s="76"/>
      <c r="AS248" s="76"/>
    </row>
    <row r="249" spans="1:45" hidden="1" outlineLevel="1" x14ac:dyDescent="0.25">
      <c r="A249" s="76"/>
      <c r="B249" s="76"/>
      <c r="C249" s="76">
        <f t="shared" si="35"/>
        <v>0</v>
      </c>
      <c r="D249" s="77"/>
      <c r="E249" s="77"/>
      <c r="F249" s="77"/>
      <c r="G249" s="76"/>
      <c r="H249" s="76"/>
      <c r="I249" s="76"/>
      <c r="J249" s="76"/>
      <c r="K249" s="76"/>
      <c r="L249" s="76"/>
      <c r="M249" s="76"/>
      <c r="N249" s="76"/>
      <c r="O249" s="76"/>
      <c r="P249" s="76"/>
      <c r="Q249" s="76"/>
      <c r="R249" s="76"/>
      <c r="S249" s="76"/>
      <c r="T249" s="76"/>
      <c r="U249" s="76"/>
      <c r="V249" s="76"/>
      <c r="W249" s="76"/>
      <c r="X249" s="76"/>
      <c r="Y249" s="76"/>
      <c r="Z249" s="76"/>
      <c r="AA249" s="76"/>
      <c r="AB249" s="76"/>
      <c r="AC249" s="76"/>
      <c r="AD249" s="76"/>
      <c r="AE249" s="76"/>
      <c r="AF249" s="76"/>
      <c r="AG249" s="76"/>
      <c r="AH249" s="76"/>
      <c r="AI249" s="76"/>
      <c r="AJ249" s="76"/>
      <c r="AK249" s="76"/>
      <c r="AL249" s="76"/>
      <c r="AM249" s="76"/>
      <c r="AN249" s="76"/>
      <c r="AO249" s="76"/>
      <c r="AP249" s="76"/>
      <c r="AQ249" s="76"/>
      <c r="AR249" s="76"/>
      <c r="AS249" s="76"/>
    </row>
    <row r="250" spans="1:45" hidden="1" outlineLevel="1" x14ac:dyDescent="0.25">
      <c r="A250" s="76"/>
      <c r="B250" s="76"/>
      <c r="C250" s="76">
        <f t="shared" si="35"/>
        <v>0</v>
      </c>
      <c r="D250" s="77"/>
      <c r="E250" s="77"/>
      <c r="F250" s="77"/>
      <c r="G250" s="76"/>
      <c r="H250" s="76"/>
      <c r="I250" s="76"/>
      <c r="J250" s="76"/>
      <c r="K250" s="76"/>
      <c r="L250" s="76"/>
      <c r="M250" s="76"/>
      <c r="N250" s="76"/>
      <c r="O250" s="76"/>
      <c r="P250" s="76"/>
      <c r="Q250" s="76"/>
      <c r="R250" s="76"/>
      <c r="S250" s="76"/>
      <c r="T250" s="76"/>
      <c r="U250" s="76"/>
      <c r="V250" s="76"/>
      <c r="W250" s="76"/>
      <c r="X250" s="76"/>
      <c r="Y250" s="76"/>
      <c r="Z250" s="76"/>
      <c r="AA250" s="76"/>
      <c r="AB250" s="76"/>
      <c r="AC250" s="76"/>
      <c r="AD250" s="76"/>
      <c r="AE250" s="76"/>
      <c r="AF250" s="76"/>
      <c r="AG250" s="76"/>
      <c r="AH250" s="76"/>
      <c r="AI250" s="76"/>
      <c r="AJ250" s="76"/>
      <c r="AK250" s="76"/>
      <c r="AL250" s="76"/>
      <c r="AM250" s="76"/>
      <c r="AN250" s="76"/>
      <c r="AO250" s="76"/>
      <c r="AP250" s="76"/>
      <c r="AQ250" s="76"/>
      <c r="AR250" s="76"/>
      <c r="AS250" s="76"/>
    </row>
    <row r="251" spans="1:45" hidden="1" outlineLevel="1" x14ac:dyDescent="0.25">
      <c r="A251" s="78"/>
      <c r="B251" s="78"/>
      <c r="C251" s="78">
        <f t="shared" si="35"/>
        <v>0</v>
      </c>
      <c r="D251" s="79"/>
      <c r="E251" s="79"/>
      <c r="F251" s="79"/>
      <c r="G251" s="78"/>
      <c r="H251" s="78"/>
      <c r="I251" s="78"/>
      <c r="J251" s="78"/>
      <c r="K251" s="78"/>
      <c r="L251" s="78"/>
      <c r="M251" s="78"/>
      <c r="N251" s="78"/>
      <c r="O251" s="78"/>
      <c r="P251" s="78"/>
      <c r="Q251" s="78"/>
      <c r="R251" s="78"/>
      <c r="S251" s="78"/>
      <c r="T251" s="78"/>
      <c r="U251" s="78"/>
      <c r="V251" s="78"/>
      <c r="W251" s="78"/>
      <c r="X251" s="78"/>
      <c r="Y251" s="78"/>
      <c r="Z251" s="78"/>
      <c r="AA251" s="78"/>
      <c r="AB251" s="78"/>
      <c r="AC251" s="78"/>
      <c r="AD251" s="78"/>
      <c r="AE251" s="78"/>
      <c r="AF251" s="78"/>
      <c r="AG251" s="78"/>
      <c r="AH251" s="78"/>
      <c r="AI251" s="78"/>
      <c r="AJ251" s="78"/>
      <c r="AK251" s="78"/>
      <c r="AL251" s="78"/>
      <c r="AM251" s="78"/>
      <c r="AN251" s="78"/>
      <c r="AO251" s="78"/>
      <c r="AP251" s="78"/>
      <c r="AQ251" s="78"/>
      <c r="AR251" s="78"/>
      <c r="AS251" s="78"/>
    </row>
    <row r="252" spans="1:45" s="35" customFormat="1" collapsed="1" x14ac:dyDescent="0.25">
      <c r="A252" s="72">
        <f>A226-B252-C252</f>
        <v>77032.135454545438</v>
      </c>
      <c r="B252" s="72">
        <f>-rcpMar</f>
        <v>0</v>
      </c>
      <c r="C252" s="72">
        <f>SUBTOTAL(9,C227:C251)</f>
        <v>0</v>
      </c>
      <c r="D252" s="73"/>
      <c r="E252" s="73" t="s">
        <v>81</v>
      </c>
      <c r="F252" s="73"/>
      <c r="G252" s="72">
        <f t="shared" ref="G252:AS252" si="36">SUBTOTAL(9,G227:G251)</f>
        <v>0</v>
      </c>
      <c r="H252" s="72">
        <f t="shared" si="36"/>
        <v>0</v>
      </c>
      <c r="I252" s="72">
        <f t="shared" si="36"/>
        <v>0</v>
      </c>
      <c r="J252" s="72">
        <f t="shared" si="36"/>
        <v>0</v>
      </c>
      <c r="K252" s="72">
        <f t="shared" si="36"/>
        <v>0</v>
      </c>
      <c r="L252" s="72">
        <f t="shared" si="36"/>
        <v>0</v>
      </c>
      <c r="M252" s="72">
        <f t="shared" si="36"/>
        <v>0</v>
      </c>
      <c r="N252" s="72">
        <f t="shared" si="36"/>
        <v>0</v>
      </c>
      <c r="O252" s="72">
        <f t="shared" si="36"/>
        <v>0</v>
      </c>
      <c r="P252" s="72">
        <f t="shared" si="36"/>
        <v>0</v>
      </c>
      <c r="Q252" s="72">
        <f t="shared" si="36"/>
        <v>0</v>
      </c>
      <c r="R252" s="72">
        <f t="shared" si="36"/>
        <v>0</v>
      </c>
      <c r="S252" s="72">
        <f t="shared" si="36"/>
        <v>0</v>
      </c>
      <c r="T252" s="72">
        <f t="shared" si="36"/>
        <v>0</v>
      </c>
      <c r="U252" s="72">
        <f t="shared" si="36"/>
        <v>0</v>
      </c>
      <c r="V252" s="72">
        <f t="shared" si="36"/>
        <v>0</v>
      </c>
      <c r="W252" s="72">
        <f t="shared" si="36"/>
        <v>0</v>
      </c>
      <c r="X252" s="72">
        <f t="shared" si="36"/>
        <v>0</v>
      </c>
      <c r="Y252" s="72">
        <f t="shared" si="36"/>
        <v>0</v>
      </c>
      <c r="Z252" s="72">
        <f t="shared" si="36"/>
        <v>0</v>
      </c>
      <c r="AA252" s="72">
        <f t="shared" si="36"/>
        <v>0</v>
      </c>
      <c r="AB252" s="72">
        <f t="shared" si="36"/>
        <v>0</v>
      </c>
      <c r="AC252" s="72">
        <f t="shared" si="36"/>
        <v>0</v>
      </c>
      <c r="AD252" s="72">
        <f t="shared" si="36"/>
        <v>0</v>
      </c>
      <c r="AE252" s="72">
        <f t="shared" si="36"/>
        <v>0</v>
      </c>
      <c r="AF252" s="72">
        <f t="shared" si="36"/>
        <v>0</v>
      </c>
      <c r="AG252" s="72">
        <f t="shared" si="36"/>
        <v>0</v>
      </c>
      <c r="AH252" s="72">
        <f t="shared" si="36"/>
        <v>0</v>
      </c>
      <c r="AI252" s="72">
        <f t="shared" si="36"/>
        <v>0</v>
      </c>
      <c r="AJ252" s="72">
        <f t="shared" si="36"/>
        <v>0</v>
      </c>
      <c r="AK252" s="72">
        <f t="shared" si="36"/>
        <v>0</v>
      </c>
      <c r="AL252" s="72">
        <f t="shared" si="36"/>
        <v>0</v>
      </c>
      <c r="AM252" s="72">
        <f t="shared" si="36"/>
        <v>0</v>
      </c>
      <c r="AN252" s="72">
        <f t="shared" si="36"/>
        <v>0</v>
      </c>
      <c r="AO252" s="72">
        <f t="shared" si="36"/>
        <v>0</v>
      </c>
      <c r="AP252" s="72">
        <f t="shared" si="36"/>
        <v>0</v>
      </c>
      <c r="AQ252" s="72">
        <f t="shared" si="36"/>
        <v>0</v>
      </c>
      <c r="AR252" s="72">
        <f t="shared" si="36"/>
        <v>0</v>
      </c>
      <c r="AS252" s="72">
        <f t="shared" si="36"/>
        <v>0</v>
      </c>
    </row>
    <row r="253" spans="1:45" s="35" customFormat="1" x14ac:dyDescent="0.25">
      <c r="A253" s="80"/>
      <c r="B253" s="44">
        <f>SUBTOTAL(9,B175:B252)</f>
        <v>0</v>
      </c>
      <c r="C253" s="44">
        <f>SUBTOTAL(9,C175:C252)</f>
        <v>0</v>
      </c>
      <c r="D253" s="82"/>
      <c r="E253" s="81" t="s">
        <v>82</v>
      </c>
      <c r="F253" s="82"/>
      <c r="G253" s="44">
        <f t="shared" ref="G253:AS253" si="37">SUBTOTAL(9,G175:G252)</f>
        <v>0</v>
      </c>
      <c r="H253" s="44">
        <f t="shared" si="37"/>
        <v>0</v>
      </c>
      <c r="I253" s="44">
        <f t="shared" si="37"/>
        <v>0</v>
      </c>
      <c r="J253" s="44">
        <f t="shared" si="37"/>
        <v>0</v>
      </c>
      <c r="K253" s="44">
        <f t="shared" si="37"/>
        <v>0</v>
      </c>
      <c r="L253" s="44">
        <f t="shared" si="37"/>
        <v>0</v>
      </c>
      <c r="M253" s="44">
        <f t="shared" si="37"/>
        <v>0</v>
      </c>
      <c r="N253" s="44">
        <f t="shared" si="37"/>
        <v>0</v>
      </c>
      <c r="O253" s="44">
        <f t="shared" si="37"/>
        <v>0</v>
      </c>
      <c r="P253" s="44">
        <f t="shared" si="37"/>
        <v>0</v>
      </c>
      <c r="Q253" s="44">
        <f t="shared" si="37"/>
        <v>0</v>
      </c>
      <c r="R253" s="44">
        <f t="shared" si="37"/>
        <v>0</v>
      </c>
      <c r="S253" s="44">
        <f t="shared" si="37"/>
        <v>0</v>
      </c>
      <c r="T253" s="44">
        <f t="shared" si="37"/>
        <v>0</v>
      </c>
      <c r="U253" s="44">
        <f t="shared" si="37"/>
        <v>0</v>
      </c>
      <c r="V253" s="44">
        <f t="shared" si="37"/>
        <v>0</v>
      </c>
      <c r="W253" s="44">
        <f t="shared" si="37"/>
        <v>0</v>
      </c>
      <c r="X253" s="44">
        <f t="shared" si="37"/>
        <v>0</v>
      </c>
      <c r="Y253" s="44">
        <f t="shared" si="37"/>
        <v>0</v>
      </c>
      <c r="Z253" s="44">
        <f t="shared" si="37"/>
        <v>0</v>
      </c>
      <c r="AA253" s="44">
        <f t="shared" si="37"/>
        <v>0</v>
      </c>
      <c r="AB253" s="44">
        <f t="shared" si="37"/>
        <v>0</v>
      </c>
      <c r="AC253" s="44">
        <f t="shared" si="37"/>
        <v>0</v>
      </c>
      <c r="AD253" s="44">
        <f t="shared" si="37"/>
        <v>0</v>
      </c>
      <c r="AE253" s="44">
        <f t="shared" si="37"/>
        <v>0</v>
      </c>
      <c r="AF253" s="44">
        <f t="shared" si="37"/>
        <v>0</v>
      </c>
      <c r="AG253" s="44">
        <f t="shared" si="37"/>
        <v>0</v>
      </c>
      <c r="AH253" s="44">
        <f t="shared" si="37"/>
        <v>0</v>
      </c>
      <c r="AI253" s="44">
        <f t="shared" si="37"/>
        <v>0</v>
      </c>
      <c r="AJ253" s="44">
        <f t="shared" si="37"/>
        <v>0</v>
      </c>
      <c r="AK253" s="44">
        <f t="shared" si="37"/>
        <v>0</v>
      </c>
      <c r="AL253" s="44">
        <f t="shared" si="37"/>
        <v>0</v>
      </c>
      <c r="AM253" s="44">
        <f t="shared" si="37"/>
        <v>0</v>
      </c>
      <c r="AN253" s="44">
        <f t="shared" si="37"/>
        <v>0</v>
      </c>
      <c r="AO253" s="44">
        <f t="shared" si="37"/>
        <v>0</v>
      </c>
      <c r="AP253" s="44">
        <f t="shared" si="37"/>
        <v>0</v>
      </c>
      <c r="AQ253" s="44">
        <f t="shared" si="37"/>
        <v>0</v>
      </c>
      <c r="AR253" s="44">
        <f t="shared" si="37"/>
        <v>0</v>
      </c>
      <c r="AS253" s="44">
        <f t="shared" si="37"/>
        <v>0</v>
      </c>
    </row>
    <row r="254" spans="1:45" hidden="1" outlineLevel="1" x14ac:dyDescent="0.25">
      <c r="A254" s="76"/>
      <c r="B254" s="76"/>
      <c r="C254" s="74">
        <f t="shared" ref="C254:C275" si="38">SUM(G254:AT254)</f>
        <v>0</v>
      </c>
      <c r="D254" s="77"/>
      <c r="E254" s="77"/>
      <c r="F254" s="77"/>
      <c r="G254" s="76"/>
      <c r="H254" s="76"/>
      <c r="I254" s="76"/>
      <c r="J254" s="76"/>
      <c r="K254" s="76"/>
      <c r="L254" s="76"/>
      <c r="M254" s="76"/>
      <c r="N254" s="76"/>
      <c r="O254" s="76"/>
      <c r="P254" s="76"/>
      <c r="Q254" s="76"/>
      <c r="R254" s="76"/>
      <c r="S254" s="76"/>
      <c r="T254" s="76"/>
      <c r="U254" s="76"/>
      <c r="V254" s="76"/>
      <c r="W254" s="76"/>
      <c r="X254" s="76"/>
      <c r="Y254" s="76"/>
      <c r="Z254" s="76"/>
      <c r="AA254" s="76"/>
      <c r="AB254" s="76"/>
      <c r="AC254" s="76"/>
      <c r="AD254" s="76"/>
      <c r="AE254" s="76"/>
      <c r="AF254" s="76"/>
      <c r="AG254" s="76"/>
      <c r="AH254" s="76"/>
      <c r="AI254" s="76"/>
      <c r="AJ254" s="76"/>
      <c r="AK254" s="76"/>
      <c r="AL254" s="76"/>
      <c r="AM254" s="76"/>
      <c r="AN254" s="76"/>
      <c r="AO254" s="76"/>
      <c r="AP254" s="76"/>
      <c r="AQ254" s="76"/>
      <c r="AR254" s="76"/>
      <c r="AS254" s="76"/>
    </row>
    <row r="255" spans="1:45" hidden="1" outlineLevel="1" x14ac:dyDescent="0.25">
      <c r="A255" s="76"/>
      <c r="B255" s="76"/>
      <c r="C255" s="76">
        <f t="shared" si="38"/>
        <v>0</v>
      </c>
      <c r="D255" s="77"/>
      <c r="E255" s="77"/>
      <c r="F255" s="77"/>
      <c r="G255" s="76"/>
      <c r="H255" s="76"/>
      <c r="I255" s="76"/>
      <c r="J255" s="76"/>
      <c r="K255" s="76"/>
      <c r="L255" s="76"/>
      <c r="M255" s="76"/>
      <c r="N255" s="76"/>
      <c r="O255" s="76"/>
      <c r="P255" s="76"/>
      <c r="Q255" s="76"/>
      <c r="R255" s="76"/>
      <c r="S255" s="76"/>
      <c r="T255" s="76"/>
      <c r="U255" s="76"/>
      <c r="V255" s="76"/>
      <c r="W255" s="76"/>
      <c r="X255" s="76"/>
      <c r="Y255" s="76"/>
      <c r="Z255" s="76"/>
      <c r="AA255" s="76"/>
      <c r="AB255" s="76"/>
      <c r="AC255" s="76"/>
      <c r="AD255" s="76"/>
      <c r="AE255" s="76"/>
      <c r="AF255" s="76"/>
      <c r="AG255" s="76"/>
      <c r="AH255" s="76"/>
      <c r="AI255" s="76"/>
      <c r="AJ255" s="76"/>
      <c r="AK255" s="76"/>
      <c r="AL255" s="76"/>
      <c r="AM255" s="76"/>
      <c r="AN255" s="76"/>
      <c r="AO255" s="76"/>
      <c r="AP255" s="76"/>
      <c r="AQ255" s="76"/>
      <c r="AR255" s="76"/>
      <c r="AS255" s="76"/>
    </row>
    <row r="256" spans="1:45" hidden="1" outlineLevel="1" x14ac:dyDescent="0.25">
      <c r="A256" s="76"/>
      <c r="B256" s="76"/>
      <c r="C256" s="76">
        <f t="shared" si="38"/>
        <v>0</v>
      </c>
      <c r="D256" s="77"/>
      <c r="E256" s="77"/>
      <c r="F256" s="77"/>
      <c r="G256" s="76"/>
      <c r="H256" s="76"/>
      <c r="I256" s="76"/>
      <c r="J256" s="76"/>
      <c r="K256" s="76"/>
      <c r="L256" s="76"/>
      <c r="M256" s="76"/>
      <c r="N256" s="76"/>
      <c r="O256" s="76"/>
      <c r="P256" s="76"/>
      <c r="Q256" s="76"/>
      <c r="R256" s="76"/>
      <c r="S256" s="76"/>
      <c r="T256" s="76"/>
      <c r="U256" s="76"/>
      <c r="V256" s="76"/>
      <c r="W256" s="76"/>
      <c r="X256" s="76"/>
      <c r="Y256" s="76"/>
      <c r="Z256" s="76"/>
      <c r="AA256" s="76"/>
      <c r="AB256" s="76"/>
      <c r="AC256" s="76"/>
      <c r="AD256" s="76"/>
      <c r="AE256" s="76"/>
      <c r="AF256" s="76"/>
      <c r="AG256" s="76"/>
      <c r="AH256" s="76"/>
      <c r="AI256" s="76"/>
      <c r="AJ256" s="76"/>
      <c r="AK256" s="76"/>
      <c r="AL256" s="76"/>
      <c r="AM256" s="76"/>
      <c r="AN256" s="76"/>
      <c r="AO256" s="76"/>
      <c r="AP256" s="76"/>
      <c r="AQ256" s="76"/>
      <c r="AR256" s="76"/>
      <c r="AS256" s="76"/>
    </row>
    <row r="257" spans="1:45" hidden="1" outlineLevel="1" x14ac:dyDescent="0.25">
      <c r="A257" s="76"/>
      <c r="B257" s="76"/>
      <c r="C257" s="76">
        <f t="shared" si="38"/>
        <v>0</v>
      </c>
      <c r="D257" s="77"/>
      <c r="E257" s="77"/>
      <c r="F257" s="77"/>
      <c r="G257" s="76"/>
      <c r="H257" s="76"/>
      <c r="I257" s="76"/>
      <c r="J257" s="76"/>
      <c r="K257" s="76"/>
      <c r="L257" s="76"/>
      <c r="M257" s="76"/>
      <c r="N257" s="76"/>
      <c r="O257" s="76"/>
      <c r="P257" s="76"/>
      <c r="Q257" s="76"/>
      <c r="R257" s="76"/>
      <c r="S257" s="76"/>
      <c r="T257" s="76"/>
      <c r="U257" s="76"/>
      <c r="V257" s="76"/>
      <c r="W257" s="76"/>
      <c r="X257" s="76"/>
      <c r="Y257" s="76"/>
      <c r="Z257" s="76"/>
      <c r="AA257" s="76"/>
      <c r="AB257" s="76"/>
      <c r="AC257" s="76"/>
      <c r="AD257" s="76"/>
      <c r="AE257" s="76"/>
      <c r="AF257" s="76"/>
      <c r="AG257" s="76"/>
      <c r="AH257" s="76"/>
      <c r="AI257" s="76"/>
      <c r="AJ257" s="76"/>
      <c r="AK257" s="76"/>
      <c r="AL257" s="76"/>
      <c r="AM257" s="76"/>
      <c r="AN257" s="76"/>
      <c r="AO257" s="76"/>
      <c r="AP257" s="76"/>
      <c r="AQ257" s="76"/>
      <c r="AR257" s="76"/>
      <c r="AS257" s="76"/>
    </row>
    <row r="258" spans="1:45" hidden="1" outlineLevel="1" x14ac:dyDescent="0.25">
      <c r="A258" s="76"/>
      <c r="B258" s="76"/>
      <c r="C258" s="76">
        <f t="shared" si="38"/>
        <v>0</v>
      </c>
      <c r="D258" s="77"/>
      <c r="E258" s="77"/>
      <c r="F258" s="77"/>
      <c r="G258" s="76"/>
      <c r="H258" s="76"/>
      <c r="I258" s="76"/>
      <c r="J258" s="76"/>
      <c r="K258" s="76"/>
      <c r="L258" s="76"/>
      <c r="M258" s="76"/>
      <c r="N258" s="76"/>
      <c r="O258" s="76"/>
      <c r="P258" s="76"/>
      <c r="Q258" s="76"/>
      <c r="R258" s="76"/>
      <c r="S258" s="76"/>
      <c r="T258" s="76"/>
      <c r="U258" s="76"/>
      <c r="V258" s="76"/>
      <c r="W258" s="76"/>
      <c r="X258" s="76"/>
      <c r="Y258" s="76"/>
      <c r="Z258" s="76"/>
      <c r="AA258" s="76"/>
      <c r="AB258" s="76"/>
      <c r="AC258" s="76"/>
      <c r="AD258" s="76"/>
      <c r="AE258" s="76"/>
      <c r="AF258" s="76"/>
      <c r="AG258" s="76"/>
      <c r="AH258" s="76"/>
      <c r="AI258" s="76"/>
      <c r="AJ258" s="76"/>
      <c r="AK258" s="76"/>
      <c r="AL258" s="76"/>
      <c r="AM258" s="76"/>
      <c r="AN258" s="76"/>
      <c r="AO258" s="76"/>
      <c r="AP258" s="76"/>
      <c r="AQ258" s="76"/>
      <c r="AR258" s="76"/>
      <c r="AS258" s="76"/>
    </row>
    <row r="259" spans="1:45" hidden="1" outlineLevel="1" x14ac:dyDescent="0.25">
      <c r="A259" s="76"/>
      <c r="B259" s="76"/>
      <c r="C259" s="76">
        <f t="shared" si="38"/>
        <v>0</v>
      </c>
      <c r="D259" s="77"/>
      <c r="E259" s="77"/>
      <c r="F259" s="77"/>
      <c r="G259" s="76"/>
      <c r="H259" s="76"/>
      <c r="I259" s="76"/>
      <c r="J259" s="76"/>
      <c r="K259" s="76"/>
      <c r="L259" s="76"/>
      <c r="M259" s="76"/>
      <c r="N259" s="76"/>
      <c r="O259" s="76"/>
      <c r="P259" s="76"/>
      <c r="Q259" s="76"/>
      <c r="R259" s="76"/>
      <c r="S259" s="76"/>
      <c r="T259" s="76"/>
      <c r="U259" s="76"/>
      <c r="V259" s="76"/>
      <c r="W259" s="76"/>
      <c r="X259" s="76"/>
      <c r="Y259" s="76"/>
      <c r="Z259" s="76"/>
      <c r="AA259" s="76"/>
      <c r="AB259" s="76"/>
      <c r="AC259" s="76"/>
      <c r="AD259" s="76"/>
      <c r="AE259" s="76"/>
      <c r="AF259" s="76"/>
      <c r="AG259" s="76"/>
      <c r="AH259" s="76"/>
      <c r="AI259" s="76"/>
      <c r="AJ259" s="76"/>
      <c r="AK259" s="76"/>
      <c r="AL259" s="76"/>
      <c r="AM259" s="76"/>
      <c r="AN259" s="76"/>
      <c r="AO259" s="76"/>
      <c r="AP259" s="76"/>
      <c r="AQ259" s="76"/>
      <c r="AR259" s="76"/>
      <c r="AS259" s="76"/>
    </row>
    <row r="260" spans="1:45" hidden="1" outlineLevel="1" x14ac:dyDescent="0.25">
      <c r="A260" s="76"/>
      <c r="B260" s="76"/>
      <c r="C260" s="76">
        <f t="shared" si="38"/>
        <v>0</v>
      </c>
      <c r="D260" s="77"/>
      <c r="E260" s="77"/>
      <c r="F260" s="77"/>
      <c r="G260" s="76"/>
      <c r="H260" s="76"/>
      <c r="I260" s="76"/>
      <c r="J260" s="76"/>
      <c r="K260" s="76"/>
      <c r="L260" s="76"/>
      <c r="M260" s="76"/>
      <c r="N260" s="76"/>
      <c r="O260" s="76"/>
      <c r="P260" s="76"/>
      <c r="Q260" s="76"/>
      <c r="R260" s="76"/>
      <c r="S260" s="76"/>
      <c r="T260" s="76"/>
      <c r="U260" s="76"/>
      <c r="V260" s="76"/>
      <c r="W260" s="76"/>
      <c r="X260" s="76"/>
      <c r="Y260" s="76"/>
      <c r="Z260" s="76"/>
      <c r="AA260" s="76"/>
      <c r="AB260" s="76"/>
      <c r="AC260" s="76"/>
      <c r="AD260" s="76"/>
      <c r="AE260" s="76"/>
      <c r="AF260" s="76"/>
      <c r="AG260" s="76"/>
      <c r="AH260" s="76"/>
      <c r="AI260" s="76"/>
      <c r="AJ260" s="76"/>
      <c r="AK260" s="76"/>
      <c r="AL260" s="76"/>
      <c r="AM260" s="76"/>
      <c r="AN260" s="76"/>
      <c r="AO260" s="76"/>
      <c r="AP260" s="76"/>
      <c r="AQ260" s="76"/>
      <c r="AR260" s="76"/>
      <c r="AS260" s="76"/>
    </row>
    <row r="261" spans="1:45" hidden="1" outlineLevel="1" x14ac:dyDescent="0.25">
      <c r="A261" s="76"/>
      <c r="B261" s="76"/>
      <c r="C261" s="76">
        <f t="shared" si="38"/>
        <v>0</v>
      </c>
      <c r="D261" s="77"/>
      <c r="E261" s="77"/>
      <c r="F261" s="77"/>
      <c r="G261" s="76"/>
      <c r="H261" s="76"/>
      <c r="I261" s="76"/>
      <c r="J261" s="76"/>
      <c r="K261" s="76"/>
      <c r="L261" s="76"/>
      <c r="M261" s="76"/>
      <c r="N261" s="76"/>
      <c r="O261" s="76"/>
      <c r="P261" s="76"/>
      <c r="Q261" s="76"/>
      <c r="R261" s="76"/>
      <c r="S261" s="76"/>
      <c r="T261" s="76"/>
      <c r="U261" s="76"/>
      <c r="V261" s="76"/>
      <c r="W261" s="76"/>
      <c r="X261" s="76"/>
      <c r="Y261" s="76"/>
      <c r="Z261" s="76"/>
      <c r="AA261" s="76"/>
      <c r="AB261" s="76"/>
      <c r="AC261" s="76"/>
      <c r="AD261" s="76"/>
      <c r="AE261" s="76"/>
      <c r="AF261" s="76"/>
      <c r="AG261" s="76"/>
      <c r="AH261" s="76"/>
      <c r="AI261" s="76"/>
      <c r="AJ261" s="76"/>
      <c r="AK261" s="76"/>
      <c r="AL261" s="76"/>
      <c r="AM261" s="76"/>
      <c r="AN261" s="76"/>
      <c r="AO261" s="76"/>
      <c r="AP261" s="76"/>
      <c r="AQ261" s="76"/>
      <c r="AR261" s="76"/>
      <c r="AS261" s="76"/>
    </row>
    <row r="262" spans="1:45" hidden="1" outlineLevel="1" x14ac:dyDescent="0.25">
      <c r="A262" s="76"/>
      <c r="B262" s="76"/>
      <c r="C262" s="76">
        <f t="shared" si="38"/>
        <v>0</v>
      </c>
      <c r="D262" s="77"/>
      <c r="E262" s="77"/>
      <c r="F262" s="77"/>
      <c r="G262" s="76"/>
      <c r="H262" s="76"/>
      <c r="I262" s="76"/>
      <c r="J262" s="76"/>
      <c r="K262" s="76"/>
      <c r="L262" s="76"/>
      <c r="M262" s="76"/>
      <c r="N262" s="76"/>
      <c r="O262" s="76"/>
      <c r="P262" s="76"/>
      <c r="Q262" s="76"/>
      <c r="R262" s="76"/>
      <c r="S262" s="76"/>
      <c r="T262" s="76"/>
      <c r="U262" s="76"/>
      <c r="V262" s="76"/>
      <c r="W262" s="76"/>
      <c r="X262" s="76"/>
      <c r="Y262" s="76"/>
      <c r="Z262" s="76"/>
      <c r="AA262" s="76"/>
      <c r="AB262" s="76"/>
      <c r="AC262" s="76"/>
      <c r="AD262" s="76"/>
      <c r="AE262" s="76"/>
      <c r="AF262" s="76"/>
      <c r="AG262" s="76"/>
      <c r="AH262" s="76"/>
      <c r="AI262" s="76"/>
      <c r="AJ262" s="76"/>
      <c r="AK262" s="76"/>
      <c r="AL262" s="76"/>
      <c r="AM262" s="76"/>
      <c r="AN262" s="76"/>
      <c r="AO262" s="76"/>
      <c r="AP262" s="76"/>
      <c r="AQ262" s="76"/>
      <c r="AR262" s="76"/>
      <c r="AS262" s="76"/>
    </row>
    <row r="263" spans="1:45" hidden="1" outlineLevel="1" x14ac:dyDescent="0.25">
      <c r="A263" s="76"/>
      <c r="B263" s="76"/>
      <c r="C263" s="76">
        <f t="shared" si="38"/>
        <v>0</v>
      </c>
      <c r="D263" s="77"/>
      <c r="E263" s="77"/>
      <c r="F263" s="77"/>
      <c r="G263" s="76"/>
      <c r="H263" s="76"/>
      <c r="I263" s="76"/>
      <c r="J263" s="76"/>
      <c r="K263" s="76"/>
      <c r="L263" s="76"/>
      <c r="M263" s="76"/>
      <c r="N263" s="76"/>
      <c r="O263" s="76"/>
      <c r="P263" s="76"/>
      <c r="Q263" s="76"/>
      <c r="R263" s="76"/>
      <c r="S263" s="76"/>
      <c r="T263" s="76"/>
      <c r="U263" s="76"/>
      <c r="V263" s="76"/>
      <c r="W263" s="76"/>
      <c r="X263" s="76"/>
      <c r="Y263" s="76"/>
      <c r="Z263" s="76"/>
      <c r="AA263" s="76"/>
      <c r="AB263" s="76"/>
      <c r="AC263" s="76"/>
      <c r="AD263" s="76"/>
      <c r="AE263" s="76"/>
      <c r="AF263" s="76"/>
      <c r="AG263" s="76"/>
      <c r="AH263" s="76"/>
      <c r="AI263" s="76"/>
      <c r="AJ263" s="76"/>
      <c r="AK263" s="76"/>
      <c r="AL263" s="76"/>
      <c r="AM263" s="76"/>
      <c r="AN263" s="76"/>
      <c r="AO263" s="76"/>
      <c r="AP263" s="76"/>
      <c r="AQ263" s="76"/>
      <c r="AR263" s="76"/>
      <c r="AS263" s="76"/>
    </row>
    <row r="264" spans="1:45" hidden="1" outlineLevel="1" x14ac:dyDescent="0.25">
      <c r="A264" s="76"/>
      <c r="B264" s="76"/>
      <c r="C264" s="76">
        <f t="shared" si="38"/>
        <v>0</v>
      </c>
      <c r="D264" s="77"/>
      <c r="E264" s="77"/>
      <c r="F264" s="77"/>
      <c r="G264" s="76"/>
      <c r="H264" s="76"/>
      <c r="I264" s="76"/>
      <c r="J264" s="76"/>
      <c r="K264" s="76"/>
      <c r="L264" s="76"/>
      <c r="M264" s="76"/>
      <c r="N264" s="76"/>
      <c r="O264" s="76"/>
      <c r="P264" s="76"/>
      <c r="Q264" s="76"/>
      <c r="R264" s="76"/>
      <c r="S264" s="76"/>
      <c r="T264" s="76"/>
      <c r="U264" s="76"/>
      <c r="V264" s="76"/>
      <c r="W264" s="76"/>
      <c r="X264" s="76"/>
      <c r="Y264" s="76"/>
      <c r="Z264" s="76"/>
      <c r="AA264" s="76"/>
      <c r="AB264" s="76"/>
      <c r="AC264" s="76"/>
      <c r="AD264" s="76"/>
      <c r="AE264" s="76"/>
      <c r="AF264" s="76"/>
      <c r="AG264" s="76"/>
      <c r="AH264" s="76"/>
      <c r="AI264" s="76"/>
      <c r="AJ264" s="76"/>
      <c r="AK264" s="76"/>
      <c r="AL264" s="76"/>
      <c r="AM264" s="76"/>
      <c r="AN264" s="76"/>
      <c r="AO264" s="76"/>
      <c r="AP264" s="76"/>
      <c r="AQ264" s="76"/>
      <c r="AR264" s="76"/>
      <c r="AS264" s="76"/>
    </row>
    <row r="265" spans="1:45" hidden="1" outlineLevel="1" x14ac:dyDescent="0.25">
      <c r="A265" s="76"/>
      <c r="B265" s="76"/>
      <c r="C265" s="76">
        <f t="shared" si="38"/>
        <v>0</v>
      </c>
      <c r="D265" s="77"/>
      <c r="E265" s="77"/>
      <c r="F265" s="77"/>
      <c r="G265" s="76"/>
      <c r="H265" s="76"/>
      <c r="I265" s="76"/>
      <c r="J265" s="76"/>
      <c r="K265" s="76"/>
      <c r="L265" s="76"/>
      <c r="M265" s="76"/>
      <c r="N265" s="76"/>
      <c r="O265" s="76"/>
      <c r="P265" s="76"/>
      <c r="Q265" s="76"/>
      <c r="R265" s="76"/>
      <c r="S265" s="76"/>
      <c r="T265" s="76"/>
      <c r="U265" s="76"/>
      <c r="V265" s="76"/>
      <c r="W265" s="76"/>
      <c r="X265" s="76"/>
      <c r="Y265" s="76"/>
      <c r="Z265" s="76"/>
      <c r="AA265" s="76"/>
      <c r="AB265" s="76"/>
      <c r="AC265" s="76"/>
      <c r="AD265" s="76"/>
      <c r="AE265" s="76"/>
      <c r="AF265" s="76"/>
      <c r="AG265" s="76"/>
      <c r="AH265" s="76"/>
      <c r="AI265" s="76"/>
      <c r="AJ265" s="76"/>
      <c r="AK265" s="76"/>
      <c r="AL265" s="76"/>
      <c r="AM265" s="76"/>
      <c r="AN265" s="76"/>
      <c r="AO265" s="76"/>
      <c r="AP265" s="76"/>
      <c r="AQ265" s="76"/>
      <c r="AR265" s="76"/>
      <c r="AS265" s="76"/>
    </row>
    <row r="266" spans="1:45" hidden="1" outlineLevel="1" x14ac:dyDescent="0.25">
      <c r="A266" s="76"/>
      <c r="B266" s="76"/>
      <c r="C266" s="76">
        <f t="shared" si="38"/>
        <v>0</v>
      </c>
      <c r="D266" s="77"/>
      <c r="E266" s="77"/>
      <c r="F266" s="77"/>
      <c r="G266" s="76"/>
      <c r="H266" s="76"/>
      <c r="I266" s="76"/>
      <c r="J266" s="76"/>
      <c r="K266" s="76"/>
      <c r="L266" s="76"/>
      <c r="M266" s="76"/>
      <c r="N266" s="76"/>
      <c r="O266" s="76"/>
      <c r="P266" s="76"/>
      <c r="Q266" s="76"/>
      <c r="R266" s="76"/>
      <c r="S266" s="76"/>
      <c r="T266" s="76"/>
      <c r="U266" s="76"/>
      <c r="V266" s="76"/>
      <c r="W266" s="76"/>
      <c r="X266" s="76"/>
      <c r="Y266" s="76"/>
      <c r="Z266" s="76"/>
      <c r="AA266" s="76"/>
      <c r="AB266" s="76"/>
      <c r="AC266" s="76"/>
      <c r="AD266" s="76"/>
      <c r="AE266" s="76"/>
      <c r="AF266" s="76"/>
      <c r="AG266" s="76"/>
      <c r="AH266" s="76"/>
      <c r="AI266" s="76"/>
      <c r="AJ266" s="76"/>
      <c r="AK266" s="76"/>
      <c r="AL266" s="76"/>
      <c r="AM266" s="76"/>
      <c r="AN266" s="76"/>
      <c r="AO266" s="76"/>
      <c r="AP266" s="76"/>
      <c r="AQ266" s="76"/>
      <c r="AR266" s="76"/>
      <c r="AS266" s="76"/>
    </row>
    <row r="267" spans="1:45" hidden="1" outlineLevel="1" x14ac:dyDescent="0.25">
      <c r="A267" s="76"/>
      <c r="B267" s="76"/>
      <c r="C267" s="76">
        <f t="shared" si="38"/>
        <v>0</v>
      </c>
      <c r="D267" s="77"/>
      <c r="E267" s="77"/>
      <c r="F267" s="77"/>
      <c r="G267" s="76"/>
      <c r="H267" s="76"/>
      <c r="I267" s="76"/>
      <c r="J267" s="76"/>
      <c r="K267" s="76"/>
      <c r="L267" s="76"/>
      <c r="M267" s="76"/>
      <c r="N267" s="76"/>
      <c r="O267" s="76"/>
      <c r="P267" s="76"/>
      <c r="Q267" s="76"/>
      <c r="R267" s="76"/>
      <c r="S267" s="76"/>
      <c r="T267" s="76"/>
      <c r="U267" s="76"/>
      <c r="V267" s="76"/>
      <c r="W267" s="76"/>
      <c r="X267" s="76"/>
      <c r="Y267" s="76"/>
      <c r="Z267" s="76"/>
      <c r="AA267" s="76"/>
      <c r="AB267" s="76"/>
      <c r="AC267" s="76"/>
      <c r="AD267" s="76"/>
      <c r="AE267" s="76"/>
      <c r="AF267" s="76"/>
      <c r="AG267" s="76"/>
      <c r="AH267" s="76"/>
      <c r="AI267" s="76"/>
      <c r="AJ267" s="76"/>
      <c r="AK267" s="76"/>
      <c r="AL267" s="76"/>
      <c r="AM267" s="76"/>
      <c r="AN267" s="76"/>
      <c r="AO267" s="76"/>
      <c r="AP267" s="76"/>
      <c r="AQ267" s="76"/>
      <c r="AR267" s="76"/>
      <c r="AS267" s="76"/>
    </row>
    <row r="268" spans="1:45" hidden="1" outlineLevel="1" x14ac:dyDescent="0.25">
      <c r="A268" s="76"/>
      <c r="B268" s="76"/>
      <c r="C268" s="76">
        <f t="shared" si="38"/>
        <v>0</v>
      </c>
      <c r="D268" s="77"/>
      <c r="E268" s="77"/>
      <c r="F268" s="77"/>
      <c r="G268" s="76"/>
      <c r="H268" s="76"/>
      <c r="I268" s="76"/>
      <c r="J268" s="76"/>
      <c r="K268" s="76"/>
      <c r="L268" s="76"/>
      <c r="M268" s="76"/>
      <c r="N268" s="76"/>
      <c r="O268" s="76"/>
      <c r="P268" s="76"/>
      <c r="Q268" s="76"/>
      <c r="R268" s="76"/>
      <c r="S268" s="76"/>
      <c r="T268" s="76"/>
      <c r="U268" s="76"/>
      <c r="V268" s="76"/>
      <c r="W268" s="76"/>
      <c r="X268" s="76"/>
      <c r="Y268" s="76"/>
      <c r="Z268" s="76"/>
      <c r="AA268" s="76"/>
      <c r="AB268" s="76"/>
      <c r="AC268" s="76"/>
      <c r="AD268" s="76"/>
      <c r="AE268" s="76"/>
      <c r="AF268" s="76"/>
      <c r="AG268" s="76"/>
      <c r="AH268" s="76"/>
      <c r="AI268" s="76"/>
      <c r="AJ268" s="76"/>
      <c r="AK268" s="76"/>
      <c r="AL268" s="76"/>
      <c r="AM268" s="76"/>
      <c r="AN268" s="76"/>
      <c r="AO268" s="76"/>
      <c r="AP268" s="76"/>
      <c r="AQ268" s="76"/>
      <c r="AR268" s="76"/>
      <c r="AS268" s="76"/>
    </row>
    <row r="269" spans="1:45" hidden="1" outlineLevel="1" x14ac:dyDescent="0.25">
      <c r="A269" s="76"/>
      <c r="B269" s="76"/>
      <c r="C269" s="76">
        <f t="shared" si="38"/>
        <v>0</v>
      </c>
      <c r="D269" s="77"/>
      <c r="E269" s="77"/>
      <c r="F269" s="77"/>
      <c r="G269" s="76"/>
      <c r="H269" s="76"/>
      <c r="I269" s="76"/>
      <c r="J269" s="76"/>
      <c r="K269" s="76"/>
      <c r="L269" s="76"/>
      <c r="M269" s="76"/>
      <c r="N269" s="76"/>
      <c r="O269" s="76"/>
      <c r="P269" s="76"/>
      <c r="Q269" s="76"/>
      <c r="R269" s="76"/>
      <c r="S269" s="76"/>
      <c r="T269" s="76"/>
      <c r="U269" s="76"/>
      <c r="V269" s="76"/>
      <c r="W269" s="76"/>
      <c r="X269" s="76"/>
      <c r="Y269" s="76"/>
      <c r="Z269" s="76"/>
      <c r="AA269" s="76"/>
      <c r="AB269" s="76"/>
      <c r="AC269" s="76"/>
      <c r="AD269" s="76"/>
      <c r="AE269" s="76"/>
      <c r="AF269" s="76"/>
      <c r="AG269" s="76"/>
      <c r="AH269" s="76"/>
      <c r="AI269" s="76"/>
      <c r="AJ269" s="76"/>
      <c r="AK269" s="76"/>
      <c r="AL269" s="76"/>
      <c r="AM269" s="76"/>
      <c r="AN269" s="76"/>
      <c r="AO269" s="76"/>
      <c r="AP269" s="76"/>
      <c r="AQ269" s="76"/>
      <c r="AR269" s="76"/>
      <c r="AS269" s="76"/>
    </row>
    <row r="270" spans="1:45" hidden="1" outlineLevel="1" x14ac:dyDescent="0.25">
      <c r="A270" s="76"/>
      <c r="B270" s="76"/>
      <c r="C270" s="76">
        <f t="shared" si="38"/>
        <v>0</v>
      </c>
      <c r="D270" s="77"/>
      <c r="E270" s="77"/>
      <c r="F270" s="77"/>
      <c r="G270" s="76"/>
      <c r="H270" s="76"/>
      <c r="I270" s="76"/>
      <c r="J270" s="76"/>
      <c r="K270" s="76"/>
      <c r="L270" s="76"/>
      <c r="M270" s="76"/>
      <c r="N270" s="76"/>
      <c r="O270" s="76"/>
      <c r="P270" s="76"/>
      <c r="Q270" s="76"/>
      <c r="R270" s="76"/>
      <c r="S270" s="76"/>
      <c r="T270" s="76"/>
      <c r="U270" s="76"/>
      <c r="V270" s="76"/>
      <c r="W270" s="76"/>
      <c r="X270" s="76"/>
      <c r="Y270" s="76"/>
      <c r="Z270" s="76"/>
      <c r="AA270" s="76"/>
      <c r="AB270" s="76"/>
      <c r="AC270" s="76"/>
      <c r="AD270" s="76"/>
      <c r="AE270" s="76"/>
      <c r="AF270" s="76"/>
      <c r="AG270" s="76"/>
      <c r="AH270" s="76"/>
      <c r="AI270" s="76"/>
      <c r="AJ270" s="76"/>
      <c r="AK270" s="76"/>
      <c r="AL270" s="76"/>
      <c r="AM270" s="76"/>
      <c r="AN270" s="76"/>
      <c r="AO270" s="76"/>
      <c r="AP270" s="76"/>
      <c r="AQ270" s="76"/>
      <c r="AR270" s="76"/>
      <c r="AS270" s="76"/>
    </row>
    <row r="271" spans="1:45" hidden="1" outlineLevel="1" x14ac:dyDescent="0.25">
      <c r="A271" s="76"/>
      <c r="B271" s="76"/>
      <c r="C271" s="76">
        <f t="shared" si="38"/>
        <v>0</v>
      </c>
      <c r="D271" s="77"/>
      <c r="E271" s="77"/>
      <c r="F271" s="77"/>
      <c r="G271" s="76"/>
      <c r="H271" s="76"/>
      <c r="I271" s="76"/>
      <c r="J271" s="76"/>
      <c r="K271" s="76"/>
      <c r="L271" s="76"/>
      <c r="M271" s="76"/>
      <c r="N271" s="76"/>
      <c r="O271" s="76"/>
      <c r="P271" s="76"/>
      <c r="Q271" s="76"/>
      <c r="R271" s="76"/>
      <c r="S271" s="76"/>
      <c r="T271" s="76"/>
      <c r="U271" s="76"/>
      <c r="V271" s="76"/>
      <c r="W271" s="76"/>
      <c r="X271" s="76"/>
      <c r="Y271" s="76"/>
      <c r="Z271" s="76"/>
      <c r="AA271" s="76"/>
      <c r="AB271" s="76"/>
      <c r="AC271" s="76"/>
      <c r="AD271" s="76"/>
      <c r="AE271" s="76"/>
      <c r="AF271" s="76"/>
      <c r="AG271" s="76"/>
      <c r="AH271" s="76"/>
      <c r="AI271" s="76"/>
      <c r="AJ271" s="76"/>
      <c r="AK271" s="76"/>
      <c r="AL271" s="76"/>
      <c r="AM271" s="76"/>
      <c r="AN271" s="76"/>
      <c r="AO271" s="76"/>
      <c r="AP271" s="76"/>
      <c r="AQ271" s="76"/>
      <c r="AR271" s="76"/>
      <c r="AS271" s="76"/>
    </row>
    <row r="272" spans="1:45" hidden="1" outlineLevel="1" x14ac:dyDescent="0.25">
      <c r="A272" s="76"/>
      <c r="B272" s="76"/>
      <c r="C272" s="76">
        <f t="shared" si="38"/>
        <v>0</v>
      </c>
      <c r="D272" s="77"/>
      <c r="E272" s="77"/>
      <c r="F272" s="77"/>
      <c r="G272" s="76"/>
      <c r="H272" s="76"/>
      <c r="I272" s="76"/>
      <c r="J272" s="76"/>
      <c r="K272" s="76"/>
      <c r="L272" s="76"/>
      <c r="M272" s="76"/>
      <c r="N272" s="76"/>
      <c r="O272" s="76"/>
      <c r="P272" s="76"/>
      <c r="Q272" s="76"/>
      <c r="R272" s="76"/>
      <c r="S272" s="76"/>
      <c r="T272" s="76"/>
      <c r="U272" s="76"/>
      <c r="V272" s="76"/>
      <c r="W272" s="76"/>
      <c r="X272" s="76"/>
      <c r="Y272" s="76"/>
      <c r="Z272" s="76"/>
      <c r="AA272" s="76"/>
      <c r="AB272" s="76"/>
      <c r="AC272" s="76"/>
      <c r="AD272" s="76"/>
      <c r="AE272" s="76"/>
      <c r="AF272" s="76"/>
      <c r="AG272" s="76"/>
      <c r="AH272" s="76"/>
      <c r="AI272" s="76"/>
      <c r="AJ272" s="76"/>
      <c r="AK272" s="76"/>
      <c r="AL272" s="76"/>
      <c r="AM272" s="76"/>
      <c r="AN272" s="76"/>
      <c r="AO272" s="76"/>
      <c r="AP272" s="76"/>
      <c r="AQ272" s="76"/>
      <c r="AR272" s="76"/>
      <c r="AS272" s="76"/>
    </row>
    <row r="273" spans="1:45" hidden="1" outlineLevel="1" x14ac:dyDescent="0.25">
      <c r="A273" s="76"/>
      <c r="B273" s="76"/>
      <c r="C273" s="76">
        <f t="shared" si="38"/>
        <v>0</v>
      </c>
      <c r="D273" s="77"/>
      <c r="E273" s="77"/>
      <c r="F273" s="77"/>
      <c r="G273" s="76"/>
      <c r="H273" s="76"/>
      <c r="I273" s="76"/>
      <c r="J273" s="76"/>
      <c r="K273" s="76"/>
      <c r="L273" s="76"/>
      <c r="M273" s="76"/>
      <c r="N273" s="76"/>
      <c r="O273" s="76"/>
      <c r="P273" s="76"/>
      <c r="Q273" s="76"/>
      <c r="R273" s="76"/>
      <c r="S273" s="76"/>
      <c r="T273" s="76"/>
      <c r="U273" s="76"/>
      <c r="V273" s="76"/>
      <c r="W273" s="76"/>
      <c r="X273" s="76"/>
      <c r="Y273" s="76"/>
      <c r="Z273" s="76"/>
      <c r="AA273" s="76"/>
      <c r="AB273" s="76"/>
      <c r="AC273" s="76"/>
      <c r="AD273" s="76"/>
      <c r="AE273" s="76"/>
      <c r="AF273" s="76"/>
      <c r="AG273" s="76"/>
      <c r="AH273" s="76"/>
      <c r="AI273" s="76"/>
      <c r="AJ273" s="76"/>
      <c r="AK273" s="76"/>
      <c r="AL273" s="76"/>
      <c r="AM273" s="76"/>
      <c r="AN273" s="76"/>
      <c r="AO273" s="76"/>
      <c r="AP273" s="76"/>
      <c r="AQ273" s="76"/>
      <c r="AR273" s="76"/>
      <c r="AS273" s="76"/>
    </row>
    <row r="274" spans="1:45" hidden="1" outlineLevel="1" x14ac:dyDescent="0.25">
      <c r="A274" s="76"/>
      <c r="B274" s="76"/>
      <c r="C274" s="76">
        <f t="shared" si="38"/>
        <v>0</v>
      </c>
      <c r="D274" s="77"/>
      <c r="E274" s="77"/>
      <c r="F274" s="77"/>
      <c r="G274" s="76"/>
      <c r="H274" s="76"/>
      <c r="I274" s="76"/>
      <c r="J274" s="76"/>
      <c r="K274" s="76"/>
      <c r="L274" s="76"/>
      <c r="M274" s="76"/>
      <c r="N274" s="76"/>
      <c r="O274" s="76"/>
      <c r="P274" s="76"/>
      <c r="Q274" s="76"/>
      <c r="R274" s="76"/>
      <c r="S274" s="76"/>
      <c r="T274" s="76"/>
      <c r="U274" s="76"/>
      <c r="V274" s="76"/>
      <c r="W274" s="76"/>
      <c r="X274" s="76"/>
      <c r="Y274" s="76"/>
      <c r="Z274" s="76"/>
      <c r="AA274" s="76"/>
      <c r="AB274" s="76"/>
      <c r="AC274" s="76"/>
      <c r="AD274" s="76"/>
      <c r="AE274" s="76"/>
      <c r="AF274" s="76"/>
      <c r="AG274" s="76"/>
      <c r="AH274" s="76"/>
      <c r="AI274" s="76"/>
      <c r="AJ274" s="76"/>
      <c r="AK274" s="76"/>
      <c r="AL274" s="76"/>
      <c r="AM274" s="76"/>
      <c r="AN274" s="76"/>
      <c r="AO274" s="76"/>
      <c r="AP274" s="76"/>
      <c r="AQ274" s="76"/>
      <c r="AR274" s="76"/>
      <c r="AS274" s="76"/>
    </row>
    <row r="275" spans="1:45" hidden="1" outlineLevel="1" x14ac:dyDescent="0.25">
      <c r="A275" s="78"/>
      <c r="B275" s="78"/>
      <c r="C275" s="78">
        <f t="shared" si="38"/>
        <v>0</v>
      </c>
      <c r="D275" s="79"/>
      <c r="E275" s="79"/>
      <c r="F275" s="79"/>
      <c r="G275" s="78"/>
      <c r="H275" s="78"/>
      <c r="I275" s="78"/>
      <c r="J275" s="78"/>
      <c r="K275" s="78"/>
      <c r="L275" s="78"/>
      <c r="M275" s="78"/>
      <c r="N275" s="78"/>
      <c r="O275" s="78"/>
      <c r="P275" s="78"/>
      <c r="Q275" s="78"/>
      <c r="R275" s="78"/>
      <c r="S275" s="78"/>
      <c r="T275" s="78"/>
      <c r="U275" s="78"/>
      <c r="V275" s="78"/>
      <c r="W275" s="78"/>
      <c r="X275" s="78"/>
      <c r="Y275" s="78"/>
      <c r="Z275" s="78"/>
      <c r="AA275" s="78"/>
      <c r="AB275" s="78"/>
      <c r="AC275" s="78"/>
      <c r="AD275" s="78"/>
      <c r="AE275" s="78"/>
      <c r="AF275" s="78"/>
      <c r="AG275" s="78"/>
      <c r="AH275" s="78"/>
      <c r="AI275" s="78"/>
      <c r="AJ275" s="78"/>
      <c r="AK275" s="78"/>
      <c r="AL275" s="78"/>
      <c r="AM275" s="78"/>
      <c r="AN275" s="78"/>
      <c r="AO275" s="78"/>
      <c r="AP275" s="78"/>
      <c r="AQ275" s="78"/>
      <c r="AR275" s="78"/>
      <c r="AS275" s="78"/>
    </row>
    <row r="276" spans="1:45" s="35" customFormat="1" collapsed="1" x14ac:dyDescent="0.25">
      <c r="A276" s="72">
        <f>A252-B276-C276</f>
        <v>77032.135454545438</v>
      </c>
      <c r="B276" s="72">
        <f>-rcpApr</f>
        <v>0</v>
      </c>
      <c r="C276" s="72">
        <f>SUBTOTAL(9,C254:C275)</f>
        <v>0</v>
      </c>
      <c r="D276" s="73"/>
      <c r="E276" s="73" t="s">
        <v>83</v>
      </c>
      <c r="F276" s="73"/>
      <c r="G276" s="72">
        <f t="shared" ref="G276:AS276" si="39">SUBTOTAL(9,G254:G275)</f>
        <v>0</v>
      </c>
      <c r="H276" s="72">
        <f t="shared" si="39"/>
        <v>0</v>
      </c>
      <c r="I276" s="72">
        <f t="shared" si="39"/>
        <v>0</v>
      </c>
      <c r="J276" s="72">
        <f t="shared" si="39"/>
        <v>0</v>
      </c>
      <c r="K276" s="72">
        <f t="shared" si="39"/>
        <v>0</v>
      </c>
      <c r="L276" s="72">
        <f t="shared" si="39"/>
        <v>0</v>
      </c>
      <c r="M276" s="72">
        <f t="shared" si="39"/>
        <v>0</v>
      </c>
      <c r="N276" s="72">
        <f t="shared" si="39"/>
        <v>0</v>
      </c>
      <c r="O276" s="72">
        <f t="shared" si="39"/>
        <v>0</v>
      </c>
      <c r="P276" s="72">
        <f t="shared" si="39"/>
        <v>0</v>
      </c>
      <c r="Q276" s="72">
        <f t="shared" si="39"/>
        <v>0</v>
      </c>
      <c r="R276" s="72">
        <f t="shared" si="39"/>
        <v>0</v>
      </c>
      <c r="S276" s="72">
        <f t="shared" si="39"/>
        <v>0</v>
      </c>
      <c r="T276" s="72">
        <f t="shared" si="39"/>
        <v>0</v>
      </c>
      <c r="U276" s="72">
        <f t="shared" si="39"/>
        <v>0</v>
      </c>
      <c r="V276" s="72">
        <f t="shared" si="39"/>
        <v>0</v>
      </c>
      <c r="W276" s="72">
        <f t="shared" si="39"/>
        <v>0</v>
      </c>
      <c r="X276" s="72">
        <f t="shared" si="39"/>
        <v>0</v>
      </c>
      <c r="Y276" s="72">
        <f t="shared" si="39"/>
        <v>0</v>
      </c>
      <c r="Z276" s="72">
        <f t="shared" si="39"/>
        <v>0</v>
      </c>
      <c r="AA276" s="72">
        <f t="shared" si="39"/>
        <v>0</v>
      </c>
      <c r="AB276" s="72">
        <f t="shared" si="39"/>
        <v>0</v>
      </c>
      <c r="AC276" s="72">
        <f t="shared" si="39"/>
        <v>0</v>
      </c>
      <c r="AD276" s="72">
        <f t="shared" si="39"/>
        <v>0</v>
      </c>
      <c r="AE276" s="72">
        <f t="shared" si="39"/>
        <v>0</v>
      </c>
      <c r="AF276" s="72">
        <f t="shared" si="39"/>
        <v>0</v>
      </c>
      <c r="AG276" s="72">
        <f t="shared" si="39"/>
        <v>0</v>
      </c>
      <c r="AH276" s="72">
        <f t="shared" si="39"/>
        <v>0</v>
      </c>
      <c r="AI276" s="72">
        <f t="shared" si="39"/>
        <v>0</v>
      </c>
      <c r="AJ276" s="72">
        <f t="shared" si="39"/>
        <v>0</v>
      </c>
      <c r="AK276" s="72">
        <f t="shared" si="39"/>
        <v>0</v>
      </c>
      <c r="AL276" s="72">
        <f t="shared" si="39"/>
        <v>0</v>
      </c>
      <c r="AM276" s="72">
        <f t="shared" si="39"/>
        <v>0</v>
      </c>
      <c r="AN276" s="72">
        <f t="shared" si="39"/>
        <v>0</v>
      </c>
      <c r="AO276" s="72">
        <f t="shared" si="39"/>
        <v>0</v>
      </c>
      <c r="AP276" s="72">
        <f t="shared" si="39"/>
        <v>0</v>
      </c>
      <c r="AQ276" s="72">
        <f t="shared" si="39"/>
        <v>0</v>
      </c>
      <c r="AR276" s="72">
        <f t="shared" si="39"/>
        <v>0</v>
      </c>
      <c r="AS276" s="72">
        <f t="shared" si="39"/>
        <v>0</v>
      </c>
    </row>
    <row r="277" spans="1:45" hidden="1" outlineLevel="1" x14ac:dyDescent="0.25">
      <c r="A277" s="74"/>
      <c r="B277" s="74"/>
      <c r="C277" s="74">
        <f t="shared" ref="C277:C295" si="40">SUM(G277:AT277)</f>
        <v>0</v>
      </c>
      <c r="D277" s="75"/>
      <c r="E277" s="75"/>
      <c r="F277" s="75"/>
      <c r="G277" s="74"/>
      <c r="H277" s="74"/>
      <c r="I277" s="74"/>
      <c r="J277" s="74"/>
      <c r="K277" s="74"/>
      <c r="L277" s="74"/>
      <c r="M277" s="74"/>
      <c r="N277" s="74"/>
      <c r="O277" s="74"/>
      <c r="P277" s="74"/>
      <c r="Q277" s="74"/>
      <c r="R277" s="74"/>
      <c r="S277" s="74"/>
      <c r="T277" s="74"/>
      <c r="U277" s="74"/>
      <c r="V277" s="74"/>
      <c r="W277" s="74"/>
      <c r="X277" s="74"/>
      <c r="Y277" s="74"/>
      <c r="Z277" s="74"/>
      <c r="AA277" s="74"/>
      <c r="AB277" s="74"/>
      <c r="AC277" s="74"/>
      <c r="AD277" s="74"/>
      <c r="AE277" s="74"/>
      <c r="AF277" s="74"/>
      <c r="AG277" s="74"/>
      <c r="AH277" s="74"/>
      <c r="AI277" s="74"/>
      <c r="AJ277" s="74"/>
      <c r="AK277" s="74"/>
      <c r="AL277" s="74"/>
      <c r="AM277" s="74"/>
      <c r="AN277" s="74"/>
      <c r="AO277" s="74"/>
      <c r="AP277" s="74"/>
      <c r="AQ277" s="74"/>
      <c r="AR277" s="74"/>
      <c r="AS277" s="74"/>
    </row>
    <row r="278" spans="1:45" hidden="1" outlineLevel="1" x14ac:dyDescent="0.25">
      <c r="A278" s="76"/>
      <c r="B278" s="76"/>
      <c r="C278" s="76">
        <f t="shared" si="40"/>
        <v>0</v>
      </c>
      <c r="D278" s="77"/>
      <c r="E278" s="77"/>
      <c r="F278" s="77"/>
      <c r="G278" s="76"/>
      <c r="H278" s="76"/>
      <c r="I278" s="76"/>
      <c r="J278" s="76"/>
      <c r="K278" s="76"/>
      <c r="L278" s="76"/>
      <c r="M278" s="76"/>
      <c r="N278" s="76"/>
      <c r="O278" s="76"/>
      <c r="P278" s="76"/>
      <c r="Q278" s="76"/>
      <c r="R278" s="76"/>
      <c r="S278" s="76"/>
      <c r="T278" s="76"/>
      <c r="U278" s="76"/>
      <c r="V278" s="76"/>
      <c r="W278" s="76"/>
      <c r="X278" s="76"/>
      <c r="Y278" s="76"/>
      <c r="Z278" s="76"/>
      <c r="AA278" s="76"/>
      <c r="AB278" s="76"/>
      <c r="AC278" s="76"/>
      <c r="AD278" s="76"/>
      <c r="AE278" s="76"/>
      <c r="AF278" s="76"/>
      <c r="AG278" s="76"/>
      <c r="AH278" s="76"/>
      <c r="AI278" s="76"/>
      <c r="AJ278" s="76"/>
      <c r="AK278" s="76"/>
      <c r="AL278" s="76"/>
      <c r="AM278" s="76"/>
      <c r="AN278" s="76"/>
      <c r="AO278" s="76"/>
      <c r="AP278" s="76"/>
      <c r="AQ278" s="76"/>
      <c r="AR278" s="76"/>
      <c r="AS278" s="76"/>
    </row>
    <row r="279" spans="1:45" hidden="1" outlineLevel="1" x14ac:dyDescent="0.25">
      <c r="A279" s="76"/>
      <c r="B279" s="76"/>
      <c r="C279" s="76">
        <f t="shared" si="40"/>
        <v>0</v>
      </c>
      <c r="D279" s="77"/>
      <c r="E279" s="77"/>
      <c r="F279" s="77"/>
      <c r="G279" s="76"/>
      <c r="H279" s="76"/>
      <c r="I279" s="76"/>
      <c r="J279" s="76"/>
      <c r="K279" s="76"/>
      <c r="L279" s="76"/>
      <c r="M279" s="76"/>
      <c r="N279" s="76"/>
      <c r="O279" s="76"/>
      <c r="P279" s="76"/>
      <c r="Q279" s="76"/>
      <c r="R279" s="76"/>
      <c r="S279" s="76"/>
      <c r="T279" s="76"/>
      <c r="U279" s="76"/>
      <c r="V279" s="76"/>
      <c r="W279" s="76"/>
      <c r="X279" s="76"/>
      <c r="Y279" s="76"/>
      <c r="Z279" s="76"/>
      <c r="AA279" s="76"/>
      <c r="AB279" s="76"/>
      <c r="AC279" s="76"/>
      <c r="AD279" s="76"/>
      <c r="AE279" s="76"/>
      <c r="AF279" s="76"/>
      <c r="AG279" s="76"/>
      <c r="AH279" s="76"/>
      <c r="AI279" s="76"/>
      <c r="AJ279" s="76"/>
      <c r="AK279" s="76"/>
      <c r="AL279" s="76"/>
      <c r="AM279" s="76"/>
      <c r="AN279" s="76"/>
      <c r="AO279" s="76"/>
      <c r="AP279" s="76"/>
      <c r="AQ279" s="76"/>
      <c r="AR279" s="76"/>
      <c r="AS279" s="76"/>
    </row>
    <row r="280" spans="1:45" hidden="1" outlineLevel="1" x14ac:dyDescent="0.25">
      <c r="A280" s="76"/>
      <c r="B280" s="76"/>
      <c r="C280" s="76">
        <f t="shared" si="40"/>
        <v>0</v>
      </c>
      <c r="D280" s="77"/>
      <c r="E280" s="77"/>
      <c r="F280" s="77"/>
      <c r="G280" s="76"/>
      <c r="H280" s="76"/>
      <c r="I280" s="76"/>
      <c r="J280" s="76"/>
      <c r="K280" s="76"/>
      <c r="L280" s="76"/>
      <c r="M280" s="76"/>
      <c r="N280" s="76"/>
      <c r="O280" s="76"/>
      <c r="P280" s="76"/>
      <c r="Q280" s="76"/>
      <c r="R280" s="76"/>
      <c r="S280" s="76"/>
      <c r="T280" s="76"/>
      <c r="U280" s="76"/>
      <c r="V280" s="76"/>
      <c r="W280" s="76"/>
      <c r="X280" s="76"/>
      <c r="Y280" s="76"/>
      <c r="Z280" s="76"/>
      <c r="AA280" s="76"/>
      <c r="AB280" s="76"/>
      <c r="AC280" s="76"/>
      <c r="AD280" s="76"/>
      <c r="AE280" s="76"/>
      <c r="AF280" s="76"/>
      <c r="AG280" s="76"/>
      <c r="AH280" s="76"/>
      <c r="AI280" s="76"/>
      <c r="AJ280" s="76"/>
      <c r="AK280" s="76"/>
      <c r="AL280" s="76"/>
      <c r="AM280" s="76"/>
      <c r="AN280" s="76"/>
      <c r="AO280" s="76"/>
      <c r="AP280" s="76"/>
      <c r="AQ280" s="76"/>
      <c r="AR280" s="76"/>
      <c r="AS280" s="76"/>
    </row>
    <row r="281" spans="1:45" hidden="1" outlineLevel="1" x14ac:dyDescent="0.25">
      <c r="A281" s="76"/>
      <c r="B281" s="76"/>
      <c r="C281" s="76">
        <f t="shared" si="40"/>
        <v>0</v>
      </c>
      <c r="D281" s="77"/>
      <c r="E281" s="77"/>
      <c r="F281" s="77"/>
      <c r="G281" s="76"/>
      <c r="H281" s="76"/>
      <c r="I281" s="76"/>
      <c r="J281" s="76"/>
      <c r="K281" s="76"/>
      <c r="L281" s="76"/>
      <c r="M281" s="76"/>
      <c r="N281" s="76"/>
      <c r="O281" s="76"/>
      <c r="P281" s="76"/>
      <c r="Q281" s="76"/>
      <c r="R281" s="76"/>
      <c r="S281" s="76"/>
      <c r="T281" s="76"/>
      <c r="U281" s="76"/>
      <c r="V281" s="76"/>
      <c r="W281" s="76"/>
      <c r="X281" s="76"/>
      <c r="Y281" s="76"/>
      <c r="Z281" s="76"/>
      <c r="AA281" s="76"/>
      <c r="AB281" s="76"/>
      <c r="AC281" s="76"/>
      <c r="AD281" s="76"/>
      <c r="AE281" s="76"/>
      <c r="AF281" s="76"/>
      <c r="AG281" s="76"/>
      <c r="AH281" s="76"/>
      <c r="AI281" s="76"/>
      <c r="AJ281" s="76"/>
      <c r="AK281" s="76"/>
      <c r="AL281" s="76"/>
      <c r="AM281" s="76"/>
      <c r="AN281" s="76"/>
      <c r="AO281" s="76"/>
      <c r="AP281" s="76"/>
      <c r="AQ281" s="76"/>
      <c r="AR281" s="76"/>
      <c r="AS281" s="76"/>
    </row>
    <row r="282" spans="1:45" hidden="1" outlineLevel="1" x14ac:dyDescent="0.25">
      <c r="A282" s="76"/>
      <c r="B282" s="76"/>
      <c r="C282" s="76">
        <f t="shared" si="40"/>
        <v>0</v>
      </c>
      <c r="D282" s="77"/>
      <c r="E282" s="77"/>
      <c r="F282" s="77"/>
      <c r="G282" s="76"/>
      <c r="H282" s="76"/>
      <c r="I282" s="76"/>
      <c r="J282" s="76"/>
      <c r="K282" s="76"/>
      <c r="L282" s="76"/>
      <c r="M282" s="76"/>
      <c r="N282" s="76"/>
      <c r="O282" s="76"/>
      <c r="P282" s="76"/>
      <c r="Q282" s="76"/>
      <c r="R282" s="76"/>
      <c r="S282" s="76"/>
      <c r="T282" s="76"/>
      <c r="U282" s="76"/>
      <c r="V282" s="76"/>
      <c r="W282" s="76"/>
      <c r="X282" s="76"/>
      <c r="Y282" s="76"/>
      <c r="Z282" s="76"/>
      <c r="AA282" s="76"/>
      <c r="AB282" s="76"/>
      <c r="AC282" s="76"/>
      <c r="AD282" s="76"/>
      <c r="AE282" s="76"/>
      <c r="AF282" s="76"/>
      <c r="AG282" s="76"/>
      <c r="AH282" s="76"/>
      <c r="AI282" s="76"/>
      <c r="AJ282" s="76"/>
      <c r="AK282" s="76"/>
      <c r="AL282" s="76"/>
      <c r="AM282" s="76"/>
      <c r="AN282" s="76"/>
      <c r="AO282" s="76"/>
      <c r="AP282" s="76"/>
      <c r="AQ282" s="76"/>
      <c r="AR282" s="76"/>
      <c r="AS282" s="76"/>
    </row>
    <row r="283" spans="1:45" hidden="1" outlineLevel="1" x14ac:dyDescent="0.25">
      <c r="A283" s="76"/>
      <c r="B283" s="76"/>
      <c r="C283" s="76">
        <f t="shared" si="40"/>
        <v>0</v>
      </c>
      <c r="D283" s="77"/>
      <c r="E283" s="77"/>
      <c r="F283" s="77"/>
      <c r="G283" s="76"/>
      <c r="H283" s="76"/>
      <c r="I283" s="76"/>
      <c r="J283" s="76"/>
      <c r="K283" s="76"/>
      <c r="L283" s="76"/>
      <c r="M283" s="76"/>
      <c r="N283" s="76"/>
      <c r="O283" s="76"/>
      <c r="P283" s="76"/>
      <c r="Q283" s="76"/>
      <c r="R283" s="76"/>
      <c r="S283" s="76"/>
      <c r="T283" s="76"/>
      <c r="U283" s="76"/>
      <c r="V283" s="76"/>
      <c r="W283" s="76"/>
      <c r="X283" s="76"/>
      <c r="Y283" s="76"/>
      <c r="Z283" s="76"/>
      <c r="AA283" s="76"/>
      <c r="AB283" s="76"/>
      <c r="AC283" s="76"/>
      <c r="AD283" s="76"/>
      <c r="AE283" s="76"/>
      <c r="AF283" s="76"/>
      <c r="AG283" s="76"/>
      <c r="AH283" s="76"/>
      <c r="AI283" s="76"/>
      <c r="AJ283" s="76"/>
      <c r="AK283" s="76"/>
      <c r="AL283" s="76"/>
      <c r="AM283" s="76"/>
      <c r="AN283" s="76"/>
      <c r="AO283" s="76"/>
      <c r="AP283" s="76"/>
      <c r="AQ283" s="76"/>
      <c r="AR283" s="76"/>
      <c r="AS283" s="76"/>
    </row>
    <row r="284" spans="1:45" hidden="1" outlineLevel="1" x14ac:dyDescent="0.25">
      <c r="A284" s="76"/>
      <c r="B284" s="76"/>
      <c r="C284" s="76">
        <f t="shared" si="40"/>
        <v>0</v>
      </c>
      <c r="D284" s="77"/>
      <c r="E284" s="77"/>
      <c r="F284" s="77"/>
      <c r="G284" s="76"/>
      <c r="H284" s="76"/>
      <c r="I284" s="76"/>
      <c r="J284" s="76"/>
      <c r="K284" s="76"/>
      <c r="L284" s="76"/>
      <c r="M284" s="76"/>
      <c r="N284" s="76"/>
      <c r="O284" s="76"/>
      <c r="P284" s="76"/>
      <c r="Q284" s="76"/>
      <c r="R284" s="76"/>
      <c r="S284" s="76"/>
      <c r="T284" s="76"/>
      <c r="U284" s="76"/>
      <c r="V284" s="76"/>
      <c r="W284" s="76"/>
      <c r="X284" s="76"/>
      <c r="Y284" s="76"/>
      <c r="Z284" s="76"/>
      <c r="AA284" s="76"/>
      <c r="AB284" s="76"/>
      <c r="AC284" s="76"/>
      <c r="AD284" s="76"/>
      <c r="AE284" s="76"/>
      <c r="AF284" s="76"/>
      <c r="AG284" s="76"/>
      <c r="AH284" s="76"/>
      <c r="AI284" s="76"/>
      <c r="AJ284" s="76"/>
      <c r="AK284" s="76"/>
      <c r="AL284" s="76"/>
      <c r="AM284" s="76"/>
      <c r="AN284" s="76"/>
      <c r="AO284" s="76"/>
      <c r="AP284" s="76"/>
      <c r="AQ284" s="76"/>
      <c r="AR284" s="76"/>
      <c r="AS284" s="76"/>
    </row>
    <row r="285" spans="1:45" hidden="1" outlineLevel="1" x14ac:dyDescent="0.25">
      <c r="A285" s="76"/>
      <c r="B285" s="76"/>
      <c r="C285" s="76">
        <f t="shared" si="40"/>
        <v>0</v>
      </c>
      <c r="D285" s="77"/>
      <c r="E285" s="77"/>
      <c r="F285" s="77"/>
      <c r="G285" s="76"/>
      <c r="H285" s="76"/>
      <c r="I285" s="76"/>
      <c r="J285" s="76"/>
      <c r="K285" s="76"/>
      <c r="L285" s="76"/>
      <c r="M285" s="76"/>
      <c r="N285" s="76"/>
      <c r="O285" s="76"/>
      <c r="P285" s="76"/>
      <c r="Q285" s="76"/>
      <c r="R285" s="76"/>
      <c r="S285" s="76"/>
      <c r="T285" s="76"/>
      <c r="U285" s="76"/>
      <c r="V285" s="76"/>
      <c r="W285" s="76"/>
      <c r="X285" s="76"/>
      <c r="Y285" s="76"/>
      <c r="Z285" s="76"/>
      <c r="AA285" s="76"/>
      <c r="AB285" s="76"/>
      <c r="AC285" s="76"/>
      <c r="AD285" s="76"/>
      <c r="AE285" s="76"/>
      <c r="AF285" s="76"/>
      <c r="AG285" s="76"/>
      <c r="AH285" s="76"/>
      <c r="AI285" s="76"/>
      <c r="AJ285" s="76"/>
      <c r="AK285" s="76"/>
      <c r="AL285" s="76"/>
      <c r="AM285" s="76"/>
      <c r="AN285" s="76"/>
      <c r="AO285" s="76"/>
      <c r="AP285" s="76"/>
      <c r="AQ285" s="76"/>
      <c r="AR285" s="76"/>
      <c r="AS285" s="76"/>
    </row>
    <row r="286" spans="1:45" hidden="1" outlineLevel="1" x14ac:dyDescent="0.25">
      <c r="A286" s="76"/>
      <c r="B286" s="76"/>
      <c r="C286" s="76">
        <f t="shared" si="40"/>
        <v>0</v>
      </c>
      <c r="D286" s="77"/>
      <c r="E286" s="77"/>
      <c r="F286" s="77"/>
      <c r="G286" s="76"/>
      <c r="H286" s="76"/>
      <c r="I286" s="76"/>
      <c r="J286" s="76"/>
      <c r="K286" s="76"/>
      <c r="L286" s="76"/>
      <c r="M286" s="76"/>
      <c r="N286" s="76"/>
      <c r="O286" s="76"/>
      <c r="P286" s="76"/>
      <c r="Q286" s="76"/>
      <c r="R286" s="76"/>
      <c r="S286" s="76"/>
      <c r="T286" s="76"/>
      <c r="U286" s="76"/>
      <c r="V286" s="76"/>
      <c r="W286" s="76"/>
      <c r="X286" s="76"/>
      <c r="Y286" s="76"/>
      <c r="Z286" s="76"/>
      <c r="AA286" s="76"/>
      <c r="AB286" s="76"/>
      <c r="AC286" s="76"/>
      <c r="AD286" s="76"/>
      <c r="AE286" s="76"/>
      <c r="AF286" s="76"/>
      <c r="AG286" s="76"/>
      <c r="AH286" s="76"/>
      <c r="AI286" s="76"/>
      <c r="AJ286" s="76"/>
      <c r="AK286" s="76"/>
      <c r="AL286" s="76"/>
      <c r="AM286" s="76"/>
      <c r="AN286" s="76"/>
      <c r="AO286" s="76"/>
      <c r="AP286" s="76"/>
      <c r="AQ286" s="76"/>
      <c r="AR286" s="76"/>
      <c r="AS286" s="76"/>
    </row>
    <row r="287" spans="1:45" hidden="1" outlineLevel="1" x14ac:dyDescent="0.25">
      <c r="A287" s="76"/>
      <c r="B287" s="76"/>
      <c r="C287" s="76">
        <f t="shared" si="40"/>
        <v>0</v>
      </c>
      <c r="D287" s="77"/>
      <c r="E287" s="77"/>
      <c r="F287" s="77"/>
      <c r="G287" s="76"/>
      <c r="H287" s="76"/>
      <c r="I287" s="76"/>
      <c r="J287" s="76"/>
      <c r="K287" s="76"/>
      <c r="L287" s="76"/>
      <c r="M287" s="76"/>
      <c r="N287" s="76"/>
      <c r="O287" s="76"/>
      <c r="P287" s="76"/>
      <c r="Q287" s="76"/>
      <c r="R287" s="76"/>
      <c r="S287" s="76"/>
      <c r="T287" s="76"/>
      <c r="U287" s="76"/>
      <c r="V287" s="76"/>
      <c r="W287" s="76"/>
      <c r="X287" s="76"/>
      <c r="Y287" s="76"/>
      <c r="Z287" s="76"/>
      <c r="AA287" s="76"/>
      <c r="AB287" s="76"/>
      <c r="AC287" s="76"/>
      <c r="AD287" s="76"/>
      <c r="AE287" s="76"/>
      <c r="AF287" s="76"/>
      <c r="AG287" s="76"/>
      <c r="AH287" s="76"/>
      <c r="AI287" s="76"/>
      <c r="AJ287" s="76"/>
      <c r="AK287" s="76"/>
      <c r="AL287" s="76"/>
      <c r="AM287" s="76"/>
      <c r="AN287" s="76"/>
      <c r="AO287" s="76"/>
      <c r="AP287" s="76"/>
      <c r="AQ287" s="76"/>
      <c r="AR287" s="76"/>
      <c r="AS287" s="76"/>
    </row>
    <row r="288" spans="1:45" hidden="1" outlineLevel="1" x14ac:dyDescent="0.25">
      <c r="A288" s="76"/>
      <c r="B288" s="76"/>
      <c r="C288" s="76">
        <f t="shared" si="40"/>
        <v>0</v>
      </c>
      <c r="D288" s="77"/>
      <c r="E288" s="77"/>
      <c r="F288" s="77"/>
      <c r="G288" s="76"/>
      <c r="H288" s="76"/>
      <c r="I288" s="76"/>
      <c r="J288" s="76"/>
      <c r="K288" s="76"/>
      <c r="L288" s="76"/>
      <c r="M288" s="76"/>
      <c r="N288" s="76"/>
      <c r="O288" s="76"/>
      <c r="P288" s="76"/>
      <c r="Q288" s="76"/>
      <c r="R288" s="76"/>
      <c r="S288" s="76"/>
      <c r="T288" s="76"/>
      <c r="U288" s="76"/>
      <c r="V288" s="76"/>
      <c r="W288" s="76"/>
      <c r="X288" s="76"/>
      <c r="Y288" s="76"/>
      <c r="Z288" s="76"/>
      <c r="AA288" s="76"/>
      <c r="AB288" s="76"/>
      <c r="AC288" s="76"/>
      <c r="AD288" s="76"/>
      <c r="AE288" s="76"/>
      <c r="AF288" s="76"/>
      <c r="AG288" s="76"/>
      <c r="AH288" s="76"/>
      <c r="AI288" s="76"/>
      <c r="AJ288" s="76"/>
      <c r="AK288" s="76"/>
      <c r="AL288" s="76"/>
      <c r="AM288" s="76"/>
      <c r="AN288" s="76"/>
      <c r="AO288" s="76"/>
      <c r="AP288" s="76"/>
      <c r="AQ288" s="76"/>
      <c r="AR288" s="76"/>
      <c r="AS288" s="76"/>
    </row>
    <row r="289" spans="1:45" hidden="1" outlineLevel="1" x14ac:dyDescent="0.25">
      <c r="A289" s="76"/>
      <c r="B289" s="76"/>
      <c r="C289" s="76">
        <f t="shared" si="40"/>
        <v>0</v>
      </c>
      <c r="D289" s="77"/>
      <c r="E289" s="77"/>
      <c r="F289" s="77"/>
      <c r="G289" s="76"/>
      <c r="H289" s="76"/>
      <c r="I289" s="76"/>
      <c r="J289" s="76"/>
      <c r="K289" s="76"/>
      <c r="L289" s="76"/>
      <c r="M289" s="76"/>
      <c r="N289" s="76"/>
      <c r="O289" s="76"/>
      <c r="P289" s="76"/>
      <c r="Q289" s="76"/>
      <c r="R289" s="76"/>
      <c r="S289" s="76"/>
      <c r="T289" s="76"/>
      <c r="U289" s="76"/>
      <c r="V289" s="76"/>
      <c r="W289" s="76"/>
      <c r="X289" s="76"/>
      <c r="Y289" s="76"/>
      <c r="Z289" s="76"/>
      <c r="AA289" s="76"/>
      <c r="AB289" s="76"/>
      <c r="AC289" s="76"/>
      <c r="AD289" s="76"/>
      <c r="AE289" s="76"/>
      <c r="AF289" s="76"/>
      <c r="AG289" s="76"/>
      <c r="AH289" s="76"/>
      <c r="AI289" s="76"/>
      <c r="AJ289" s="76"/>
      <c r="AK289" s="76"/>
      <c r="AL289" s="76"/>
      <c r="AM289" s="76"/>
      <c r="AN289" s="76"/>
      <c r="AO289" s="76"/>
      <c r="AP289" s="76"/>
      <c r="AQ289" s="76"/>
      <c r="AR289" s="76"/>
      <c r="AS289" s="76"/>
    </row>
    <row r="290" spans="1:45" hidden="1" outlineLevel="1" x14ac:dyDescent="0.25">
      <c r="A290" s="76"/>
      <c r="B290" s="76"/>
      <c r="C290" s="76">
        <f t="shared" si="40"/>
        <v>0</v>
      </c>
      <c r="D290" s="77"/>
      <c r="E290" s="77"/>
      <c r="F290" s="77"/>
      <c r="G290" s="76"/>
      <c r="H290" s="76"/>
      <c r="I290" s="76"/>
      <c r="J290" s="76"/>
      <c r="K290" s="76"/>
      <c r="L290" s="76"/>
      <c r="M290" s="76"/>
      <c r="N290" s="76"/>
      <c r="O290" s="76"/>
      <c r="P290" s="76"/>
      <c r="Q290" s="76"/>
      <c r="R290" s="76"/>
      <c r="S290" s="76"/>
      <c r="T290" s="76"/>
      <c r="U290" s="76"/>
      <c r="V290" s="76"/>
      <c r="W290" s="76"/>
      <c r="X290" s="76"/>
      <c r="Y290" s="76"/>
      <c r="Z290" s="76"/>
      <c r="AA290" s="76"/>
      <c r="AB290" s="76"/>
      <c r="AC290" s="76"/>
      <c r="AD290" s="76"/>
      <c r="AE290" s="76"/>
      <c r="AF290" s="76"/>
      <c r="AG290" s="76"/>
      <c r="AH290" s="76"/>
      <c r="AI290" s="76"/>
      <c r="AJ290" s="76"/>
      <c r="AK290" s="76"/>
      <c r="AL290" s="76"/>
      <c r="AM290" s="76"/>
      <c r="AN290" s="76"/>
      <c r="AO290" s="76"/>
      <c r="AP290" s="76"/>
      <c r="AQ290" s="76"/>
      <c r="AR290" s="76"/>
      <c r="AS290" s="76"/>
    </row>
    <row r="291" spans="1:45" hidden="1" outlineLevel="1" x14ac:dyDescent="0.25">
      <c r="A291" s="76"/>
      <c r="B291" s="76"/>
      <c r="C291" s="76">
        <f t="shared" si="40"/>
        <v>0</v>
      </c>
      <c r="D291" s="77"/>
      <c r="E291" s="77"/>
      <c r="F291" s="77"/>
      <c r="G291" s="76"/>
      <c r="H291" s="76"/>
      <c r="I291" s="76"/>
      <c r="J291" s="76"/>
      <c r="K291" s="76"/>
      <c r="L291" s="76"/>
      <c r="M291" s="76"/>
      <c r="N291" s="76"/>
      <c r="O291" s="76"/>
      <c r="P291" s="76"/>
      <c r="Q291" s="76"/>
      <c r="R291" s="76"/>
      <c r="S291" s="76"/>
      <c r="T291" s="76"/>
      <c r="U291" s="76"/>
      <c r="V291" s="76"/>
      <c r="W291" s="76"/>
      <c r="X291" s="76"/>
      <c r="Y291" s="76"/>
      <c r="Z291" s="76"/>
      <c r="AA291" s="76"/>
      <c r="AB291" s="76"/>
      <c r="AC291" s="76"/>
      <c r="AD291" s="76"/>
      <c r="AE291" s="76"/>
      <c r="AF291" s="76"/>
      <c r="AG291" s="76"/>
      <c r="AH291" s="76"/>
      <c r="AI291" s="76"/>
      <c r="AJ291" s="76"/>
      <c r="AK291" s="76"/>
      <c r="AL291" s="76"/>
      <c r="AM291" s="76"/>
      <c r="AN291" s="76"/>
      <c r="AO291" s="76"/>
      <c r="AP291" s="76"/>
      <c r="AQ291" s="76"/>
      <c r="AR291" s="76"/>
      <c r="AS291" s="76"/>
    </row>
    <row r="292" spans="1:45" hidden="1" outlineLevel="1" x14ac:dyDescent="0.25">
      <c r="A292" s="76"/>
      <c r="B292" s="76"/>
      <c r="C292" s="76">
        <f t="shared" si="40"/>
        <v>0</v>
      </c>
      <c r="D292" s="77"/>
      <c r="E292" s="77"/>
      <c r="F292" s="77"/>
      <c r="G292" s="76"/>
      <c r="H292" s="76"/>
      <c r="I292" s="76"/>
      <c r="J292" s="76"/>
      <c r="K292" s="76"/>
      <c r="L292" s="76"/>
      <c r="M292" s="76"/>
      <c r="N292" s="76"/>
      <c r="O292" s="76"/>
      <c r="P292" s="76"/>
      <c r="Q292" s="76"/>
      <c r="R292" s="76"/>
      <c r="S292" s="76"/>
      <c r="T292" s="76"/>
      <c r="U292" s="76"/>
      <c r="V292" s="76"/>
      <c r="W292" s="76"/>
      <c r="X292" s="76"/>
      <c r="Y292" s="76"/>
      <c r="Z292" s="76"/>
      <c r="AA292" s="76"/>
      <c r="AB292" s="76"/>
      <c r="AC292" s="76"/>
      <c r="AD292" s="76"/>
      <c r="AE292" s="76"/>
      <c r="AF292" s="76"/>
      <c r="AG292" s="76"/>
      <c r="AH292" s="76"/>
      <c r="AI292" s="76"/>
      <c r="AJ292" s="76"/>
      <c r="AK292" s="76"/>
      <c r="AL292" s="76"/>
      <c r="AM292" s="76"/>
      <c r="AN292" s="76"/>
      <c r="AO292" s="76"/>
      <c r="AP292" s="76"/>
      <c r="AQ292" s="76"/>
      <c r="AR292" s="76"/>
      <c r="AS292" s="76"/>
    </row>
    <row r="293" spans="1:45" hidden="1" outlineLevel="1" x14ac:dyDescent="0.25">
      <c r="A293" s="76"/>
      <c r="B293" s="76"/>
      <c r="C293" s="76">
        <f t="shared" si="40"/>
        <v>0</v>
      </c>
      <c r="D293" s="77"/>
      <c r="E293" s="77"/>
      <c r="F293" s="77"/>
      <c r="G293" s="76"/>
      <c r="H293" s="76"/>
      <c r="I293" s="76"/>
      <c r="J293" s="76"/>
      <c r="K293" s="76"/>
      <c r="L293" s="76"/>
      <c r="M293" s="76"/>
      <c r="N293" s="76"/>
      <c r="O293" s="76"/>
      <c r="P293" s="76"/>
      <c r="Q293" s="76"/>
      <c r="R293" s="76"/>
      <c r="S293" s="76"/>
      <c r="T293" s="76"/>
      <c r="U293" s="76"/>
      <c r="V293" s="76"/>
      <c r="W293" s="76"/>
      <c r="X293" s="76"/>
      <c r="Y293" s="76"/>
      <c r="Z293" s="76"/>
      <c r="AA293" s="76"/>
      <c r="AB293" s="76"/>
      <c r="AC293" s="76"/>
      <c r="AD293" s="76"/>
      <c r="AE293" s="76"/>
      <c r="AF293" s="76"/>
      <c r="AG293" s="76"/>
      <c r="AH293" s="76"/>
      <c r="AI293" s="76"/>
      <c r="AJ293" s="76"/>
      <c r="AK293" s="76"/>
      <c r="AL293" s="76"/>
      <c r="AM293" s="76"/>
      <c r="AN293" s="76"/>
      <c r="AO293" s="76"/>
      <c r="AP293" s="76"/>
      <c r="AQ293" s="76"/>
      <c r="AR293" s="76"/>
      <c r="AS293" s="76"/>
    </row>
    <row r="294" spans="1:45" hidden="1" outlineLevel="1" x14ac:dyDescent="0.25">
      <c r="A294" s="76"/>
      <c r="B294" s="76"/>
      <c r="C294" s="76">
        <f t="shared" si="40"/>
        <v>0</v>
      </c>
      <c r="D294" s="77"/>
      <c r="E294" s="77"/>
      <c r="F294" s="77"/>
      <c r="G294" s="76"/>
      <c r="H294" s="76"/>
      <c r="I294" s="76"/>
      <c r="J294" s="76"/>
      <c r="K294" s="76"/>
      <c r="L294" s="76"/>
      <c r="M294" s="76"/>
      <c r="N294" s="76"/>
      <c r="O294" s="76"/>
      <c r="P294" s="76"/>
      <c r="Q294" s="76"/>
      <c r="R294" s="76"/>
      <c r="S294" s="76"/>
      <c r="T294" s="76"/>
      <c r="U294" s="76"/>
      <c r="V294" s="76"/>
      <c r="W294" s="76"/>
      <c r="X294" s="76"/>
      <c r="Y294" s="76"/>
      <c r="Z294" s="76"/>
      <c r="AA294" s="76"/>
      <c r="AB294" s="76"/>
      <c r="AC294" s="76"/>
      <c r="AD294" s="76"/>
      <c r="AE294" s="76"/>
      <c r="AF294" s="76"/>
      <c r="AG294" s="76"/>
      <c r="AH294" s="76"/>
      <c r="AI294" s="76"/>
      <c r="AJ294" s="76"/>
      <c r="AK294" s="76"/>
      <c r="AL294" s="76"/>
      <c r="AM294" s="76"/>
      <c r="AN294" s="76"/>
      <c r="AO294" s="76"/>
      <c r="AP294" s="76"/>
      <c r="AQ294" s="76"/>
      <c r="AR294" s="76"/>
      <c r="AS294" s="76"/>
    </row>
    <row r="295" spans="1:45" hidden="1" outlineLevel="1" x14ac:dyDescent="0.25">
      <c r="A295" s="76"/>
      <c r="B295" s="76"/>
      <c r="C295" s="76">
        <f t="shared" si="40"/>
        <v>0</v>
      </c>
      <c r="D295" s="77"/>
      <c r="E295" s="77"/>
      <c r="F295" s="77"/>
      <c r="G295" s="76"/>
      <c r="H295" s="76"/>
      <c r="I295" s="76"/>
      <c r="J295" s="76"/>
      <c r="K295" s="76"/>
      <c r="L295" s="76"/>
      <c r="M295" s="76"/>
      <c r="N295" s="76"/>
      <c r="O295" s="76"/>
      <c r="P295" s="76"/>
      <c r="Q295" s="76"/>
      <c r="R295" s="76"/>
      <c r="S295" s="76"/>
      <c r="T295" s="76"/>
      <c r="U295" s="76"/>
      <c r="V295" s="76"/>
      <c r="W295" s="76"/>
      <c r="X295" s="76"/>
      <c r="Y295" s="76"/>
      <c r="Z295" s="76"/>
      <c r="AA295" s="76"/>
      <c r="AB295" s="76"/>
      <c r="AC295" s="76"/>
      <c r="AD295" s="76"/>
      <c r="AE295" s="76"/>
      <c r="AF295" s="76"/>
      <c r="AG295" s="76"/>
      <c r="AH295" s="76"/>
      <c r="AI295" s="76"/>
      <c r="AJ295" s="76"/>
      <c r="AK295" s="76"/>
      <c r="AL295" s="76"/>
      <c r="AM295" s="76"/>
      <c r="AN295" s="76"/>
      <c r="AO295" s="76"/>
      <c r="AP295" s="76"/>
      <c r="AQ295" s="76"/>
      <c r="AR295" s="76"/>
      <c r="AS295" s="76"/>
    </row>
    <row r="296" spans="1:45" hidden="1" outlineLevel="1" x14ac:dyDescent="0.25">
      <c r="A296" s="76"/>
      <c r="B296" s="76"/>
      <c r="C296" s="76">
        <f t="shared" ref="C296:C299" si="41">SUM(G296:AT296)</f>
        <v>0</v>
      </c>
      <c r="D296" s="77"/>
      <c r="E296" s="77"/>
      <c r="F296" s="77"/>
      <c r="G296" s="76"/>
      <c r="H296" s="76"/>
      <c r="I296" s="76"/>
      <c r="J296" s="76"/>
      <c r="K296" s="76"/>
      <c r="L296" s="76"/>
      <c r="M296" s="76"/>
      <c r="N296" s="76"/>
      <c r="O296" s="76"/>
      <c r="P296" s="76"/>
      <c r="Q296" s="76"/>
      <c r="R296" s="76"/>
      <c r="S296" s="76"/>
      <c r="T296" s="76"/>
      <c r="U296" s="76"/>
      <c r="V296" s="76"/>
      <c r="W296" s="76"/>
      <c r="X296" s="76"/>
      <c r="Y296" s="76"/>
      <c r="Z296" s="76"/>
      <c r="AA296" s="76"/>
      <c r="AB296" s="76"/>
      <c r="AC296" s="76"/>
      <c r="AD296" s="76"/>
      <c r="AE296" s="76"/>
      <c r="AF296" s="76"/>
      <c r="AG296" s="76"/>
      <c r="AH296" s="76"/>
      <c r="AI296" s="76"/>
      <c r="AJ296" s="76"/>
      <c r="AK296" s="76"/>
      <c r="AL296" s="76"/>
      <c r="AM296" s="76"/>
      <c r="AN296" s="76"/>
      <c r="AO296" s="76"/>
      <c r="AP296" s="76"/>
      <c r="AQ296" s="76"/>
      <c r="AR296" s="76"/>
      <c r="AS296" s="76"/>
    </row>
    <row r="297" spans="1:45" hidden="1" outlineLevel="1" x14ac:dyDescent="0.25">
      <c r="A297" s="76"/>
      <c r="B297" s="76"/>
      <c r="C297" s="76">
        <f t="shared" si="41"/>
        <v>0</v>
      </c>
      <c r="D297" s="77"/>
      <c r="E297" s="77"/>
      <c r="F297" s="77"/>
      <c r="G297" s="76"/>
      <c r="H297" s="76"/>
      <c r="I297" s="76"/>
      <c r="J297" s="76"/>
      <c r="K297" s="76"/>
      <c r="L297" s="76"/>
      <c r="M297" s="76"/>
      <c r="N297" s="76"/>
      <c r="O297" s="76"/>
      <c r="P297" s="76"/>
      <c r="Q297" s="76"/>
      <c r="R297" s="76"/>
      <c r="S297" s="76"/>
      <c r="T297" s="76"/>
      <c r="U297" s="76"/>
      <c r="V297" s="76"/>
      <c r="W297" s="76"/>
      <c r="X297" s="76"/>
      <c r="Y297" s="76"/>
      <c r="Z297" s="76"/>
      <c r="AA297" s="76"/>
      <c r="AB297" s="76"/>
      <c r="AC297" s="76"/>
      <c r="AD297" s="76"/>
      <c r="AE297" s="76"/>
      <c r="AF297" s="76"/>
      <c r="AG297" s="76"/>
      <c r="AH297" s="76"/>
      <c r="AI297" s="76"/>
      <c r="AJ297" s="76"/>
      <c r="AK297" s="76"/>
      <c r="AL297" s="76"/>
      <c r="AM297" s="76"/>
      <c r="AN297" s="76"/>
      <c r="AO297" s="76"/>
      <c r="AP297" s="76"/>
      <c r="AQ297" s="76"/>
      <c r="AR297" s="76"/>
      <c r="AS297" s="76"/>
    </row>
    <row r="298" spans="1:45" hidden="1" outlineLevel="1" x14ac:dyDescent="0.25">
      <c r="A298" s="76"/>
      <c r="B298" s="76"/>
      <c r="C298" s="76">
        <f>SUM(G298:AT298)</f>
        <v>0</v>
      </c>
      <c r="D298" s="77"/>
      <c r="E298" s="77"/>
      <c r="F298" s="77"/>
      <c r="G298" s="76"/>
      <c r="H298" s="76"/>
      <c r="I298" s="76"/>
      <c r="J298" s="76"/>
      <c r="K298" s="76"/>
      <c r="L298" s="76"/>
      <c r="M298" s="76"/>
      <c r="N298" s="76"/>
      <c r="O298" s="76"/>
      <c r="P298" s="76"/>
      <c r="Q298" s="76"/>
      <c r="R298" s="76"/>
      <c r="S298" s="76"/>
      <c r="T298" s="76"/>
      <c r="U298" s="76"/>
      <c r="V298" s="76"/>
      <c r="W298" s="76"/>
      <c r="X298" s="76"/>
      <c r="Y298" s="76"/>
      <c r="Z298" s="76"/>
      <c r="AA298" s="76"/>
      <c r="AB298" s="76"/>
      <c r="AC298" s="76"/>
      <c r="AD298" s="76"/>
      <c r="AE298" s="76"/>
      <c r="AF298" s="76"/>
      <c r="AG298" s="76"/>
      <c r="AH298" s="76"/>
      <c r="AI298" s="76"/>
      <c r="AJ298" s="76"/>
      <c r="AK298" s="76"/>
      <c r="AL298" s="76"/>
      <c r="AM298" s="76"/>
      <c r="AN298" s="76"/>
      <c r="AO298" s="76"/>
      <c r="AP298" s="76"/>
      <c r="AQ298" s="76"/>
      <c r="AR298" s="76"/>
      <c r="AS298" s="76"/>
    </row>
    <row r="299" spans="1:45" hidden="1" outlineLevel="1" x14ac:dyDescent="0.25">
      <c r="A299" s="76"/>
      <c r="B299" s="76"/>
      <c r="C299" s="76">
        <f t="shared" si="41"/>
        <v>0</v>
      </c>
      <c r="D299" s="77"/>
      <c r="E299" s="77"/>
      <c r="F299" s="77"/>
      <c r="G299" s="76"/>
      <c r="H299" s="76"/>
      <c r="I299" s="76"/>
      <c r="J299" s="76"/>
      <c r="K299" s="76"/>
      <c r="L299" s="76"/>
      <c r="M299" s="76"/>
      <c r="N299" s="76"/>
      <c r="O299" s="76"/>
      <c r="P299" s="76"/>
      <c r="Q299" s="76"/>
      <c r="R299" s="76"/>
      <c r="S299" s="76"/>
      <c r="T299" s="76"/>
      <c r="U299" s="76"/>
      <c r="V299" s="76"/>
      <c r="W299" s="76"/>
      <c r="X299" s="76"/>
      <c r="Y299" s="76"/>
      <c r="Z299" s="76"/>
      <c r="AA299" s="76"/>
      <c r="AB299" s="76"/>
      <c r="AC299" s="76"/>
      <c r="AD299" s="76"/>
      <c r="AE299" s="76"/>
      <c r="AF299" s="76"/>
      <c r="AG299" s="76"/>
      <c r="AH299" s="76"/>
      <c r="AI299" s="76"/>
      <c r="AJ299" s="76"/>
      <c r="AK299" s="76"/>
      <c r="AL299" s="76"/>
      <c r="AM299" s="76"/>
      <c r="AN299" s="76"/>
      <c r="AO299" s="76"/>
      <c r="AP299" s="76"/>
      <c r="AQ299" s="76"/>
      <c r="AR299" s="76"/>
      <c r="AS299" s="76"/>
    </row>
    <row r="300" spans="1:45" hidden="1" outlineLevel="1" x14ac:dyDescent="0.25">
      <c r="A300" s="78"/>
      <c r="B300" s="78"/>
      <c r="C300" s="78">
        <f t="shared" ref="C300" si="42">SUM(G300:AT300)</f>
        <v>0</v>
      </c>
      <c r="D300" s="79"/>
      <c r="E300" s="79"/>
      <c r="F300" s="79"/>
      <c r="G300" s="78"/>
      <c r="H300" s="78"/>
      <c r="I300" s="78"/>
      <c r="J300" s="78"/>
      <c r="K300" s="78"/>
      <c r="L300" s="78"/>
      <c r="M300" s="78"/>
      <c r="N300" s="78"/>
      <c r="O300" s="78"/>
      <c r="P300" s="78"/>
      <c r="Q300" s="78"/>
      <c r="R300" s="78"/>
      <c r="S300" s="78"/>
      <c r="T300" s="78"/>
      <c r="U300" s="78"/>
      <c r="V300" s="78"/>
      <c r="W300" s="78"/>
      <c r="X300" s="78"/>
      <c r="Y300" s="78"/>
      <c r="Z300" s="78"/>
      <c r="AA300" s="78"/>
      <c r="AB300" s="78"/>
      <c r="AC300" s="78"/>
      <c r="AD300" s="78"/>
      <c r="AE300" s="78"/>
      <c r="AF300" s="78"/>
      <c r="AG300" s="78"/>
      <c r="AH300" s="78"/>
      <c r="AI300" s="78"/>
      <c r="AJ300" s="78"/>
      <c r="AK300" s="78"/>
      <c r="AL300" s="78"/>
      <c r="AM300" s="78"/>
      <c r="AN300" s="78"/>
      <c r="AO300" s="78"/>
      <c r="AP300" s="78"/>
      <c r="AQ300" s="78"/>
      <c r="AR300" s="78"/>
      <c r="AS300" s="78"/>
    </row>
    <row r="301" spans="1:45" s="35" customFormat="1" collapsed="1" x14ac:dyDescent="0.25">
      <c r="A301" s="72">
        <f>A276-B301-C301</f>
        <v>77032.135454545438</v>
      </c>
      <c r="B301" s="72">
        <f>-rcpMay</f>
        <v>0</v>
      </c>
      <c r="C301" s="72">
        <f>SUBTOTAL(9,C277:C300)</f>
        <v>0</v>
      </c>
      <c r="D301" s="73"/>
      <c r="E301" s="73" t="s">
        <v>84</v>
      </c>
      <c r="F301" s="73"/>
      <c r="G301" s="72">
        <f t="shared" ref="G301:AS301" si="43">SUBTOTAL(9,G277:G300)</f>
        <v>0</v>
      </c>
      <c r="H301" s="72">
        <f t="shared" si="43"/>
        <v>0</v>
      </c>
      <c r="I301" s="72">
        <f t="shared" si="43"/>
        <v>0</v>
      </c>
      <c r="J301" s="72">
        <f t="shared" si="43"/>
        <v>0</v>
      </c>
      <c r="K301" s="72">
        <f t="shared" si="43"/>
        <v>0</v>
      </c>
      <c r="L301" s="72">
        <f t="shared" si="43"/>
        <v>0</v>
      </c>
      <c r="M301" s="72">
        <f t="shared" si="43"/>
        <v>0</v>
      </c>
      <c r="N301" s="72">
        <f t="shared" si="43"/>
        <v>0</v>
      </c>
      <c r="O301" s="72">
        <f t="shared" si="43"/>
        <v>0</v>
      </c>
      <c r="P301" s="72">
        <f t="shared" si="43"/>
        <v>0</v>
      </c>
      <c r="Q301" s="72">
        <f t="shared" si="43"/>
        <v>0</v>
      </c>
      <c r="R301" s="72">
        <f t="shared" si="43"/>
        <v>0</v>
      </c>
      <c r="S301" s="72">
        <f t="shared" si="43"/>
        <v>0</v>
      </c>
      <c r="T301" s="72">
        <f t="shared" si="43"/>
        <v>0</v>
      </c>
      <c r="U301" s="72">
        <f t="shared" si="43"/>
        <v>0</v>
      </c>
      <c r="V301" s="72">
        <f t="shared" si="43"/>
        <v>0</v>
      </c>
      <c r="W301" s="72">
        <f t="shared" si="43"/>
        <v>0</v>
      </c>
      <c r="X301" s="72">
        <f t="shared" si="43"/>
        <v>0</v>
      </c>
      <c r="Y301" s="72">
        <f t="shared" si="43"/>
        <v>0</v>
      </c>
      <c r="Z301" s="72">
        <f t="shared" si="43"/>
        <v>0</v>
      </c>
      <c r="AA301" s="72">
        <f t="shared" si="43"/>
        <v>0</v>
      </c>
      <c r="AB301" s="72">
        <f t="shared" si="43"/>
        <v>0</v>
      </c>
      <c r="AC301" s="72">
        <f t="shared" si="43"/>
        <v>0</v>
      </c>
      <c r="AD301" s="72">
        <f t="shared" si="43"/>
        <v>0</v>
      </c>
      <c r="AE301" s="72">
        <f t="shared" si="43"/>
        <v>0</v>
      </c>
      <c r="AF301" s="72">
        <f t="shared" si="43"/>
        <v>0</v>
      </c>
      <c r="AG301" s="72">
        <f t="shared" si="43"/>
        <v>0</v>
      </c>
      <c r="AH301" s="72">
        <f t="shared" si="43"/>
        <v>0</v>
      </c>
      <c r="AI301" s="72">
        <f t="shared" si="43"/>
        <v>0</v>
      </c>
      <c r="AJ301" s="72">
        <f t="shared" si="43"/>
        <v>0</v>
      </c>
      <c r="AK301" s="72">
        <f t="shared" si="43"/>
        <v>0</v>
      </c>
      <c r="AL301" s="72">
        <f t="shared" si="43"/>
        <v>0</v>
      </c>
      <c r="AM301" s="72">
        <f t="shared" si="43"/>
        <v>0</v>
      </c>
      <c r="AN301" s="72">
        <f t="shared" si="43"/>
        <v>0</v>
      </c>
      <c r="AO301" s="72">
        <f t="shared" si="43"/>
        <v>0</v>
      </c>
      <c r="AP301" s="72">
        <f t="shared" si="43"/>
        <v>0</v>
      </c>
      <c r="AQ301" s="72">
        <f t="shared" si="43"/>
        <v>0</v>
      </c>
      <c r="AR301" s="72">
        <f t="shared" si="43"/>
        <v>0</v>
      </c>
      <c r="AS301" s="72">
        <f t="shared" si="43"/>
        <v>0</v>
      </c>
    </row>
    <row r="302" spans="1:45" hidden="1" outlineLevel="1" x14ac:dyDescent="0.25">
      <c r="A302" s="74"/>
      <c r="B302" s="74"/>
      <c r="C302" s="74">
        <f t="shared" ref="C302:C322" si="44">SUM(G302:AT302)</f>
        <v>0</v>
      </c>
      <c r="D302" s="75"/>
      <c r="E302" s="75"/>
      <c r="F302" s="75"/>
      <c r="G302" s="74"/>
      <c r="H302" s="74"/>
      <c r="I302" s="74"/>
      <c r="J302" s="74"/>
      <c r="K302" s="74"/>
      <c r="L302" s="74"/>
      <c r="M302" s="74"/>
      <c r="N302" s="74"/>
      <c r="O302" s="74"/>
      <c r="P302" s="74"/>
      <c r="Q302" s="74"/>
      <c r="R302" s="74"/>
      <c r="S302" s="74"/>
      <c r="T302" s="74"/>
      <c r="U302" s="74"/>
      <c r="V302" s="74"/>
      <c r="W302" s="74"/>
      <c r="X302" s="74"/>
      <c r="Y302" s="74"/>
      <c r="Z302" s="74"/>
      <c r="AA302" s="74"/>
      <c r="AB302" s="74"/>
      <c r="AC302" s="74"/>
      <c r="AD302" s="74"/>
      <c r="AE302" s="74"/>
      <c r="AF302" s="74"/>
      <c r="AG302" s="74"/>
      <c r="AH302" s="74"/>
      <c r="AI302" s="74"/>
      <c r="AJ302" s="74"/>
      <c r="AK302" s="74"/>
      <c r="AL302" s="74"/>
      <c r="AM302" s="74"/>
      <c r="AN302" s="74"/>
      <c r="AO302" s="74"/>
      <c r="AP302" s="74"/>
      <c r="AQ302" s="74"/>
      <c r="AR302" s="74"/>
      <c r="AS302" s="74"/>
    </row>
    <row r="303" spans="1:45" hidden="1" outlineLevel="1" x14ac:dyDescent="0.25">
      <c r="A303" s="76"/>
      <c r="B303" s="76"/>
      <c r="C303" s="76">
        <f t="shared" si="44"/>
        <v>0</v>
      </c>
      <c r="D303" s="77"/>
      <c r="E303" s="77"/>
      <c r="F303" s="77"/>
      <c r="G303" s="76"/>
      <c r="H303" s="76"/>
      <c r="I303" s="76"/>
      <c r="J303" s="76"/>
      <c r="K303" s="76"/>
      <c r="L303" s="76"/>
      <c r="M303" s="76"/>
      <c r="N303" s="76"/>
      <c r="O303" s="76"/>
      <c r="P303" s="76"/>
      <c r="Q303" s="76"/>
      <c r="R303" s="76"/>
      <c r="S303" s="76"/>
      <c r="T303" s="76"/>
      <c r="U303" s="76"/>
      <c r="V303" s="76"/>
      <c r="W303" s="76"/>
      <c r="X303" s="76"/>
      <c r="Y303" s="76"/>
      <c r="Z303" s="76"/>
      <c r="AA303" s="76"/>
      <c r="AB303" s="76"/>
      <c r="AC303" s="76"/>
      <c r="AD303" s="76"/>
      <c r="AE303" s="76"/>
      <c r="AF303" s="76"/>
      <c r="AG303" s="76"/>
      <c r="AH303" s="76"/>
      <c r="AI303" s="76"/>
      <c r="AJ303" s="76"/>
      <c r="AK303" s="76"/>
      <c r="AL303" s="76"/>
      <c r="AM303" s="76"/>
      <c r="AN303" s="76"/>
      <c r="AO303" s="76"/>
      <c r="AP303" s="76"/>
      <c r="AQ303" s="76"/>
      <c r="AR303" s="76"/>
      <c r="AS303" s="76"/>
    </row>
    <row r="304" spans="1:45" hidden="1" outlineLevel="1" x14ac:dyDescent="0.25">
      <c r="A304" s="76"/>
      <c r="B304" s="76"/>
      <c r="C304" s="76">
        <f t="shared" si="44"/>
        <v>0</v>
      </c>
      <c r="D304" s="77"/>
      <c r="E304" s="77"/>
      <c r="F304" s="77"/>
      <c r="G304" s="76"/>
      <c r="H304" s="76"/>
      <c r="I304" s="76"/>
      <c r="J304" s="76"/>
      <c r="K304" s="76"/>
      <c r="L304" s="76"/>
      <c r="M304" s="76"/>
      <c r="N304" s="76"/>
      <c r="O304" s="76"/>
      <c r="P304" s="76"/>
      <c r="Q304" s="76"/>
      <c r="R304" s="76"/>
      <c r="S304" s="76"/>
      <c r="T304" s="76"/>
      <c r="U304" s="76"/>
      <c r="V304" s="76"/>
      <c r="W304" s="76"/>
      <c r="X304" s="76"/>
      <c r="Y304" s="76"/>
      <c r="Z304" s="76"/>
      <c r="AA304" s="76"/>
      <c r="AB304" s="76"/>
      <c r="AC304" s="76"/>
      <c r="AD304" s="76"/>
      <c r="AE304" s="76"/>
      <c r="AF304" s="76"/>
      <c r="AG304" s="76"/>
      <c r="AH304" s="76"/>
      <c r="AI304" s="76"/>
      <c r="AJ304" s="76"/>
      <c r="AK304" s="76"/>
      <c r="AL304" s="76"/>
      <c r="AM304" s="76"/>
      <c r="AN304" s="76"/>
      <c r="AO304" s="76"/>
      <c r="AP304" s="76"/>
      <c r="AQ304" s="76"/>
      <c r="AR304" s="76"/>
      <c r="AS304" s="76"/>
    </row>
    <row r="305" spans="1:45" hidden="1" outlineLevel="1" x14ac:dyDescent="0.25">
      <c r="A305" s="76"/>
      <c r="B305" s="76"/>
      <c r="C305" s="76">
        <f t="shared" si="44"/>
        <v>0</v>
      </c>
      <c r="D305" s="77"/>
      <c r="E305" s="77"/>
      <c r="F305" s="77"/>
      <c r="G305" s="76"/>
      <c r="H305" s="76"/>
      <c r="I305" s="76"/>
      <c r="J305" s="76"/>
      <c r="K305" s="76"/>
      <c r="L305" s="76"/>
      <c r="M305" s="76"/>
      <c r="N305" s="76"/>
      <c r="O305" s="76"/>
      <c r="P305" s="76"/>
      <c r="Q305" s="76"/>
      <c r="R305" s="76"/>
      <c r="S305" s="76"/>
      <c r="T305" s="76"/>
      <c r="U305" s="76"/>
      <c r="V305" s="76"/>
      <c r="W305" s="76"/>
      <c r="X305" s="76"/>
      <c r="Y305" s="76"/>
      <c r="Z305" s="76"/>
      <c r="AA305" s="76"/>
      <c r="AB305" s="76"/>
      <c r="AC305" s="76"/>
      <c r="AD305" s="76"/>
      <c r="AE305" s="76"/>
      <c r="AF305" s="76"/>
      <c r="AG305" s="76"/>
      <c r="AH305" s="76"/>
      <c r="AI305" s="76"/>
      <c r="AJ305" s="76"/>
      <c r="AK305" s="76"/>
      <c r="AL305" s="76"/>
      <c r="AM305" s="76"/>
      <c r="AN305" s="76"/>
      <c r="AO305" s="76"/>
      <c r="AP305" s="76"/>
      <c r="AQ305" s="76"/>
      <c r="AR305" s="76"/>
      <c r="AS305" s="76"/>
    </row>
    <row r="306" spans="1:45" hidden="1" outlineLevel="1" x14ac:dyDescent="0.25">
      <c r="A306" s="76"/>
      <c r="B306" s="76"/>
      <c r="C306" s="76">
        <f t="shared" si="44"/>
        <v>0</v>
      </c>
      <c r="D306" s="77"/>
      <c r="E306" s="77"/>
      <c r="F306" s="77"/>
      <c r="G306" s="76"/>
      <c r="H306" s="76"/>
      <c r="I306" s="76"/>
      <c r="J306" s="76"/>
      <c r="K306" s="76"/>
      <c r="L306" s="76"/>
      <c r="M306" s="76"/>
      <c r="N306" s="76"/>
      <c r="O306" s="76"/>
      <c r="P306" s="76"/>
      <c r="Q306" s="76"/>
      <c r="R306" s="76"/>
      <c r="S306" s="76"/>
      <c r="T306" s="76"/>
      <c r="U306" s="76"/>
      <c r="V306" s="76"/>
      <c r="W306" s="76"/>
      <c r="X306" s="76"/>
      <c r="Y306" s="76"/>
      <c r="Z306" s="76"/>
      <c r="AA306" s="76"/>
      <c r="AB306" s="76"/>
      <c r="AC306" s="76"/>
      <c r="AD306" s="76"/>
      <c r="AE306" s="76"/>
      <c r="AF306" s="76"/>
      <c r="AG306" s="76"/>
      <c r="AH306" s="76"/>
      <c r="AI306" s="76"/>
      <c r="AJ306" s="76"/>
      <c r="AK306" s="76"/>
      <c r="AL306" s="76"/>
      <c r="AM306" s="76"/>
      <c r="AN306" s="76"/>
      <c r="AO306" s="76"/>
      <c r="AP306" s="76"/>
      <c r="AQ306" s="76"/>
      <c r="AR306" s="76"/>
      <c r="AS306" s="76"/>
    </row>
    <row r="307" spans="1:45" hidden="1" outlineLevel="1" x14ac:dyDescent="0.25">
      <c r="A307" s="76"/>
      <c r="B307" s="76"/>
      <c r="C307" s="76">
        <f t="shared" si="44"/>
        <v>0</v>
      </c>
      <c r="D307" s="77"/>
      <c r="E307" s="77"/>
      <c r="F307" s="77"/>
      <c r="G307" s="76"/>
      <c r="H307" s="76"/>
      <c r="I307" s="76"/>
      <c r="J307" s="76"/>
      <c r="K307" s="76"/>
      <c r="L307" s="76"/>
      <c r="M307" s="76"/>
      <c r="N307" s="76"/>
      <c r="O307" s="76"/>
      <c r="P307" s="76"/>
      <c r="Q307" s="76"/>
      <c r="R307" s="76"/>
      <c r="S307" s="76"/>
      <c r="T307" s="76"/>
      <c r="U307" s="76"/>
      <c r="V307" s="76"/>
      <c r="W307" s="76"/>
      <c r="X307" s="76"/>
      <c r="Y307" s="76"/>
      <c r="Z307" s="76"/>
      <c r="AA307" s="76"/>
      <c r="AB307" s="76"/>
      <c r="AC307" s="76"/>
      <c r="AD307" s="76"/>
      <c r="AE307" s="76"/>
      <c r="AF307" s="76"/>
      <c r="AG307" s="76"/>
      <c r="AH307" s="76"/>
      <c r="AI307" s="76"/>
      <c r="AJ307" s="76"/>
      <c r="AK307" s="76"/>
      <c r="AL307" s="76"/>
      <c r="AM307" s="76"/>
      <c r="AN307" s="76"/>
      <c r="AO307" s="76"/>
      <c r="AP307" s="76"/>
      <c r="AQ307" s="76"/>
      <c r="AR307" s="76"/>
      <c r="AS307" s="76"/>
    </row>
    <row r="308" spans="1:45" hidden="1" outlineLevel="1" x14ac:dyDescent="0.25">
      <c r="A308" s="76"/>
      <c r="B308" s="76"/>
      <c r="C308" s="76">
        <f t="shared" si="44"/>
        <v>0</v>
      </c>
      <c r="D308" s="77"/>
      <c r="E308" s="77"/>
      <c r="F308" s="77"/>
      <c r="G308" s="76"/>
      <c r="H308" s="76"/>
      <c r="I308" s="76"/>
      <c r="J308" s="76"/>
      <c r="K308" s="76"/>
      <c r="L308" s="76"/>
      <c r="M308" s="76"/>
      <c r="N308" s="76"/>
      <c r="O308" s="76"/>
      <c r="P308" s="76"/>
      <c r="Q308" s="76"/>
      <c r="R308" s="76"/>
      <c r="S308" s="76"/>
      <c r="T308" s="76"/>
      <c r="U308" s="76"/>
      <c r="V308" s="76"/>
      <c r="W308" s="76"/>
      <c r="X308" s="76"/>
      <c r="Y308" s="76"/>
      <c r="Z308" s="76"/>
      <c r="AA308" s="76"/>
      <c r="AB308" s="76"/>
      <c r="AC308" s="76"/>
      <c r="AD308" s="76"/>
      <c r="AE308" s="76"/>
      <c r="AF308" s="76"/>
      <c r="AG308" s="76"/>
      <c r="AH308" s="76"/>
      <c r="AI308" s="76"/>
      <c r="AJ308" s="76"/>
      <c r="AK308" s="76"/>
      <c r="AL308" s="76"/>
      <c r="AM308" s="76"/>
      <c r="AN308" s="76"/>
      <c r="AO308" s="76"/>
      <c r="AP308" s="76"/>
      <c r="AQ308" s="76"/>
      <c r="AR308" s="76"/>
      <c r="AS308" s="76"/>
    </row>
    <row r="309" spans="1:45" hidden="1" outlineLevel="1" x14ac:dyDescent="0.25">
      <c r="A309" s="76"/>
      <c r="B309" s="76"/>
      <c r="C309" s="76">
        <f t="shared" si="44"/>
        <v>0</v>
      </c>
      <c r="D309" s="77"/>
      <c r="E309" s="77"/>
      <c r="F309" s="77"/>
      <c r="G309" s="76"/>
      <c r="H309" s="76"/>
      <c r="I309" s="76"/>
      <c r="J309" s="76"/>
      <c r="K309" s="76"/>
      <c r="L309" s="76"/>
      <c r="M309" s="76"/>
      <c r="N309" s="76"/>
      <c r="O309" s="76"/>
      <c r="P309" s="76"/>
      <c r="Q309" s="76"/>
      <c r="R309" s="76"/>
      <c r="S309" s="76"/>
      <c r="T309" s="76"/>
      <c r="U309" s="76"/>
      <c r="V309" s="76"/>
      <c r="W309" s="76"/>
      <c r="X309" s="76"/>
      <c r="Y309" s="76"/>
      <c r="Z309" s="76"/>
      <c r="AA309" s="76"/>
      <c r="AB309" s="76"/>
      <c r="AC309" s="76"/>
      <c r="AD309" s="76"/>
      <c r="AE309" s="76"/>
      <c r="AF309" s="76"/>
      <c r="AG309" s="76"/>
      <c r="AH309" s="76"/>
      <c r="AI309" s="76"/>
      <c r="AJ309" s="76"/>
      <c r="AK309" s="76"/>
      <c r="AL309" s="76"/>
      <c r="AM309" s="76"/>
      <c r="AN309" s="76"/>
      <c r="AO309" s="76"/>
      <c r="AP309" s="76"/>
      <c r="AQ309" s="76"/>
      <c r="AR309" s="76"/>
      <c r="AS309" s="76"/>
    </row>
    <row r="310" spans="1:45" hidden="1" outlineLevel="1" x14ac:dyDescent="0.25">
      <c r="A310" s="76"/>
      <c r="B310" s="76"/>
      <c r="C310" s="76">
        <f t="shared" si="44"/>
        <v>0</v>
      </c>
      <c r="D310" s="77"/>
      <c r="E310" s="77"/>
      <c r="F310" s="77"/>
      <c r="G310" s="76"/>
      <c r="H310" s="76"/>
      <c r="I310" s="76"/>
      <c r="J310" s="76"/>
      <c r="K310" s="76"/>
      <c r="L310" s="76"/>
      <c r="M310" s="76"/>
      <c r="N310" s="76"/>
      <c r="O310" s="76"/>
      <c r="P310" s="76"/>
      <c r="Q310" s="76"/>
      <c r="R310" s="76"/>
      <c r="S310" s="76"/>
      <c r="T310" s="76"/>
      <c r="U310" s="76"/>
      <c r="V310" s="76"/>
      <c r="W310" s="76"/>
      <c r="X310" s="76"/>
      <c r="Y310" s="76"/>
      <c r="Z310" s="76"/>
      <c r="AA310" s="76"/>
      <c r="AB310" s="76"/>
      <c r="AC310" s="76"/>
      <c r="AD310" s="76"/>
      <c r="AE310" s="76"/>
      <c r="AF310" s="76"/>
      <c r="AG310" s="76"/>
      <c r="AH310" s="76"/>
      <c r="AI310" s="76"/>
      <c r="AJ310" s="76"/>
      <c r="AK310" s="76"/>
      <c r="AL310" s="76"/>
      <c r="AM310" s="76"/>
      <c r="AN310" s="76"/>
      <c r="AO310" s="76"/>
      <c r="AP310" s="76"/>
      <c r="AQ310" s="76"/>
      <c r="AR310" s="76"/>
      <c r="AS310" s="76"/>
    </row>
    <row r="311" spans="1:45" hidden="1" outlineLevel="1" x14ac:dyDescent="0.25">
      <c r="A311" s="76"/>
      <c r="B311" s="76"/>
      <c r="C311" s="76">
        <f t="shared" si="44"/>
        <v>0</v>
      </c>
      <c r="D311" s="77"/>
      <c r="E311" s="77"/>
      <c r="F311" s="77"/>
      <c r="G311" s="76"/>
      <c r="H311" s="76"/>
      <c r="I311" s="76"/>
      <c r="J311" s="76"/>
      <c r="K311" s="76"/>
      <c r="L311" s="76"/>
      <c r="M311" s="76"/>
      <c r="N311" s="76"/>
      <c r="O311" s="76"/>
      <c r="P311" s="76"/>
      <c r="Q311" s="76"/>
      <c r="R311" s="76"/>
      <c r="S311" s="76"/>
      <c r="T311" s="76"/>
      <c r="U311" s="76"/>
      <c r="V311" s="76"/>
      <c r="W311" s="76"/>
      <c r="X311" s="76"/>
      <c r="Y311" s="76"/>
      <c r="Z311" s="76"/>
      <c r="AA311" s="76"/>
      <c r="AB311" s="76"/>
      <c r="AC311" s="76"/>
      <c r="AD311" s="76"/>
      <c r="AE311" s="76"/>
      <c r="AF311" s="76"/>
      <c r="AG311" s="76"/>
      <c r="AH311" s="76"/>
      <c r="AI311" s="76"/>
      <c r="AJ311" s="76"/>
      <c r="AK311" s="76"/>
      <c r="AL311" s="76"/>
      <c r="AM311" s="76"/>
      <c r="AN311" s="76"/>
      <c r="AO311" s="76"/>
      <c r="AP311" s="76"/>
      <c r="AQ311" s="76"/>
      <c r="AR311" s="76"/>
      <c r="AS311" s="76"/>
    </row>
    <row r="312" spans="1:45" hidden="1" outlineLevel="1" x14ac:dyDescent="0.25">
      <c r="A312" s="76"/>
      <c r="B312" s="76"/>
      <c r="C312" s="76">
        <f t="shared" si="44"/>
        <v>0</v>
      </c>
      <c r="D312" s="77"/>
      <c r="E312" s="77"/>
      <c r="F312" s="77"/>
      <c r="G312" s="76"/>
      <c r="H312" s="76"/>
      <c r="I312" s="76"/>
      <c r="J312" s="76"/>
      <c r="K312" s="76"/>
      <c r="L312" s="76"/>
      <c r="M312" s="76"/>
      <c r="N312" s="76"/>
      <c r="O312" s="76"/>
      <c r="P312" s="76"/>
      <c r="Q312" s="76"/>
      <c r="R312" s="76"/>
      <c r="S312" s="76"/>
      <c r="T312" s="76"/>
      <c r="U312" s="76"/>
      <c r="V312" s="76"/>
      <c r="W312" s="76"/>
      <c r="X312" s="76"/>
      <c r="Y312" s="76"/>
      <c r="Z312" s="76"/>
      <c r="AA312" s="76"/>
      <c r="AB312" s="76"/>
      <c r="AC312" s="76"/>
      <c r="AD312" s="76"/>
      <c r="AE312" s="76"/>
      <c r="AF312" s="76"/>
      <c r="AG312" s="76"/>
      <c r="AH312" s="76"/>
      <c r="AI312" s="76"/>
      <c r="AJ312" s="76"/>
      <c r="AK312" s="76"/>
      <c r="AL312" s="76"/>
      <c r="AM312" s="76"/>
      <c r="AN312" s="76"/>
      <c r="AO312" s="76"/>
      <c r="AP312" s="76"/>
      <c r="AQ312" s="76"/>
      <c r="AR312" s="76"/>
      <c r="AS312" s="76"/>
    </row>
    <row r="313" spans="1:45" hidden="1" outlineLevel="1" x14ac:dyDescent="0.25">
      <c r="A313" s="76"/>
      <c r="B313" s="76"/>
      <c r="C313" s="76">
        <f t="shared" si="44"/>
        <v>0</v>
      </c>
      <c r="D313" s="77"/>
      <c r="E313" s="77"/>
      <c r="F313" s="77"/>
      <c r="G313" s="76"/>
      <c r="H313" s="76"/>
      <c r="I313" s="76"/>
      <c r="J313" s="76"/>
      <c r="K313" s="76"/>
      <c r="L313" s="76"/>
      <c r="M313" s="76"/>
      <c r="N313" s="76"/>
      <c r="O313" s="76"/>
      <c r="P313" s="76"/>
      <c r="Q313" s="76"/>
      <c r="R313" s="76"/>
      <c r="S313" s="76"/>
      <c r="T313" s="76"/>
      <c r="U313" s="76"/>
      <c r="V313" s="76"/>
      <c r="W313" s="76"/>
      <c r="X313" s="76"/>
      <c r="Y313" s="76"/>
      <c r="Z313" s="76"/>
      <c r="AA313" s="76"/>
      <c r="AB313" s="76"/>
      <c r="AC313" s="76"/>
      <c r="AD313" s="76"/>
      <c r="AE313" s="76"/>
      <c r="AF313" s="76"/>
      <c r="AG313" s="76"/>
      <c r="AH313" s="76"/>
      <c r="AI313" s="76"/>
      <c r="AJ313" s="76"/>
      <c r="AK313" s="76"/>
      <c r="AL313" s="76"/>
      <c r="AM313" s="76"/>
      <c r="AN313" s="76"/>
      <c r="AO313" s="76"/>
      <c r="AP313" s="76"/>
      <c r="AQ313" s="76"/>
      <c r="AR313" s="76"/>
      <c r="AS313" s="76"/>
    </row>
    <row r="314" spans="1:45" hidden="1" outlineLevel="1" x14ac:dyDescent="0.25">
      <c r="A314" s="76"/>
      <c r="B314" s="76"/>
      <c r="C314" s="76">
        <f t="shared" si="44"/>
        <v>0</v>
      </c>
      <c r="D314" s="77"/>
      <c r="E314" s="77"/>
      <c r="F314" s="77"/>
      <c r="G314" s="76"/>
      <c r="H314" s="76"/>
      <c r="I314" s="76"/>
      <c r="J314" s="76"/>
      <c r="K314" s="76"/>
      <c r="L314" s="76"/>
      <c r="M314" s="76"/>
      <c r="N314" s="76"/>
      <c r="O314" s="76"/>
      <c r="P314" s="76"/>
      <c r="Q314" s="76"/>
      <c r="R314" s="76"/>
      <c r="S314" s="76"/>
      <c r="T314" s="76"/>
      <c r="U314" s="76"/>
      <c r="V314" s="76"/>
      <c r="W314" s="76"/>
      <c r="X314" s="76"/>
      <c r="Y314" s="76"/>
      <c r="Z314" s="76"/>
      <c r="AA314" s="76"/>
      <c r="AB314" s="76"/>
      <c r="AC314" s="76"/>
      <c r="AD314" s="76"/>
      <c r="AE314" s="76"/>
      <c r="AF314" s="76"/>
      <c r="AG314" s="76"/>
      <c r="AH314" s="76"/>
      <c r="AI314" s="76"/>
      <c r="AJ314" s="76"/>
      <c r="AK314" s="76"/>
      <c r="AL314" s="76"/>
      <c r="AM314" s="76"/>
      <c r="AN314" s="76"/>
      <c r="AO314" s="76"/>
      <c r="AP314" s="76"/>
      <c r="AQ314" s="76"/>
      <c r="AR314" s="76"/>
      <c r="AS314" s="76"/>
    </row>
    <row r="315" spans="1:45" hidden="1" outlineLevel="1" x14ac:dyDescent="0.25">
      <c r="A315" s="76"/>
      <c r="B315" s="76"/>
      <c r="C315" s="76">
        <f t="shared" si="44"/>
        <v>0</v>
      </c>
      <c r="D315" s="77"/>
      <c r="E315" s="77"/>
      <c r="F315" s="77"/>
      <c r="G315" s="76"/>
      <c r="H315" s="76"/>
      <c r="I315" s="76"/>
      <c r="J315" s="76"/>
      <c r="K315" s="76"/>
      <c r="L315" s="76"/>
      <c r="M315" s="76"/>
      <c r="N315" s="76"/>
      <c r="O315" s="76"/>
      <c r="P315" s="76"/>
      <c r="Q315" s="76"/>
      <c r="R315" s="76"/>
      <c r="S315" s="76"/>
      <c r="T315" s="76"/>
      <c r="U315" s="76"/>
      <c r="V315" s="76"/>
      <c r="W315" s="76"/>
      <c r="X315" s="76"/>
      <c r="Y315" s="76"/>
      <c r="Z315" s="76"/>
      <c r="AA315" s="76"/>
      <c r="AB315" s="76"/>
      <c r="AC315" s="76"/>
      <c r="AD315" s="76"/>
      <c r="AE315" s="76"/>
      <c r="AF315" s="76"/>
      <c r="AG315" s="76"/>
      <c r="AH315" s="76"/>
      <c r="AI315" s="76"/>
      <c r="AJ315" s="76"/>
      <c r="AK315" s="76"/>
      <c r="AL315" s="76"/>
      <c r="AM315" s="76"/>
      <c r="AN315" s="76"/>
      <c r="AO315" s="76"/>
      <c r="AP315" s="76"/>
      <c r="AQ315" s="76"/>
      <c r="AR315" s="76"/>
      <c r="AS315" s="76"/>
    </row>
    <row r="316" spans="1:45" hidden="1" outlineLevel="1" x14ac:dyDescent="0.25">
      <c r="A316" s="76"/>
      <c r="B316" s="76"/>
      <c r="C316" s="76">
        <f t="shared" si="44"/>
        <v>0</v>
      </c>
      <c r="D316" s="77"/>
      <c r="E316" s="77"/>
      <c r="F316" s="77"/>
      <c r="G316" s="76"/>
      <c r="H316" s="76"/>
      <c r="I316" s="76"/>
      <c r="J316" s="76"/>
      <c r="K316" s="76"/>
      <c r="L316" s="76"/>
      <c r="M316" s="76"/>
      <c r="N316" s="76"/>
      <c r="O316" s="76"/>
      <c r="P316" s="76"/>
      <c r="Q316" s="76"/>
      <c r="R316" s="76"/>
      <c r="S316" s="76"/>
      <c r="T316" s="76"/>
      <c r="U316" s="76"/>
      <c r="V316" s="76"/>
      <c r="W316" s="76"/>
      <c r="X316" s="76"/>
      <c r="Y316" s="76"/>
      <c r="Z316" s="76"/>
      <c r="AA316" s="76"/>
      <c r="AB316" s="76"/>
      <c r="AC316" s="76"/>
      <c r="AD316" s="76"/>
      <c r="AE316" s="76"/>
      <c r="AF316" s="76"/>
      <c r="AG316" s="76"/>
      <c r="AH316" s="76"/>
      <c r="AI316" s="76"/>
      <c r="AJ316" s="76"/>
      <c r="AK316" s="76"/>
      <c r="AL316" s="76"/>
      <c r="AM316" s="76"/>
      <c r="AN316" s="76"/>
      <c r="AO316" s="76"/>
      <c r="AP316" s="76"/>
      <c r="AQ316" s="76"/>
      <c r="AR316" s="76"/>
      <c r="AS316" s="76"/>
    </row>
    <row r="317" spans="1:45" hidden="1" outlineLevel="1" x14ac:dyDescent="0.25">
      <c r="A317" s="76"/>
      <c r="B317" s="76"/>
      <c r="C317" s="76">
        <f t="shared" si="44"/>
        <v>0</v>
      </c>
      <c r="D317" s="77"/>
      <c r="E317" s="77"/>
      <c r="F317" s="77"/>
      <c r="G317" s="76"/>
      <c r="H317" s="76"/>
      <c r="I317" s="76"/>
      <c r="J317" s="76"/>
      <c r="K317" s="76"/>
      <c r="L317" s="76"/>
      <c r="M317" s="76"/>
      <c r="N317" s="76"/>
      <c r="O317" s="76"/>
      <c r="P317" s="76"/>
      <c r="Q317" s="76"/>
      <c r="R317" s="76"/>
      <c r="S317" s="76"/>
      <c r="T317" s="76"/>
      <c r="U317" s="76"/>
      <c r="V317" s="76"/>
      <c r="W317" s="76"/>
      <c r="X317" s="76"/>
      <c r="Y317" s="76"/>
      <c r="Z317" s="76"/>
      <c r="AA317" s="76"/>
      <c r="AB317" s="76"/>
      <c r="AC317" s="76"/>
      <c r="AD317" s="76"/>
      <c r="AE317" s="76"/>
      <c r="AF317" s="76"/>
      <c r="AG317" s="76"/>
      <c r="AH317" s="76"/>
      <c r="AI317" s="76"/>
      <c r="AJ317" s="76"/>
      <c r="AK317" s="76"/>
      <c r="AL317" s="76"/>
      <c r="AM317" s="76"/>
      <c r="AN317" s="76"/>
      <c r="AO317" s="76"/>
      <c r="AP317" s="76"/>
      <c r="AQ317" s="76"/>
      <c r="AR317" s="76"/>
      <c r="AS317" s="76"/>
    </row>
    <row r="318" spans="1:45" hidden="1" outlineLevel="1" x14ac:dyDescent="0.25">
      <c r="A318" s="76"/>
      <c r="B318" s="76"/>
      <c r="C318" s="76">
        <f t="shared" si="44"/>
        <v>0</v>
      </c>
      <c r="D318" s="77"/>
      <c r="E318" s="77"/>
      <c r="F318" s="77"/>
      <c r="G318" s="76"/>
      <c r="H318" s="76"/>
      <c r="I318" s="76"/>
      <c r="J318" s="76"/>
      <c r="K318" s="76"/>
      <c r="L318" s="76"/>
      <c r="M318" s="76"/>
      <c r="N318" s="76"/>
      <c r="O318" s="76"/>
      <c r="P318" s="76"/>
      <c r="Q318" s="76"/>
      <c r="R318" s="76"/>
      <c r="S318" s="76"/>
      <c r="T318" s="76"/>
      <c r="U318" s="76"/>
      <c r="V318" s="76"/>
      <c r="W318" s="76"/>
      <c r="X318" s="76"/>
      <c r="Y318" s="76"/>
      <c r="Z318" s="76"/>
      <c r="AA318" s="76"/>
      <c r="AB318" s="76"/>
      <c r="AC318" s="76"/>
      <c r="AD318" s="76"/>
      <c r="AE318" s="76"/>
      <c r="AF318" s="76"/>
      <c r="AG318" s="76"/>
      <c r="AH318" s="76"/>
      <c r="AI318" s="76"/>
      <c r="AJ318" s="76"/>
      <c r="AK318" s="76"/>
      <c r="AL318" s="76"/>
      <c r="AM318" s="76"/>
      <c r="AN318" s="76"/>
      <c r="AO318" s="76"/>
      <c r="AP318" s="76"/>
      <c r="AQ318" s="76"/>
      <c r="AR318" s="76"/>
      <c r="AS318" s="76"/>
    </row>
    <row r="319" spans="1:45" hidden="1" outlineLevel="1" x14ac:dyDescent="0.25">
      <c r="A319" s="76"/>
      <c r="B319" s="76"/>
      <c r="C319" s="76">
        <f t="shared" si="44"/>
        <v>0</v>
      </c>
      <c r="D319" s="77"/>
      <c r="E319" s="77"/>
      <c r="F319" s="77"/>
      <c r="G319" s="76"/>
      <c r="H319" s="76"/>
      <c r="I319" s="76"/>
      <c r="J319" s="76"/>
      <c r="K319" s="76"/>
      <c r="L319" s="76"/>
      <c r="M319" s="76"/>
      <c r="N319" s="76"/>
      <c r="O319" s="76"/>
      <c r="P319" s="76"/>
      <c r="Q319" s="76"/>
      <c r="R319" s="76"/>
      <c r="S319" s="76"/>
      <c r="T319" s="76"/>
      <c r="U319" s="76"/>
      <c r="V319" s="76"/>
      <c r="W319" s="76"/>
      <c r="X319" s="76"/>
      <c r="Y319" s="76"/>
      <c r="Z319" s="76"/>
      <c r="AA319" s="76"/>
      <c r="AB319" s="76"/>
      <c r="AC319" s="76"/>
      <c r="AD319" s="76"/>
      <c r="AE319" s="76"/>
      <c r="AF319" s="76"/>
      <c r="AG319" s="76"/>
      <c r="AH319" s="76"/>
      <c r="AI319" s="76"/>
      <c r="AJ319" s="76"/>
      <c r="AK319" s="76"/>
      <c r="AL319" s="76"/>
      <c r="AM319" s="76"/>
      <c r="AN319" s="76"/>
      <c r="AO319" s="76"/>
      <c r="AP319" s="76"/>
      <c r="AQ319" s="76"/>
      <c r="AR319" s="76"/>
      <c r="AS319" s="76"/>
    </row>
    <row r="320" spans="1:45" hidden="1" outlineLevel="1" x14ac:dyDescent="0.25">
      <c r="A320" s="76"/>
      <c r="B320" s="76"/>
      <c r="C320" s="76">
        <f t="shared" si="44"/>
        <v>0</v>
      </c>
      <c r="D320" s="77"/>
      <c r="E320" s="77"/>
      <c r="F320" s="77"/>
      <c r="G320" s="76"/>
      <c r="H320" s="76"/>
      <c r="I320" s="76"/>
      <c r="J320" s="76"/>
      <c r="K320" s="76"/>
      <c r="L320" s="76"/>
      <c r="M320" s="76"/>
      <c r="N320" s="76"/>
      <c r="O320" s="76"/>
      <c r="P320" s="76"/>
      <c r="Q320" s="76"/>
      <c r="R320" s="76"/>
      <c r="S320" s="76"/>
      <c r="T320" s="76"/>
      <c r="U320" s="76"/>
      <c r="V320" s="76"/>
      <c r="W320" s="76"/>
      <c r="X320" s="76"/>
      <c r="Y320" s="76"/>
      <c r="Z320" s="76"/>
      <c r="AA320" s="76"/>
      <c r="AB320" s="76"/>
      <c r="AC320" s="76"/>
      <c r="AD320" s="76"/>
      <c r="AE320" s="76"/>
      <c r="AF320" s="76"/>
      <c r="AG320" s="76"/>
      <c r="AH320" s="76"/>
      <c r="AI320" s="76"/>
      <c r="AJ320" s="76"/>
      <c r="AK320" s="76"/>
      <c r="AL320" s="76"/>
      <c r="AM320" s="76"/>
      <c r="AN320" s="76"/>
      <c r="AO320" s="76"/>
      <c r="AP320" s="76"/>
      <c r="AQ320" s="76"/>
      <c r="AR320" s="76"/>
      <c r="AS320" s="76"/>
    </row>
    <row r="321" spans="1:45" hidden="1" outlineLevel="1" x14ac:dyDescent="0.25">
      <c r="A321" s="76"/>
      <c r="B321" s="76"/>
      <c r="C321" s="76">
        <f t="shared" si="44"/>
        <v>0</v>
      </c>
      <c r="D321" s="77"/>
      <c r="E321" s="77"/>
      <c r="F321" s="77"/>
      <c r="G321" s="76"/>
      <c r="H321" s="76"/>
      <c r="I321" s="76"/>
      <c r="J321" s="76"/>
      <c r="K321" s="76"/>
      <c r="L321" s="76"/>
      <c r="M321" s="76"/>
      <c r="N321" s="76"/>
      <c r="O321" s="76"/>
      <c r="P321" s="76"/>
      <c r="Q321" s="76"/>
      <c r="R321" s="76"/>
      <c r="S321" s="76"/>
      <c r="T321" s="76"/>
      <c r="U321" s="76"/>
      <c r="V321" s="76"/>
      <c r="W321" s="76"/>
      <c r="X321" s="76"/>
      <c r="Y321" s="76"/>
      <c r="Z321" s="76"/>
      <c r="AA321" s="76"/>
      <c r="AB321" s="76"/>
      <c r="AC321" s="76"/>
      <c r="AD321" s="76"/>
      <c r="AE321" s="76"/>
      <c r="AF321" s="76"/>
      <c r="AG321" s="76"/>
      <c r="AH321" s="76"/>
      <c r="AI321" s="76"/>
      <c r="AJ321" s="76"/>
      <c r="AK321" s="76"/>
      <c r="AL321" s="76"/>
      <c r="AM321" s="76"/>
      <c r="AN321" s="76"/>
      <c r="AO321" s="76"/>
      <c r="AP321" s="76"/>
      <c r="AQ321" s="76"/>
      <c r="AR321" s="76"/>
      <c r="AS321" s="76"/>
    </row>
    <row r="322" spans="1:45" hidden="1" outlineLevel="1" x14ac:dyDescent="0.25">
      <c r="A322" s="78"/>
      <c r="B322" s="78"/>
      <c r="C322" s="78">
        <f t="shared" si="44"/>
        <v>0</v>
      </c>
      <c r="D322" s="79"/>
      <c r="E322" s="79"/>
      <c r="F322" s="79"/>
      <c r="G322" s="78"/>
      <c r="H322" s="78"/>
      <c r="I322" s="78"/>
      <c r="J322" s="78"/>
      <c r="K322" s="78"/>
      <c r="L322" s="78"/>
      <c r="M322" s="78"/>
      <c r="N322" s="78"/>
      <c r="O322" s="78"/>
      <c r="P322" s="78"/>
      <c r="Q322" s="78"/>
      <c r="R322" s="78"/>
      <c r="S322" s="78"/>
      <c r="T322" s="78"/>
      <c r="U322" s="78"/>
      <c r="V322" s="78"/>
      <c r="W322" s="78"/>
      <c r="X322" s="78"/>
      <c r="Y322" s="78"/>
      <c r="Z322" s="78"/>
      <c r="AA322" s="78"/>
      <c r="AB322" s="78"/>
      <c r="AC322" s="78"/>
      <c r="AD322" s="78"/>
      <c r="AE322" s="78"/>
      <c r="AF322" s="78"/>
      <c r="AG322" s="78"/>
      <c r="AH322" s="78"/>
      <c r="AI322" s="78"/>
      <c r="AJ322" s="78"/>
      <c r="AK322" s="78"/>
      <c r="AL322" s="78"/>
      <c r="AM322" s="78"/>
      <c r="AN322" s="78"/>
      <c r="AO322" s="78"/>
      <c r="AP322" s="78"/>
      <c r="AQ322" s="78"/>
      <c r="AR322" s="78"/>
      <c r="AS322" s="78"/>
    </row>
    <row r="323" spans="1:45" s="35" customFormat="1" collapsed="1" x14ac:dyDescent="0.25">
      <c r="A323" s="72">
        <f>A301-B323-C323</f>
        <v>77032.135454545438</v>
      </c>
      <c r="B323" s="72">
        <f>-rcpJun</f>
        <v>0</v>
      </c>
      <c r="C323" s="72">
        <f>SUBTOTAL(9,C302:C322)</f>
        <v>0</v>
      </c>
      <c r="D323" s="73"/>
      <c r="E323" s="73" t="s">
        <v>85</v>
      </c>
      <c r="F323" s="73"/>
      <c r="G323" s="72">
        <f t="shared" ref="G323:AS323" si="45">SUBTOTAL(9,G302:G322)</f>
        <v>0</v>
      </c>
      <c r="H323" s="72">
        <f t="shared" si="45"/>
        <v>0</v>
      </c>
      <c r="I323" s="72">
        <f t="shared" si="45"/>
        <v>0</v>
      </c>
      <c r="J323" s="72">
        <f t="shared" si="45"/>
        <v>0</v>
      </c>
      <c r="K323" s="72">
        <f t="shared" si="45"/>
        <v>0</v>
      </c>
      <c r="L323" s="72">
        <f t="shared" si="45"/>
        <v>0</v>
      </c>
      <c r="M323" s="72">
        <f t="shared" si="45"/>
        <v>0</v>
      </c>
      <c r="N323" s="72">
        <f t="shared" si="45"/>
        <v>0</v>
      </c>
      <c r="O323" s="72">
        <f t="shared" si="45"/>
        <v>0</v>
      </c>
      <c r="P323" s="72">
        <f t="shared" si="45"/>
        <v>0</v>
      </c>
      <c r="Q323" s="72">
        <f t="shared" si="45"/>
        <v>0</v>
      </c>
      <c r="R323" s="72">
        <f t="shared" si="45"/>
        <v>0</v>
      </c>
      <c r="S323" s="72">
        <f t="shared" si="45"/>
        <v>0</v>
      </c>
      <c r="T323" s="72">
        <f t="shared" si="45"/>
        <v>0</v>
      </c>
      <c r="U323" s="72">
        <f t="shared" si="45"/>
        <v>0</v>
      </c>
      <c r="V323" s="72">
        <f t="shared" ref="V323:W323" si="46">SUBTOTAL(9,V302:V322)</f>
        <v>0</v>
      </c>
      <c r="W323" s="72">
        <f t="shared" si="46"/>
        <v>0</v>
      </c>
      <c r="X323" s="72">
        <f t="shared" ref="X323:Z323" si="47">SUBTOTAL(9,X302:X322)</f>
        <v>0</v>
      </c>
      <c r="Y323" s="72">
        <f t="shared" si="45"/>
        <v>0</v>
      </c>
      <c r="Z323" s="72">
        <f t="shared" si="47"/>
        <v>0</v>
      </c>
      <c r="AA323" s="72">
        <f t="shared" si="45"/>
        <v>0</v>
      </c>
      <c r="AB323" s="72">
        <f t="shared" si="45"/>
        <v>0</v>
      </c>
      <c r="AC323" s="72">
        <f t="shared" si="45"/>
        <v>0</v>
      </c>
      <c r="AD323" s="72">
        <f>SUBTOTAL(9,AD302:AD322)</f>
        <v>0</v>
      </c>
      <c r="AE323" s="72">
        <f t="shared" si="45"/>
        <v>0</v>
      </c>
      <c r="AF323" s="72">
        <f t="shared" si="45"/>
        <v>0</v>
      </c>
      <c r="AG323" s="72">
        <f t="shared" si="45"/>
        <v>0</v>
      </c>
      <c r="AH323" s="72">
        <f>SUBTOTAL(9,AH302:AH322)</f>
        <v>0</v>
      </c>
      <c r="AI323" s="72">
        <f t="shared" ref="AI323:AJ323" si="48">SUBTOTAL(9,AI302:AI322)</f>
        <v>0</v>
      </c>
      <c r="AJ323" s="72">
        <f t="shared" si="48"/>
        <v>0</v>
      </c>
      <c r="AK323" s="72">
        <f t="shared" si="45"/>
        <v>0</v>
      </c>
      <c r="AL323" s="72">
        <f t="shared" si="45"/>
        <v>0</v>
      </c>
      <c r="AM323" s="72">
        <f t="shared" si="45"/>
        <v>0</v>
      </c>
      <c r="AN323" s="72">
        <f t="shared" si="45"/>
        <v>0</v>
      </c>
      <c r="AO323" s="72">
        <f t="shared" si="45"/>
        <v>0</v>
      </c>
      <c r="AP323" s="72">
        <f t="shared" si="45"/>
        <v>0</v>
      </c>
      <c r="AQ323" s="72">
        <f t="shared" si="45"/>
        <v>0</v>
      </c>
      <c r="AR323" s="72">
        <f t="shared" si="45"/>
        <v>0</v>
      </c>
      <c r="AS323" s="72">
        <f t="shared" si="45"/>
        <v>0</v>
      </c>
    </row>
    <row r="324" spans="1:45" s="35" customFormat="1" x14ac:dyDescent="0.25">
      <c r="A324" s="80"/>
      <c r="B324" s="44">
        <f>SUBTOTAL(9,B254:B323)</f>
        <v>0</v>
      </c>
      <c r="C324" s="44">
        <f>SUBTOTAL(9,C254:C323)</f>
        <v>0</v>
      </c>
      <c r="D324" s="82"/>
      <c r="E324" s="81" t="s">
        <v>86</v>
      </c>
      <c r="F324" s="82"/>
      <c r="G324" s="44">
        <f t="shared" ref="G324:AS324" si="49">SUBTOTAL(9,G254:G323)</f>
        <v>0</v>
      </c>
      <c r="H324" s="44">
        <f t="shared" si="49"/>
        <v>0</v>
      </c>
      <c r="I324" s="44">
        <f t="shared" si="49"/>
        <v>0</v>
      </c>
      <c r="J324" s="44">
        <f t="shared" si="49"/>
        <v>0</v>
      </c>
      <c r="K324" s="44">
        <f t="shared" si="49"/>
        <v>0</v>
      </c>
      <c r="L324" s="44">
        <f t="shared" si="49"/>
        <v>0</v>
      </c>
      <c r="M324" s="44">
        <f t="shared" si="49"/>
        <v>0</v>
      </c>
      <c r="N324" s="44">
        <f t="shared" si="49"/>
        <v>0</v>
      </c>
      <c r="O324" s="44">
        <f t="shared" si="49"/>
        <v>0</v>
      </c>
      <c r="P324" s="44">
        <f t="shared" si="49"/>
        <v>0</v>
      </c>
      <c r="Q324" s="44">
        <f t="shared" si="49"/>
        <v>0</v>
      </c>
      <c r="R324" s="44">
        <f t="shared" si="49"/>
        <v>0</v>
      </c>
      <c r="S324" s="44">
        <f t="shared" si="49"/>
        <v>0</v>
      </c>
      <c r="T324" s="44">
        <f t="shared" si="49"/>
        <v>0</v>
      </c>
      <c r="U324" s="44">
        <f t="shared" si="49"/>
        <v>0</v>
      </c>
      <c r="V324" s="44">
        <f t="shared" si="49"/>
        <v>0</v>
      </c>
      <c r="W324" s="44">
        <f t="shared" si="49"/>
        <v>0</v>
      </c>
      <c r="X324" s="44">
        <f t="shared" si="49"/>
        <v>0</v>
      </c>
      <c r="Y324" s="44">
        <f t="shared" si="49"/>
        <v>0</v>
      </c>
      <c r="Z324" s="44">
        <f t="shared" si="49"/>
        <v>0</v>
      </c>
      <c r="AA324" s="44">
        <f t="shared" si="49"/>
        <v>0</v>
      </c>
      <c r="AB324" s="44">
        <f t="shared" si="49"/>
        <v>0</v>
      </c>
      <c r="AC324" s="44">
        <f t="shared" si="49"/>
        <v>0</v>
      </c>
      <c r="AD324" s="44">
        <f t="shared" si="49"/>
        <v>0</v>
      </c>
      <c r="AE324" s="44">
        <f t="shared" si="49"/>
        <v>0</v>
      </c>
      <c r="AF324" s="44">
        <f t="shared" si="49"/>
        <v>0</v>
      </c>
      <c r="AG324" s="44">
        <f t="shared" si="49"/>
        <v>0</v>
      </c>
      <c r="AH324" s="44">
        <f t="shared" si="49"/>
        <v>0</v>
      </c>
      <c r="AI324" s="44">
        <f t="shared" si="49"/>
        <v>0</v>
      </c>
      <c r="AJ324" s="44">
        <f t="shared" si="49"/>
        <v>0</v>
      </c>
      <c r="AK324" s="44">
        <f t="shared" si="49"/>
        <v>0</v>
      </c>
      <c r="AL324" s="44">
        <f t="shared" si="49"/>
        <v>0</v>
      </c>
      <c r="AM324" s="44">
        <f t="shared" si="49"/>
        <v>0</v>
      </c>
      <c r="AN324" s="44">
        <f t="shared" si="49"/>
        <v>0</v>
      </c>
      <c r="AO324" s="44">
        <f t="shared" si="49"/>
        <v>0</v>
      </c>
      <c r="AP324" s="44">
        <f t="shared" si="49"/>
        <v>0</v>
      </c>
      <c r="AQ324" s="44">
        <f t="shared" si="49"/>
        <v>0</v>
      </c>
      <c r="AR324" s="44">
        <f t="shared" si="49"/>
        <v>0</v>
      </c>
      <c r="AS324" s="44">
        <f t="shared" si="49"/>
        <v>0</v>
      </c>
    </row>
    <row r="325" spans="1:45" ht="13.8" thickBot="1" x14ac:dyDescent="0.3">
      <c r="A325" s="85">
        <f>A3-B325-C325</f>
        <v>77032.135454545612</v>
      </c>
      <c r="B325" s="86">
        <f>SUBTOTAL(9,B5:B323)</f>
        <v>-356693.26</v>
      </c>
      <c r="C325" s="86">
        <f>SUBTOTAL(9,C5:C323)</f>
        <v>276442.63454545441</v>
      </c>
      <c r="D325" s="87" t="s">
        <v>87</v>
      </c>
      <c r="E325" s="87"/>
      <c r="F325" s="87"/>
      <c r="G325" s="86">
        <f t="shared" ref="G325:AJ325" si="50">SUBTOTAL(9,G5:G322)</f>
        <v>0</v>
      </c>
      <c r="H325" s="86">
        <f t="shared" si="50"/>
        <v>2706.2863636363631</v>
      </c>
      <c r="I325" s="86">
        <f t="shared" si="50"/>
        <v>0</v>
      </c>
      <c r="J325" s="86">
        <f t="shared" si="50"/>
        <v>4.55</v>
      </c>
      <c r="K325" s="86">
        <f t="shared" si="50"/>
        <v>0</v>
      </c>
      <c r="L325" s="86">
        <f t="shared" si="50"/>
        <v>36.74545454545455</v>
      </c>
      <c r="M325" s="86">
        <f t="shared" si="50"/>
        <v>7865.9063636363635</v>
      </c>
      <c r="N325" s="86">
        <f t="shared" si="50"/>
        <v>0</v>
      </c>
      <c r="O325" s="86">
        <f t="shared" si="50"/>
        <v>408.40999999999997</v>
      </c>
      <c r="P325" s="86">
        <f t="shared" si="50"/>
        <v>6874.3099999999995</v>
      </c>
      <c r="Q325" s="86">
        <f t="shared" si="50"/>
        <v>186.33999999999997</v>
      </c>
      <c r="R325" s="86">
        <f t="shared" si="50"/>
        <v>0</v>
      </c>
      <c r="S325" s="86">
        <f t="shared" si="50"/>
        <v>-3812.1200000000049</v>
      </c>
      <c r="T325" s="86">
        <f t="shared" si="50"/>
        <v>18572.989999999998</v>
      </c>
      <c r="U325" s="86">
        <f t="shared" si="50"/>
        <v>21900.720000000001</v>
      </c>
      <c r="V325" s="86">
        <f t="shared" si="50"/>
        <v>24081.41</v>
      </c>
      <c r="W325" s="86">
        <f t="shared" si="50"/>
        <v>21763.52</v>
      </c>
      <c r="X325" s="86">
        <f t="shared" si="50"/>
        <v>14451.97</v>
      </c>
      <c r="Y325" s="86">
        <f t="shared" si="50"/>
        <v>23587.769999999997</v>
      </c>
      <c r="Z325" s="86">
        <f t="shared" si="50"/>
        <v>18556.219999999998</v>
      </c>
      <c r="AA325" s="86">
        <f t="shared" si="50"/>
        <v>0</v>
      </c>
      <c r="AB325" s="86">
        <f t="shared" si="50"/>
        <v>16306.160000000002</v>
      </c>
      <c r="AC325" s="86">
        <f t="shared" si="50"/>
        <v>0</v>
      </c>
      <c r="AD325" s="86">
        <f t="shared" si="50"/>
        <v>4921</v>
      </c>
      <c r="AE325" s="86">
        <f t="shared" si="50"/>
        <v>0</v>
      </c>
      <c r="AF325" s="86">
        <f t="shared" si="50"/>
        <v>0</v>
      </c>
      <c r="AG325" s="86">
        <f t="shared" si="50"/>
        <v>0</v>
      </c>
      <c r="AH325" s="86">
        <f t="shared" si="50"/>
        <v>0</v>
      </c>
      <c r="AI325" s="86">
        <f t="shared" si="50"/>
        <v>0</v>
      </c>
      <c r="AJ325" s="86">
        <f t="shared" si="50"/>
        <v>0</v>
      </c>
      <c r="AK325" s="86">
        <f t="shared" ref="AK325:AS325" si="51">SUBTOTAL(9,AK5:AK322)</f>
        <v>0</v>
      </c>
      <c r="AL325" s="86">
        <f t="shared" si="51"/>
        <v>0</v>
      </c>
      <c r="AM325" s="86">
        <f t="shared" si="51"/>
        <v>0</v>
      </c>
      <c r="AN325" s="86">
        <f t="shared" si="51"/>
        <v>25338</v>
      </c>
      <c r="AO325" s="86">
        <f t="shared" si="51"/>
        <v>66678</v>
      </c>
      <c r="AP325" s="86">
        <f t="shared" si="51"/>
        <v>5600</v>
      </c>
      <c r="AQ325" s="86">
        <f t="shared" si="51"/>
        <v>0</v>
      </c>
      <c r="AR325" s="86">
        <f t="shared" si="51"/>
        <v>0</v>
      </c>
      <c r="AS325" s="86">
        <f t="shared" si="51"/>
        <v>414.44636363636363</v>
      </c>
    </row>
    <row r="326" spans="1:45" x14ac:dyDescent="0.25">
      <c r="B326" s="61"/>
      <c r="C326" s="61"/>
      <c r="D326" s="61"/>
      <c r="AA326" s="62" t="s">
        <v>88</v>
      </c>
      <c r="AB326" s="62" t="s">
        <v>88</v>
      </c>
    </row>
  </sheetData>
  <conditionalFormatting sqref="G324:U324 G253:U253 G174:U174 G90:U90 Y90 Y174 Y253 Y324 AA324:AH324 AA253:AH253 AA174:AH174 AA90:AH90 AK90:AS90 AK174:AS174 AK253:AS253 AK324:AS324">
    <cfRule type="cellIs" dxfId="99" priority="12" operator="greaterThanOrEqual">
      <formula>0</formula>
    </cfRule>
    <cfRule type="cellIs" dxfId="98" priority="13" operator="lessThan">
      <formula>0</formula>
    </cfRule>
  </conditionalFormatting>
  <conditionalFormatting sqref="V90 V174 V253 V324">
    <cfRule type="cellIs" dxfId="97" priority="10" operator="greaterThanOrEqual">
      <formula>0</formula>
    </cfRule>
    <cfRule type="cellIs" dxfId="96" priority="11" operator="lessThan">
      <formula>0</formula>
    </cfRule>
  </conditionalFormatting>
  <conditionalFormatting sqref="Z90 Z174 Z253 Z324">
    <cfRule type="cellIs" dxfId="95" priority="8" operator="greaterThanOrEqual">
      <formula>0</formula>
    </cfRule>
    <cfRule type="cellIs" dxfId="94" priority="9" operator="lessThan">
      <formula>0</formula>
    </cfRule>
  </conditionalFormatting>
  <conditionalFormatting sqref="AI90:AJ90 AI174:AJ174 AI253:AJ253 AI324:AJ324">
    <cfRule type="cellIs" dxfId="93" priority="5" operator="greaterThanOrEqual">
      <formula>0</formula>
    </cfRule>
    <cfRule type="cellIs" dxfId="92" priority="6" operator="lessThan">
      <formula>0</formula>
    </cfRule>
  </conditionalFormatting>
  <conditionalFormatting sqref="W90 W174 W253 W324">
    <cfRule type="cellIs" dxfId="91" priority="3" operator="greaterThanOrEqual">
      <formula>0</formula>
    </cfRule>
    <cfRule type="cellIs" dxfId="90" priority="4" operator="lessThan">
      <formula>0</formula>
    </cfRule>
  </conditionalFormatting>
  <conditionalFormatting sqref="X90 X174 X253 X324">
    <cfRule type="cellIs" dxfId="89" priority="1" operator="greaterThanOrEqual">
      <formula>0</formula>
    </cfRule>
    <cfRule type="cellIs" dxfId="88" priority="2" operator="lessThan">
      <formula>0</formula>
    </cfRule>
  </conditionalFormatting>
  <pageMargins left="0.75" right="0.75" top="1" bottom="1" header="0.51180555555555496" footer="0.51180555555555496"/>
  <pageSetup paperSize="9" firstPageNumber="0" orientation="portrait" horizontalDpi="300" verticalDpi="3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MK29"/>
  <sheetViews>
    <sheetView showZeros="0" zoomScale="95" zoomScaleNormal="95" workbookViewId="0">
      <selection activeCell="O7" sqref="O7"/>
    </sheetView>
  </sheetViews>
  <sheetFormatPr defaultRowHeight="13.2" x14ac:dyDescent="0.25"/>
  <cols>
    <col min="1" max="1" width="5" style="88"/>
    <col min="2" max="2" width="12.44140625" style="88"/>
    <col min="3" max="6" width="10.5546875" style="88"/>
    <col min="7" max="7" width="11.5546875" style="88"/>
    <col min="8" max="8" width="14.5546875" style="88"/>
    <col min="9" max="9" width="14.5546875" style="89"/>
    <col min="10" max="10" width="13.44140625" style="88"/>
    <col min="11" max="11" width="10.5546875" style="62"/>
    <col min="12" max="13" width="13.44140625" style="88"/>
    <col min="14" max="15" width="12.5546875" style="88"/>
    <col min="16" max="16" width="12.5546875" style="90"/>
    <col min="17" max="17" width="12.44140625" style="88"/>
    <col min="18" max="18" width="11.44140625" style="88"/>
    <col min="19" max="1025" width="11.5546875" style="88"/>
  </cols>
  <sheetData>
    <row r="1" spans="1:249" ht="20.399999999999999" x14ac:dyDescent="0.35">
      <c r="A1" s="4"/>
      <c r="B1" s="4" t="s">
        <v>688</v>
      </c>
      <c r="C1" s="4"/>
      <c r="D1" s="91"/>
      <c r="E1" s="91"/>
      <c r="F1" s="91"/>
      <c r="G1" s="92"/>
      <c r="H1" s="92"/>
      <c r="I1" s="92"/>
      <c r="J1" s="91"/>
      <c r="K1" s="93"/>
      <c r="L1" s="92"/>
      <c r="M1" s="92"/>
      <c r="N1" s="94"/>
      <c r="O1" s="95"/>
      <c r="P1" s="94"/>
      <c r="Q1" s="95"/>
      <c r="R1" s="95"/>
    </row>
    <row r="2" spans="1:249" s="102" customFormat="1" ht="13.8" x14ac:dyDescent="0.25">
      <c r="A2" s="96"/>
      <c r="B2" s="5" t="s">
        <v>8</v>
      </c>
      <c r="C2" s="5" t="s">
        <v>29</v>
      </c>
      <c r="D2" s="91" t="s">
        <v>43</v>
      </c>
      <c r="E2" s="91" t="s">
        <v>44</v>
      </c>
      <c r="F2" s="91" t="s">
        <v>89</v>
      </c>
      <c r="G2" s="97" t="s">
        <v>29</v>
      </c>
      <c r="H2" s="98" t="s">
        <v>90</v>
      </c>
      <c r="I2" s="99" t="s">
        <v>91</v>
      </c>
      <c r="J2" s="98" t="s">
        <v>92</v>
      </c>
      <c r="K2" s="93" t="s">
        <v>93</v>
      </c>
      <c r="L2" s="99" t="s">
        <v>94</v>
      </c>
      <c r="M2" s="97" t="s">
        <v>35</v>
      </c>
      <c r="N2" s="100" t="s">
        <v>95</v>
      </c>
      <c r="O2" s="101" t="s">
        <v>35</v>
      </c>
      <c r="P2" s="100" t="s">
        <v>95</v>
      </c>
      <c r="Q2" s="101"/>
      <c r="R2" s="101" t="s">
        <v>95</v>
      </c>
    </row>
    <row r="3" spans="1:249" ht="14.4" thickBot="1" x14ac:dyDescent="0.3">
      <c r="A3" s="103"/>
      <c r="B3" s="104" t="s">
        <v>96</v>
      </c>
      <c r="C3" s="104" t="s">
        <v>97</v>
      </c>
      <c r="D3" s="105" t="s">
        <v>98</v>
      </c>
      <c r="E3" s="105" t="s">
        <v>98</v>
      </c>
      <c r="F3" s="105" t="s">
        <v>99</v>
      </c>
      <c r="G3" s="106" t="s">
        <v>100</v>
      </c>
      <c r="H3" s="107" t="s">
        <v>101</v>
      </c>
      <c r="I3" s="108" t="s">
        <v>102</v>
      </c>
      <c r="J3" s="107" t="s">
        <v>103</v>
      </c>
      <c r="K3" s="109" t="s">
        <v>104</v>
      </c>
      <c r="L3" s="108"/>
      <c r="M3" s="106" t="s">
        <v>105</v>
      </c>
      <c r="N3" s="110" t="s">
        <v>105</v>
      </c>
      <c r="O3" s="111" t="s">
        <v>106</v>
      </c>
      <c r="P3" s="110" t="s">
        <v>106</v>
      </c>
      <c r="Q3" s="111" t="s">
        <v>685</v>
      </c>
      <c r="R3" s="111" t="s">
        <v>106</v>
      </c>
    </row>
    <row r="4" spans="1:249" s="119" customFormat="1" x14ac:dyDescent="0.25">
      <c r="A4" s="112"/>
      <c r="B4" s="334"/>
      <c r="C4" s="334"/>
      <c r="D4" s="334"/>
      <c r="E4" s="334"/>
      <c r="F4" s="79"/>
      <c r="G4" s="335"/>
      <c r="H4" s="114"/>
      <c r="I4" s="115"/>
      <c r="J4" s="114"/>
      <c r="K4" s="116"/>
      <c r="L4" s="115"/>
      <c r="M4" s="113"/>
      <c r="N4" s="117"/>
      <c r="O4" s="113"/>
      <c r="P4" s="117"/>
      <c r="Q4" s="113"/>
      <c r="R4" s="11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88"/>
      <c r="BJ4" s="88"/>
      <c r="BK4" s="88"/>
      <c r="BL4" s="88"/>
      <c r="BM4" s="88"/>
      <c r="BN4" s="88"/>
      <c r="BO4" s="88"/>
      <c r="BP4" s="88"/>
      <c r="BQ4" s="88"/>
      <c r="BR4" s="88"/>
      <c r="BS4" s="88"/>
      <c r="BT4" s="88"/>
      <c r="BU4" s="88"/>
      <c r="BV4" s="88"/>
      <c r="BW4" s="88"/>
      <c r="BX4" s="88"/>
      <c r="BY4" s="88"/>
      <c r="BZ4" s="88"/>
      <c r="CA4" s="88"/>
      <c r="CB4" s="88"/>
      <c r="CC4" s="88"/>
      <c r="CD4" s="88"/>
      <c r="CE4" s="88"/>
      <c r="CF4" s="88"/>
      <c r="CG4" s="88"/>
      <c r="CH4" s="88"/>
      <c r="CI4" s="88"/>
      <c r="CJ4" s="88"/>
      <c r="CK4" s="88"/>
      <c r="CL4" s="88"/>
      <c r="CM4" s="88"/>
      <c r="CN4" s="88"/>
      <c r="CO4" s="88"/>
      <c r="CP4" s="88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88"/>
      <c r="GE4" s="88"/>
      <c r="GF4" s="88"/>
      <c r="GG4" s="88"/>
      <c r="GH4" s="88"/>
      <c r="GI4" s="88"/>
      <c r="GJ4" s="88"/>
      <c r="GK4" s="88"/>
      <c r="GL4" s="88"/>
      <c r="GM4" s="88"/>
      <c r="GN4" s="88"/>
      <c r="GO4" s="88"/>
      <c r="GP4" s="88"/>
      <c r="GQ4" s="88"/>
      <c r="GR4" s="88"/>
      <c r="GS4" s="88"/>
      <c r="GT4" s="88"/>
      <c r="GU4" s="88"/>
      <c r="GV4" s="88"/>
      <c r="GW4" s="88"/>
      <c r="GX4" s="88"/>
      <c r="GY4" s="88"/>
      <c r="GZ4" s="88"/>
      <c r="HA4" s="88"/>
      <c r="HB4" s="88"/>
      <c r="HC4" s="88"/>
      <c r="HD4" s="88"/>
      <c r="HE4" s="88"/>
      <c r="HF4" s="88"/>
      <c r="HG4" s="88"/>
      <c r="HH4" s="88"/>
      <c r="HI4" s="88"/>
      <c r="HJ4" s="88"/>
      <c r="HK4" s="88"/>
      <c r="HL4" s="88"/>
      <c r="HM4" s="88"/>
      <c r="HN4" s="88"/>
      <c r="HO4" s="88"/>
      <c r="HP4" s="88"/>
      <c r="HQ4" s="88"/>
      <c r="HR4" s="88"/>
      <c r="HS4" s="88"/>
      <c r="HT4" s="88"/>
      <c r="HU4" s="88"/>
      <c r="HV4" s="88"/>
      <c r="HW4" s="88"/>
      <c r="HX4" s="88"/>
      <c r="HY4" s="88"/>
      <c r="HZ4" s="88"/>
      <c r="IA4" s="88"/>
      <c r="IB4" s="88"/>
      <c r="IC4" s="88"/>
      <c r="ID4" s="88"/>
      <c r="IE4" s="88"/>
      <c r="IF4" s="88"/>
      <c r="IG4" s="88"/>
      <c r="IH4" s="88"/>
      <c r="II4" s="88"/>
      <c r="IJ4" s="88"/>
      <c r="IK4" s="88"/>
      <c r="IL4" s="88"/>
      <c r="IM4" s="88"/>
      <c r="IN4" s="88"/>
      <c r="IO4" s="88"/>
    </row>
    <row r="5" spans="1:249" x14ac:dyDescent="0.25">
      <c r="A5" s="14" t="s">
        <v>107</v>
      </c>
      <c r="B5" s="336"/>
      <c r="C5" s="336"/>
      <c r="D5" s="336"/>
      <c r="E5" s="336"/>
      <c r="F5" s="336"/>
      <c r="G5" s="337">
        <f t="shared" ref="G5:G16" si="0">C5+F5</f>
        <v>0</v>
      </c>
      <c r="H5" s="385">
        <f ca="1">TRUNC(PAYG!Q3)</f>
        <v>72335</v>
      </c>
      <c r="I5" s="386">
        <f ca="1">PAYG!R3</f>
        <v>20230</v>
      </c>
      <c r="J5" s="339"/>
      <c r="K5" s="336"/>
      <c r="L5" s="338"/>
      <c r="M5" s="336">
        <f t="shared" ref="M5:M16" ca="1" si="1">G5+I5+L5</f>
        <v>20230</v>
      </c>
      <c r="N5" s="121"/>
      <c r="O5" s="345">
        <v>15203</v>
      </c>
      <c r="P5" s="122">
        <v>43713</v>
      </c>
      <c r="Q5" s="339"/>
      <c r="R5" s="122"/>
    </row>
    <row r="6" spans="1:249" x14ac:dyDescent="0.25">
      <c r="A6" s="14" t="s">
        <v>108</v>
      </c>
      <c r="B6" s="336"/>
      <c r="C6" s="336"/>
      <c r="D6" s="336"/>
      <c r="E6" s="336"/>
      <c r="F6" s="336"/>
      <c r="G6" s="337">
        <f t="shared" si="0"/>
        <v>0</v>
      </c>
      <c r="H6" s="387">
        <f ca="1">TRUNC(PAYG!Q4)</f>
        <v>68345</v>
      </c>
      <c r="I6" s="386">
        <f ca="1">PAYG!R4</f>
        <v>19614</v>
      </c>
      <c r="J6" s="339"/>
      <c r="K6" s="336"/>
      <c r="L6" s="338"/>
      <c r="M6" s="336">
        <f t="shared" ca="1" si="1"/>
        <v>19614</v>
      </c>
      <c r="N6" s="121"/>
      <c r="O6" s="339">
        <v>19614</v>
      </c>
      <c r="P6" s="122">
        <v>43742</v>
      </c>
      <c r="Q6" s="339">
        <f t="shared" ref="Q6:Q16" ca="1" si="2">M6-O6</f>
        <v>0</v>
      </c>
      <c r="R6" s="122"/>
      <c r="S6" s="390"/>
    </row>
    <row r="7" spans="1:249" x14ac:dyDescent="0.25">
      <c r="A7" s="23" t="s">
        <v>109</v>
      </c>
      <c r="B7" s="340">
        <f>rcpRcptQ1</f>
        <v>330403.25999999989</v>
      </c>
      <c r="C7" s="340">
        <f>TRUNC(rcpGstQ1,0)</f>
        <v>30036</v>
      </c>
      <c r="D7" s="340">
        <f>payCapGstQ1*11</f>
        <v>0</v>
      </c>
      <c r="E7" s="340">
        <f>payNonGstQ1*11</f>
        <v>28643.079999999994</v>
      </c>
      <c r="F7" s="340">
        <f>-TRUNC(payCapGstQ1+payNonGstQ1,0)</f>
        <v>-2603</v>
      </c>
      <c r="G7" s="341">
        <f t="shared" si="0"/>
        <v>27433</v>
      </c>
      <c r="H7" s="388">
        <f ca="1">TRUNC(PAYG!Q5)</f>
        <v>9510</v>
      </c>
      <c r="I7" s="389">
        <f ca="1">PAYG!R5</f>
        <v>2752</v>
      </c>
      <c r="J7" s="344">
        <f>rcpEarnQ1</f>
        <v>300366.54999999993</v>
      </c>
      <c r="K7" s="340"/>
      <c r="L7" s="343">
        <v>5600</v>
      </c>
      <c r="M7" s="340">
        <f t="shared" ca="1" si="1"/>
        <v>35785</v>
      </c>
      <c r="N7" s="124"/>
      <c r="O7" s="344"/>
      <c r="P7" s="125"/>
      <c r="Q7" s="344">
        <f t="shared" ca="1" si="2"/>
        <v>35785</v>
      </c>
      <c r="R7" s="125"/>
    </row>
    <row r="8" spans="1:249" x14ac:dyDescent="0.25">
      <c r="A8" s="14" t="s">
        <v>110</v>
      </c>
      <c r="B8" s="336"/>
      <c r="C8" s="336"/>
      <c r="D8" s="336"/>
      <c r="E8" s="336"/>
      <c r="F8" s="336"/>
      <c r="G8" s="337">
        <f t="shared" si="0"/>
        <v>0</v>
      </c>
      <c r="H8" s="385">
        <f ca="1">TRUNC(PAYG!Q7)</f>
        <v>0</v>
      </c>
      <c r="I8" s="386">
        <f ca="1">PAYG!R7</f>
        <v>0</v>
      </c>
      <c r="J8" s="339"/>
      <c r="K8" s="336"/>
      <c r="L8" s="337"/>
      <c r="M8" s="345">
        <f t="shared" ca="1" si="1"/>
        <v>0</v>
      </c>
      <c r="N8" s="121"/>
      <c r="O8" s="345"/>
      <c r="P8" s="122"/>
      <c r="Q8" s="345">
        <f t="shared" ca="1" si="2"/>
        <v>0</v>
      </c>
      <c r="R8" s="122"/>
      <c r="S8" s="390"/>
    </row>
    <row r="9" spans="1:249" x14ac:dyDescent="0.25">
      <c r="A9" s="14" t="s">
        <v>111</v>
      </c>
      <c r="B9" s="336"/>
      <c r="C9" s="336"/>
      <c r="D9" s="336"/>
      <c r="E9" s="336"/>
      <c r="F9" s="336"/>
      <c r="G9" s="337">
        <f t="shared" si="0"/>
        <v>0</v>
      </c>
      <c r="H9" s="387">
        <f ca="1">TRUNC(PAYG!Q8)</f>
        <v>0</v>
      </c>
      <c r="I9" s="386">
        <f ca="1">PAYG!R8</f>
        <v>0</v>
      </c>
      <c r="J9" s="339"/>
      <c r="K9" s="336"/>
      <c r="L9" s="337"/>
      <c r="M9" s="339">
        <f t="shared" ca="1" si="1"/>
        <v>0</v>
      </c>
      <c r="N9" s="121"/>
      <c r="O9" s="339"/>
      <c r="P9" s="122"/>
      <c r="Q9" s="339">
        <f t="shared" ca="1" si="2"/>
        <v>0</v>
      </c>
      <c r="R9" s="122"/>
      <c r="S9" s="391"/>
    </row>
    <row r="10" spans="1:249" s="127" customFormat="1" x14ac:dyDescent="0.25">
      <c r="A10" s="23" t="s">
        <v>112</v>
      </c>
      <c r="B10" s="340">
        <f>rcpRcptQ2</f>
        <v>26290</v>
      </c>
      <c r="C10" s="340">
        <f>TRUNC(rcpGstQ2,0)</f>
        <v>2390</v>
      </c>
      <c r="D10" s="340">
        <f>payCapGstQ2*11</f>
        <v>0</v>
      </c>
      <c r="E10" s="340">
        <f>payNonGstQ2*11</f>
        <v>1126.0699999999995</v>
      </c>
      <c r="F10" s="340">
        <f>-TRUNC(payCapGstQ2+payNonGstQ2,0)</f>
        <v>-102</v>
      </c>
      <c r="G10" s="341">
        <f t="shared" si="0"/>
        <v>2288</v>
      </c>
      <c r="H10" s="388">
        <f ca="1">TRUNC(PAYG!Q9)</f>
        <v>0</v>
      </c>
      <c r="I10" s="389">
        <f ca="1">PAYG!R9</f>
        <v>0</v>
      </c>
      <c r="J10" s="344">
        <f>rcpEarnQ2</f>
        <v>23900</v>
      </c>
      <c r="K10" s="340"/>
      <c r="L10" s="343">
        <v>5600</v>
      </c>
      <c r="M10" s="344">
        <f t="shared" ca="1" si="1"/>
        <v>7888</v>
      </c>
      <c r="N10" s="124"/>
      <c r="O10" s="344"/>
      <c r="P10" s="125"/>
      <c r="Q10" s="344">
        <f t="shared" ca="1" si="2"/>
        <v>7888</v>
      </c>
      <c r="R10" s="125"/>
      <c r="S10" s="126"/>
      <c r="T10" s="88"/>
      <c r="U10" s="88"/>
      <c r="V10" s="88"/>
      <c r="W10" s="88"/>
      <c r="X10" s="88"/>
      <c r="Y10" s="88"/>
      <c r="Z10" s="88"/>
      <c r="AA10" s="88"/>
      <c r="AB10" s="88"/>
      <c r="AC10" s="88"/>
      <c r="AD10" s="88"/>
      <c r="AE10" s="88"/>
      <c r="AF10" s="88"/>
      <c r="AG10" s="88"/>
      <c r="AH10" s="88"/>
      <c r="AI10" s="88"/>
      <c r="AJ10" s="88"/>
      <c r="AK10" s="88"/>
      <c r="AL10" s="88"/>
      <c r="AM10" s="88"/>
      <c r="AN10" s="88"/>
      <c r="AO10" s="88"/>
      <c r="AP10" s="88"/>
      <c r="AQ10" s="88"/>
      <c r="AR10" s="88"/>
      <c r="AS10" s="88"/>
      <c r="AT10" s="88"/>
      <c r="AU10" s="88"/>
      <c r="AV10" s="88"/>
      <c r="AW10" s="88"/>
      <c r="AX10" s="88"/>
      <c r="AY10" s="88"/>
      <c r="AZ10" s="88"/>
      <c r="BA10" s="88"/>
      <c r="BB10" s="88"/>
      <c r="BC10" s="88"/>
      <c r="BD10" s="88"/>
      <c r="BE10" s="88"/>
      <c r="BF10" s="88"/>
      <c r="BG10" s="88"/>
      <c r="BH10" s="88"/>
      <c r="BI10" s="88"/>
      <c r="BJ10" s="88"/>
      <c r="BK10" s="88"/>
      <c r="BL10" s="88"/>
      <c r="BM10" s="88"/>
      <c r="BN10" s="88"/>
      <c r="BO10" s="88"/>
      <c r="BP10" s="88"/>
      <c r="BQ10" s="88"/>
      <c r="BR10" s="88"/>
      <c r="BS10" s="88"/>
      <c r="BT10" s="88"/>
      <c r="BU10" s="88"/>
      <c r="BV10" s="88"/>
      <c r="BW10" s="88"/>
      <c r="BX10" s="88"/>
      <c r="BY10" s="88"/>
      <c r="BZ10" s="88"/>
      <c r="CA10" s="88"/>
      <c r="CB10" s="88"/>
      <c r="CC10" s="88"/>
      <c r="CD10" s="88"/>
      <c r="CE10" s="88"/>
      <c r="CF10" s="88"/>
      <c r="CG10" s="88"/>
      <c r="CH10" s="88"/>
      <c r="CI10" s="88"/>
      <c r="CJ10" s="88"/>
      <c r="CK10" s="88"/>
      <c r="CL10" s="88"/>
      <c r="CM10" s="88"/>
      <c r="CN10" s="88"/>
      <c r="CO10" s="88"/>
      <c r="CP10" s="88"/>
      <c r="CQ10" s="88"/>
      <c r="CR10" s="88"/>
      <c r="CS10" s="88"/>
      <c r="CT10" s="88"/>
      <c r="CU10" s="88"/>
      <c r="CV10" s="88"/>
      <c r="CW10" s="88"/>
      <c r="CX10" s="88"/>
      <c r="CY10" s="88"/>
      <c r="CZ10" s="88"/>
      <c r="DA10" s="88"/>
      <c r="DB10" s="88"/>
      <c r="DC10" s="88"/>
      <c r="DD10" s="88"/>
      <c r="DE10" s="88"/>
      <c r="DF10" s="88"/>
      <c r="DG10" s="88"/>
      <c r="DH10" s="88"/>
      <c r="DI10" s="88"/>
      <c r="DJ10" s="88"/>
      <c r="DK10" s="88"/>
      <c r="DL10" s="88"/>
      <c r="DM10" s="88"/>
      <c r="DN10" s="88"/>
      <c r="DO10" s="88"/>
      <c r="DP10" s="88"/>
      <c r="DQ10" s="88"/>
      <c r="DR10" s="88"/>
      <c r="DS10" s="88"/>
      <c r="DT10" s="88"/>
      <c r="DU10" s="88"/>
      <c r="DV10" s="88"/>
      <c r="DW10" s="88"/>
      <c r="DX10" s="88"/>
      <c r="DY10" s="88"/>
      <c r="DZ10" s="88"/>
      <c r="EA10" s="88"/>
      <c r="EB10" s="88"/>
      <c r="EC10" s="88"/>
      <c r="ED10" s="88"/>
      <c r="EE10" s="88"/>
      <c r="EF10" s="88"/>
      <c r="EG10" s="88"/>
      <c r="EH10" s="88"/>
      <c r="EI10" s="88"/>
      <c r="EJ10" s="88"/>
      <c r="EK10" s="88"/>
      <c r="EL10" s="88"/>
      <c r="EM10" s="88"/>
      <c r="EN10" s="88"/>
      <c r="EO10" s="88"/>
      <c r="EP10" s="88"/>
      <c r="EQ10" s="88"/>
      <c r="ER10" s="88"/>
      <c r="ES10" s="88"/>
      <c r="ET10" s="88"/>
      <c r="EU10" s="88"/>
      <c r="EV10" s="88"/>
      <c r="EW10" s="88"/>
      <c r="EX10" s="88"/>
      <c r="EY10" s="88"/>
      <c r="EZ10" s="88"/>
      <c r="FA10" s="88"/>
      <c r="FB10" s="88"/>
      <c r="FC10" s="88"/>
      <c r="FD10" s="88"/>
      <c r="FE10" s="88"/>
      <c r="FF10" s="88"/>
      <c r="FG10" s="88"/>
      <c r="FH10" s="88"/>
      <c r="FI10" s="88"/>
      <c r="FJ10" s="88"/>
      <c r="FK10" s="88"/>
      <c r="FL10" s="88"/>
      <c r="FM10" s="88"/>
      <c r="FN10" s="88"/>
      <c r="FO10" s="88"/>
      <c r="FP10" s="88"/>
      <c r="FQ10" s="88"/>
      <c r="FR10" s="88"/>
      <c r="FS10" s="88"/>
      <c r="FT10" s="88"/>
      <c r="FU10" s="88"/>
      <c r="FV10" s="88"/>
      <c r="FW10" s="88"/>
      <c r="FX10" s="88"/>
      <c r="FY10" s="88"/>
      <c r="FZ10" s="88"/>
      <c r="GA10" s="88"/>
      <c r="GB10" s="88"/>
      <c r="GC10" s="88"/>
      <c r="GD10" s="88"/>
      <c r="GE10" s="88"/>
      <c r="GF10" s="88"/>
      <c r="GG10" s="88"/>
      <c r="GH10" s="88"/>
      <c r="GI10" s="88"/>
      <c r="GJ10" s="88"/>
      <c r="GK10" s="88"/>
      <c r="GL10" s="88"/>
      <c r="GM10" s="88"/>
      <c r="GN10" s="88"/>
      <c r="GO10" s="88"/>
      <c r="GP10" s="88"/>
      <c r="GQ10" s="88"/>
      <c r="GR10" s="88"/>
      <c r="GS10" s="88"/>
      <c r="GT10" s="88"/>
      <c r="GU10" s="88"/>
      <c r="GV10" s="88"/>
      <c r="GW10" s="88"/>
      <c r="GX10" s="88"/>
      <c r="GY10" s="88"/>
      <c r="GZ10" s="88"/>
      <c r="HA10" s="88"/>
      <c r="HB10" s="88"/>
      <c r="HC10" s="88"/>
      <c r="HD10" s="88"/>
      <c r="HE10" s="88"/>
      <c r="HF10" s="88"/>
      <c r="HG10" s="88"/>
      <c r="HH10" s="88"/>
      <c r="HI10" s="88"/>
      <c r="HJ10" s="88"/>
      <c r="HK10" s="88"/>
      <c r="HL10" s="88"/>
      <c r="HM10" s="88"/>
      <c r="HN10" s="88"/>
      <c r="HO10" s="88"/>
      <c r="HP10" s="88"/>
      <c r="HQ10" s="88"/>
      <c r="HR10" s="88"/>
      <c r="HS10" s="88"/>
      <c r="HT10" s="88"/>
      <c r="HU10" s="88"/>
      <c r="HV10" s="88"/>
      <c r="HW10" s="88"/>
      <c r="HX10" s="88"/>
      <c r="HY10" s="88"/>
      <c r="HZ10" s="88"/>
      <c r="IA10" s="88"/>
      <c r="IB10" s="88"/>
      <c r="IC10" s="88"/>
      <c r="ID10" s="88"/>
      <c r="IE10" s="88"/>
      <c r="IF10" s="88"/>
      <c r="IG10" s="88"/>
      <c r="IH10" s="88"/>
      <c r="II10" s="88"/>
      <c r="IJ10" s="88"/>
      <c r="IK10" s="88"/>
      <c r="IL10" s="88"/>
      <c r="IM10" s="88"/>
      <c r="IN10" s="88"/>
      <c r="IO10" s="88"/>
    </row>
    <row r="11" spans="1:249" s="119" customFormat="1" x14ac:dyDescent="0.25">
      <c r="A11" s="14" t="s">
        <v>113</v>
      </c>
      <c r="B11" s="336"/>
      <c r="C11" s="336"/>
      <c r="D11" s="336"/>
      <c r="E11" s="336"/>
      <c r="F11" s="336"/>
      <c r="G11" s="337">
        <f t="shared" si="0"/>
        <v>0</v>
      </c>
      <c r="H11" s="385">
        <f ca="1">TRUNC(PAYG!Q11)</f>
        <v>0</v>
      </c>
      <c r="I11" s="386">
        <f ca="1">PAYG!R11</f>
        <v>0</v>
      </c>
      <c r="J11" s="339"/>
      <c r="K11" s="336"/>
      <c r="L11" s="337"/>
      <c r="M11" s="345">
        <f t="shared" ca="1" si="1"/>
        <v>0</v>
      </c>
      <c r="N11" s="121"/>
      <c r="O11" s="345"/>
      <c r="P11" s="122"/>
      <c r="Q11" s="345">
        <f t="shared" ca="1" si="2"/>
        <v>0</v>
      </c>
      <c r="R11" s="122"/>
      <c r="S11" s="88"/>
      <c r="T11" s="88"/>
      <c r="U11" s="88"/>
      <c r="V11" s="88"/>
      <c r="W11" s="88"/>
      <c r="X11" s="88"/>
      <c r="Y11" s="88"/>
      <c r="Z11" s="88"/>
      <c r="AA11" s="88"/>
      <c r="AB11" s="88"/>
      <c r="AC11" s="88"/>
      <c r="AD11" s="88"/>
      <c r="AE11" s="88"/>
      <c r="AF11" s="88"/>
      <c r="AG11" s="88"/>
      <c r="AH11" s="88"/>
      <c r="AI11" s="88"/>
      <c r="AJ11" s="88"/>
      <c r="AK11" s="88"/>
      <c r="AL11" s="88"/>
      <c r="AM11" s="88"/>
      <c r="AN11" s="88"/>
      <c r="AO11" s="88"/>
      <c r="AP11" s="88"/>
      <c r="AQ11" s="88"/>
      <c r="AR11" s="88"/>
      <c r="AS11" s="88"/>
      <c r="AT11" s="88"/>
      <c r="AU11" s="88"/>
      <c r="AV11" s="88"/>
      <c r="AW11" s="88"/>
      <c r="AX11" s="88"/>
      <c r="AY11" s="88"/>
      <c r="AZ11" s="88"/>
      <c r="BA11" s="88"/>
      <c r="BB11" s="88"/>
      <c r="BC11" s="88"/>
      <c r="BD11" s="88"/>
      <c r="BE11" s="88"/>
      <c r="BF11" s="88"/>
      <c r="BG11" s="88"/>
      <c r="BH11" s="88"/>
      <c r="BI11" s="88"/>
      <c r="BJ11" s="88"/>
      <c r="BK11" s="88"/>
      <c r="BL11" s="88"/>
      <c r="BM11" s="88"/>
      <c r="BN11" s="88"/>
      <c r="BO11" s="88"/>
      <c r="BP11" s="88"/>
      <c r="BQ11" s="88"/>
      <c r="BR11" s="88"/>
      <c r="BS11" s="88"/>
      <c r="BT11" s="88"/>
      <c r="BU11" s="88"/>
      <c r="BV11" s="88"/>
      <c r="BW11" s="88"/>
      <c r="BX11" s="88"/>
      <c r="BY11" s="88"/>
      <c r="BZ11" s="88"/>
      <c r="CA11" s="88"/>
      <c r="CB11" s="88"/>
      <c r="CC11" s="88"/>
      <c r="CD11" s="88"/>
      <c r="CE11" s="88"/>
      <c r="CF11" s="88"/>
      <c r="CG11" s="88"/>
      <c r="CH11" s="88"/>
      <c r="CI11" s="88"/>
      <c r="CJ11" s="88"/>
      <c r="CK11" s="88"/>
      <c r="CL11" s="88"/>
      <c r="CM11" s="88"/>
      <c r="CN11" s="88"/>
      <c r="CO11" s="88"/>
      <c r="CP11" s="88"/>
      <c r="CQ11" s="88"/>
      <c r="CR11" s="88"/>
      <c r="CS11" s="88"/>
      <c r="CT11" s="88"/>
      <c r="CU11" s="88"/>
      <c r="CV11" s="88"/>
      <c r="CW11" s="88"/>
      <c r="CX11" s="88"/>
      <c r="CY11" s="88"/>
      <c r="CZ11" s="88"/>
      <c r="DA11" s="88"/>
      <c r="DB11" s="88"/>
      <c r="DC11" s="88"/>
      <c r="DD11" s="88"/>
      <c r="DE11" s="88"/>
      <c r="DF11" s="88"/>
      <c r="DG11" s="88"/>
      <c r="DH11" s="88"/>
      <c r="DI11" s="88"/>
      <c r="DJ11" s="88"/>
      <c r="DK11" s="88"/>
      <c r="DL11" s="88"/>
      <c r="DM11" s="88"/>
      <c r="DN11" s="88"/>
      <c r="DO11" s="88"/>
      <c r="DP11" s="88"/>
      <c r="DQ11" s="88"/>
      <c r="DR11" s="88"/>
      <c r="DS11" s="88"/>
      <c r="DT11" s="88"/>
      <c r="DU11" s="88"/>
      <c r="DV11" s="88"/>
      <c r="DW11" s="88"/>
      <c r="DX11" s="88"/>
      <c r="DY11" s="88"/>
      <c r="DZ11" s="88"/>
      <c r="EA11" s="88"/>
      <c r="EB11" s="88"/>
      <c r="EC11" s="88"/>
      <c r="ED11" s="88"/>
      <c r="EE11" s="88"/>
      <c r="EF11" s="88"/>
      <c r="EG11" s="88"/>
      <c r="EH11" s="88"/>
      <c r="EI11" s="88"/>
      <c r="EJ11" s="88"/>
      <c r="EK11" s="88"/>
      <c r="EL11" s="88"/>
      <c r="EM11" s="88"/>
      <c r="EN11" s="88"/>
      <c r="EO11" s="88"/>
      <c r="EP11" s="88"/>
      <c r="EQ11" s="88"/>
      <c r="ER11" s="88"/>
      <c r="ES11" s="88"/>
      <c r="ET11" s="88"/>
      <c r="EU11" s="88"/>
      <c r="EV11" s="88"/>
      <c r="EW11" s="88"/>
      <c r="EX11" s="88"/>
      <c r="EY11" s="88"/>
      <c r="EZ11" s="88"/>
      <c r="FA11" s="88"/>
      <c r="FB11" s="88"/>
      <c r="FC11" s="88"/>
      <c r="FD11" s="88"/>
      <c r="FE11" s="88"/>
      <c r="FF11" s="88"/>
      <c r="FG11" s="88"/>
      <c r="FH11" s="88"/>
      <c r="FI11" s="88"/>
      <c r="FJ11" s="88"/>
      <c r="FK11" s="88"/>
      <c r="FL11" s="88"/>
      <c r="FM11" s="88"/>
      <c r="FN11" s="88"/>
      <c r="FO11" s="88"/>
      <c r="FP11" s="88"/>
      <c r="FQ11" s="88"/>
      <c r="FR11" s="88"/>
      <c r="FS11" s="88"/>
      <c r="FT11" s="88"/>
      <c r="FU11" s="88"/>
      <c r="FV11" s="88"/>
      <c r="FW11" s="88"/>
      <c r="FX11" s="88"/>
      <c r="FY11" s="88"/>
      <c r="FZ11" s="88"/>
      <c r="GA11" s="88"/>
      <c r="GB11" s="88"/>
      <c r="GC11" s="88"/>
      <c r="GD11" s="88"/>
      <c r="GE11" s="88"/>
      <c r="GF11" s="88"/>
      <c r="GG11" s="88"/>
      <c r="GH11" s="88"/>
      <c r="GI11" s="88"/>
      <c r="GJ11" s="88"/>
      <c r="GK11" s="88"/>
      <c r="GL11" s="88"/>
      <c r="GM11" s="88"/>
      <c r="GN11" s="88"/>
      <c r="GO11" s="88"/>
      <c r="GP11" s="88"/>
      <c r="GQ11" s="88"/>
      <c r="GR11" s="88"/>
      <c r="GS11" s="88"/>
      <c r="GT11" s="88"/>
      <c r="GU11" s="88"/>
      <c r="GV11" s="88"/>
      <c r="GW11" s="88"/>
      <c r="GX11" s="88"/>
      <c r="GY11" s="88"/>
      <c r="GZ11" s="88"/>
      <c r="HA11" s="88"/>
      <c r="HB11" s="88"/>
      <c r="HC11" s="88"/>
      <c r="HD11" s="88"/>
      <c r="HE11" s="88"/>
      <c r="HF11" s="88"/>
      <c r="HG11" s="88"/>
      <c r="HH11" s="88"/>
      <c r="HI11" s="88"/>
      <c r="HJ11" s="88"/>
      <c r="HK11" s="88"/>
      <c r="HL11" s="88"/>
      <c r="HM11" s="88"/>
      <c r="HN11" s="88"/>
      <c r="HO11" s="88"/>
      <c r="HP11" s="88"/>
      <c r="HQ11" s="88"/>
      <c r="HR11" s="88"/>
      <c r="HS11" s="88"/>
      <c r="HT11" s="88"/>
      <c r="HU11" s="88"/>
      <c r="HV11" s="88"/>
      <c r="HW11" s="88"/>
      <c r="HX11" s="88"/>
      <c r="HY11" s="88"/>
      <c r="HZ11" s="88"/>
      <c r="IA11" s="88"/>
      <c r="IB11" s="88"/>
      <c r="IC11" s="88"/>
      <c r="ID11" s="88"/>
      <c r="IE11" s="88"/>
      <c r="IF11" s="88"/>
      <c r="IG11" s="88"/>
      <c r="IH11" s="88"/>
      <c r="II11" s="88"/>
      <c r="IJ11" s="88"/>
      <c r="IK11" s="88"/>
      <c r="IL11" s="88"/>
      <c r="IM11" s="88"/>
      <c r="IN11" s="88"/>
      <c r="IO11" s="88"/>
    </row>
    <row r="12" spans="1:249" x14ac:dyDescent="0.25">
      <c r="A12" s="14" t="s">
        <v>114</v>
      </c>
      <c r="B12" s="336"/>
      <c r="C12" s="336"/>
      <c r="D12" s="336"/>
      <c r="E12" s="336"/>
      <c r="F12" s="336"/>
      <c r="G12" s="337">
        <f t="shared" si="0"/>
        <v>0</v>
      </c>
      <c r="H12" s="387">
        <f ca="1">TRUNC(PAYG!Q12)</f>
        <v>0</v>
      </c>
      <c r="I12" s="386">
        <f ca="1">PAYG!R12</f>
        <v>0</v>
      </c>
      <c r="J12" s="339"/>
      <c r="K12" s="336"/>
      <c r="L12" s="337"/>
      <c r="M12" s="339">
        <f t="shared" ca="1" si="1"/>
        <v>0</v>
      </c>
      <c r="N12" s="121"/>
      <c r="O12" s="339"/>
      <c r="P12" s="122"/>
      <c r="Q12" s="339">
        <f t="shared" ca="1" si="2"/>
        <v>0</v>
      </c>
      <c r="R12" s="122"/>
    </row>
    <row r="13" spans="1:249" s="127" customFormat="1" x14ac:dyDescent="0.25">
      <c r="A13" s="23" t="s">
        <v>115</v>
      </c>
      <c r="B13" s="340">
        <f>rcpRcptQ3</f>
        <v>0</v>
      </c>
      <c r="C13" s="340">
        <f>TRUNC(rcpGstQ3,0)</f>
        <v>0</v>
      </c>
      <c r="D13" s="340">
        <f>payCapGstQ3*11</f>
        <v>0</v>
      </c>
      <c r="E13" s="340">
        <f>payNonGstQ3*11</f>
        <v>0</v>
      </c>
      <c r="F13" s="340">
        <f>-TRUNC(payCapGstQ3+payNonGstQ3,0)</f>
        <v>0</v>
      </c>
      <c r="G13" s="341">
        <f t="shared" si="0"/>
        <v>0</v>
      </c>
      <c r="H13" s="388">
        <f ca="1">TRUNC(PAYG!Q13)</f>
        <v>0</v>
      </c>
      <c r="I13" s="389">
        <f ca="1">PAYG!R13</f>
        <v>0</v>
      </c>
      <c r="J13" s="344">
        <f>rcpEarnQ3</f>
        <v>0</v>
      </c>
      <c r="K13" s="340"/>
      <c r="L13" s="343">
        <v>5600</v>
      </c>
      <c r="M13" s="344">
        <f t="shared" ca="1" si="1"/>
        <v>5600</v>
      </c>
      <c r="N13" s="124"/>
      <c r="O13" s="344"/>
      <c r="P13" s="125"/>
      <c r="Q13" s="344">
        <f t="shared" ca="1" si="2"/>
        <v>5600</v>
      </c>
      <c r="R13" s="125"/>
      <c r="S13" s="102"/>
      <c r="T13" s="102"/>
      <c r="U13" s="102"/>
      <c r="V13" s="102"/>
      <c r="W13" s="102"/>
      <c r="X13" s="102"/>
      <c r="Y13" s="102"/>
      <c r="Z13" s="102"/>
      <c r="AA13" s="102"/>
      <c r="AB13" s="102"/>
      <c r="AC13" s="102"/>
      <c r="AD13" s="102"/>
      <c r="AE13" s="102"/>
      <c r="AF13" s="102"/>
      <c r="AG13" s="102"/>
      <c r="AH13" s="102"/>
      <c r="AI13" s="102"/>
      <c r="AJ13" s="102"/>
      <c r="AK13" s="102"/>
      <c r="AL13" s="102"/>
      <c r="AM13" s="102"/>
      <c r="AN13" s="102"/>
      <c r="AO13" s="102"/>
      <c r="AP13" s="102"/>
      <c r="AQ13" s="102"/>
      <c r="AR13" s="102"/>
      <c r="AS13" s="102"/>
      <c r="AT13" s="102"/>
      <c r="AU13" s="102"/>
      <c r="AV13" s="102"/>
      <c r="AW13" s="102"/>
      <c r="AX13" s="102"/>
      <c r="AY13" s="102"/>
      <c r="AZ13" s="102"/>
      <c r="BA13" s="102"/>
      <c r="BB13" s="102"/>
      <c r="BC13" s="102"/>
      <c r="BD13" s="102"/>
      <c r="BE13" s="102"/>
      <c r="BF13" s="102"/>
      <c r="BG13" s="102"/>
      <c r="BH13" s="102"/>
      <c r="BI13" s="102"/>
      <c r="BJ13" s="102"/>
      <c r="BK13" s="102"/>
      <c r="BL13" s="102"/>
      <c r="BM13" s="102"/>
      <c r="BN13" s="102"/>
      <c r="BO13" s="102"/>
      <c r="BP13" s="102"/>
      <c r="BQ13" s="102"/>
      <c r="BR13" s="102"/>
      <c r="BS13" s="102"/>
      <c r="BT13" s="102"/>
      <c r="BU13" s="102"/>
      <c r="BV13" s="102"/>
      <c r="BW13" s="102"/>
      <c r="BX13" s="102"/>
      <c r="BY13" s="102"/>
      <c r="BZ13" s="102"/>
      <c r="CA13" s="102"/>
      <c r="CB13" s="102"/>
      <c r="CC13" s="102"/>
      <c r="CD13" s="102"/>
      <c r="CE13" s="102"/>
      <c r="CF13" s="102"/>
      <c r="CG13" s="102"/>
      <c r="CH13" s="102"/>
      <c r="CI13" s="102"/>
      <c r="CJ13" s="102"/>
      <c r="CK13" s="102"/>
      <c r="CL13" s="102"/>
      <c r="CM13" s="102"/>
      <c r="CN13" s="102"/>
      <c r="CO13" s="102"/>
      <c r="CP13" s="102"/>
      <c r="CQ13" s="102"/>
      <c r="CR13" s="102"/>
      <c r="CS13" s="102"/>
      <c r="CT13" s="102"/>
      <c r="CU13" s="102"/>
      <c r="CV13" s="102"/>
      <c r="CW13" s="102"/>
      <c r="CX13" s="102"/>
      <c r="CY13" s="102"/>
      <c r="CZ13" s="102"/>
      <c r="DA13" s="102"/>
      <c r="DB13" s="102"/>
      <c r="DC13" s="102"/>
      <c r="DD13" s="102"/>
      <c r="DE13" s="102"/>
      <c r="DF13" s="102"/>
      <c r="DG13" s="102"/>
      <c r="DH13" s="102"/>
      <c r="DI13" s="102"/>
      <c r="DJ13" s="102"/>
      <c r="DK13" s="102"/>
      <c r="DL13" s="102"/>
      <c r="DM13" s="102"/>
      <c r="DN13" s="102"/>
      <c r="DO13" s="102"/>
      <c r="DP13" s="102"/>
      <c r="DQ13" s="102"/>
      <c r="DR13" s="102"/>
      <c r="DS13" s="102"/>
      <c r="DT13" s="102"/>
      <c r="DU13" s="102"/>
      <c r="DV13" s="102"/>
      <c r="DW13" s="102"/>
      <c r="DX13" s="102"/>
      <c r="DY13" s="102"/>
      <c r="DZ13" s="102"/>
      <c r="EA13" s="102"/>
      <c r="EB13" s="102"/>
      <c r="EC13" s="102"/>
      <c r="ED13" s="102"/>
      <c r="EE13" s="102"/>
      <c r="EF13" s="102"/>
      <c r="EG13" s="102"/>
      <c r="EH13" s="102"/>
      <c r="EI13" s="102"/>
      <c r="EJ13" s="102"/>
      <c r="EK13" s="102"/>
      <c r="EL13" s="102"/>
      <c r="EM13" s="102"/>
      <c r="EN13" s="102"/>
      <c r="EO13" s="102"/>
      <c r="EP13" s="102"/>
      <c r="EQ13" s="102"/>
      <c r="ER13" s="102"/>
      <c r="ES13" s="102"/>
      <c r="ET13" s="102"/>
      <c r="EU13" s="102"/>
      <c r="EV13" s="102"/>
      <c r="EW13" s="102"/>
      <c r="EX13" s="102"/>
      <c r="EY13" s="102"/>
      <c r="EZ13" s="102"/>
      <c r="FA13" s="102"/>
      <c r="FB13" s="102"/>
      <c r="FC13" s="102"/>
      <c r="FD13" s="102"/>
      <c r="FE13" s="102"/>
      <c r="FF13" s="102"/>
      <c r="FG13" s="102"/>
      <c r="FH13" s="102"/>
      <c r="FI13" s="102"/>
      <c r="FJ13" s="102"/>
      <c r="FK13" s="102"/>
      <c r="FL13" s="102"/>
      <c r="FM13" s="102"/>
      <c r="FN13" s="102"/>
      <c r="FO13" s="102"/>
      <c r="FP13" s="102"/>
      <c r="FQ13" s="102"/>
      <c r="FR13" s="102"/>
      <c r="FS13" s="102"/>
      <c r="FT13" s="102"/>
      <c r="FU13" s="102"/>
      <c r="FV13" s="102"/>
      <c r="FW13" s="102"/>
      <c r="FX13" s="102"/>
      <c r="FY13" s="102"/>
      <c r="FZ13" s="102"/>
      <c r="GA13" s="102"/>
      <c r="GB13" s="102"/>
      <c r="GC13" s="102"/>
      <c r="GD13" s="102"/>
      <c r="GE13" s="102"/>
      <c r="GF13" s="102"/>
      <c r="GG13" s="102"/>
      <c r="GH13" s="102"/>
      <c r="GI13" s="102"/>
      <c r="GJ13" s="102"/>
      <c r="GK13" s="102"/>
      <c r="GL13" s="102"/>
      <c r="GM13" s="102"/>
      <c r="GN13" s="102"/>
      <c r="GO13" s="102"/>
      <c r="GP13" s="102"/>
      <c r="GQ13" s="102"/>
      <c r="GR13" s="102"/>
      <c r="GS13" s="102"/>
      <c r="GT13" s="102"/>
      <c r="GU13" s="102"/>
      <c r="GV13" s="102"/>
      <c r="GW13" s="102"/>
      <c r="GX13" s="102"/>
      <c r="GY13" s="102"/>
      <c r="GZ13" s="102"/>
      <c r="HA13" s="102"/>
      <c r="HB13" s="102"/>
      <c r="HC13" s="102"/>
      <c r="HD13" s="102"/>
      <c r="HE13" s="102"/>
      <c r="HF13" s="102"/>
      <c r="HG13" s="102"/>
      <c r="HH13" s="102"/>
      <c r="HI13" s="102"/>
      <c r="HJ13" s="102"/>
      <c r="HK13" s="102"/>
      <c r="HL13" s="102"/>
      <c r="HM13" s="102"/>
      <c r="HN13" s="102"/>
      <c r="HO13" s="102"/>
      <c r="HP13" s="102"/>
      <c r="HQ13" s="102"/>
      <c r="HR13" s="102"/>
      <c r="HS13" s="102"/>
      <c r="HT13" s="102"/>
      <c r="HU13" s="102"/>
      <c r="HV13" s="102"/>
      <c r="HW13" s="102"/>
      <c r="HX13" s="102"/>
      <c r="HY13" s="102"/>
      <c r="HZ13" s="102"/>
      <c r="IA13" s="102"/>
      <c r="IB13" s="102"/>
      <c r="IC13" s="102"/>
      <c r="ID13" s="102"/>
      <c r="IE13" s="102"/>
      <c r="IF13" s="102"/>
      <c r="IG13" s="102"/>
      <c r="IH13" s="102"/>
      <c r="II13" s="102"/>
      <c r="IJ13" s="102"/>
      <c r="IK13" s="102"/>
      <c r="IL13" s="102"/>
      <c r="IM13" s="102"/>
      <c r="IN13" s="102"/>
      <c r="IO13" s="102"/>
    </row>
    <row r="14" spans="1:249" s="119" customFormat="1" x14ac:dyDescent="0.25">
      <c r="A14" s="14" t="s">
        <v>116</v>
      </c>
      <c r="B14" s="336"/>
      <c r="C14" s="336"/>
      <c r="D14" s="336"/>
      <c r="E14" s="336"/>
      <c r="F14" s="336"/>
      <c r="G14" s="337">
        <f t="shared" si="0"/>
        <v>0</v>
      </c>
      <c r="H14" s="385">
        <f ca="1">TRUNC(PAYG!Q15)</f>
        <v>0</v>
      </c>
      <c r="I14" s="386">
        <f ca="1">PAYG!R15</f>
        <v>0</v>
      </c>
      <c r="J14" s="339"/>
      <c r="K14" s="336"/>
      <c r="L14" s="337"/>
      <c r="M14" s="345">
        <f t="shared" ca="1" si="1"/>
        <v>0</v>
      </c>
      <c r="N14" s="121"/>
      <c r="O14" s="345"/>
      <c r="P14" s="122"/>
      <c r="Q14" s="345">
        <f t="shared" ca="1" si="2"/>
        <v>0</v>
      </c>
      <c r="R14" s="122"/>
      <c r="S14" s="102"/>
      <c r="T14" s="88"/>
      <c r="U14" s="88"/>
      <c r="V14" s="88"/>
      <c r="W14" s="88"/>
      <c r="X14" s="88"/>
      <c r="Y14" s="88"/>
      <c r="Z14" s="88"/>
      <c r="AA14" s="88"/>
      <c r="AB14" s="88"/>
      <c r="AC14" s="88"/>
      <c r="AD14" s="88"/>
      <c r="AE14" s="88"/>
      <c r="AF14" s="88"/>
      <c r="AG14" s="88"/>
      <c r="AH14" s="88"/>
      <c r="AI14" s="88"/>
      <c r="AJ14" s="88"/>
      <c r="AK14" s="88"/>
      <c r="AL14" s="88"/>
      <c r="AM14" s="88"/>
      <c r="AN14" s="88"/>
      <c r="AO14" s="88"/>
      <c r="AP14" s="88"/>
      <c r="AQ14" s="88"/>
      <c r="AR14" s="88"/>
      <c r="AS14" s="88"/>
      <c r="AT14" s="88"/>
      <c r="AU14" s="88"/>
      <c r="AV14" s="88"/>
      <c r="AW14" s="88"/>
      <c r="AX14" s="88"/>
      <c r="AY14" s="88"/>
      <c r="AZ14" s="88"/>
      <c r="BA14" s="88"/>
      <c r="BB14" s="88"/>
      <c r="BC14" s="88"/>
      <c r="BD14" s="88"/>
      <c r="BE14" s="88"/>
      <c r="BF14" s="88"/>
      <c r="BG14" s="88"/>
      <c r="BH14" s="88"/>
      <c r="BI14" s="88"/>
      <c r="BJ14" s="88"/>
      <c r="BK14" s="88"/>
      <c r="BL14" s="88"/>
      <c r="BM14" s="88"/>
      <c r="BN14" s="88"/>
      <c r="BO14" s="88"/>
      <c r="BP14" s="88"/>
      <c r="BQ14" s="88"/>
      <c r="BR14" s="88"/>
      <c r="BS14" s="88"/>
      <c r="BT14" s="88"/>
      <c r="BU14" s="88"/>
      <c r="BV14" s="88"/>
      <c r="BW14" s="88"/>
      <c r="BX14" s="88"/>
      <c r="BY14" s="88"/>
      <c r="BZ14" s="88"/>
      <c r="CA14" s="88"/>
      <c r="CB14" s="88"/>
      <c r="CC14" s="88"/>
      <c r="CD14" s="88"/>
      <c r="CE14" s="88"/>
      <c r="CF14" s="88"/>
      <c r="CG14" s="88"/>
      <c r="CH14" s="88"/>
      <c r="CI14" s="88"/>
      <c r="CJ14" s="88"/>
      <c r="CK14" s="88"/>
      <c r="CL14" s="88"/>
      <c r="CM14" s="88"/>
      <c r="CN14" s="88"/>
      <c r="CO14" s="88"/>
      <c r="CP14" s="88"/>
      <c r="CQ14" s="88"/>
      <c r="CR14" s="88"/>
      <c r="CS14" s="88"/>
      <c r="CT14" s="88"/>
      <c r="CU14" s="88"/>
      <c r="CV14" s="88"/>
      <c r="CW14" s="88"/>
      <c r="CX14" s="88"/>
      <c r="CY14" s="88"/>
      <c r="CZ14" s="88"/>
      <c r="DA14" s="88"/>
      <c r="DB14" s="88"/>
      <c r="DC14" s="88"/>
      <c r="DD14" s="88"/>
      <c r="DE14" s="88"/>
      <c r="DF14" s="88"/>
      <c r="DG14" s="88"/>
      <c r="DH14" s="88"/>
      <c r="DI14" s="88"/>
      <c r="DJ14" s="88"/>
      <c r="DK14" s="88"/>
      <c r="DL14" s="88"/>
      <c r="DM14" s="88"/>
      <c r="DN14" s="88"/>
      <c r="DO14" s="88"/>
      <c r="DP14" s="88"/>
      <c r="DQ14" s="88"/>
      <c r="DR14" s="88"/>
      <c r="DS14" s="88"/>
      <c r="DT14" s="88"/>
      <c r="DU14" s="88"/>
      <c r="DV14" s="88"/>
      <c r="DW14" s="88"/>
      <c r="DX14" s="88"/>
      <c r="DY14" s="88"/>
      <c r="DZ14" s="88"/>
      <c r="EA14" s="88"/>
      <c r="EB14" s="88"/>
      <c r="EC14" s="88"/>
      <c r="ED14" s="88"/>
      <c r="EE14" s="88"/>
      <c r="EF14" s="88"/>
      <c r="EG14" s="88"/>
      <c r="EH14" s="88"/>
      <c r="EI14" s="88"/>
      <c r="EJ14" s="88"/>
      <c r="EK14" s="88"/>
      <c r="EL14" s="88"/>
      <c r="EM14" s="88"/>
      <c r="EN14" s="88"/>
      <c r="EO14" s="88"/>
      <c r="EP14" s="88"/>
      <c r="EQ14" s="88"/>
      <c r="ER14" s="88"/>
      <c r="ES14" s="88"/>
      <c r="ET14" s="88"/>
      <c r="EU14" s="88"/>
      <c r="EV14" s="88"/>
      <c r="EW14" s="88"/>
      <c r="EX14" s="88"/>
      <c r="EY14" s="88"/>
      <c r="EZ14" s="88"/>
      <c r="FA14" s="88"/>
      <c r="FB14" s="88"/>
      <c r="FC14" s="88"/>
      <c r="FD14" s="88"/>
      <c r="FE14" s="88"/>
      <c r="FF14" s="88"/>
      <c r="FG14" s="88"/>
      <c r="FH14" s="88"/>
      <c r="FI14" s="88"/>
      <c r="FJ14" s="88"/>
      <c r="FK14" s="88"/>
      <c r="FL14" s="88"/>
      <c r="FM14" s="88"/>
      <c r="FN14" s="88"/>
      <c r="FO14" s="88"/>
      <c r="FP14" s="88"/>
      <c r="FQ14" s="88"/>
      <c r="FR14" s="88"/>
      <c r="FS14" s="88"/>
      <c r="FT14" s="88"/>
      <c r="FU14" s="88"/>
      <c r="FV14" s="88"/>
      <c r="FW14" s="88"/>
      <c r="FX14" s="88"/>
      <c r="FY14" s="88"/>
      <c r="FZ14" s="88"/>
      <c r="GA14" s="88"/>
      <c r="GB14" s="88"/>
      <c r="GC14" s="88"/>
      <c r="GD14" s="88"/>
      <c r="GE14" s="88"/>
      <c r="GF14" s="88"/>
      <c r="GG14" s="88"/>
      <c r="GH14" s="88"/>
      <c r="GI14" s="88"/>
      <c r="GJ14" s="88"/>
      <c r="GK14" s="88"/>
      <c r="GL14" s="88"/>
      <c r="GM14" s="88"/>
      <c r="GN14" s="88"/>
      <c r="GO14" s="88"/>
      <c r="GP14" s="88"/>
      <c r="GQ14" s="88"/>
      <c r="GR14" s="88"/>
      <c r="GS14" s="88"/>
      <c r="GT14" s="88"/>
      <c r="GU14" s="88"/>
      <c r="GV14" s="88"/>
      <c r="GW14" s="88"/>
      <c r="GX14" s="88"/>
      <c r="GY14" s="88"/>
      <c r="GZ14" s="88"/>
      <c r="HA14" s="88"/>
      <c r="HB14" s="88"/>
      <c r="HC14" s="88"/>
      <c r="HD14" s="88"/>
      <c r="HE14" s="88"/>
      <c r="HF14" s="88"/>
      <c r="HG14" s="88"/>
      <c r="HH14" s="88"/>
      <c r="HI14" s="88"/>
      <c r="HJ14" s="88"/>
      <c r="HK14" s="88"/>
      <c r="HL14" s="88"/>
      <c r="HM14" s="88"/>
      <c r="HN14" s="88"/>
      <c r="HO14" s="88"/>
      <c r="HP14" s="88"/>
      <c r="HQ14" s="88"/>
      <c r="HR14" s="88"/>
      <c r="HS14" s="88"/>
      <c r="HT14" s="88"/>
      <c r="HU14" s="88"/>
      <c r="HV14" s="88"/>
      <c r="HW14" s="88"/>
      <c r="HX14" s="88"/>
      <c r="HY14" s="88"/>
      <c r="HZ14" s="88"/>
      <c r="IA14" s="88"/>
      <c r="IB14" s="88"/>
      <c r="IC14" s="88"/>
      <c r="ID14" s="88"/>
      <c r="IE14" s="88"/>
      <c r="IF14" s="88"/>
      <c r="IG14" s="88"/>
      <c r="IH14" s="88"/>
      <c r="II14" s="88"/>
      <c r="IJ14" s="88"/>
      <c r="IK14" s="88"/>
      <c r="IL14" s="88"/>
      <c r="IM14" s="88"/>
      <c r="IN14" s="88"/>
      <c r="IO14" s="88"/>
    </row>
    <row r="15" spans="1:249" x14ac:dyDescent="0.25">
      <c r="A15" s="14" t="s">
        <v>117</v>
      </c>
      <c r="B15" s="336"/>
      <c r="C15" s="336"/>
      <c r="D15" s="336"/>
      <c r="E15" s="336"/>
      <c r="F15" s="336"/>
      <c r="G15" s="337">
        <f t="shared" si="0"/>
        <v>0</v>
      </c>
      <c r="H15" s="387">
        <f ca="1">TRUNC(PAYG!Q16)</f>
        <v>0</v>
      </c>
      <c r="I15" s="386">
        <f ca="1">PAYG!R16</f>
        <v>0</v>
      </c>
      <c r="J15" s="339"/>
      <c r="K15" s="336"/>
      <c r="L15" s="337"/>
      <c r="M15" s="339">
        <f t="shared" ca="1" si="1"/>
        <v>0</v>
      </c>
      <c r="N15" s="121"/>
      <c r="O15" s="339"/>
      <c r="P15" s="122"/>
      <c r="Q15" s="339">
        <f t="shared" ca="1" si="2"/>
        <v>0</v>
      </c>
      <c r="R15" s="122"/>
    </row>
    <row r="16" spans="1:249" s="127" customFormat="1" x14ac:dyDescent="0.25">
      <c r="A16" s="23" t="s">
        <v>118</v>
      </c>
      <c r="B16" s="336">
        <f>rcpRcptQ4</f>
        <v>0</v>
      </c>
      <c r="C16" s="336">
        <f>TRUNC(rcpGstQ4,0)</f>
        <v>0</v>
      </c>
      <c r="D16" s="336">
        <f>payCapGstQ4*11</f>
        <v>0</v>
      </c>
      <c r="E16" s="336">
        <f>payNonGstQ4*11</f>
        <v>0</v>
      </c>
      <c r="F16" s="340">
        <f>-TRUNC(payCapGstQ4+payNonGstQ4,0)</f>
        <v>0</v>
      </c>
      <c r="G16" s="337">
        <f t="shared" si="0"/>
        <v>0</v>
      </c>
      <c r="H16" s="388">
        <f ca="1">TRUNC(PAYG!Q17)</f>
        <v>0</v>
      </c>
      <c r="I16" s="389">
        <f ca="1">PAYG!R17</f>
        <v>0</v>
      </c>
      <c r="J16" s="339">
        <f>rcpEarnQ4</f>
        <v>0</v>
      </c>
      <c r="K16" s="340"/>
      <c r="L16" s="337"/>
      <c r="M16" s="344">
        <f t="shared" ca="1" si="1"/>
        <v>0</v>
      </c>
      <c r="N16" s="124"/>
      <c r="O16" s="344"/>
      <c r="P16" s="125"/>
      <c r="Q16" s="344">
        <f t="shared" ca="1" si="2"/>
        <v>0</v>
      </c>
      <c r="R16" s="125"/>
      <c r="S16" s="102"/>
      <c r="T16" s="102"/>
      <c r="U16" s="102"/>
      <c r="V16" s="102"/>
      <c r="W16" s="102"/>
      <c r="X16" s="102"/>
      <c r="Y16" s="102"/>
      <c r="Z16" s="102"/>
      <c r="AA16" s="102"/>
      <c r="AB16" s="102"/>
      <c r="AC16" s="102"/>
      <c r="AD16" s="102"/>
      <c r="AE16" s="102"/>
      <c r="AF16" s="102"/>
      <c r="AG16" s="102"/>
      <c r="AH16" s="102"/>
      <c r="AI16" s="102"/>
      <c r="AJ16" s="102"/>
      <c r="AK16" s="102"/>
      <c r="AL16" s="102"/>
      <c r="AM16" s="102"/>
      <c r="AN16" s="102"/>
      <c r="AO16" s="102"/>
      <c r="AP16" s="102"/>
      <c r="AQ16" s="102"/>
      <c r="AR16" s="102"/>
      <c r="AS16" s="102"/>
      <c r="AT16" s="102"/>
      <c r="AU16" s="102"/>
      <c r="AV16" s="102"/>
      <c r="AW16" s="102"/>
      <c r="AX16" s="102"/>
      <c r="AY16" s="102"/>
      <c r="AZ16" s="102"/>
      <c r="BA16" s="102"/>
      <c r="BB16" s="102"/>
      <c r="BC16" s="102"/>
      <c r="BD16" s="102"/>
      <c r="BE16" s="102"/>
      <c r="BF16" s="102"/>
      <c r="BG16" s="102"/>
      <c r="BH16" s="102"/>
      <c r="BI16" s="102"/>
      <c r="BJ16" s="102"/>
      <c r="BK16" s="102"/>
      <c r="BL16" s="102"/>
      <c r="BM16" s="102"/>
      <c r="BN16" s="102"/>
      <c r="BO16" s="102"/>
      <c r="BP16" s="102"/>
      <c r="BQ16" s="102"/>
      <c r="BR16" s="102"/>
      <c r="BS16" s="102"/>
      <c r="BT16" s="102"/>
      <c r="BU16" s="102"/>
      <c r="BV16" s="102"/>
      <c r="BW16" s="102"/>
      <c r="BX16" s="102"/>
      <c r="BY16" s="102"/>
      <c r="BZ16" s="102"/>
      <c r="CA16" s="102"/>
      <c r="CB16" s="102"/>
      <c r="CC16" s="102"/>
      <c r="CD16" s="102"/>
      <c r="CE16" s="102"/>
      <c r="CF16" s="102"/>
      <c r="CG16" s="102"/>
      <c r="CH16" s="102"/>
      <c r="CI16" s="102"/>
      <c r="CJ16" s="102"/>
      <c r="CK16" s="102"/>
      <c r="CL16" s="102"/>
      <c r="CM16" s="102"/>
      <c r="CN16" s="102"/>
      <c r="CO16" s="102"/>
      <c r="CP16" s="102"/>
      <c r="CQ16" s="102"/>
      <c r="CR16" s="102"/>
      <c r="CS16" s="102"/>
      <c r="CT16" s="102"/>
      <c r="CU16" s="102"/>
      <c r="CV16" s="102"/>
      <c r="CW16" s="102"/>
      <c r="CX16" s="102"/>
      <c r="CY16" s="102"/>
      <c r="CZ16" s="102"/>
      <c r="DA16" s="102"/>
      <c r="DB16" s="102"/>
      <c r="DC16" s="102"/>
      <c r="DD16" s="102"/>
      <c r="DE16" s="102"/>
      <c r="DF16" s="102"/>
      <c r="DG16" s="102"/>
      <c r="DH16" s="102"/>
      <c r="DI16" s="102"/>
      <c r="DJ16" s="102"/>
      <c r="DK16" s="102"/>
      <c r="DL16" s="102"/>
      <c r="DM16" s="102"/>
      <c r="DN16" s="102"/>
      <c r="DO16" s="102"/>
      <c r="DP16" s="102"/>
      <c r="DQ16" s="102"/>
      <c r="DR16" s="102"/>
      <c r="DS16" s="102"/>
      <c r="DT16" s="102"/>
      <c r="DU16" s="102"/>
      <c r="DV16" s="102"/>
      <c r="DW16" s="102"/>
      <c r="DX16" s="102"/>
      <c r="DY16" s="102"/>
      <c r="DZ16" s="102"/>
      <c r="EA16" s="102"/>
      <c r="EB16" s="102"/>
      <c r="EC16" s="102"/>
      <c r="ED16" s="102"/>
      <c r="EE16" s="102"/>
      <c r="EF16" s="102"/>
      <c r="EG16" s="102"/>
      <c r="EH16" s="102"/>
      <c r="EI16" s="102"/>
      <c r="EJ16" s="102"/>
      <c r="EK16" s="102"/>
      <c r="EL16" s="102"/>
      <c r="EM16" s="102"/>
      <c r="EN16" s="102"/>
      <c r="EO16" s="102"/>
      <c r="EP16" s="102"/>
      <c r="EQ16" s="102"/>
      <c r="ER16" s="102"/>
      <c r="ES16" s="102"/>
      <c r="ET16" s="102"/>
      <c r="EU16" s="102"/>
      <c r="EV16" s="102"/>
      <c r="EW16" s="102"/>
      <c r="EX16" s="102"/>
      <c r="EY16" s="102"/>
      <c r="EZ16" s="102"/>
      <c r="FA16" s="102"/>
      <c r="FB16" s="102"/>
      <c r="FC16" s="102"/>
      <c r="FD16" s="102"/>
      <c r="FE16" s="102"/>
      <c r="FF16" s="102"/>
      <c r="FG16" s="102"/>
      <c r="FH16" s="102"/>
      <c r="FI16" s="102"/>
      <c r="FJ16" s="102"/>
      <c r="FK16" s="102"/>
      <c r="FL16" s="102"/>
      <c r="FM16" s="102"/>
      <c r="FN16" s="102"/>
      <c r="FO16" s="102"/>
      <c r="FP16" s="102"/>
      <c r="FQ16" s="102"/>
      <c r="FR16" s="102"/>
      <c r="FS16" s="102"/>
      <c r="FT16" s="102"/>
      <c r="FU16" s="102"/>
      <c r="FV16" s="102"/>
      <c r="FW16" s="102"/>
      <c r="FX16" s="102"/>
      <c r="FY16" s="102"/>
      <c r="FZ16" s="102"/>
      <c r="GA16" s="102"/>
      <c r="GB16" s="102"/>
      <c r="GC16" s="102"/>
      <c r="GD16" s="102"/>
      <c r="GE16" s="102"/>
      <c r="GF16" s="102"/>
      <c r="GG16" s="102"/>
      <c r="GH16" s="102"/>
      <c r="GI16" s="102"/>
      <c r="GJ16" s="102"/>
      <c r="GK16" s="102"/>
      <c r="GL16" s="102"/>
      <c r="GM16" s="102"/>
      <c r="GN16" s="102"/>
      <c r="GO16" s="102"/>
      <c r="GP16" s="102"/>
      <c r="GQ16" s="102"/>
      <c r="GR16" s="102"/>
      <c r="GS16" s="102"/>
      <c r="GT16" s="102"/>
      <c r="GU16" s="102"/>
      <c r="GV16" s="102"/>
      <c r="GW16" s="102"/>
      <c r="GX16" s="102"/>
      <c r="GY16" s="102"/>
      <c r="GZ16" s="102"/>
      <c r="HA16" s="102"/>
      <c r="HB16" s="102"/>
      <c r="HC16" s="102"/>
      <c r="HD16" s="102"/>
      <c r="HE16" s="102"/>
      <c r="HF16" s="102"/>
      <c r="HG16" s="102"/>
      <c r="HH16" s="102"/>
      <c r="HI16" s="102"/>
      <c r="HJ16" s="102"/>
      <c r="HK16" s="102"/>
      <c r="HL16" s="102"/>
      <c r="HM16" s="102"/>
      <c r="HN16" s="102"/>
      <c r="HO16" s="102"/>
      <c r="HP16" s="102"/>
      <c r="HQ16" s="102"/>
      <c r="HR16" s="102"/>
      <c r="HS16" s="102"/>
      <c r="HT16" s="102"/>
      <c r="HU16" s="102"/>
      <c r="HV16" s="102"/>
      <c r="HW16" s="102"/>
      <c r="HX16" s="102"/>
      <c r="HY16" s="102"/>
      <c r="HZ16" s="102"/>
      <c r="IA16" s="102"/>
      <c r="IB16" s="102"/>
      <c r="IC16" s="102"/>
      <c r="ID16" s="102"/>
      <c r="IE16" s="102"/>
      <c r="IF16" s="102"/>
      <c r="IG16" s="102"/>
      <c r="IH16" s="102"/>
      <c r="II16" s="102"/>
      <c r="IJ16" s="102"/>
      <c r="IK16" s="102"/>
      <c r="IL16" s="102"/>
      <c r="IM16" s="102"/>
      <c r="IN16" s="102"/>
      <c r="IO16" s="102"/>
    </row>
    <row r="17" spans="1:18" s="135" customFormat="1" x14ac:dyDescent="0.25">
      <c r="A17" s="130" t="s">
        <v>119</v>
      </c>
      <c r="B17" s="346">
        <f t="shared" ref="B17:J17" si="3">SUM(B5:B16)</f>
        <v>356693.25999999989</v>
      </c>
      <c r="C17" s="346">
        <f t="shared" si="3"/>
        <v>32426</v>
      </c>
      <c r="D17" s="346">
        <f t="shared" si="3"/>
        <v>0</v>
      </c>
      <c r="E17" s="346">
        <f t="shared" si="3"/>
        <v>29769.149999999994</v>
      </c>
      <c r="F17" s="346">
        <f t="shared" si="3"/>
        <v>-2705</v>
      </c>
      <c r="G17" s="347">
        <f t="shared" si="3"/>
        <v>29721</v>
      </c>
      <c r="H17" s="342">
        <f t="shared" ca="1" si="3"/>
        <v>150190</v>
      </c>
      <c r="I17" s="347">
        <f t="shared" ca="1" si="3"/>
        <v>42596</v>
      </c>
      <c r="J17" s="348">
        <f t="shared" si="3"/>
        <v>324266.54999999993</v>
      </c>
      <c r="K17" s="346"/>
      <c r="L17" s="347">
        <f>SUM(L5:L16)</f>
        <v>16800</v>
      </c>
      <c r="M17" s="348">
        <f ca="1">SUM(M5:M16)-SUM(O5:O16)</f>
        <v>54300</v>
      </c>
      <c r="N17" s="133"/>
      <c r="O17" s="348"/>
      <c r="P17" s="134"/>
      <c r="Q17" s="348"/>
      <c r="R17" s="134"/>
    </row>
    <row r="29" spans="1:18" x14ac:dyDescent="0.25">
      <c r="D29" s="397"/>
    </row>
  </sheetData>
  <pageMargins left="0.75" right="0.75" top="1" bottom="1" header="0.51180555555555496" footer="0.51180555555555496"/>
  <pageSetup firstPageNumber="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N167"/>
  <sheetViews>
    <sheetView showZeros="0" zoomScaleNormal="100" workbookViewId="0">
      <pane ySplit="1" topLeftCell="A3" activePane="bottomLeft" state="frozen"/>
      <selection activeCell="D3" sqref="D3"/>
      <selection pane="bottomLeft" activeCell="G24" sqref="G24"/>
    </sheetView>
  </sheetViews>
  <sheetFormatPr defaultRowHeight="13.2" x14ac:dyDescent="0.25"/>
  <cols>
    <col min="1" max="1" width="11" style="356"/>
    <col min="2" max="2" width="11.5546875" style="328"/>
    <col min="3" max="4" width="17.44140625"/>
    <col min="5" max="5" width="9.5546875"/>
    <col min="6" max="11" width="11.5546875" style="62"/>
    <col min="12" max="12" width="13.44140625" customWidth="1"/>
    <col min="13" max="1025" width="11"/>
  </cols>
  <sheetData>
    <row r="1" spans="1:11" s="136" customFormat="1" x14ac:dyDescent="0.25">
      <c r="A1" s="354"/>
      <c r="B1" s="359"/>
      <c r="E1" s="136" t="s">
        <v>29</v>
      </c>
      <c r="F1" s="137" t="s">
        <v>30</v>
      </c>
      <c r="G1" s="137" t="s">
        <v>37</v>
      </c>
      <c r="H1" s="137" t="s">
        <v>48</v>
      </c>
      <c r="I1" s="137" t="s">
        <v>49</v>
      </c>
      <c r="J1" s="137"/>
      <c r="K1" s="137" t="s">
        <v>51</v>
      </c>
    </row>
    <row r="2" spans="1:11" s="35" customFormat="1" x14ac:dyDescent="0.25">
      <c r="A2" s="355" t="s">
        <v>11</v>
      </c>
      <c r="B2" s="328"/>
      <c r="D2" s="61">
        <f>SUM(D3:D10)</f>
        <v>174.96</v>
      </c>
      <c r="E2" s="61">
        <f>D2/11</f>
        <v>15.905454545454546</v>
      </c>
      <c r="F2" s="61">
        <f>SUM(F3:F10)/11*10</f>
        <v>0</v>
      </c>
      <c r="G2" s="61">
        <f t="shared" ref="G2:I2" si="0">SUM(G3:G10)/11*10</f>
        <v>154.5090909090909</v>
      </c>
      <c r="H2" s="61">
        <f t="shared" si="0"/>
        <v>0</v>
      </c>
      <c r="I2" s="61">
        <f t="shared" si="0"/>
        <v>4.545454545454545</v>
      </c>
      <c r="J2" s="61"/>
      <c r="K2" s="61"/>
    </row>
    <row r="3" spans="1:11" x14ac:dyDescent="0.25">
      <c r="B3" s="357">
        <v>43621</v>
      </c>
      <c r="C3" s="128" t="s">
        <v>743</v>
      </c>
      <c r="D3" s="128">
        <f>SUM(E3:K3)</f>
        <v>11.88</v>
      </c>
      <c r="E3" s="128"/>
      <c r="G3" s="62">
        <v>11.88</v>
      </c>
    </row>
    <row r="4" spans="1:11" x14ac:dyDescent="0.25">
      <c r="B4" s="357">
        <v>43621</v>
      </c>
      <c r="C4" s="128" t="s">
        <v>743</v>
      </c>
      <c r="D4" s="128">
        <f t="shared" ref="D4:D10" si="1">SUM(E4:K4)</f>
        <v>30.82</v>
      </c>
      <c r="E4" s="128"/>
      <c r="G4" s="62">
        <v>30.82</v>
      </c>
    </row>
    <row r="5" spans="1:11" x14ac:dyDescent="0.25">
      <c r="B5" s="357">
        <v>43625</v>
      </c>
      <c r="C5" s="128" t="s">
        <v>743</v>
      </c>
      <c r="D5" s="128">
        <f t="shared" si="1"/>
        <v>29.86</v>
      </c>
      <c r="E5" s="128"/>
      <c r="G5" s="62">
        <v>29.86</v>
      </c>
    </row>
    <row r="6" spans="1:11" x14ac:dyDescent="0.25">
      <c r="B6" s="330">
        <v>43626</v>
      </c>
      <c r="C6" s="128" t="s">
        <v>743</v>
      </c>
      <c r="D6" s="128">
        <f t="shared" si="1"/>
        <v>18.71</v>
      </c>
      <c r="E6" s="128"/>
      <c r="G6" s="62">
        <v>18.71</v>
      </c>
      <c r="J6" s="349"/>
    </row>
    <row r="7" spans="1:11" x14ac:dyDescent="0.25">
      <c r="B7" s="330">
        <v>43631</v>
      </c>
      <c r="C7" s="128" t="s">
        <v>743</v>
      </c>
      <c r="D7" s="128">
        <f t="shared" si="1"/>
        <v>10.96</v>
      </c>
      <c r="E7" s="128"/>
      <c r="G7" s="62">
        <v>10.96</v>
      </c>
    </row>
    <row r="8" spans="1:11" x14ac:dyDescent="0.25">
      <c r="B8" s="330">
        <v>43631</v>
      </c>
      <c r="C8" s="128" t="s">
        <v>744</v>
      </c>
      <c r="D8" s="128">
        <f t="shared" si="1"/>
        <v>24.99</v>
      </c>
      <c r="E8" s="128"/>
      <c r="G8" s="62">
        <v>24.99</v>
      </c>
    </row>
    <row r="9" spans="1:11" x14ac:dyDescent="0.25">
      <c r="B9" s="330">
        <v>43632</v>
      </c>
      <c r="C9" s="128" t="s">
        <v>743</v>
      </c>
      <c r="D9" s="128">
        <f t="shared" ref="D9" si="2">SUM(E9:K9)</f>
        <v>42.74</v>
      </c>
      <c r="G9" s="62">
        <v>42.74</v>
      </c>
    </row>
    <row r="10" spans="1:11" x14ac:dyDescent="0.25">
      <c r="B10" s="330">
        <v>43646</v>
      </c>
      <c r="C10" s="128" t="s">
        <v>745</v>
      </c>
      <c r="D10" s="128">
        <f t="shared" si="1"/>
        <v>5</v>
      </c>
      <c r="I10" s="62">
        <v>5</v>
      </c>
    </row>
    <row r="11" spans="1:11" x14ac:dyDescent="0.25">
      <c r="C11" s="128"/>
      <c r="D11" s="128">
        <f t="shared" ref="D11:D23" si="3">SUM(E11:K11)</f>
        <v>0</v>
      </c>
    </row>
    <row r="12" spans="1:11" x14ac:dyDescent="0.25">
      <c r="A12" s="357" t="s">
        <v>12</v>
      </c>
      <c r="B12" s="330"/>
      <c r="C12" s="35"/>
      <c r="D12" s="61">
        <f>SUM(D13:D20)</f>
        <v>168.10999999999999</v>
      </c>
      <c r="E12" s="61">
        <f>D12/11</f>
        <v>15.282727272727271</v>
      </c>
      <c r="F12" s="61">
        <f t="shared" ref="F12:G12" si="4">SUM(F13:F21)/11*10</f>
        <v>0</v>
      </c>
      <c r="G12" s="61">
        <f t="shared" si="4"/>
        <v>104.74545454545455</v>
      </c>
      <c r="H12" s="61">
        <f>SUM(H13:H21)/11*10</f>
        <v>36.74545454545455</v>
      </c>
      <c r="I12" s="61">
        <f>SUM(I13:I21)/11*10</f>
        <v>11.336363636363638</v>
      </c>
      <c r="J12" s="61"/>
      <c r="K12" s="61">
        <f>SUM(K13:K34)/11*10</f>
        <v>0</v>
      </c>
    </row>
    <row r="13" spans="1:11" x14ac:dyDescent="0.25">
      <c r="B13" s="330">
        <v>43647</v>
      </c>
      <c r="C13" s="128" t="s">
        <v>815</v>
      </c>
      <c r="D13" s="128">
        <f t="shared" ref="D13:D20" si="5">SUM(E13:K13)</f>
        <v>0.48</v>
      </c>
      <c r="I13" s="62">
        <v>0.48</v>
      </c>
      <c r="K13" s="128"/>
    </row>
    <row r="14" spans="1:11" x14ac:dyDescent="0.25">
      <c r="B14" s="330">
        <v>43648</v>
      </c>
      <c r="C14" s="128" t="s">
        <v>816</v>
      </c>
      <c r="D14" s="128">
        <f t="shared" si="5"/>
        <v>40.42</v>
      </c>
      <c r="H14" s="62">
        <v>40.42</v>
      </c>
    </row>
    <row r="15" spans="1:11" x14ac:dyDescent="0.25">
      <c r="B15" s="330">
        <v>43649</v>
      </c>
      <c r="C15" s="128" t="s">
        <v>817</v>
      </c>
      <c r="D15" s="128">
        <f t="shared" si="5"/>
        <v>6.99</v>
      </c>
      <c r="I15" s="62">
        <v>6.99</v>
      </c>
    </row>
    <row r="16" spans="1:11" x14ac:dyDescent="0.25">
      <c r="B16" s="330">
        <v>43653</v>
      </c>
      <c r="C16" s="128" t="s">
        <v>743</v>
      </c>
      <c r="D16" s="128">
        <f t="shared" si="5"/>
        <v>18.96</v>
      </c>
      <c r="G16" s="62">
        <v>18.96</v>
      </c>
      <c r="I16" s="128"/>
    </row>
    <row r="17" spans="1:11" x14ac:dyDescent="0.25">
      <c r="B17" s="330">
        <v>43653</v>
      </c>
      <c r="C17" s="128" t="s">
        <v>743</v>
      </c>
      <c r="D17" s="128">
        <f t="shared" si="5"/>
        <v>35.799999999999997</v>
      </c>
      <c r="G17" s="62">
        <v>35.799999999999997</v>
      </c>
      <c r="I17" s="128"/>
    </row>
    <row r="18" spans="1:11" x14ac:dyDescent="0.25">
      <c r="A18" s="357"/>
      <c r="B18" s="330">
        <v>43659</v>
      </c>
      <c r="C18" s="128" t="s">
        <v>743</v>
      </c>
      <c r="D18" s="128">
        <f t="shared" si="5"/>
        <v>34.520000000000003</v>
      </c>
      <c r="G18" s="62">
        <v>34.520000000000003</v>
      </c>
    </row>
    <row r="19" spans="1:11" x14ac:dyDescent="0.25">
      <c r="B19" s="330">
        <v>43677</v>
      </c>
      <c r="C19" s="128" t="s">
        <v>745</v>
      </c>
      <c r="D19" s="128">
        <f t="shared" si="5"/>
        <v>5</v>
      </c>
      <c r="I19" s="62">
        <v>5</v>
      </c>
    </row>
    <row r="20" spans="1:11" x14ac:dyDescent="0.25">
      <c r="B20" s="330">
        <v>43677</v>
      </c>
      <c r="C20" s="128" t="s">
        <v>818</v>
      </c>
      <c r="D20" s="128">
        <f t="shared" si="5"/>
        <v>25.94</v>
      </c>
      <c r="G20" s="62">
        <v>25.94</v>
      </c>
    </row>
    <row r="21" spans="1:11" x14ac:dyDescent="0.25">
      <c r="B21" s="330"/>
      <c r="C21" s="128"/>
      <c r="D21" s="128"/>
    </row>
    <row r="22" spans="1:11" x14ac:dyDescent="0.25">
      <c r="A22" s="358"/>
      <c r="B22" s="360"/>
      <c r="C22" s="331"/>
      <c r="D22" s="128">
        <f t="shared" si="3"/>
        <v>0</v>
      </c>
      <c r="E22" s="332"/>
      <c r="F22" s="333"/>
      <c r="G22" s="333"/>
      <c r="H22" s="333"/>
      <c r="I22" s="333"/>
    </row>
    <row r="23" spans="1:11" x14ac:dyDescent="0.25">
      <c r="C23" s="128"/>
      <c r="D23" s="128">
        <f t="shared" si="3"/>
        <v>0</v>
      </c>
    </row>
    <row r="24" spans="1:11" x14ac:dyDescent="0.25">
      <c r="A24" s="357" t="s">
        <v>13</v>
      </c>
      <c r="B24" s="330"/>
      <c r="C24" s="128"/>
      <c r="D24" s="61">
        <f>SUM(D25:D32)</f>
        <v>175.70999999999998</v>
      </c>
      <c r="E24" s="61">
        <f>D24/11</f>
        <v>15.973636363636361</v>
      </c>
      <c r="F24" s="61">
        <f>SUM(F25:F31)/11*10</f>
        <v>0</v>
      </c>
      <c r="G24" s="61">
        <f t="shared" ref="G24:I24" si="6">SUM(G25:G31)/11*10</f>
        <v>155.19090909090909</v>
      </c>
      <c r="H24" s="61">
        <f t="shared" si="6"/>
        <v>0</v>
      </c>
      <c r="I24" s="61">
        <f t="shared" si="6"/>
        <v>4.545454545454545</v>
      </c>
      <c r="J24" s="61"/>
      <c r="K24" s="61">
        <f>SUM(K25:K47)/11*10</f>
        <v>0</v>
      </c>
    </row>
    <row r="25" spans="1:11" x14ac:dyDescent="0.25">
      <c r="B25" s="330">
        <v>43680</v>
      </c>
      <c r="C25" s="22" t="s">
        <v>818</v>
      </c>
      <c r="D25" s="128">
        <f t="shared" ref="D25:D31" si="7">SUM(E25:K25)</f>
        <v>21.11</v>
      </c>
      <c r="G25" s="62">
        <v>21.11</v>
      </c>
    </row>
    <row r="26" spans="1:11" x14ac:dyDescent="0.25">
      <c r="B26" s="330">
        <v>43687</v>
      </c>
      <c r="C26" t="s">
        <v>743</v>
      </c>
      <c r="D26" s="128">
        <f t="shared" si="7"/>
        <v>19.7</v>
      </c>
      <c r="G26" s="62">
        <v>19.7</v>
      </c>
    </row>
    <row r="27" spans="1:11" x14ac:dyDescent="0.25">
      <c r="A27" s="355"/>
      <c r="B27" s="330">
        <v>43691</v>
      </c>
      <c r="C27" s="328" t="s">
        <v>818</v>
      </c>
      <c r="D27" s="128">
        <f t="shared" si="7"/>
        <v>44.31</v>
      </c>
      <c r="E27" s="61"/>
      <c r="F27" s="61"/>
      <c r="G27" s="349">
        <v>44.31</v>
      </c>
      <c r="H27" s="61"/>
      <c r="I27" s="61"/>
    </row>
    <row r="28" spans="1:11" x14ac:dyDescent="0.25">
      <c r="B28" s="330">
        <v>43701</v>
      </c>
      <c r="C28" s="22" t="s">
        <v>743</v>
      </c>
      <c r="D28" s="128">
        <f t="shared" si="7"/>
        <v>34.08</v>
      </c>
      <c r="G28" s="62">
        <v>34.08</v>
      </c>
    </row>
    <row r="29" spans="1:11" x14ac:dyDescent="0.25">
      <c r="B29" s="330">
        <v>43701</v>
      </c>
      <c r="C29" s="22" t="s">
        <v>885</v>
      </c>
      <c r="D29" s="128">
        <f t="shared" si="7"/>
        <v>20.37</v>
      </c>
      <c r="G29" s="62">
        <v>20.37</v>
      </c>
    </row>
    <row r="30" spans="1:11" x14ac:dyDescent="0.25">
      <c r="B30" s="330">
        <v>43708</v>
      </c>
      <c r="C30" s="22" t="s">
        <v>743</v>
      </c>
      <c r="D30" s="128">
        <f t="shared" si="7"/>
        <v>31.14</v>
      </c>
      <c r="G30" s="62">
        <v>31.14</v>
      </c>
    </row>
    <row r="31" spans="1:11" x14ac:dyDescent="0.25">
      <c r="B31" s="330">
        <v>43708</v>
      </c>
      <c r="C31" s="22" t="s">
        <v>745</v>
      </c>
      <c r="D31" s="128">
        <f t="shared" si="7"/>
        <v>5</v>
      </c>
      <c r="I31" s="128">
        <v>5</v>
      </c>
    </row>
    <row r="32" spans="1:11" x14ac:dyDescent="0.25">
      <c r="B32" s="330"/>
      <c r="C32" s="22"/>
      <c r="D32" s="128">
        <f t="shared" ref="D32:D33" si="8">SUM(E32:K32)</f>
        <v>0</v>
      </c>
      <c r="I32" s="128"/>
    </row>
    <row r="33" spans="1:11" x14ac:dyDescent="0.25">
      <c r="B33" s="330"/>
      <c r="C33" s="22"/>
      <c r="D33" s="128">
        <f t="shared" si="8"/>
        <v>0</v>
      </c>
    </row>
    <row r="34" spans="1:11" x14ac:dyDescent="0.25">
      <c r="A34" s="356" t="s">
        <v>15</v>
      </c>
      <c r="C34" s="35"/>
      <c r="D34" s="61">
        <f>SUM(D35:D43)</f>
        <v>0</v>
      </c>
      <c r="E34" s="61">
        <f>D34/11</f>
        <v>0</v>
      </c>
      <c r="F34" s="61">
        <f t="shared" ref="F34:G34" si="9">SUM(F35:F43)/11*10</f>
        <v>0</v>
      </c>
      <c r="G34" s="61">
        <f t="shared" si="9"/>
        <v>0</v>
      </c>
      <c r="H34" s="61">
        <f>SUM(H35:H43)/11*10</f>
        <v>0</v>
      </c>
      <c r="I34" s="61">
        <f>SUM(I35:I43)/11*10</f>
        <v>0</v>
      </c>
      <c r="J34" s="61"/>
      <c r="K34" s="61">
        <f>SUM(K35:K57)/11*10</f>
        <v>0</v>
      </c>
    </row>
    <row r="35" spans="1:11" x14ac:dyDescent="0.25">
      <c r="B35" s="330"/>
      <c r="C35" s="22"/>
      <c r="D35" s="128"/>
    </row>
    <row r="36" spans="1:11" x14ac:dyDescent="0.25">
      <c r="B36" s="330"/>
      <c r="C36" s="22"/>
      <c r="D36" s="128"/>
      <c r="I36" s="128"/>
    </row>
    <row r="37" spans="1:11" x14ac:dyDescent="0.25">
      <c r="B37" s="330"/>
      <c r="C37" s="22"/>
      <c r="D37" s="128"/>
      <c r="I37" s="128"/>
    </row>
    <row r="38" spans="1:11" x14ac:dyDescent="0.25">
      <c r="B38" s="330"/>
      <c r="C38" s="22"/>
      <c r="D38" s="128"/>
    </row>
    <row r="39" spans="1:11" x14ac:dyDescent="0.25">
      <c r="B39" s="330"/>
      <c r="C39" s="22"/>
      <c r="D39" s="128"/>
    </row>
    <row r="40" spans="1:11" x14ac:dyDescent="0.25">
      <c r="B40" s="330"/>
      <c r="C40" s="22"/>
      <c r="D40" s="128"/>
    </row>
    <row r="41" spans="1:11" x14ac:dyDescent="0.25">
      <c r="B41" s="330"/>
      <c r="C41" s="22"/>
      <c r="D41" s="128"/>
    </row>
    <row r="42" spans="1:11" x14ac:dyDescent="0.25">
      <c r="B42" s="330"/>
      <c r="D42" s="128"/>
    </row>
    <row r="43" spans="1:11" s="328" customFormat="1" x14ac:dyDescent="0.25">
      <c r="A43" s="357"/>
      <c r="B43" s="330"/>
      <c r="D43" s="128"/>
      <c r="E43" s="349"/>
      <c r="F43" s="349"/>
      <c r="G43" s="349"/>
      <c r="H43" s="349"/>
      <c r="I43" s="349"/>
      <c r="J43" s="349"/>
      <c r="K43" s="349">
        <f>SUM(K45:K95)</f>
        <v>0</v>
      </c>
    </row>
    <row r="44" spans="1:11" s="328" customFormat="1" x14ac:dyDescent="0.25">
      <c r="A44" s="357"/>
      <c r="B44" s="330"/>
      <c r="D44" s="128"/>
      <c r="E44" s="349"/>
      <c r="F44" s="349"/>
      <c r="G44" s="349"/>
      <c r="H44" s="349"/>
      <c r="I44" s="349"/>
      <c r="J44" s="349"/>
      <c r="K44" s="349"/>
    </row>
    <row r="45" spans="1:11" x14ac:dyDescent="0.25">
      <c r="A45" s="356" t="s">
        <v>16</v>
      </c>
      <c r="B45" s="330"/>
      <c r="D45" s="61">
        <f>SUM(D46:D54)</f>
        <v>0</v>
      </c>
      <c r="E45" s="61">
        <f>D45/11</f>
        <v>0</v>
      </c>
      <c r="F45" s="61">
        <f t="shared" ref="F45:G45" si="10">SUM(F46:F54)/11*10</f>
        <v>0</v>
      </c>
      <c r="G45" s="61">
        <f t="shared" si="10"/>
        <v>0</v>
      </c>
      <c r="H45" s="61">
        <f>SUM(H46:H54)/11*10</f>
        <v>0</v>
      </c>
      <c r="I45" s="61">
        <f>SUM(I46:I54)/11*10</f>
        <v>0</v>
      </c>
      <c r="J45" s="61"/>
      <c r="K45" s="61">
        <f>SUM(K46:K67)/11*10</f>
        <v>0</v>
      </c>
    </row>
    <row r="46" spans="1:11" x14ac:dyDescent="0.25">
      <c r="B46" s="330"/>
      <c r="D46" s="128"/>
    </row>
    <row r="47" spans="1:11" x14ac:dyDescent="0.25">
      <c r="B47" s="330"/>
      <c r="D47" s="128"/>
    </row>
    <row r="48" spans="1:11" x14ac:dyDescent="0.25">
      <c r="B48" s="330"/>
      <c r="C48" s="22"/>
      <c r="D48" s="128"/>
      <c r="K48" s="128"/>
    </row>
    <row r="49" spans="1:12" x14ac:dyDescent="0.25">
      <c r="B49" s="330"/>
      <c r="C49" s="22"/>
      <c r="D49" s="128"/>
    </row>
    <row r="50" spans="1:12" x14ac:dyDescent="0.25">
      <c r="B50" s="330"/>
      <c r="C50" s="22"/>
      <c r="D50" s="128"/>
    </row>
    <row r="51" spans="1:12" x14ac:dyDescent="0.25">
      <c r="A51" s="357" t="s">
        <v>17</v>
      </c>
      <c r="B51" s="330"/>
      <c r="D51" s="61">
        <f>SUM(D52:D56)</f>
        <v>0</v>
      </c>
      <c r="E51" s="61">
        <f>D51/11</f>
        <v>0</v>
      </c>
      <c r="F51" s="61">
        <f>SUM(F52:F56)/11*10</f>
        <v>0</v>
      </c>
      <c r="G51" s="61">
        <f>SUM(G52:G56)/11*10</f>
        <v>0</v>
      </c>
      <c r="H51" s="61">
        <f>SUM(H52:H56)/11*10</f>
        <v>0</v>
      </c>
      <c r="I51" s="61">
        <f>SUM(I52:I56)/11*10</f>
        <v>0</v>
      </c>
      <c r="J51" s="61"/>
      <c r="K51" s="61">
        <f>SUM(K52:K56)/11*10</f>
        <v>0</v>
      </c>
    </row>
    <row r="52" spans="1:12" x14ac:dyDescent="0.25">
      <c r="B52" s="330"/>
      <c r="C52" s="22"/>
      <c r="D52" s="128"/>
    </row>
    <row r="53" spans="1:12" x14ac:dyDescent="0.25">
      <c r="B53" s="330"/>
      <c r="C53" s="22"/>
      <c r="D53" s="128"/>
      <c r="K53" s="128"/>
    </row>
    <row r="54" spans="1:12" x14ac:dyDescent="0.25">
      <c r="B54" s="330"/>
      <c r="C54" s="22"/>
      <c r="D54" s="128"/>
      <c r="L54" s="328"/>
    </row>
    <row r="55" spans="1:12" x14ac:dyDescent="0.25">
      <c r="B55" s="330"/>
      <c r="C55" s="22"/>
      <c r="D55" s="128"/>
    </row>
    <row r="56" spans="1:12" x14ac:dyDescent="0.25">
      <c r="B56" s="330"/>
      <c r="C56" s="328"/>
      <c r="D56" s="128"/>
    </row>
    <row r="57" spans="1:12" x14ac:dyDescent="0.25">
      <c r="B57" s="330"/>
      <c r="C57" s="22"/>
      <c r="D57" s="128">
        <f t="shared" ref="D57:D63" si="11">SUM(E57:K57)</f>
        <v>0</v>
      </c>
    </row>
    <row r="58" spans="1:12" x14ac:dyDescent="0.25">
      <c r="A58" s="356" t="s">
        <v>19</v>
      </c>
      <c r="B58" s="330"/>
      <c r="C58" s="22"/>
      <c r="D58" s="61">
        <f>SUM(D59:D62)</f>
        <v>0</v>
      </c>
      <c r="E58" s="61">
        <f>D58/11</f>
        <v>0</v>
      </c>
      <c r="F58" s="61">
        <f>SUM(F59:F62)/11*10</f>
        <v>0</v>
      </c>
      <c r="G58" s="61">
        <f>SUM(G59:G62)/11*10</f>
        <v>0</v>
      </c>
      <c r="H58" s="61">
        <f t="shared" ref="H58:K58" si="12">SUM(H59:H62)/11*10</f>
        <v>0</v>
      </c>
      <c r="I58" s="61">
        <f t="shared" si="12"/>
        <v>0</v>
      </c>
      <c r="J58" s="61">
        <f t="shared" si="12"/>
        <v>0</v>
      </c>
      <c r="K58" s="61">
        <f t="shared" si="12"/>
        <v>0</v>
      </c>
    </row>
    <row r="59" spans="1:12" x14ac:dyDescent="0.25">
      <c r="B59" s="330"/>
      <c r="C59" s="22"/>
      <c r="D59" s="128"/>
    </row>
    <row r="60" spans="1:12" x14ac:dyDescent="0.25">
      <c r="B60" s="330"/>
      <c r="C60" s="22"/>
      <c r="D60" s="128"/>
    </row>
    <row r="61" spans="1:12" x14ac:dyDescent="0.25">
      <c r="B61" s="330"/>
      <c r="C61" s="22"/>
      <c r="D61" s="128"/>
    </row>
    <row r="62" spans="1:12" x14ac:dyDescent="0.25">
      <c r="B62" s="330"/>
      <c r="C62" s="22"/>
      <c r="D62" s="128">
        <f t="shared" si="11"/>
        <v>0</v>
      </c>
    </row>
    <row r="63" spans="1:12" x14ac:dyDescent="0.25">
      <c r="B63" s="330"/>
      <c r="C63" s="22"/>
      <c r="D63" s="128">
        <f t="shared" si="11"/>
        <v>0</v>
      </c>
      <c r="K63" s="128"/>
    </row>
    <row r="64" spans="1:12" x14ac:dyDescent="0.25">
      <c r="A64" s="356" t="s">
        <v>20</v>
      </c>
      <c r="B64" s="330"/>
      <c r="C64" s="22"/>
      <c r="D64" s="61">
        <f>SUM(D65:D77)</f>
        <v>0</v>
      </c>
      <c r="E64" s="61">
        <f>D64/11</f>
        <v>0</v>
      </c>
      <c r="F64" s="61">
        <f>SUM(F65:F77)/11*10</f>
        <v>0</v>
      </c>
      <c r="G64" s="61">
        <f t="shared" ref="G64:K64" si="13">SUM(G65:G77)/11*10</f>
        <v>0</v>
      </c>
      <c r="H64" s="61">
        <f t="shared" si="13"/>
        <v>0</v>
      </c>
      <c r="I64" s="61">
        <f t="shared" si="13"/>
        <v>0</v>
      </c>
      <c r="J64" s="61">
        <f t="shared" si="13"/>
        <v>0</v>
      </c>
      <c r="K64" s="61">
        <f t="shared" si="13"/>
        <v>0</v>
      </c>
    </row>
    <row r="65" spans="1:12" x14ac:dyDescent="0.25">
      <c r="B65" s="330"/>
      <c r="D65" s="128"/>
    </row>
    <row r="66" spans="1:12" x14ac:dyDescent="0.25">
      <c r="A66" s="355"/>
      <c r="B66" s="330"/>
      <c r="D66" s="128"/>
      <c r="E66" s="349"/>
      <c r="F66" s="349"/>
      <c r="G66" s="349"/>
      <c r="H66" s="349"/>
      <c r="I66" s="349"/>
      <c r="J66" s="349"/>
      <c r="K66" s="349"/>
    </row>
    <row r="67" spans="1:12" x14ac:dyDescent="0.25">
      <c r="B67" s="330"/>
      <c r="D67" s="128"/>
    </row>
    <row r="68" spans="1:12" x14ac:dyDescent="0.25">
      <c r="B68" s="330"/>
      <c r="D68" s="128"/>
    </row>
    <row r="69" spans="1:12" x14ac:dyDescent="0.25">
      <c r="B69" s="330"/>
      <c r="D69" s="128"/>
    </row>
    <row r="70" spans="1:12" x14ac:dyDescent="0.25">
      <c r="B70" s="330"/>
      <c r="D70" s="128"/>
    </row>
    <row r="71" spans="1:12" x14ac:dyDescent="0.25">
      <c r="B71" s="330"/>
      <c r="D71" s="128"/>
    </row>
    <row r="72" spans="1:12" x14ac:dyDescent="0.25">
      <c r="B72" s="330"/>
      <c r="D72" s="128"/>
    </row>
    <row r="73" spans="1:12" x14ac:dyDescent="0.25">
      <c r="B73" s="330"/>
      <c r="C73" s="22"/>
      <c r="D73" s="128"/>
    </row>
    <row r="74" spans="1:12" x14ac:dyDescent="0.25">
      <c r="B74" s="330"/>
      <c r="C74" s="22"/>
      <c r="D74" s="128"/>
    </row>
    <row r="75" spans="1:12" x14ac:dyDescent="0.25">
      <c r="B75" s="330"/>
      <c r="C75" s="22"/>
      <c r="D75" s="128"/>
    </row>
    <row r="76" spans="1:12" x14ac:dyDescent="0.25">
      <c r="B76" s="330"/>
      <c r="C76" s="22"/>
      <c r="D76" s="128"/>
      <c r="L76" s="328"/>
    </row>
    <row r="77" spans="1:12" x14ac:dyDescent="0.25">
      <c r="B77" s="330"/>
      <c r="C77" s="22"/>
      <c r="D77" s="128">
        <f t="shared" ref="D77:D83" si="14">SUM(E77:K77)</f>
        <v>0</v>
      </c>
    </row>
    <row r="78" spans="1:12" x14ac:dyDescent="0.25">
      <c r="A78" s="356" t="s">
        <v>21</v>
      </c>
      <c r="B78" s="330"/>
      <c r="C78" s="22"/>
      <c r="D78" s="61">
        <f>SUM(D79:D91)</f>
        <v>0</v>
      </c>
      <c r="E78" s="61">
        <f>D78/11</f>
        <v>0</v>
      </c>
      <c r="F78" s="61">
        <f>SUM(F79:F81)/11*10</f>
        <v>0</v>
      </c>
      <c r="G78" s="61">
        <f t="shared" ref="G78:I78" si="15">SUM(G79:G81)/11*10</f>
        <v>0</v>
      </c>
      <c r="H78" s="61">
        <f t="shared" si="15"/>
        <v>0</v>
      </c>
      <c r="I78" s="61">
        <f t="shared" si="15"/>
        <v>0</v>
      </c>
    </row>
    <row r="79" spans="1:12" x14ac:dyDescent="0.25">
      <c r="B79" s="330"/>
      <c r="C79" s="22"/>
      <c r="D79" s="128"/>
    </row>
    <row r="80" spans="1:12" x14ac:dyDescent="0.25">
      <c r="B80" s="330"/>
      <c r="C80" s="22"/>
      <c r="D80" s="128"/>
    </row>
    <row r="81" spans="1:9" x14ac:dyDescent="0.25">
      <c r="B81" s="330"/>
      <c r="D81" s="128">
        <f t="shared" ref="D81" si="16">SUM(E81:K81)</f>
        <v>0</v>
      </c>
    </row>
    <row r="82" spans="1:9" x14ac:dyDescent="0.25">
      <c r="B82" s="330"/>
      <c r="C82" s="22"/>
      <c r="D82" s="128">
        <f t="shared" ref="D82" si="17">SUM(E82:K82)</f>
        <v>0</v>
      </c>
    </row>
    <row r="83" spans="1:9" x14ac:dyDescent="0.25">
      <c r="B83" s="330"/>
      <c r="D83" s="128">
        <f t="shared" si="14"/>
        <v>0</v>
      </c>
    </row>
    <row r="85" spans="1:9" x14ac:dyDescent="0.25">
      <c r="A85" s="355"/>
      <c r="D85" s="61">
        <f>SUM(D86:D95)</f>
        <v>0</v>
      </c>
      <c r="E85" s="61">
        <f>D85/11</f>
        <v>0</v>
      </c>
      <c r="F85" s="61">
        <f>SUM(F86:F95)/11*10</f>
        <v>0</v>
      </c>
      <c r="G85" s="61">
        <f>SUM(G86:G95)/11*10</f>
        <v>0</v>
      </c>
      <c r="H85" s="61">
        <f>SUM(H86:H95)/11*10</f>
        <v>0</v>
      </c>
      <c r="I85" s="61">
        <f>SUM(I86:I95)/11*10</f>
        <v>0</v>
      </c>
    </row>
    <row r="86" spans="1:9" x14ac:dyDescent="0.25">
      <c r="B86" s="330"/>
      <c r="D86" s="128">
        <f>SUM(E86:K86)</f>
        <v>0</v>
      </c>
    </row>
    <row r="87" spans="1:9" x14ac:dyDescent="0.25">
      <c r="B87" s="330"/>
      <c r="D87" s="128">
        <f t="shared" ref="D87:D93" si="18">SUM(E87:K87)</f>
        <v>0</v>
      </c>
    </row>
    <row r="88" spans="1:9" x14ac:dyDescent="0.25">
      <c r="B88" s="330"/>
      <c r="D88" s="128">
        <f t="shared" si="18"/>
        <v>0</v>
      </c>
    </row>
    <row r="89" spans="1:9" x14ac:dyDescent="0.25">
      <c r="B89" s="330"/>
      <c r="D89" s="128">
        <f t="shared" si="18"/>
        <v>0</v>
      </c>
    </row>
    <row r="90" spans="1:9" x14ac:dyDescent="0.25">
      <c r="B90" s="330"/>
      <c r="D90" s="128">
        <f t="shared" si="18"/>
        <v>0</v>
      </c>
    </row>
    <row r="91" spans="1:9" x14ac:dyDescent="0.25">
      <c r="B91" s="330"/>
      <c r="D91" s="128">
        <f t="shared" si="18"/>
        <v>0</v>
      </c>
    </row>
    <row r="92" spans="1:9" x14ac:dyDescent="0.25">
      <c r="B92" s="330"/>
      <c r="D92" s="128">
        <f t="shared" si="18"/>
        <v>0</v>
      </c>
    </row>
    <row r="93" spans="1:9" x14ac:dyDescent="0.25">
      <c r="B93" s="330"/>
      <c r="D93" s="128">
        <f t="shared" si="18"/>
        <v>0</v>
      </c>
    </row>
    <row r="94" spans="1:9" x14ac:dyDescent="0.25">
      <c r="B94" s="330"/>
      <c r="D94" s="128"/>
    </row>
    <row r="95" spans="1:9" x14ac:dyDescent="0.25">
      <c r="B95" s="330"/>
      <c r="D95" s="128"/>
    </row>
    <row r="96" spans="1:9" x14ac:dyDescent="0.25">
      <c r="A96" s="355"/>
      <c r="B96" s="330"/>
      <c r="D96" s="61">
        <f>SUM(D97:D106)</f>
        <v>0</v>
      </c>
      <c r="E96" s="61">
        <f>D96/11</f>
        <v>0</v>
      </c>
      <c r="F96" s="61">
        <f>SUM(F97:F106)/11*10</f>
        <v>0</v>
      </c>
      <c r="G96" s="61">
        <f>SUM(G97:G106)/11*10</f>
        <v>0</v>
      </c>
      <c r="H96" s="61">
        <f>SUM(H97:H106)/11*10</f>
        <v>0</v>
      </c>
      <c r="I96" s="61">
        <f>SUM(I97:I106)/11*10</f>
        <v>0</v>
      </c>
    </row>
    <row r="97" spans="1:12" x14ac:dyDescent="0.25">
      <c r="B97" s="330"/>
      <c r="C97" s="22"/>
      <c r="D97" s="128">
        <f>SUM(E97:K97)</f>
        <v>0</v>
      </c>
    </row>
    <row r="98" spans="1:12" x14ac:dyDescent="0.25">
      <c r="B98" s="330"/>
      <c r="C98" s="22"/>
      <c r="D98" s="128">
        <f t="shared" ref="D98:D106" si="19">SUM(E98:K98)</f>
        <v>0</v>
      </c>
    </row>
    <row r="99" spans="1:12" x14ac:dyDescent="0.25">
      <c r="B99" s="330"/>
      <c r="C99" s="22"/>
      <c r="D99" s="128">
        <f t="shared" si="19"/>
        <v>0</v>
      </c>
      <c r="L99" s="328"/>
    </row>
    <row r="100" spans="1:12" x14ac:dyDescent="0.25">
      <c r="B100" s="330"/>
      <c r="C100" s="22"/>
      <c r="D100" s="128">
        <f t="shared" si="19"/>
        <v>0</v>
      </c>
      <c r="L100" s="328"/>
    </row>
    <row r="101" spans="1:12" x14ac:dyDescent="0.25">
      <c r="B101" s="330"/>
      <c r="C101" s="22"/>
      <c r="D101" s="128">
        <f t="shared" si="19"/>
        <v>0</v>
      </c>
      <c r="L101" s="328"/>
    </row>
    <row r="102" spans="1:12" x14ac:dyDescent="0.25">
      <c r="B102" s="330"/>
      <c r="C102" s="22"/>
      <c r="D102" s="128">
        <f t="shared" si="19"/>
        <v>0</v>
      </c>
      <c r="L102" s="328"/>
    </row>
    <row r="103" spans="1:12" x14ac:dyDescent="0.25">
      <c r="B103" s="330"/>
      <c r="C103" s="22"/>
      <c r="D103" s="128">
        <f t="shared" si="19"/>
        <v>0</v>
      </c>
    </row>
    <row r="104" spans="1:12" x14ac:dyDescent="0.25">
      <c r="B104" s="330"/>
      <c r="C104" s="22"/>
      <c r="D104" s="128">
        <f t="shared" si="19"/>
        <v>0</v>
      </c>
    </row>
    <row r="105" spans="1:12" x14ac:dyDescent="0.25">
      <c r="B105" s="330"/>
      <c r="C105" s="22"/>
      <c r="D105" s="128">
        <f t="shared" si="19"/>
        <v>0</v>
      </c>
    </row>
    <row r="106" spans="1:12" x14ac:dyDescent="0.25">
      <c r="B106" s="330"/>
      <c r="C106" s="22"/>
      <c r="D106" s="128">
        <f t="shared" si="19"/>
        <v>0</v>
      </c>
    </row>
    <row r="107" spans="1:12" x14ac:dyDescent="0.25">
      <c r="B107" s="330"/>
      <c r="C107" s="22"/>
      <c r="D107" s="128"/>
      <c r="J107" s="128"/>
    </row>
    <row r="110" spans="1:12" x14ac:dyDescent="0.25">
      <c r="A110" s="355"/>
      <c r="B110" s="330"/>
      <c r="D110" s="61">
        <f>SUM(D111:D118)</f>
        <v>0</v>
      </c>
      <c r="E110" s="61">
        <f>D110/11</f>
        <v>0</v>
      </c>
      <c r="F110" s="61">
        <f>SUM(F111:F117)/11*10</f>
        <v>0</v>
      </c>
      <c r="G110" s="61">
        <f>SUM(G111:G117)/11*10</f>
        <v>0</v>
      </c>
      <c r="H110" s="61">
        <f>SUM(H111:H117)/11*10</f>
        <v>0</v>
      </c>
      <c r="I110" s="61">
        <f>SUM(I111:I117)/11*10</f>
        <v>0</v>
      </c>
      <c r="K110" s="61">
        <f>SUM(K111:K117)</f>
        <v>0</v>
      </c>
    </row>
    <row r="111" spans="1:12" x14ac:dyDescent="0.25">
      <c r="B111" s="330"/>
      <c r="C111" s="22"/>
      <c r="D111" s="128">
        <f t="shared" ref="D111:D117" si="20">SUM(E111:K111)</f>
        <v>0</v>
      </c>
      <c r="E111" s="61"/>
    </row>
    <row r="112" spans="1:12" x14ac:dyDescent="0.25">
      <c r="B112" s="330"/>
      <c r="C112" s="22"/>
      <c r="D112" s="128">
        <f t="shared" si="20"/>
        <v>0</v>
      </c>
      <c r="E112" s="61"/>
    </row>
    <row r="113" spans="1:13" x14ac:dyDescent="0.25">
      <c r="B113" s="330"/>
      <c r="C113" s="22"/>
      <c r="D113" s="128">
        <f t="shared" si="20"/>
        <v>0</v>
      </c>
      <c r="E113" s="61"/>
    </row>
    <row r="114" spans="1:13" x14ac:dyDescent="0.25">
      <c r="B114" s="330"/>
      <c r="C114" s="22"/>
      <c r="D114" s="128">
        <f t="shared" si="20"/>
        <v>0</v>
      </c>
      <c r="E114" s="61"/>
    </row>
    <row r="115" spans="1:13" x14ac:dyDescent="0.25">
      <c r="B115" s="330"/>
      <c r="C115" s="22"/>
      <c r="D115" s="128">
        <f t="shared" si="20"/>
        <v>0</v>
      </c>
      <c r="E115" s="61"/>
      <c r="L115" s="22"/>
    </row>
    <row r="116" spans="1:13" x14ac:dyDescent="0.25">
      <c r="B116" s="330"/>
      <c r="C116" s="22"/>
      <c r="D116" s="128">
        <f t="shared" si="20"/>
        <v>0</v>
      </c>
      <c r="E116" s="61"/>
    </row>
    <row r="117" spans="1:13" x14ac:dyDescent="0.25">
      <c r="B117" s="330"/>
      <c r="C117" s="22"/>
      <c r="D117" s="128">
        <f t="shared" si="20"/>
        <v>0</v>
      </c>
      <c r="E117" s="61"/>
    </row>
    <row r="119" spans="1:13" x14ac:dyDescent="0.25">
      <c r="A119" s="355"/>
      <c r="B119" s="330"/>
      <c r="D119" s="61">
        <f>SUM(D120:D127)</f>
        <v>0</v>
      </c>
      <c r="E119" s="61">
        <f>D119/11</f>
        <v>0</v>
      </c>
      <c r="F119" s="61">
        <f>SUM(F120:F127)/11*10</f>
        <v>0</v>
      </c>
      <c r="G119" s="61">
        <f>SUM(G120:G127)/11*10</f>
        <v>0</v>
      </c>
      <c r="H119" s="61">
        <f>SUM(H120:H127)/11*10</f>
        <v>0</v>
      </c>
      <c r="I119" s="61">
        <f>SUM(I120:I127)/11*10</f>
        <v>0</v>
      </c>
      <c r="K119" s="128"/>
      <c r="M119" s="22"/>
    </row>
    <row r="120" spans="1:13" x14ac:dyDescent="0.25">
      <c r="B120" s="330"/>
      <c r="C120" s="22"/>
      <c r="D120" s="128">
        <f t="shared" ref="D120:D127" si="21">SUM(E120:K120)</f>
        <v>0</v>
      </c>
      <c r="J120" s="128"/>
    </row>
    <row r="121" spans="1:13" x14ac:dyDescent="0.25">
      <c r="B121" s="330"/>
      <c r="C121" s="22"/>
      <c r="D121" s="128">
        <f t="shared" si="21"/>
        <v>0</v>
      </c>
    </row>
    <row r="122" spans="1:13" x14ac:dyDescent="0.25">
      <c r="B122" s="330"/>
      <c r="C122" s="22"/>
      <c r="D122" s="128">
        <f t="shared" si="21"/>
        <v>0</v>
      </c>
    </row>
    <row r="123" spans="1:13" x14ac:dyDescent="0.25">
      <c r="B123" s="330"/>
      <c r="C123" s="22"/>
      <c r="D123" s="128">
        <f>SUM(E123:K123)</f>
        <v>0</v>
      </c>
    </row>
    <row r="124" spans="1:13" x14ac:dyDescent="0.25">
      <c r="B124" s="330"/>
      <c r="C124" s="22"/>
      <c r="D124" s="128">
        <f t="shared" ref="D124" si="22">SUM(E124:K124)</f>
        <v>0</v>
      </c>
    </row>
    <row r="125" spans="1:13" x14ac:dyDescent="0.25">
      <c r="B125" s="330"/>
      <c r="C125" s="22"/>
      <c r="D125" s="128">
        <f t="shared" si="21"/>
        <v>0</v>
      </c>
    </row>
    <row r="126" spans="1:13" x14ac:dyDescent="0.25">
      <c r="B126" s="330"/>
      <c r="C126" s="22"/>
      <c r="D126" s="128">
        <f t="shared" si="21"/>
        <v>0</v>
      </c>
    </row>
    <row r="127" spans="1:13" x14ac:dyDescent="0.25">
      <c r="B127" s="330"/>
      <c r="C127" s="22"/>
      <c r="D127" s="128">
        <f t="shared" si="21"/>
        <v>0</v>
      </c>
    </row>
    <row r="129" spans="1:13" x14ac:dyDescent="0.25">
      <c r="A129" s="355"/>
      <c r="B129" s="330"/>
      <c r="D129" s="61">
        <f>SUM(D130:D133)</f>
        <v>0</v>
      </c>
      <c r="E129" s="61">
        <f>D129/11</f>
        <v>0</v>
      </c>
      <c r="F129" s="61">
        <f>SUM(F130:F133)/11*10</f>
        <v>0</v>
      </c>
      <c r="G129" s="61">
        <f>SUM(G130:G133)/11*10</f>
        <v>0</v>
      </c>
      <c r="H129" s="61">
        <f>SUM(H130:H133)/11*10</f>
        <v>0</v>
      </c>
      <c r="I129" s="61">
        <f>SUM(I130:I133)/11*10</f>
        <v>0</v>
      </c>
      <c r="K129" s="128"/>
      <c r="M129" s="22"/>
    </row>
    <row r="130" spans="1:13" x14ac:dyDescent="0.25">
      <c r="B130" s="330"/>
      <c r="C130" s="22"/>
      <c r="D130" s="128">
        <f t="shared" ref="D130:D132" si="23">SUM(E130:K130)</f>
        <v>0</v>
      </c>
    </row>
    <row r="131" spans="1:13" x14ac:dyDescent="0.25">
      <c r="B131" s="330"/>
      <c r="C131" s="22"/>
      <c r="D131" s="128">
        <f t="shared" si="23"/>
        <v>0</v>
      </c>
    </row>
    <row r="132" spans="1:13" x14ac:dyDescent="0.25">
      <c r="B132" s="330"/>
      <c r="C132" s="22"/>
      <c r="D132" s="128">
        <f t="shared" si="23"/>
        <v>0</v>
      </c>
    </row>
    <row r="133" spans="1:13" x14ac:dyDescent="0.25">
      <c r="B133" s="330"/>
      <c r="C133" s="22"/>
      <c r="D133" s="128">
        <f>SUM(E133:K133)</f>
        <v>0</v>
      </c>
    </row>
    <row r="135" spans="1:13" x14ac:dyDescent="0.25">
      <c r="A135" s="355"/>
      <c r="B135" s="330"/>
      <c r="D135" s="61">
        <f>SUM(D136:D141)</f>
        <v>0</v>
      </c>
      <c r="E135" s="61">
        <f>(D135-K135)/11</f>
        <v>0</v>
      </c>
      <c r="F135" s="61">
        <f>SUM(F136:F141)/11*10</f>
        <v>0</v>
      </c>
      <c r="G135" s="61">
        <f>SUM(G136:G141)/11*10</f>
        <v>0</v>
      </c>
      <c r="H135" s="61">
        <f>SUM(H136:H141)/11*10</f>
        <v>0</v>
      </c>
      <c r="I135" s="61">
        <f>SUM(I136:I141)/11*10</f>
        <v>0</v>
      </c>
      <c r="K135" s="61">
        <f>SUM(K136:K141)</f>
        <v>0</v>
      </c>
    </row>
    <row r="136" spans="1:13" x14ac:dyDescent="0.25">
      <c r="B136" s="330"/>
      <c r="C136" s="22"/>
      <c r="D136" s="128">
        <f t="shared" ref="D136:D141" si="24">SUM(E136:K136)</f>
        <v>0</v>
      </c>
    </row>
    <row r="137" spans="1:13" x14ac:dyDescent="0.25">
      <c r="B137" s="330"/>
      <c r="C137" s="22"/>
      <c r="D137" s="128">
        <f t="shared" si="24"/>
        <v>0</v>
      </c>
    </row>
    <row r="138" spans="1:13" x14ac:dyDescent="0.25">
      <c r="B138" s="330"/>
      <c r="C138" s="22"/>
      <c r="D138" s="128">
        <f t="shared" si="24"/>
        <v>0</v>
      </c>
    </row>
    <row r="139" spans="1:13" x14ac:dyDescent="0.25">
      <c r="B139" s="330"/>
      <c r="C139" s="22"/>
      <c r="D139" s="128">
        <f>SUM(E139:K139)</f>
        <v>0</v>
      </c>
    </row>
    <row r="140" spans="1:13" x14ac:dyDescent="0.25">
      <c r="B140" s="330"/>
      <c r="C140" s="22"/>
      <c r="D140" s="128">
        <f t="shared" ref="D140" si="25">SUM(E140:K140)</f>
        <v>0</v>
      </c>
    </row>
    <row r="141" spans="1:13" x14ac:dyDescent="0.25">
      <c r="B141" s="330"/>
      <c r="C141" s="22"/>
      <c r="D141" s="128">
        <f t="shared" si="24"/>
        <v>0</v>
      </c>
    </row>
    <row r="142" spans="1:13" x14ac:dyDescent="0.25">
      <c r="D142" s="128"/>
    </row>
    <row r="143" spans="1:13" x14ac:dyDescent="0.25">
      <c r="A143" s="355"/>
      <c r="B143" s="330"/>
      <c r="D143" s="61">
        <f>SUM(D144:D156)</f>
        <v>0</v>
      </c>
      <c r="E143" s="61">
        <f>D143/11</f>
        <v>0</v>
      </c>
      <c r="F143" s="61">
        <f>SUM(F144:F156)/11*10</f>
        <v>0</v>
      </c>
      <c r="G143" s="61">
        <f>SUM(G144:G156)/11*10</f>
        <v>0</v>
      </c>
      <c r="H143" s="61">
        <f>SUM(H144:H156)/11*10</f>
        <v>0</v>
      </c>
      <c r="I143" s="61">
        <f>SUM(I144:I156)/11*10</f>
        <v>0</v>
      </c>
    </row>
    <row r="144" spans="1:13" x14ac:dyDescent="0.25">
      <c r="B144" s="330"/>
      <c r="C144" s="22"/>
      <c r="D144" s="128">
        <f t="shared" ref="D144:D146" si="26">SUM(E144:K144)</f>
        <v>0</v>
      </c>
    </row>
    <row r="145" spans="1:14" x14ac:dyDescent="0.25">
      <c r="B145" s="330"/>
      <c r="C145" s="22"/>
      <c r="D145" s="128">
        <f t="shared" si="26"/>
        <v>0</v>
      </c>
      <c r="K145" s="128"/>
      <c r="L145" s="328"/>
      <c r="M145" s="328"/>
      <c r="N145" s="328"/>
    </row>
    <row r="146" spans="1:14" x14ac:dyDescent="0.25">
      <c r="B146" s="330"/>
      <c r="C146" s="22"/>
      <c r="D146" s="128">
        <f t="shared" si="26"/>
        <v>0</v>
      </c>
      <c r="L146" s="352"/>
      <c r="M146" s="328"/>
      <c r="N146" s="328"/>
    </row>
    <row r="147" spans="1:14" x14ac:dyDescent="0.25">
      <c r="B147" s="330"/>
      <c r="C147" s="22"/>
      <c r="D147" s="128">
        <f>SUM(E147:K147)</f>
        <v>0</v>
      </c>
    </row>
    <row r="148" spans="1:14" x14ac:dyDescent="0.25">
      <c r="B148" s="330"/>
      <c r="C148" s="22"/>
      <c r="D148" s="128">
        <f t="shared" ref="D148:D150" si="27">SUM(E148:K148)</f>
        <v>0</v>
      </c>
    </row>
    <row r="149" spans="1:14" x14ac:dyDescent="0.25">
      <c r="B149" s="330"/>
      <c r="C149" s="22"/>
      <c r="D149" s="128">
        <f t="shared" si="27"/>
        <v>0</v>
      </c>
    </row>
    <row r="150" spans="1:14" x14ac:dyDescent="0.25">
      <c r="B150" s="330"/>
      <c r="C150" s="22"/>
      <c r="D150" s="128">
        <f t="shared" si="27"/>
        <v>0</v>
      </c>
    </row>
    <row r="151" spans="1:14" x14ac:dyDescent="0.25">
      <c r="B151" s="330"/>
      <c r="D151" s="128">
        <f t="shared" ref="D151:D152" si="28">SUM(F151:J151)</f>
        <v>0</v>
      </c>
    </row>
    <row r="152" spans="1:14" x14ac:dyDescent="0.25">
      <c r="B152" s="330"/>
      <c r="D152" s="128">
        <f t="shared" si="28"/>
        <v>0</v>
      </c>
    </row>
    <row r="153" spans="1:14" x14ac:dyDescent="0.25">
      <c r="B153" s="330"/>
      <c r="D153" s="128">
        <f t="shared" ref="D153:D154" si="29">SUM(F153:J153)</f>
        <v>0</v>
      </c>
    </row>
    <row r="154" spans="1:14" x14ac:dyDescent="0.25">
      <c r="B154" s="330"/>
      <c r="D154" s="128">
        <f t="shared" si="29"/>
        <v>0</v>
      </c>
    </row>
    <row r="155" spans="1:14" x14ac:dyDescent="0.25">
      <c r="B155" s="330"/>
      <c r="D155" s="128">
        <f t="shared" ref="D155" si="30">SUM(F155:J155)</f>
        <v>0</v>
      </c>
    </row>
    <row r="156" spans="1:14" x14ac:dyDescent="0.25">
      <c r="B156" s="330"/>
      <c r="D156" s="128">
        <f t="shared" ref="D156" si="31">SUM(F156:J156)</f>
        <v>0</v>
      </c>
    </row>
    <row r="158" spans="1:14" x14ac:dyDescent="0.25">
      <c r="A158" s="355"/>
      <c r="B158" s="330"/>
      <c r="D158" s="61">
        <f>SUM(D159:D167)</f>
        <v>0</v>
      </c>
      <c r="E158" s="61">
        <f>D158/11</f>
        <v>0</v>
      </c>
      <c r="F158" s="61">
        <f>SUM(F159:F167)/11*10</f>
        <v>0</v>
      </c>
      <c r="G158" s="61">
        <f>SUM(G159:G167)/11*10</f>
        <v>0</v>
      </c>
      <c r="H158" s="61">
        <f>SUM(H159:H167)/11*10</f>
        <v>0</v>
      </c>
      <c r="I158" s="61">
        <f>SUM(I159:I167)/11*10</f>
        <v>0</v>
      </c>
    </row>
    <row r="159" spans="1:14" x14ac:dyDescent="0.25">
      <c r="B159" s="330"/>
      <c r="C159" s="22"/>
      <c r="D159" s="128">
        <f t="shared" ref="D159:D167" si="32">SUM(F159:J159)</f>
        <v>0</v>
      </c>
    </row>
    <row r="160" spans="1:14" x14ac:dyDescent="0.25">
      <c r="B160" s="330"/>
      <c r="C160" s="22"/>
      <c r="D160" s="128">
        <f t="shared" si="32"/>
        <v>0</v>
      </c>
      <c r="K160" s="128"/>
    </row>
    <row r="161" spans="2:4" x14ac:dyDescent="0.25">
      <c r="B161" s="330"/>
      <c r="C161" s="22"/>
      <c r="D161" s="128">
        <f t="shared" si="32"/>
        <v>0</v>
      </c>
    </row>
    <row r="162" spans="2:4" x14ac:dyDescent="0.25">
      <c r="B162" s="330"/>
      <c r="C162" s="22"/>
      <c r="D162" s="128">
        <f t="shared" si="32"/>
        <v>0</v>
      </c>
    </row>
    <row r="163" spans="2:4" x14ac:dyDescent="0.25">
      <c r="B163" s="330"/>
      <c r="C163" s="22"/>
      <c r="D163" s="128">
        <f t="shared" si="32"/>
        <v>0</v>
      </c>
    </row>
    <row r="164" spans="2:4" x14ac:dyDescent="0.25">
      <c r="B164" s="330"/>
      <c r="C164" s="22"/>
      <c r="D164" s="128">
        <f t="shared" si="32"/>
        <v>0</v>
      </c>
    </row>
    <row r="165" spans="2:4" x14ac:dyDescent="0.25">
      <c r="B165" s="330"/>
      <c r="C165" s="22"/>
      <c r="D165" s="128">
        <f t="shared" si="32"/>
        <v>0</v>
      </c>
    </row>
    <row r="166" spans="2:4" x14ac:dyDescent="0.25">
      <c r="B166" s="330"/>
      <c r="C166" s="22"/>
      <c r="D166" s="128">
        <f t="shared" si="32"/>
        <v>0</v>
      </c>
    </row>
    <row r="167" spans="2:4" x14ac:dyDescent="0.25">
      <c r="B167" s="330"/>
      <c r="C167" s="22"/>
      <c r="D167" s="128">
        <f t="shared" si="32"/>
        <v>0</v>
      </c>
    </row>
  </sheetData>
  <pageMargins left="0.7" right="0.7" top="0.75" bottom="0.75" header="0.51180555555555496" footer="0.51180555555555496"/>
  <pageSetup firstPageNumber="0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showZeros="0" zoomScaleNormal="100" workbookViewId="0">
      <selection activeCell="D3" sqref="D3"/>
    </sheetView>
  </sheetViews>
  <sheetFormatPr defaultRowHeight="13.2" x14ac:dyDescent="0.25"/>
  <cols>
    <col min="1" max="1025" width="11"/>
  </cols>
  <sheetData/>
  <pageMargins left="0.75" right="0.75" top="1" bottom="1" header="0.51180555555555496" footer="0.51180555555555496"/>
  <pageSetup paperSize="9" firstPageNumber="0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X140"/>
  <sheetViews>
    <sheetView showZeros="0" zoomScale="80" zoomScaleNormal="80" workbookViewId="0">
      <pane ySplit="4" topLeftCell="A33" activePane="bottomLeft" state="frozen"/>
      <selection activeCell="D3" sqref="D3"/>
      <selection pane="bottomLeft" activeCell="G56" sqref="G56"/>
    </sheetView>
  </sheetViews>
  <sheetFormatPr defaultRowHeight="13.2" x14ac:dyDescent="0.25"/>
  <cols>
    <col min="1" max="3" width="3.44140625" style="139"/>
    <col min="4" max="4" width="9.5546875" style="139"/>
    <col min="5" max="5" width="9.5546875" style="89"/>
    <col min="6" max="7" width="9.5546875" style="356"/>
    <col min="8" max="8" width="20.5546875" style="139"/>
    <col min="9" max="9" width="7" style="88"/>
    <col min="10" max="15" width="12.44140625" style="62"/>
    <col min="16" max="16" width="12.44140625" style="88"/>
    <col min="17" max="20" width="12.44140625" style="62"/>
    <col min="21" max="21" width="14.44140625" style="139" bestFit="1" customWidth="1"/>
    <col min="22" max="22" width="8.5546875" style="139"/>
    <col min="23" max="24" width="13.44140625"/>
    <col min="25" max="1026" width="11"/>
  </cols>
  <sheetData>
    <row r="1" spans="1:24" ht="22.5" customHeight="1" x14ac:dyDescent="0.45">
      <c r="A1" s="140"/>
      <c r="B1" s="140"/>
      <c r="C1" s="140"/>
      <c r="D1" s="140"/>
      <c r="E1" s="141"/>
      <c r="F1" s="361"/>
      <c r="G1" s="362"/>
      <c r="H1" s="142" t="s">
        <v>120</v>
      </c>
      <c r="I1" s="63"/>
      <c r="J1" s="66"/>
      <c r="K1" s="66"/>
      <c r="L1" s="66"/>
      <c r="M1" s="143"/>
      <c r="N1" s="66"/>
      <c r="O1" s="143"/>
      <c r="P1" s="63"/>
      <c r="Q1" s="66"/>
      <c r="R1" s="66"/>
      <c r="S1" s="66"/>
      <c r="T1" s="143"/>
      <c r="U1" s="144"/>
      <c r="V1" s="350"/>
      <c r="W1" s="145"/>
      <c r="X1" s="145"/>
    </row>
    <row r="2" spans="1:24" ht="12" customHeight="1" x14ac:dyDescent="0.25">
      <c r="A2" s="146"/>
      <c r="B2" s="147"/>
      <c r="C2" s="147"/>
      <c r="D2" s="146"/>
      <c r="E2" s="146"/>
      <c r="F2" s="363"/>
      <c r="G2" s="364"/>
      <c r="H2" s="146"/>
      <c r="I2" s="146"/>
      <c r="J2" s="146"/>
      <c r="K2" s="146"/>
      <c r="L2" s="146"/>
      <c r="M2" s="146"/>
      <c r="N2" s="148"/>
      <c r="O2" s="149"/>
      <c r="P2" s="146"/>
      <c r="Q2" s="146"/>
      <c r="R2" s="146"/>
      <c r="S2" s="146"/>
      <c r="T2" s="149"/>
      <c r="U2" s="148"/>
      <c r="V2" s="146"/>
      <c r="W2" s="146"/>
      <c r="X2" s="146"/>
    </row>
    <row r="3" spans="1:24" s="35" customFormat="1" ht="12" customHeight="1" x14ac:dyDescent="0.25">
      <c r="A3" s="150"/>
      <c r="B3" s="151"/>
      <c r="C3" s="151"/>
      <c r="D3" s="150" t="s">
        <v>121</v>
      </c>
      <c r="E3" s="150"/>
      <c r="F3" s="365"/>
      <c r="G3" s="366"/>
      <c r="H3" s="150"/>
      <c r="I3" s="150"/>
      <c r="J3" s="152">
        <f t="shared" ref="J3:O3" si="0">SUM(J5:J206)</f>
        <v>329697.59999999992</v>
      </c>
      <c r="K3" s="152">
        <f t="shared" si="0"/>
        <v>0</v>
      </c>
      <c r="L3" s="152">
        <f t="shared" si="0"/>
        <v>32969.820000000007</v>
      </c>
      <c r="M3" s="152">
        <f t="shared" si="0"/>
        <v>0</v>
      </c>
      <c r="N3" s="153">
        <f t="shared" si="0"/>
        <v>362667.41999999993</v>
      </c>
      <c r="O3" s="154">
        <f t="shared" si="0"/>
        <v>10286.16</v>
      </c>
      <c r="P3" s="150"/>
      <c r="Q3" s="152"/>
      <c r="R3" s="152"/>
      <c r="S3" s="152"/>
      <c r="T3" s="154">
        <f>SUM(T5:T206)</f>
        <v>15675.380000000012</v>
      </c>
      <c r="U3" s="155"/>
      <c r="V3" s="150"/>
      <c r="W3" s="150"/>
      <c r="X3" s="150"/>
    </row>
    <row r="4" spans="1:24" s="305" customFormat="1" ht="12" customHeight="1" thickBot="1" x14ac:dyDescent="0.3">
      <c r="A4" s="297" t="s">
        <v>122</v>
      </c>
      <c r="B4" s="297" t="s">
        <v>123</v>
      </c>
      <c r="C4" s="297" t="s">
        <v>124</v>
      </c>
      <c r="D4" s="297" t="s">
        <v>125</v>
      </c>
      <c r="E4" s="298" t="s">
        <v>126</v>
      </c>
      <c r="F4" s="367" t="s">
        <v>127</v>
      </c>
      <c r="G4" s="368" t="s">
        <v>106</v>
      </c>
      <c r="H4" s="297" t="s">
        <v>42</v>
      </c>
      <c r="I4" s="300" t="s">
        <v>128</v>
      </c>
      <c r="J4" s="301" t="s">
        <v>129</v>
      </c>
      <c r="K4" s="301" t="s">
        <v>130</v>
      </c>
      <c r="L4" s="302" t="s">
        <v>29</v>
      </c>
      <c r="M4" s="299" t="s">
        <v>131</v>
      </c>
      <c r="N4" s="302" t="s">
        <v>90</v>
      </c>
      <c r="O4" s="299" t="s">
        <v>132</v>
      </c>
      <c r="P4" s="300" t="s">
        <v>133</v>
      </c>
      <c r="Q4" s="302" t="s">
        <v>134</v>
      </c>
      <c r="R4" s="301" t="s">
        <v>135</v>
      </c>
      <c r="S4" s="301" t="s">
        <v>136</v>
      </c>
      <c r="T4" s="299" t="s">
        <v>137</v>
      </c>
      <c r="U4" s="303" t="s">
        <v>138</v>
      </c>
      <c r="V4" s="297" t="s">
        <v>5</v>
      </c>
      <c r="W4" s="304" t="s">
        <v>139</v>
      </c>
      <c r="X4" s="304" t="s">
        <v>140</v>
      </c>
    </row>
    <row r="5" spans="1:24" s="305" customFormat="1" x14ac:dyDescent="0.25">
      <c r="A5" s="295" t="s">
        <v>650</v>
      </c>
      <c r="B5" s="295" t="s">
        <v>691</v>
      </c>
      <c r="C5" s="295" t="s">
        <v>142</v>
      </c>
      <c r="D5" s="295" t="s">
        <v>55</v>
      </c>
      <c r="E5" s="159">
        <v>10</v>
      </c>
      <c r="F5" s="369">
        <v>43644</v>
      </c>
      <c r="G5" s="370">
        <v>43652</v>
      </c>
      <c r="H5" s="306"/>
      <c r="I5" s="309">
        <f t="shared" ref="I5:I33" si="1">IF(ISBLANK(B5),0,VLOOKUP(A5&amp;B5,Project,3))</f>
        <v>950</v>
      </c>
      <c r="J5" s="310">
        <f>E5*I5</f>
        <v>9500</v>
      </c>
      <c r="K5" s="310"/>
      <c r="L5" s="310">
        <f t="shared" ref="L5" si="2">ROUND((J5+K5)*0.1,2)</f>
        <v>950</v>
      </c>
      <c r="M5" s="310"/>
      <c r="N5" s="311">
        <f t="shared" ref="N5" si="3">SUM(J5:M5)</f>
        <v>10450</v>
      </c>
      <c r="O5" s="312">
        <f t="shared" ref="O5" si="4">IF(ISBLANK(G5),N5,0)</f>
        <v>0</v>
      </c>
      <c r="P5" s="309">
        <f t="shared" ref="P5:P33" si="5">IF(ISBLANK(C5),0,VLOOKUP(A5&amp;B5,Project,4))</f>
        <v>900</v>
      </c>
      <c r="Q5" s="310">
        <f>E5*P5</f>
        <v>9000</v>
      </c>
      <c r="R5" s="309">
        <f t="shared" ref="R5:R33" si="6">IF(ISBLANK(C5),0,VLOOKUP(A5&amp;B5,Project,5))*Q5*0.1</f>
        <v>0</v>
      </c>
      <c r="S5" s="310">
        <f t="shared" ref="S5" si="7">SUM(Q5:R5)</f>
        <v>9000</v>
      </c>
      <c r="T5" s="312">
        <f t="shared" ref="T5" si="8">IF(Q5=0,0,J5-Q5)</f>
        <v>500</v>
      </c>
      <c r="U5" s="313" t="str">
        <f t="shared" ref="U5:U35" si="9">IF(ISBLANK($A5),"",VLOOKUP($A5,Customer,2))</f>
        <v>Mine Super</v>
      </c>
      <c r="V5" s="351" t="str">
        <f t="shared" ref="V5:V35" si="10">IF(ISBLANK($A5),"",VLOOKUP(CONCATENATE($A5,$B5),invProject,2))</f>
        <v>Mine Super</v>
      </c>
      <c r="W5" s="314" t="str">
        <f>GETPERIOD(F5)</f>
        <v>2019-M12</v>
      </c>
      <c r="X5" s="314" t="str">
        <f t="shared" ref="X5" si="11">GETPERIOD(G5)</f>
        <v>2020-M01</v>
      </c>
    </row>
    <row r="6" spans="1:24" x14ac:dyDescent="0.25">
      <c r="A6" s="158" t="s">
        <v>147</v>
      </c>
      <c r="B6" s="158" t="s">
        <v>145</v>
      </c>
      <c r="C6" s="158" t="s">
        <v>694</v>
      </c>
      <c r="D6" s="158" t="s">
        <v>57</v>
      </c>
      <c r="E6" s="159">
        <v>9</v>
      </c>
      <c r="F6" s="371">
        <v>43653</v>
      </c>
      <c r="G6" s="372">
        <v>43657</v>
      </c>
      <c r="H6" s="157"/>
      <c r="I6" s="309">
        <f t="shared" si="1"/>
        <v>1000</v>
      </c>
      <c r="J6" s="310">
        <f t="shared" ref="J6:J67" si="12">E6*I6</f>
        <v>9000</v>
      </c>
      <c r="K6" s="310"/>
      <c r="L6" s="310">
        <f t="shared" ref="L6:L67" si="13">ROUND((J6+K6)*0.1,2)</f>
        <v>900</v>
      </c>
      <c r="M6" s="310"/>
      <c r="N6" s="311">
        <f t="shared" ref="N6:N67" si="14">SUM(J6:M6)</f>
        <v>9900</v>
      </c>
      <c r="O6" s="312">
        <f t="shared" ref="O6:O67" si="15">IF(ISBLANK(G6),N6,0)</f>
        <v>0</v>
      </c>
      <c r="P6" s="309">
        <f t="shared" si="5"/>
        <v>980</v>
      </c>
      <c r="Q6" s="310">
        <f t="shared" ref="Q6:Q67" si="16">E6*P6</f>
        <v>8820</v>
      </c>
      <c r="R6" s="309">
        <f t="shared" si="6"/>
        <v>0</v>
      </c>
      <c r="S6" s="310">
        <f t="shared" ref="S6:S67" si="17">SUM(Q6:R6)</f>
        <v>8820</v>
      </c>
      <c r="T6" s="312">
        <f t="shared" ref="T6:T67" si="18">IF(Q6=0,0,J6-Q6)</f>
        <v>180</v>
      </c>
      <c r="U6" s="313" t="str">
        <f t="shared" si="9"/>
        <v>M&amp;T Resources</v>
      </c>
      <c r="V6" s="309" t="str">
        <f t="shared" si="10"/>
        <v>Energy Queensland</v>
      </c>
      <c r="W6" s="314" t="str">
        <f t="shared" ref="W6:W67" si="19">GETPERIOD(F6)</f>
        <v>2020-M01</v>
      </c>
      <c r="X6" s="314" t="str">
        <f t="shared" ref="X6:X67" si="20">GETPERIOD(G6)</f>
        <v>2020-M01</v>
      </c>
    </row>
    <row r="7" spans="1:24" x14ac:dyDescent="0.25">
      <c r="A7" s="317" t="s">
        <v>147</v>
      </c>
      <c r="B7" s="317" t="s">
        <v>695</v>
      </c>
      <c r="C7" s="307" t="s">
        <v>694</v>
      </c>
      <c r="D7" s="317" t="s">
        <v>669</v>
      </c>
      <c r="E7" s="308">
        <v>8</v>
      </c>
      <c r="F7" s="373">
        <v>43653</v>
      </c>
      <c r="G7" s="372">
        <v>43657</v>
      </c>
      <c r="H7" s="157"/>
      <c r="I7" s="309">
        <f t="shared" si="1"/>
        <v>900</v>
      </c>
      <c r="J7" s="310">
        <f>E7*I7</f>
        <v>7200</v>
      </c>
      <c r="K7" s="310"/>
      <c r="L7" s="310">
        <f>ROUND((J7+K7)*0.1,2)</f>
        <v>720</v>
      </c>
      <c r="M7" s="310"/>
      <c r="N7" s="311">
        <f>SUM(J7:M7)</f>
        <v>7920</v>
      </c>
      <c r="O7" s="312">
        <f>IF(ISBLANK(G7),N7,0)</f>
        <v>0</v>
      </c>
      <c r="P7" s="309">
        <f t="shared" si="5"/>
        <v>855</v>
      </c>
      <c r="Q7" s="310">
        <f>E7*P7</f>
        <v>6840</v>
      </c>
      <c r="R7" s="309">
        <f t="shared" si="6"/>
        <v>0</v>
      </c>
      <c r="S7" s="310">
        <f>SUM(Q7:R7)</f>
        <v>6840</v>
      </c>
      <c r="T7" s="312">
        <f>IF(Q7=0,0,J7-Q7)</f>
        <v>360</v>
      </c>
      <c r="U7" s="313" t="str">
        <f t="shared" si="9"/>
        <v>M&amp;T Resources</v>
      </c>
      <c r="V7" s="309" t="str">
        <f t="shared" si="10"/>
        <v>Energy Queensland</v>
      </c>
      <c r="W7" s="314" t="str">
        <f t="shared" ref="W7:X9" si="21">GETPERIOD(F7)</f>
        <v>2020-M01</v>
      </c>
      <c r="X7" s="314" t="str">
        <f t="shared" si="21"/>
        <v>2020-M01</v>
      </c>
    </row>
    <row r="8" spans="1:24" x14ac:dyDescent="0.25">
      <c r="A8" s="158" t="s">
        <v>664</v>
      </c>
      <c r="B8" s="158" t="s">
        <v>691</v>
      </c>
      <c r="C8" s="158" t="s">
        <v>208</v>
      </c>
      <c r="D8" s="158" t="s">
        <v>657</v>
      </c>
      <c r="E8" s="159">
        <v>5.5</v>
      </c>
      <c r="F8" s="371">
        <v>43632</v>
      </c>
      <c r="G8" s="372">
        <v>43647</v>
      </c>
      <c r="H8" s="157"/>
      <c r="I8" s="309">
        <f>IF(ISBLANK(B8),0,VLOOKUP(A8&amp;B8,Project,3))</f>
        <v>890</v>
      </c>
      <c r="J8" s="310">
        <f>E8*I8</f>
        <v>4895</v>
      </c>
      <c r="K8" s="310"/>
      <c r="L8" s="310">
        <f>ROUND((J8+K8)*0.1,2)</f>
        <v>489.5</v>
      </c>
      <c r="M8" s="310"/>
      <c r="N8" s="311">
        <f>SUM(J8:M8)</f>
        <v>5384.5</v>
      </c>
      <c r="O8" s="312">
        <f>IF(ISBLANK(G8),N8,0)</f>
        <v>0</v>
      </c>
      <c r="P8" s="309">
        <f>IF(ISBLANK(C8),0,VLOOKUP(A8&amp;B8,Project,4))</f>
        <v>845.5</v>
      </c>
      <c r="Q8" s="310">
        <f>E8*P8</f>
        <v>4650.25</v>
      </c>
      <c r="R8" s="309">
        <f>IF(ISBLANK(C8),0,VLOOKUP(A8&amp;B8,Project,5))*Q8*0.1</f>
        <v>0</v>
      </c>
      <c r="S8" s="310">
        <f>SUM(Q8:R8)</f>
        <v>4650.25</v>
      </c>
      <c r="T8" s="312">
        <f>IF(Q8=0,0,J8-Q8)</f>
        <v>244.75</v>
      </c>
      <c r="U8" s="313" t="str">
        <f t="shared" si="9"/>
        <v>Paxus</v>
      </c>
      <c r="V8" s="309" t="str">
        <f t="shared" si="10"/>
        <v>Energy Queensland</v>
      </c>
      <c r="W8" s="314" t="str">
        <f t="shared" si="21"/>
        <v>2019-M12</v>
      </c>
      <c r="X8" s="314" t="str">
        <f t="shared" si="21"/>
        <v>2020-M01</v>
      </c>
    </row>
    <row r="9" spans="1:24" x14ac:dyDescent="0.25">
      <c r="A9" s="158" t="s">
        <v>664</v>
      </c>
      <c r="B9" s="158" t="s">
        <v>691</v>
      </c>
      <c r="C9" s="158" t="s">
        <v>211</v>
      </c>
      <c r="D9" s="158" t="s">
        <v>657</v>
      </c>
      <c r="E9" s="159">
        <v>5</v>
      </c>
      <c r="F9" s="371">
        <v>43639</v>
      </c>
      <c r="G9" s="374">
        <v>43654</v>
      </c>
      <c r="H9" s="157"/>
      <c r="I9" s="309">
        <f>IF(ISBLANK(B9),0,VLOOKUP(A9&amp;B9,Project,3))</f>
        <v>890</v>
      </c>
      <c r="J9" s="310">
        <f>E9*I9</f>
        <v>4450</v>
      </c>
      <c r="K9" s="310"/>
      <c r="L9" s="310">
        <f>ROUND((J9+K9)*0.1,2)</f>
        <v>445</v>
      </c>
      <c r="M9" s="310"/>
      <c r="N9" s="311">
        <f>SUM(J9:M9)</f>
        <v>4895</v>
      </c>
      <c r="O9" s="312">
        <f>IF(ISBLANK(G9),N9,0)</f>
        <v>0</v>
      </c>
      <c r="P9" s="309">
        <f>IF(ISBLANK(C9),0,VLOOKUP(A9&amp;B9,Project,4))</f>
        <v>845.5</v>
      </c>
      <c r="Q9" s="310">
        <f>E9*P9</f>
        <v>4227.5</v>
      </c>
      <c r="R9" s="309">
        <f>IF(ISBLANK(C9),0,VLOOKUP(A9&amp;B9,Project,5))*Q9*0.1</f>
        <v>0</v>
      </c>
      <c r="S9" s="310">
        <f>SUM(Q9:R9)</f>
        <v>4227.5</v>
      </c>
      <c r="T9" s="312">
        <f>IF(Q9=0,0,J9-Q9)</f>
        <v>222.5</v>
      </c>
      <c r="U9" s="313" t="str">
        <f t="shared" si="9"/>
        <v>Paxus</v>
      </c>
      <c r="V9" s="309" t="str">
        <f t="shared" si="10"/>
        <v>Energy Queensland</v>
      </c>
      <c r="W9" s="314" t="str">
        <f t="shared" si="21"/>
        <v>2019-M12</v>
      </c>
      <c r="X9" s="314" t="str">
        <f t="shared" si="21"/>
        <v>2020-M01</v>
      </c>
    </row>
    <row r="10" spans="1:24" x14ac:dyDescent="0.25">
      <c r="A10" s="158" t="s">
        <v>664</v>
      </c>
      <c r="B10" s="158" t="s">
        <v>691</v>
      </c>
      <c r="C10" s="158" t="s">
        <v>213</v>
      </c>
      <c r="D10" s="158" t="s">
        <v>657</v>
      </c>
      <c r="E10" s="159">
        <v>5</v>
      </c>
      <c r="F10" s="371">
        <v>43646</v>
      </c>
      <c r="G10" s="374">
        <v>43661</v>
      </c>
      <c r="H10" s="157"/>
      <c r="I10" s="309">
        <f t="shared" si="1"/>
        <v>890</v>
      </c>
      <c r="J10" s="310">
        <f t="shared" si="12"/>
        <v>4450</v>
      </c>
      <c r="K10" s="310"/>
      <c r="L10" s="310">
        <f t="shared" si="13"/>
        <v>445</v>
      </c>
      <c r="M10" s="310"/>
      <c r="N10" s="311">
        <f t="shared" si="14"/>
        <v>4895</v>
      </c>
      <c r="O10" s="312">
        <f t="shared" si="15"/>
        <v>0</v>
      </c>
      <c r="P10" s="309">
        <f t="shared" si="5"/>
        <v>845.5</v>
      </c>
      <c r="Q10" s="310">
        <f t="shared" si="16"/>
        <v>4227.5</v>
      </c>
      <c r="R10" s="309">
        <f t="shared" si="6"/>
        <v>0</v>
      </c>
      <c r="S10" s="310">
        <f t="shared" si="17"/>
        <v>4227.5</v>
      </c>
      <c r="T10" s="312">
        <f t="shared" si="18"/>
        <v>222.5</v>
      </c>
      <c r="U10" s="313" t="str">
        <f t="shared" si="9"/>
        <v>Paxus</v>
      </c>
      <c r="V10" s="309" t="str">
        <f t="shared" si="10"/>
        <v>Energy Queensland</v>
      </c>
      <c r="W10" s="314" t="str">
        <f t="shared" si="19"/>
        <v>2019-M12</v>
      </c>
      <c r="X10" s="314" t="str">
        <f t="shared" si="20"/>
        <v>2020-M01</v>
      </c>
    </row>
    <row r="11" spans="1:24" x14ac:dyDescent="0.25">
      <c r="A11" s="158" t="s">
        <v>145</v>
      </c>
      <c r="B11" s="158" t="s">
        <v>726</v>
      </c>
      <c r="C11" s="158" t="s">
        <v>154</v>
      </c>
      <c r="D11" s="158" t="s">
        <v>649</v>
      </c>
      <c r="E11" s="159">
        <v>10</v>
      </c>
      <c r="F11" s="371">
        <v>43646</v>
      </c>
      <c r="G11" s="372">
        <v>43656</v>
      </c>
      <c r="H11" s="157"/>
      <c r="I11" s="309">
        <f t="shared" si="1"/>
        <v>700</v>
      </c>
      <c r="J11" s="310">
        <f t="shared" si="12"/>
        <v>7000</v>
      </c>
      <c r="K11" s="310"/>
      <c r="L11" s="310">
        <f t="shared" si="13"/>
        <v>700</v>
      </c>
      <c r="M11" s="310"/>
      <c r="N11" s="311">
        <f t="shared" si="14"/>
        <v>7700</v>
      </c>
      <c r="O11" s="312">
        <f t="shared" si="15"/>
        <v>0</v>
      </c>
      <c r="P11" s="309">
        <f t="shared" si="5"/>
        <v>665</v>
      </c>
      <c r="Q11" s="310">
        <f t="shared" si="16"/>
        <v>6650</v>
      </c>
      <c r="R11" s="309">
        <f t="shared" si="6"/>
        <v>665</v>
      </c>
      <c r="S11" s="310">
        <f t="shared" si="17"/>
        <v>7315</v>
      </c>
      <c r="T11" s="312">
        <f t="shared" si="18"/>
        <v>350</v>
      </c>
      <c r="U11" s="313" t="str">
        <f t="shared" si="9"/>
        <v>Taggle Systems</v>
      </c>
      <c r="V11" s="309" t="str">
        <f t="shared" si="10"/>
        <v>Taggle</v>
      </c>
      <c r="W11" s="314" t="str">
        <f t="shared" si="19"/>
        <v>2019-M12</v>
      </c>
      <c r="X11" s="314" t="str">
        <f t="shared" si="20"/>
        <v>2020-M01</v>
      </c>
    </row>
    <row r="12" spans="1:24" x14ac:dyDescent="0.25">
      <c r="A12" s="157" t="s">
        <v>158</v>
      </c>
      <c r="B12" s="157" t="s">
        <v>731</v>
      </c>
      <c r="C12" s="157" t="s">
        <v>691</v>
      </c>
      <c r="D12" s="157" t="s">
        <v>55</v>
      </c>
      <c r="E12" s="159">
        <v>3.5</v>
      </c>
      <c r="F12" s="369">
        <v>43653</v>
      </c>
      <c r="G12" s="374">
        <v>43656</v>
      </c>
      <c r="H12" s="157"/>
      <c r="I12" s="309">
        <f t="shared" si="1"/>
        <v>980</v>
      </c>
      <c r="J12" s="310">
        <f t="shared" si="12"/>
        <v>3430</v>
      </c>
      <c r="K12" s="310"/>
      <c r="L12" s="310">
        <f t="shared" si="13"/>
        <v>343</v>
      </c>
      <c r="M12" s="310"/>
      <c r="N12" s="311">
        <f t="shared" si="14"/>
        <v>3773</v>
      </c>
      <c r="O12" s="312">
        <f t="shared" si="15"/>
        <v>0</v>
      </c>
      <c r="P12" s="309">
        <f t="shared" si="5"/>
        <v>900</v>
      </c>
      <c r="Q12" s="310">
        <f t="shared" si="16"/>
        <v>3150</v>
      </c>
      <c r="R12" s="309">
        <f t="shared" si="6"/>
        <v>0</v>
      </c>
      <c r="S12" s="310">
        <f t="shared" si="17"/>
        <v>3150</v>
      </c>
      <c r="T12" s="312">
        <f t="shared" si="18"/>
        <v>280</v>
      </c>
      <c r="U12" s="313" t="str">
        <f t="shared" si="9"/>
        <v>Hays</v>
      </c>
      <c r="V12" s="309" t="str">
        <f t="shared" si="10"/>
        <v>MLC</v>
      </c>
      <c r="W12" s="314" t="str">
        <f t="shared" si="19"/>
        <v>2020-M01</v>
      </c>
      <c r="X12" s="314" t="str">
        <f t="shared" si="20"/>
        <v>2020-M01</v>
      </c>
    </row>
    <row r="13" spans="1:24" x14ac:dyDescent="0.25">
      <c r="A13" s="158" t="s">
        <v>158</v>
      </c>
      <c r="B13" s="158" t="s">
        <v>731</v>
      </c>
      <c r="C13" s="158" t="s">
        <v>726</v>
      </c>
      <c r="D13" s="158" t="s">
        <v>55</v>
      </c>
      <c r="E13" s="159">
        <v>4</v>
      </c>
      <c r="F13" s="371">
        <v>43658</v>
      </c>
      <c r="G13" s="372">
        <v>43658</v>
      </c>
      <c r="H13" s="157"/>
      <c r="I13" s="309">
        <f t="shared" si="1"/>
        <v>980</v>
      </c>
      <c r="J13" s="310">
        <f t="shared" si="12"/>
        <v>3920</v>
      </c>
      <c r="K13" s="310"/>
      <c r="L13" s="310">
        <f t="shared" si="13"/>
        <v>392</v>
      </c>
      <c r="M13" s="310"/>
      <c r="N13" s="311">
        <f t="shared" si="14"/>
        <v>4312</v>
      </c>
      <c r="O13" s="312">
        <f t="shared" si="15"/>
        <v>0</v>
      </c>
      <c r="P13" s="309">
        <f t="shared" si="5"/>
        <v>900</v>
      </c>
      <c r="Q13" s="310">
        <f t="shared" si="16"/>
        <v>3600</v>
      </c>
      <c r="R13" s="309">
        <f t="shared" si="6"/>
        <v>0</v>
      </c>
      <c r="S13" s="310">
        <f t="shared" si="17"/>
        <v>3600</v>
      </c>
      <c r="T13" s="312">
        <f t="shared" si="18"/>
        <v>320</v>
      </c>
      <c r="U13" s="313" t="str">
        <f t="shared" si="9"/>
        <v>Hays</v>
      </c>
      <c r="V13" s="309" t="str">
        <f t="shared" si="10"/>
        <v>MLC</v>
      </c>
      <c r="W13" s="314" t="str">
        <f t="shared" si="19"/>
        <v>2020-M01</v>
      </c>
      <c r="X13" s="314" t="str">
        <f t="shared" si="20"/>
        <v>2020-M01</v>
      </c>
    </row>
    <row r="14" spans="1:24" x14ac:dyDescent="0.25">
      <c r="A14" s="158" t="s">
        <v>145</v>
      </c>
      <c r="B14" s="158" t="s">
        <v>726</v>
      </c>
      <c r="C14" s="158" t="s">
        <v>147</v>
      </c>
      <c r="D14" s="158" t="s">
        <v>649</v>
      </c>
      <c r="E14" s="159">
        <v>9.5</v>
      </c>
      <c r="F14" s="371">
        <v>43669</v>
      </c>
      <c r="G14" s="372">
        <v>43670</v>
      </c>
      <c r="H14" s="157"/>
      <c r="I14" s="309">
        <f t="shared" si="1"/>
        <v>700</v>
      </c>
      <c r="J14" s="310">
        <f t="shared" si="12"/>
        <v>6650</v>
      </c>
      <c r="K14" s="310"/>
      <c r="L14" s="310">
        <f t="shared" si="13"/>
        <v>665</v>
      </c>
      <c r="M14" s="310"/>
      <c r="N14" s="311">
        <f t="shared" si="14"/>
        <v>7315</v>
      </c>
      <c r="O14" s="312">
        <f t="shared" si="15"/>
        <v>0</v>
      </c>
      <c r="P14" s="309">
        <f t="shared" si="5"/>
        <v>665</v>
      </c>
      <c r="Q14" s="310">
        <f t="shared" si="16"/>
        <v>6317.5</v>
      </c>
      <c r="R14" s="309">
        <f t="shared" si="6"/>
        <v>631.75</v>
      </c>
      <c r="S14" s="310">
        <f t="shared" si="17"/>
        <v>6949.25</v>
      </c>
      <c r="T14" s="312">
        <f t="shared" si="18"/>
        <v>332.5</v>
      </c>
      <c r="U14" s="313" t="str">
        <f t="shared" si="9"/>
        <v>Taggle Systems</v>
      </c>
      <c r="V14" s="309" t="str">
        <f t="shared" si="10"/>
        <v>Taggle</v>
      </c>
      <c r="W14" s="314" t="str">
        <f t="shared" si="19"/>
        <v>2020-M01</v>
      </c>
      <c r="X14" s="314" t="str">
        <f t="shared" si="20"/>
        <v>2020-M01</v>
      </c>
    </row>
    <row r="15" spans="1:24" x14ac:dyDescent="0.25">
      <c r="A15" s="158" t="s">
        <v>664</v>
      </c>
      <c r="B15" s="158" t="s">
        <v>726</v>
      </c>
      <c r="C15" s="158" t="s">
        <v>775</v>
      </c>
      <c r="D15" s="158" t="s">
        <v>657</v>
      </c>
      <c r="E15" s="159">
        <v>5</v>
      </c>
      <c r="F15" s="371">
        <v>43653</v>
      </c>
      <c r="G15" s="374">
        <v>43668</v>
      </c>
      <c r="H15" s="157"/>
      <c r="I15" s="309">
        <f t="shared" si="1"/>
        <v>890.21</v>
      </c>
      <c r="J15" s="310">
        <f t="shared" si="12"/>
        <v>4451.05</v>
      </c>
      <c r="K15" s="310"/>
      <c r="L15" s="310">
        <f t="shared" si="13"/>
        <v>445.11</v>
      </c>
      <c r="M15" s="310"/>
      <c r="N15" s="311">
        <f t="shared" si="14"/>
        <v>4896.16</v>
      </c>
      <c r="O15" s="312">
        <f t="shared" si="15"/>
        <v>0</v>
      </c>
      <c r="P15" s="309">
        <f t="shared" si="5"/>
        <v>845.69949999999994</v>
      </c>
      <c r="Q15" s="310">
        <f t="shared" si="16"/>
        <v>4228.4974999999995</v>
      </c>
      <c r="R15" s="309">
        <f t="shared" si="6"/>
        <v>0</v>
      </c>
      <c r="S15" s="310">
        <f t="shared" si="17"/>
        <v>4228.4974999999995</v>
      </c>
      <c r="T15" s="312">
        <f t="shared" si="18"/>
        <v>222.55250000000069</v>
      </c>
      <c r="U15" s="313" t="str">
        <f t="shared" si="9"/>
        <v>Paxus</v>
      </c>
      <c r="V15" s="309" t="str">
        <f t="shared" si="10"/>
        <v>Energy Queensland</v>
      </c>
      <c r="W15" s="314" t="str">
        <f t="shared" si="19"/>
        <v>2020-M01</v>
      </c>
      <c r="X15" s="314" t="str">
        <f t="shared" si="20"/>
        <v>2020-M01</v>
      </c>
    </row>
    <row r="16" spans="1:24" x14ac:dyDescent="0.25">
      <c r="A16" s="158" t="s">
        <v>147</v>
      </c>
      <c r="B16" s="158" t="s">
        <v>145</v>
      </c>
      <c r="C16" s="158" t="s">
        <v>781</v>
      </c>
      <c r="D16" s="158" t="s">
        <v>57</v>
      </c>
      <c r="E16" s="159">
        <v>13</v>
      </c>
      <c r="F16" s="369">
        <v>43667</v>
      </c>
      <c r="G16" s="374">
        <v>43671</v>
      </c>
      <c r="H16" s="157"/>
      <c r="I16" s="309">
        <f t="shared" si="1"/>
        <v>1000</v>
      </c>
      <c r="J16" s="310">
        <f t="shared" si="12"/>
        <v>13000</v>
      </c>
      <c r="K16" s="310"/>
      <c r="L16" s="310">
        <f t="shared" si="13"/>
        <v>1300</v>
      </c>
      <c r="M16" s="310"/>
      <c r="N16" s="311">
        <f t="shared" si="14"/>
        <v>14300</v>
      </c>
      <c r="O16" s="312">
        <f t="shared" si="15"/>
        <v>0</v>
      </c>
      <c r="P16" s="309">
        <f t="shared" si="5"/>
        <v>980</v>
      </c>
      <c r="Q16" s="310">
        <f t="shared" si="16"/>
        <v>12740</v>
      </c>
      <c r="R16" s="309">
        <f t="shared" si="6"/>
        <v>0</v>
      </c>
      <c r="S16" s="310">
        <f t="shared" si="17"/>
        <v>12740</v>
      </c>
      <c r="T16" s="312">
        <f t="shared" si="18"/>
        <v>260</v>
      </c>
      <c r="U16" s="313" t="str">
        <f t="shared" si="9"/>
        <v>M&amp;T Resources</v>
      </c>
      <c r="V16" s="309" t="str">
        <f t="shared" si="10"/>
        <v>Energy Queensland</v>
      </c>
      <c r="W16" s="314" t="str">
        <f t="shared" si="19"/>
        <v>2020-M01</v>
      </c>
      <c r="X16" s="314" t="str">
        <f t="shared" si="20"/>
        <v>2020-M01</v>
      </c>
    </row>
    <row r="17" spans="1:24" x14ac:dyDescent="0.25">
      <c r="A17" s="158" t="s">
        <v>147</v>
      </c>
      <c r="B17" s="158" t="s">
        <v>695</v>
      </c>
      <c r="C17" s="158" t="s">
        <v>781</v>
      </c>
      <c r="D17" s="158" t="s">
        <v>669</v>
      </c>
      <c r="E17" s="159">
        <v>13</v>
      </c>
      <c r="F17" s="369">
        <v>43667</v>
      </c>
      <c r="G17" s="374">
        <v>43671</v>
      </c>
      <c r="H17" s="157"/>
      <c r="I17" s="309">
        <f t="shared" si="1"/>
        <v>900</v>
      </c>
      <c r="J17" s="310">
        <f t="shared" si="12"/>
        <v>11700</v>
      </c>
      <c r="K17" s="310"/>
      <c r="L17" s="310">
        <f t="shared" si="13"/>
        <v>1170</v>
      </c>
      <c r="M17" s="310"/>
      <c r="N17" s="311">
        <f t="shared" si="14"/>
        <v>12870</v>
      </c>
      <c r="O17" s="312">
        <f t="shared" si="15"/>
        <v>0</v>
      </c>
      <c r="P17" s="309">
        <f t="shared" si="5"/>
        <v>855</v>
      </c>
      <c r="Q17" s="310">
        <f t="shared" si="16"/>
        <v>11115</v>
      </c>
      <c r="R17" s="309">
        <f t="shared" si="6"/>
        <v>0</v>
      </c>
      <c r="S17" s="310">
        <f t="shared" si="17"/>
        <v>11115</v>
      </c>
      <c r="T17" s="312">
        <f t="shared" si="18"/>
        <v>585</v>
      </c>
      <c r="U17" s="313" t="str">
        <f t="shared" si="9"/>
        <v>M&amp;T Resources</v>
      </c>
      <c r="V17" s="309" t="str">
        <f t="shared" si="10"/>
        <v>Energy Queensland</v>
      </c>
      <c r="W17" s="314" t="str">
        <f t="shared" si="19"/>
        <v>2020-M01</v>
      </c>
      <c r="X17" s="314" t="str">
        <f t="shared" si="20"/>
        <v>2020-M01</v>
      </c>
    </row>
    <row r="18" spans="1:24" x14ac:dyDescent="0.25">
      <c r="A18" s="157" t="s">
        <v>650</v>
      </c>
      <c r="B18" s="157" t="s">
        <v>691</v>
      </c>
      <c r="C18" s="157" t="s">
        <v>144</v>
      </c>
      <c r="D18" s="157" t="s">
        <v>55</v>
      </c>
      <c r="E18" s="159">
        <v>2</v>
      </c>
      <c r="F18" s="369">
        <v>43658</v>
      </c>
      <c r="G18" s="374">
        <v>43671</v>
      </c>
      <c r="H18" s="157"/>
      <c r="I18" s="309">
        <f>IF(ISBLANK(B18),0,VLOOKUP(A18&amp;B18,Project,3))</f>
        <v>950</v>
      </c>
      <c r="J18" s="310">
        <f>E18*I18</f>
        <v>1900</v>
      </c>
      <c r="K18" s="310"/>
      <c r="L18" s="310">
        <f>ROUND((J18+K18)*0.1,2)</f>
        <v>190</v>
      </c>
      <c r="M18" s="310"/>
      <c r="N18" s="311">
        <f>SUM(J18:M18)</f>
        <v>2090</v>
      </c>
      <c r="O18" s="312">
        <f>IF(ISBLANK(G18),N18,0)</f>
        <v>0</v>
      </c>
      <c r="P18" s="309">
        <f>IF(ISBLANK(C18),0,VLOOKUP(A18&amp;B18,Project,4))</f>
        <v>900</v>
      </c>
      <c r="Q18" s="310">
        <f>E18*P18</f>
        <v>1800</v>
      </c>
      <c r="R18" s="309">
        <f>IF(ISBLANK(C18),0,VLOOKUP(A18&amp;B18,Project,5))*Q18*0.1</f>
        <v>0</v>
      </c>
      <c r="S18" s="310">
        <f>SUM(Q18:R18)</f>
        <v>1800</v>
      </c>
      <c r="T18" s="312">
        <f>IF(Q18=0,0,J18-Q18)</f>
        <v>100</v>
      </c>
      <c r="U18" s="313" t="str">
        <f t="shared" si="9"/>
        <v>Mine Super</v>
      </c>
      <c r="V18" s="309" t="str">
        <f t="shared" si="10"/>
        <v>Mine Super</v>
      </c>
      <c r="W18" s="314" t="str">
        <f>GETPERIOD(F18)</f>
        <v>2020-M01</v>
      </c>
      <c r="X18" s="314" t="str">
        <f>GETPERIOD(G18)</f>
        <v>2020-M01</v>
      </c>
    </row>
    <row r="19" spans="1:24" x14ac:dyDescent="0.25">
      <c r="A19" s="158" t="s">
        <v>650</v>
      </c>
      <c r="B19" s="158" t="s">
        <v>691</v>
      </c>
      <c r="C19" s="158" t="s">
        <v>151</v>
      </c>
      <c r="D19" s="158" t="s">
        <v>55</v>
      </c>
      <c r="E19" s="159">
        <v>1.5</v>
      </c>
      <c r="F19" s="371">
        <v>43672</v>
      </c>
      <c r="G19" s="374">
        <v>43678</v>
      </c>
      <c r="H19" s="157"/>
      <c r="I19" s="309">
        <f t="shared" ref="I19" si="22">IF(ISBLANK(B19),0,VLOOKUP(A19&amp;B19,Project,3))</f>
        <v>950</v>
      </c>
      <c r="J19" s="310">
        <f t="shared" ref="J19" si="23">E19*I19</f>
        <v>1425</v>
      </c>
      <c r="K19" s="310"/>
      <c r="L19" s="310">
        <f t="shared" ref="L19" si="24">ROUND((J19+K19)*0.1,2)</f>
        <v>142.5</v>
      </c>
      <c r="M19" s="310"/>
      <c r="N19" s="311">
        <f t="shared" ref="N19" si="25">SUM(J19:M19)</f>
        <v>1567.5</v>
      </c>
      <c r="O19" s="312">
        <f t="shared" ref="O19" si="26">IF(ISBLANK(G19),N19,0)</f>
        <v>0</v>
      </c>
      <c r="P19" s="309">
        <f t="shared" ref="P19" si="27">IF(ISBLANK(C19),0,VLOOKUP(A19&amp;B19,Project,4))</f>
        <v>900</v>
      </c>
      <c r="Q19" s="310">
        <f t="shared" ref="Q19" si="28">E19*P19</f>
        <v>1350</v>
      </c>
      <c r="R19" s="309">
        <f t="shared" ref="R19" si="29">IF(ISBLANK(C19),0,VLOOKUP(A19&amp;B19,Project,5))*Q19*0.1</f>
        <v>0</v>
      </c>
      <c r="S19" s="310">
        <f t="shared" ref="S19" si="30">SUM(Q19:R19)</f>
        <v>1350</v>
      </c>
      <c r="T19" s="312">
        <f t="shared" ref="T19" si="31">IF(Q19=0,0,J19-Q19)</f>
        <v>75</v>
      </c>
      <c r="U19" s="313" t="str">
        <f t="shared" si="9"/>
        <v>Mine Super</v>
      </c>
      <c r="V19" s="309" t="str">
        <f t="shared" si="10"/>
        <v>Mine Super</v>
      </c>
      <c r="W19" s="314" t="str">
        <f t="shared" ref="W19" si="32">GETPERIOD(F19)</f>
        <v>2020-M01</v>
      </c>
      <c r="X19" s="314" t="str">
        <f t="shared" ref="X19" si="33">GETPERIOD(G19)</f>
        <v>2020-M02</v>
      </c>
    </row>
    <row r="20" spans="1:24" x14ac:dyDescent="0.25">
      <c r="A20" s="158" t="s">
        <v>664</v>
      </c>
      <c r="B20" s="158" t="s">
        <v>726</v>
      </c>
      <c r="C20" s="158" t="s">
        <v>788</v>
      </c>
      <c r="D20" s="158" t="s">
        <v>657</v>
      </c>
      <c r="E20" s="159">
        <v>5</v>
      </c>
      <c r="F20" s="369">
        <v>43660</v>
      </c>
      <c r="G20" s="374">
        <v>43675</v>
      </c>
      <c r="H20" s="157"/>
      <c r="I20" s="309">
        <f>IF(ISBLANK(B20),0,VLOOKUP(A20&amp;B20,Project,3))</f>
        <v>890.21</v>
      </c>
      <c r="J20" s="310">
        <f>E20*I20</f>
        <v>4451.05</v>
      </c>
      <c r="K20" s="310"/>
      <c r="L20" s="310">
        <f>ROUND((J20+K20)*0.1,2)</f>
        <v>445.11</v>
      </c>
      <c r="M20" s="310"/>
      <c r="N20" s="311">
        <f>SUM(J20:M20)</f>
        <v>4896.16</v>
      </c>
      <c r="O20" s="312">
        <f>IF(ISBLANK(G20),N20,0)</f>
        <v>0</v>
      </c>
      <c r="P20" s="309">
        <f>IF(ISBLANK(C20),0,VLOOKUP(A20&amp;B20,Project,4))</f>
        <v>845.69949999999994</v>
      </c>
      <c r="Q20" s="310">
        <f>E20*P20</f>
        <v>4228.4974999999995</v>
      </c>
      <c r="R20" s="309">
        <f>IF(ISBLANK(C20),0,VLOOKUP(A20&amp;B20,Project,5))*Q20*0.1</f>
        <v>0</v>
      </c>
      <c r="S20" s="310">
        <f>SUM(Q20:R20)</f>
        <v>4228.4974999999995</v>
      </c>
      <c r="T20" s="312">
        <f>IF(Q20=0,0,J20-Q20)</f>
        <v>222.55250000000069</v>
      </c>
      <c r="U20" s="313" t="str">
        <f t="shared" si="9"/>
        <v>Paxus</v>
      </c>
      <c r="V20" s="309" t="str">
        <f t="shared" si="10"/>
        <v>Energy Queensland</v>
      </c>
      <c r="W20" s="314" t="str">
        <f>GETPERIOD(F20)</f>
        <v>2020-M01</v>
      </c>
      <c r="X20" s="314" t="str">
        <f>GETPERIOD(G20)</f>
        <v>2020-M01</v>
      </c>
    </row>
    <row r="21" spans="1:24" x14ac:dyDescent="0.25">
      <c r="A21" s="158" t="s">
        <v>158</v>
      </c>
      <c r="B21" s="158" t="s">
        <v>731</v>
      </c>
      <c r="C21" s="158" t="s">
        <v>731</v>
      </c>
      <c r="D21" s="158" t="s">
        <v>55</v>
      </c>
      <c r="E21" s="159">
        <v>4</v>
      </c>
      <c r="F21" s="369">
        <v>43672</v>
      </c>
      <c r="G21" s="374">
        <v>43672</v>
      </c>
      <c r="H21" s="157"/>
      <c r="I21" s="309">
        <f>IF(ISBLANK(B21),0,VLOOKUP(A21&amp;B21,Project,3))</f>
        <v>980</v>
      </c>
      <c r="J21" s="310">
        <f>E21*I21</f>
        <v>3920</v>
      </c>
      <c r="K21" s="310"/>
      <c r="L21" s="310">
        <f>ROUND((J21+K21)*0.1,2)</f>
        <v>392</v>
      </c>
      <c r="M21" s="310"/>
      <c r="N21" s="311">
        <f>SUM(J21:M21)</f>
        <v>4312</v>
      </c>
      <c r="O21" s="312">
        <f>IF(ISBLANK(G21),N21,0)</f>
        <v>0</v>
      </c>
      <c r="P21" s="309">
        <f>IF(ISBLANK(C21),0,VLOOKUP(A21&amp;B21,Project,4))</f>
        <v>900</v>
      </c>
      <c r="Q21" s="310">
        <f>E21*P21</f>
        <v>3600</v>
      </c>
      <c r="R21" s="309">
        <f>IF(ISBLANK(C21),0,VLOOKUP(A21&amp;B21,Project,5))*Q21*0.1</f>
        <v>0</v>
      </c>
      <c r="S21" s="310">
        <f>SUM(Q21:R21)</f>
        <v>3600</v>
      </c>
      <c r="T21" s="312">
        <f>IF(Q21=0,0,J21-Q21)</f>
        <v>320</v>
      </c>
      <c r="U21" s="313" t="str">
        <f>IF(ISBLANK($A21),"",VLOOKUP($A21,Customer,2))</f>
        <v>Hays</v>
      </c>
      <c r="V21" s="309" t="str">
        <f>IF(ISBLANK($A21),"",VLOOKUP(CONCATENATE($A21,$B21),invProject,2))</f>
        <v>MLC</v>
      </c>
      <c r="W21" s="314" t="str">
        <f>GETPERIOD(F21)</f>
        <v>2020-M01</v>
      </c>
      <c r="X21" s="314" t="str">
        <f>GETPERIOD(G21)</f>
        <v>2020-M01</v>
      </c>
    </row>
    <row r="22" spans="1:24" x14ac:dyDescent="0.25">
      <c r="A22" s="158" t="s">
        <v>650</v>
      </c>
      <c r="B22" s="158" t="s">
        <v>691</v>
      </c>
      <c r="C22" s="157" t="s">
        <v>155</v>
      </c>
      <c r="D22" s="158" t="s">
        <v>55</v>
      </c>
      <c r="E22" s="159">
        <v>3</v>
      </c>
      <c r="F22" s="369">
        <v>43686</v>
      </c>
      <c r="G22" s="374">
        <v>43699</v>
      </c>
      <c r="H22" s="157"/>
      <c r="I22" s="309">
        <f t="shared" si="1"/>
        <v>950</v>
      </c>
      <c r="J22" s="310">
        <f t="shared" si="12"/>
        <v>2850</v>
      </c>
      <c r="K22" s="310"/>
      <c r="L22" s="310">
        <f t="shared" si="13"/>
        <v>285</v>
      </c>
      <c r="M22" s="310"/>
      <c r="N22" s="311">
        <f t="shared" si="14"/>
        <v>3135</v>
      </c>
      <c r="O22" s="312">
        <f t="shared" si="15"/>
        <v>0</v>
      </c>
      <c r="P22" s="309">
        <f t="shared" si="5"/>
        <v>900</v>
      </c>
      <c r="Q22" s="310">
        <f t="shared" si="16"/>
        <v>2700</v>
      </c>
      <c r="R22" s="309">
        <f t="shared" si="6"/>
        <v>0</v>
      </c>
      <c r="S22" s="310">
        <f t="shared" si="17"/>
        <v>2700</v>
      </c>
      <c r="T22" s="312">
        <f t="shared" si="18"/>
        <v>150</v>
      </c>
      <c r="U22" s="313" t="str">
        <f t="shared" si="9"/>
        <v>Mine Super</v>
      </c>
      <c r="V22" s="309" t="str">
        <f t="shared" si="10"/>
        <v>Mine Super</v>
      </c>
      <c r="W22" s="314" t="str">
        <f t="shared" si="19"/>
        <v>2020-M02</v>
      </c>
      <c r="X22" s="314" t="str">
        <f t="shared" si="20"/>
        <v>2020-M02</v>
      </c>
    </row>
    <row r="23" spans="1:24" x14ac:dyDescent="0.25">
      <c r="A23" s="158" t="s">
        <v>664</v>
      </c>
      <c r="B23" s="158" t="s">
        <v>726</v>
      </c>
      <c r="C23" s="158" t="s">
        <v>802</v>
      </c>
      <c r="D23" s="158" t="s">
        <v>657</v>
      </c>
      <c r="E23" s="159">
        <v>5</v>
      </c>
      <c r="F23" s="369">
        <v>43667</v>
      </c>
      <c r="G23" s="374">
        <v>43682</v>
      </c>
      <c r="H23" s="157"/>
      <c r="I23" s="309">
        <f t="shared" si="1"/>
        <v>890.21</v>
      </c>
      <c r="J23" s="310">
        <f t="shared" si="12"/>
        <v>4451.05</v>
      </c>
      <c r="K23" s="310"/>
      <c r="L23" s="310">
        <f t="shared" si="13"/>
        <v>445.11</v>
      </c>
      <c r="M23" s="310"/>
      <c r="N23" s="311">
        <f t="shared" si="14"/>
        <v>4896.16</v>
      </c>
      <c r="O23" s="312">
        <f t="shared" si="15"/>
        <v>0</v>
      </c>
      <c r="P23" s="309">
        <f t="shared" si="5"/>
        <v>845.69949999999994</v>
      </c>
      <c r="Q23" s="310">
        <f t="shared" si="16"/>
        <v>4228.4974999999995</v>
      </c>
      <c r="R23" s="309">
        <f t="shared" si="6"/>
        <v>0</v>
      </c>
      <c r="S23" s="310">
        <f t="shared" si="17"/>
        <v>4228.4974999999995</v>
      </c>
      <c r="T23" s="312">
        <f t="shared" si="18"/>
        <v>222.55250000000069</v>
      </c>
      <c r="U23" s="313" t="str">
        <f t="shared" si="9"/>
        <v>Paxus</v>
      </c>
      <c r="V23" s="309" t="str">
        <f t="shared" si="10"/>
        <v>Energy Queensland</v>
      </c>
      <c r="W23" s="314" t="str">
        <f t="shared" si="19"/>
        <v>2020-M01</v>
      </c>
      <c r="X23" s="314" t="str">
        <f t="shared" si="20"/>
        <v>2020-M02</v>
      </c>
    </row>
    <row r="24" spans="1:24" x14ac:dyDescent="0.25">
      <c r="A24" s="158" t="s">
        <v>664</v>
      </c>
      <c r="B24" s="158" t="s">
        <v>726</v>
      </c>
      <c r="C24" s="158" t="s">
        <v>216</v>
      </c>
      <c r="D24" s="158" t="s">
        <v>657</v>
      </c>
      <c r="E24" s="159">
        <v>5</v>
      </c>
      <c r="F24" s="369">
        <v>43674</v>
      </c>
      <c r="G24" s="374">
        <v>43689</v>
      </c>
      <c r="H24" s="157"/>
      <c r="I24" s="309">
        <f t="shared" si="1"/>
        <v>890.21</v>
      </c>
      <c r="J24" s="310">
        <f t="shared" si="12"/>
        <v>4451.05</v>
      </c>
      <c r="K24" s="310"/>
      <c r="L24" s="310">
        <f t="shared" si="13"/>
        <v>445.11</v>
      </c>
      <c r="M24" s="310"/>
      <c r="N24" s="311">
        <f>SUM(J24:M24)</f>
        <v>4896.16</v>
      </c>
      <c r="O24" s="312">
        <f t="shared" si="15"/>
        <v>0</v>
      </c>
      <c r="P24" s="309">
        <f t="shared" si="5"/>
        <v>845.69949999999994</v>
      </c>
      <c r="Q24" s="310">
        <f t="shared" si="16"/>
        <v>4228.4974999999995</v>
      </c>
      <c r="R24" s="309">
        <f t="shared" si="6"/>
        <v>0</v>
      </c>
      <c r="S24" s="310">
        <f t="shared" si="17"/>
        <v>4228.4974999999995</v>
      </c>
      <c r="T24" s="312">
        <f t="shared" si="18"/>
        <v>222.55250000000069</v>
      </c>
      <c r="U24" s="313" t="str">
        <f t="shared" si="9"/>
        <v>Paxus</v>
      </c>
      <c r="V24" s="309" t="str">
        <f t="shared" si="10"/>
        <v>Energy Queensland</v>
      </c>
      <c r="W24" s="314" t="str">
        <f t="shared" si="19"/>
        <v>2020-M01</v>
      </c>
      <c r="X24" s="314" t="str">
        <f t="shared" si="20"/>
        <v>2020-M02</v>
      </c>
    </row>
    <row r="25" spans="1:24" x14ac:dyDescent="0.25">
      <c r="A25" s="158" t="s">
        <v>158</v>
      </c>
      <c r="B25" s="158" t="s">
        <v>731</v>
      </c>
      <c r="C25" s="158" t="s">
        <v>803</v>
      </c>
      <c r="D25" s="158" t="s">
        <v>55</v>
      </c>
      <c r="E25" s="159">
        <v>4</v>
      </c>
      <c r="F25" s="369">
        <v>43679</v>
      </c>
      <c r="G25" s="374">
        <v>43679</v>
      </c>
      <c r="H25" s="157"/>
      <c r="I25" s="309">
        <f t="shared" si="1"/>
        <v>980</v>
      </c>
      <c r="J25" s="310">
        <f t="shared" si="12"/>
        <v>3920</v>
      </c>
      <c r="K25" s="310"/>
      <c r="L25" s="310">
        <f t="shared" si="13"/>
        <v>392</v>
      </c>
      <c r="M25" s="310"/>
      <c r="N25" s="311">
        <f t="shared" si="14"/>
        <v>4312</v>
      </c>
      <c r="O25" s="312">
        <f t="shared" si="15"/>
        <v>0</v>
      </c>
      <c r="P25" s="309">
        <f t="shared" si="5"/>
        <v>900</v>
      </c>
      <c r="Q25" s="310">
        <f t="shared" si="16"/>
        <v>3600</v>
      </c>
      <c r="R25" s="309">
        <f t="shared" si="6"/>
        <v>0</v>
      </c>
      <c r="S25" s="310">
        <f t="shared" si="17"/>
        <v>3600</v>
      </c>
      <c r="T25" s="312">
        <f t="shared" si="18"/>
        <v>320</v>
      </c>
      <c r="U25" s="313" t="str">
        <f t="shared" si="9"/>
        <v>Hays</v>
      </c>
      <c r="V25" s="309" t="str">
        <f t="shared" si="10"/>
        <v>MLC</v>
      </c>
      <c r="W25" s="314" t="str">
        <f t="shared" si="19"/>
        <v>2020-M02</v>
      </c>
      <c r="X25" s="314" t="str">
        <f t="shared" si="20"/>
        <v>2020-M02</v>
      </c>
    </row>
    <row r="26" spans="1:24" x14ac:dyDescent="0.25">
      <c r="A26" s="158" t="s">
        <v>147</v>
      </c>
      <c r="B26" s="158" t="s">
        <v>145</v>
      </c>
      <c r="C26" s="158" t="s">
        <v>812</v>
      </c>
      <c r="D26" s="158" t="s">
        <v>57</v>
      </c>
      <c r="E26" s="159">
        <v>13</v>
      </c>
      <c r="F26" s="369">
        <v>43681</v>
      </c>
      <c r="G26" s="374">
        <v>43685</v>
      </c>
      <c r="H26" s="157"/>
      <c r="I26" s="309">
        <f t="shared" si="1"/>
        <v>1000</v>
      </c>
      <c r="J26" s="310">
        <f t="shared" si="12"/>
        <v>13000</v>
      </c>
      <c r="K26" s="310"/>
      <c r="L26" s="310">
        <f t="shared" si="13"/>
        <v>1300</v>
      </c>
      <c r="M26" s="310"/>
      <c r="N26" s="311">
        <f t="shared" si="14"/>
        <v>14300</v>
      </c>
      <c r="O26" s="312">
        <f t="shared" si="15"/>
        <v>0</v>
      </c>
      <c r="P26" s="309">
        <f t="shared" si="5"/>
        <v>980</v>
      </c>
      <c r="Q26" s="310">
        <f t="shared" si="16"/>
        <v>12740</v>
      </c>
      <c r="R26" s="309">
        <f t="shared" si="6"/>
        <v>0</v>
      </c>
      <c r="S26" s="310">
        <f t="shared" si="17"/>
        <v>12740</v>
      </c>
      <c r="T26" s="312">
        <f t="shared" si="18"/>
        <v>260</v>
      </c>
      <c r="U26" s="313" t="str">
        <f t="shared" si="9"/>
        <v>M&amp;T Resources</v>
      </c>
      <c r="V26" s="309" t="str">
        <f t="shared" si="10"/>
        <v>Energy Queensland</v>
      </c>
      <c r="W26" s="314" t="str">
        <f t="shared" si="19"/>
        <v>2020-M02</v>
      </c>
      <c r="X26" s="314" t="str">
        <f t="shared" si="20"/>
        <v>2020-M02</v>
      </c>
    </row>
    <row r="27" spans="1:24" x14ac:dyDescent="0.25">
      <c r="A27" s="158" t="s">
        <v>147</v>
      </c>
      <c r="B27" s="158" t="s">
        <v>695</v>
      </c>
      <c r="C27" s="158" t="s">
        <v>812</v>
      </c>
      <c r="D27" s="158" t="s">
        <v>669</v>
      </c>
      <c r="E27" s="159">
        <v>12.5</v>
      </c>
      <c r="F27" s="369">
        <v>43681</v>
      </c>
      <c r="G27" s="374">
        <v>43685</v>
      </c>
      <c r="H27" s="157"/>
      <c r="I27" s="309">
        <f t="shared" si="1"/>
        <v>900</v>
      </c>
      <c r="J27" s="310">
        <f t="shared" si="12"/>
        <v>11250</v>
      </c>
      <c r="K27" s="310"/>
      <c r="L27" s="310">
        <f t="shared" si="13"/>
        <v>1125</v>
      </c>
      <c r="M27" s="310"/>
      <c r="N27" s="311">
        <f t="shared" si="14"/>
        <v>12375</v>
      </c>
      <c r="O27" s="312">
        <f t="shared" si="15"/>
        <v>0</v>
      </c>
      <c r="P27" s="309">
        <f t="shared" si="5"/>
        <v>855</v>
      </c>
      <c r="Q27" s="310">
        <f t="shared" si="16"/>
        <v>10687.5</v>
      </c>
      <c r="R27" s="309">
        <f t="shared" si="6"/>
        <v>0</v>
      </c>
      <c r="S27" s="310">
        <f t="shared" si="17"/>
        <v>10687.5</v>
      </c>
      <c r="T27" s="312">
        <f t="shared" si="18"/>
        <v>562.5</v>
      </c>
      <c r="U27" s="313" t="str">
        <f t="shared" si="9"/>
        <v>M&amp;T Resources</v>
      </c>
      <c r="V27" s="309" t="str">
        <f t="shared" si="10"/>
        <v>Energy Queensland</v>
      </c>
      <c r="W27" s="314" t="str">
        <f t="shared" si="19"/>
        <v>2020-M02</v>
      </c>
      <c r="X27" s="314" t="str">
        <f t="shared" si="20"/>
        <v>2020-M02</v>
      </c>
    </row>
    <row r="28" spans="1:24" x14ac:dyDescent="0.25">
      <c r="A28" s="158" t="s">
        <v>664</v>
      </c>
      <c r="B28" s="158" t="s">
        <v>726</v>
      </c>
      <c r="C28" s="158" t="s">
        <v>219</v>
      </c>
      <c r="D28" s="158" t="s">
        <v>657</v>
      </c>
      <c r="E28" s="159">
        <v>5</v>
      </c>
      <c r="F28" s="369">
        <v>43681</v>
      </c>
      <c r="G28" s="374">
        <v>43696</v>
      </c>
      <c r="H28" s="157"/>
      <c r="I28" s="309">
        <f t="shared" si="1"/>
        <v>890.21</v>
      </c>
      <c r="J28" s="310">
        <f t="shared" si="12"/>
        <v>4451.05</v>
      </c>
      <c r="K28" s="310"/>
      <c r="L28" s="310">
        <f t="shared" si="13"/>
        <v>445.11</v>
      </c>
      <c r="M28" s="310"/>
      <c r="N28" s="311">
        <f t="shared" si="14"/>
        <v>4896.16</v>
      </c>
      <c r="O28" s="312">
        <f t="shared" si="15"/>
        <v>0</v>
      </c>
      <c r="P28" s="309">
        <f t="shared" si="5"/>
        <v>845.69949999999994</v>
      </c>
      <c r="Q28" s="310">
        <f t="shared" si="16"/>
        <v>4228.4974999999995</v>
      </c>
      <c r="R28" s="309">
        <f t="shared" si="6"/>
        <v>0</v>
      </c>
      <c r="S28" s="310">
        <f t="shared" si="17"/>
        <v>4228.4974999999995</v>
      </c>
      <c r="T28" s="312">
        <f t="shared" si="18"/>
        <v>222.55250000000069</v>
      </c>
      <c r="U28" s="313" t="str">
        <f t="shared" si="9"/>
        <v>Paxus</v>
      </c>
      <c r="V28" s="309" t="str">
        <f t="shared" si="10"/>
        <v>Energy Queensland</v>
      </c>
      <c r="W28" s="314" t="str">
        <f t="shared" si="19"/>
        <v>2020-M02</v>
      </c>
      <c r="X28" s="314" t="str">
        <f t="shared" si="20"/>
        <v>2020-M02</v>
      </c>
    </row>
    <row r="29" spans="1:24" x14ac:dyDescent="0.25">
      <c r="A29" s="158" t="s">
        <v>145</v>
      </c>
      <c r="B29" s="158" t="s">
        <v>726</v>
      </c>
      <c r="C29" s="158" t="s">
        <v>156</v>
      </c>
      <c r="D29" s="158" t="s">
        <v>649</v>
      </c>
      <c r="E29" s="159">
        <v>10</v>
      </c>
      <c r="F29" s="369">
        <v>43688</v>
      </c>
      <c r="G29" s="374">
        <v>43691</v>
      </c>
      <c r="H29" s="157"/>
      <c r="I29" s="309">
        <f t="shared" si="1"/>
        <v>700</v>
      </c>
      <c r="J29" s="310">
        <f t="shared" si="12"/>
        <v>7000</v>
      </c>
      <c r="K29" s="310"/>
      <c r="L29" s="310">
        <f t="shared" si="13"/>
        <v>700</v>
      </c>
      <c r="M29" s="310"/>
      <c r="N29" s="311">
        <f t="shared" si="14"/>
        <v>7700</v>
      </c>
      <c r="O29" s="312">
        <f t="shared" si="15"/>
        <v>0</v>
      </c>
      <c r="P29" s="309">
        <f t="shared" si="5"/>
        <v>665</v>
      </c>
      <c r="Q29" s="310">
        <f t="shared" si="16"/>
        <v>6650</v>
      </c>
      <c r="R29" s="309">
        <f t="shared" si="6"/>
        <v>665</v>
      </c>
      <c r="S29" s="310">
        <f t="shared" si="17"/>
        <v>7315</v>
      </c>
      <c r="T29" s="312">
        <f t="shared" si="18"/>
        <v>350</v>
      </c>
      <c r="U29" s="313" t="str">
        <f t="shared" si="9"/>
        <v>Taggle Systems</v>
      </c>
      <c r="V29" s="309" t="str">
        <f t="shared" si="10"/>
        <v>Taggle</v>
      </c>
      <c r="W29" s="314" t="str">
        <f t="shared" si="19"/>
        <v>2020-M02</v>
      </c>
      <c r="X29" s="314" t="str">
        <f t="shared" si="20"/>
        <v>2020-M02</v>
      </c>
    </row>
    <row r="30" spans="1:24" x14ac:dyDescent="0.25">
      <c r="A30" s="158" t="s">
        <v>650</v>
      </c>
      <c r="B30" s="158" t="s">
        <v>691</v>
      </c>
      <c r="C30" s="158" t="s">
        <v>158</v>
      </c>
      <c r="D30" s="158" t="s">
        <v>55</v>
      </c>
      <c r="E30" s="159">
        <v>2.5</v>
      </c>
      <c r="F30" s="369">
        <v>43700</v>
      </c>
      <c r="G30" s="374">
        <v>43706</v>
      </c>
      <c r="H30" s="157"/>
      <c r="I30" s="309">
        <f t="shared" si="1"/>
        <v>950</v>
      </c>
      <c r="J30" s="310">
        <f t="shared" si="12"/>
        <v>2375</v>
      </c>
      <c r="K30" s="310"/>
      <c r="L30" s="310">
        <f t="shared" si="13"/>
        <v>237.5</v>
      </c>
      <c r="M30" s="310"/>
      <c r="N30" s="311">
        <f t="shared" si="14"/>
        <v>2612.5</v>
      </c>
      <c r="O30" s="312">
        <f t="shared" si="15"/>
        <v>0</v>
      </c>
      <c r="P30" s="309">
        <f t="shared" si="5"/>
        <v>900</v>
      </c>
      <c r="Q30" s="310">
        <f t="shared" si="16"/>
        <v>2250</v>
      </c>
      <c r="R30" s="309">
        <f t="shared" si="6"/>
        <v>0</v>
      </c>
      <c r="S30" s="310">
        <f t="shared" si="17"/>
        <v>2250</v>
      </c>
      <c r="T30" s="312">
        <f t="shared" si="18"/>
        <v>125</v>
      </c>
      <c r="U30" s="313" t="str">
        <f t="shared" si="9"/>
        <v>Mine Super</v>
      </c>
      <c r="V30" s="309" t="str">
        <f t="shared" si="10"/>
        <v>Mine Super</v>
      </c>
      <c r="W30" s="314" t="str">
        <f t="shared" si="19"/>
        <v>2020-M02</v>
      </c>
      <c r="X30" s="314" t="str">
        <f t="shared" si="20"/>
        <v>2020-M02</v>
      </c>
    </row>
    <row r="31" spans="1:24" x14ac:dyDescent="0.25">
      <c r="A31" s="157" t="s">
        <v>158</v>
      </c>
      <c r="B31" s="157" t="s">
        <v>731</v>
      </c>
      <c r="C31" s="157" t="s">
        <v>836</v>
      </c>
      <c r="D31" s="157" t="s">
        <v>55</v>
      </c>
      <c r="E31" s="159">
        <v>4</v>
      </c>
      <c r="F31" s="369">
        <v>43693</v>
      </c>
      <c r="G31" s="374">
        <v>43693</v>
      </c>
      <c r="H31" s="157"/>
      <c r="I31" s="309">
        <f>IF(ISBLANK(B31),0,VLOOKUP(A31&amp;B31,Project,3))</f>
        <v>980</v>
      </c>
      <c r="J31" s="310">
        <f>E31*I31</f>
        <v>3920</v>
      </c>
      <c r="K31" s="310"/>
      <c r="L31" s="310">
        <f>ROUND((J31+K31)*0.1,2)</f>
        <v>392</v>
      </c>
      <c r="M31" s="310"/>
      <c r="N31" s="311">
        <f>SUM(J31:M31)</f>
        <v>4312</v>
      </c>
      <c r="O31" s="312">
        <f>IF(ISBLANK(G31),N31,0)</f>
        <v>0</v>
      </c>
      <c r="P31" s="309">
        <f>IF(ISBLANK(C31),0,VLOOKUP(A31&amp;B31,Project,4))</f>
        <v>900</v>
      </c>
      <c r="Q31" s="310">
        <f>E31*P31</f>
        <v>3600</v>
      </c>
      <c r="R31" s="309">
        <f>IF(ISBLANK(C31),0,VLOOKUP(A31&amp;B31,Project,5))*Q31*0.1</f>
        <v>0</v>
      </c>
      <c r="S31" s="310">
        <f>SUM(Q31:R31)</f>
        <v>3600</v>
      </c>
      <c r="T31" s="312">
        <f>IF(Q31=0,0,J31-Q31)</f>
        <v>320</v>
      </c>
      <c r="U31" s="313" t="str">
        <f>IF(ISBLANK($A31),"",VLOOKUP($A31,Customer,2))</f>
        <v>Hays</v>
      </c>
      <c r="V31" s="309" t="str">
        <f>IF(ISBLANK($A31),"",VLOOKUP(CONCATENATE($A31,$B31),invProject,2))</f>
        <v>MLC</v>
      </c>
      <c r="W31" s="314" t="str">
        <f>GETPERIOD(F31)</f>
        <v>2020-M02</v>
      </c>
      <c r="X31" s="314" t="str">
        <f>GETPERIOD(G31)</f>
        <v>2020-M02</v>
      </c>
    </row>
    <row r="32" spans="1:24" x14ac:dyDescent="0.25">
      <c r="A32" s="158" t="s">
        <v>158</v>
      </c>
      <c r="B32" s="158" t="s">
        <v>731</v>
      </c>
      <c r="C32" s="158" t="s">
        <v>837</v>
      </c>
      <c r="D32" s="158" t="s">
        <v>55</v>
      </c>
      <c r="E32" s="159">
        <v>3.5</v>
      </c>
      <c r="F32" s="369">
        <v>43700</v>
      </c>
      <c r="G32" s="374">
        <v>43700</v>
      </c>
      <c r="H32" s="157"/>
      <c r="I32" s="309">
        <f t="shared" si="1"/>
        <v>980</v>
      </c>
      <c r="J32" s="310">
        <f t="shared" si="12"/>
        <v>3430</v>
      </c>
      <c r="K32" s="310"/>
      <c r="L32" s="310">
        <f t="shared" si="13"/>
        <v>343</v>
      </c>
      <c r="M32" s="310"/>
      <c r="N32" s="311">
        <f t="shared" si="14"/>
        <v>3773</v>
      </c>
      <c r="O32" s="312">
        <f t="shared" si="15"/>
        <v>0</v>
      </c>
      <c r="P32" s="309">
        <f t="shared" si="5"/>
        <v>900</v>
      </c>
      <c r="Q32" s="310">
        <f t="shared" si="16"/>
        <v>3150</v>
      </c>
      <c r="R32" s="309">
        <f t="shared" si="6"/>
        <v>0</v>
      </c>
      <c r="S32" s="310">
        <f t="shared" si="17"/>
        <v>3150</v>
      </c>
      <c r="T32" s="312">
        <f t="shared" si="18"/>
        <v>280</v>
      </c>
      <c r="U32" s="313" t="str">
        <f t="shared" si="9"/>
        <v>Hays</v>
      </c>
      <c r="V32" s="309" t="str">
        <f t="shared" si="10"/>
        <v>MLC</v>
      </c>
      <c r="W32" s="314" t="str">
        <f t="shared" si="19"/>
        <v>2020-M02</v>
      </c>
      <c r="X32" s="314" t="str">
        <f t="shared" si="20"/>
        <v>2020-M02</v>
      </c>
    </row>
    <row r="33" spans="1:24" x14ac:dyDescent="0.25">
      <c r="A33" s="157" t="s">
        <v>664</v>
      </c>
      <c r="B33" s="157" t="s">
        <v>726</v>
      </c>
      <c r="C33" s="157" t="s">
        <v>148</v>
      </c>
      <c r="D33" s="157" t="s">
        <v>657</v>
      </c>
      <c r="E33" s="159">
        <v>5</v>
      </c>
      <c r="F33" s="369">
        <v>43688</v>
      </c>
      <c r="G33" s="374">
        <v>43703</v>
      </c>
      <c r="H33" s="157"/>
      <c r="I33" s="309">
        <f t="shared" si="1"/>
        <v>890.21</v>
      </c>
      <c r="J33" s="310">
        <f t="shared" si="12"/>
        <v>4451.05</v>
      </c>
      <c r="K33" s="310"/>
      <c r="L33" s="310">
        <f t="shared" si="13"/>
        <v>445.11</v>
      </c>
      <c r="M33" s="310"/>
      <c r="N33" s="311">
        <f t="shared" si="14"/>
        <v>4896.16</v>
      </c>
      <c r="O33" s="312">
        <f t="shared" si="15"/>
        <v>0</v>
      </c>
      <c r="P33" s="309">
        <f t="shared" si="5"/>
        <v>845.69949999999994</v>
      </c>
      <c r="Q33" s="310">
        <f t="shared" si="16"/>
        <v>4228.4974999999995</v>
      </c>
      <c r="R33" s="309">
        <f t="shared" si="6"/>
        <v>0</v>
      </c>
      <c r="S33" s="310">
        <f t="shared" si="17"/>
        <v>4228.4974999999995</v>
      </c>
      <c r="T33" s="312">
        <f t="shared" si="18"/>
        <v>222.55250000000069</v>
      </c>
      <c r="U33" s="313" t="str">
        <f t="shared" si="9"/>
        <v>Paxus</v>
      </c>
      <c r="V33" s="309" t="str">
        <f t="shared" si="10"/>
        <v>Energy Queensland</v>
      </c>
      <c r="W33" s="314" t="str">
        <f t="shared" si="19"/>
        <v>2020-M02</v>
      </c>
      <c r="X33" s="314" t="str">
        <f t="shared" si="20"/>
        <v>2020-M02</v>
      </c>
    </row>
    <row r="34" spans="1:24" x14ac:dyDescent="0.25">
      <c r="A34" s="157" t="s">
        <v>664</v>
      </c>
      <c r="B34" s="157" t="s">
        <v>726</v>
      </c>
      <c r="C34" s="157" t="s">
        <v>152</v>
      </c>
      <c r="D34" s="157" t="s">
        <v>657</v>
      </c>
      <c r="E34" s="159">
        <v>5</v>
      </c>
      <c r="F34" s="369">
        <v>43695</v>
      </c>
      <c r="G34" s="374">
        <v>43710</v>
      </c>
      <c r="H34" s="157"/>
      <c r="I34" s="309">
        <f t="shared" ref="I34:I66" si="34">IF(ISBLANK(B34),0,VLOOKUP(A34&amp;B34,Project,3))</f>
        <v>890.21</v>
      </c>
      <c r="J34" s="310">
        <f t="shared" si="12"/>
        <v>4451.05</v>
      </c>
      <c r="K34" s="310"/>
      <c r="L34" s="310">
        <f t="shared" si="13"/>
        <v>445.11</v>
      </c>
      <c r="M34" s="310"/>
      <c r="N34" s="311">
        <f t="shared" si="14"/>
        <v>4896.16</v>
      </c>
      <c r="O34" s="312">
        <f t="shared" si="15"/>
        <v>0</v>
      </c>
      <c r="P34" s="309">
        <f t="shared" ref="P34:P66" si="35">IF(ISBLANK(C34),0,VLOOKUP(A34&amp;B34,Project,4))</f>
        <v>845.69949999999994</v>
      </c>
      <c r="Q34" s="310">
        <f t="shared" si="16"/>
        <v>4228.4974999999995</v>
      </c>
      <c r="R34" s="309">
        <f t="shared" ref="R34:R66" si="36">IF(ISBLANK(C34),0,VLOOKUP(A34&amp;B34,Project,5))*Q34*0.1</f>
        <v>0</v>
      </c>
      <c r="S34" s="310">
        <f t="shared" si="17"/>
        <v>4228.4974999999995</v>
      </c>
      <c r="T34" s="312">
        <f t="shared" si="18"/>
        <v>222.55250000000069</v>
      </c>
      <c r="U34" s="313" t="str">
        <f t="shared" si="9"/>
        <v>Paxus</v>
      </c>
      <c r="V34" s="309" t="str">
        <f t="shared" si="10"/>
        <v>Energy Queensland</v>
      </c>
      <c r="W34" s="314" t="str">
        <f t="shared" si="19"/>
        <v>2020-M02</v>
      </c>
      <c r="X34" s="314" t="str">
        <f t="shared" si="20"/>
        <v>2020-M03</v>
      </c>
    </row>
    <row r="35" spans="1:24" x14ac:dyDescent="0.25">
      <c r="A35" s="157" t="s">
        <v>147</v>
      </c>
      <c r="B35" s="157" t="s">
        <v>145</v>
      </c>
      <c r="C35" s="157" t="s">
        <v>838</v>
      </c>
      <c r="D35" s="157" t="s">
        <v>57</v>
      </c>
      <c r="E35" s="159">
        <v>12</v>
      </c>
      <c r="F35" s="369">
        <v>43695</v>
      </c>
      <c r="G35" s="374">
        <v>43699</v>
      </c>
      <c r="H35" s="157"/>
      <c r="I35" s="309">
        <f t="shared" si="34"/>
        <v>1000</v>
      </c>
      <c r="J35" s="310">
        <f t="shared" si="12"/>
        <v>12000</v>
      </c>
      <c r="K35" s="310"/>
      <c r="L35" s="310">
        <f t="shared" si="13"/>
        <v>1200</v>
      </c>
      <c r="M35" s="310"/>
      <c r="N35" s="311">
        <f t="shared" si="14"/>
        <v>13200</v>
      </c>
      <c r="O35" s="312">
        <f t="shared" si="15"/>
        <v>0</v>
      </c>
      <c r="P35" s="309">
        <f t="shared" si="35"/>
        <v>980</v>
      </c>
      <c r="Q35" s="310">
        <f t="shared" si="16"/>
        <v>11760</v>
      </c>
      <c r="R35" s="309">
        <f t="shared" si="36"/>
        <v>0</v>
      </c>
      <c r="S35" s="310">
        <f t="shared" si="17"/>
        <v>11760</v>
      </c>
      <c r="T35" s="312">
        <f t="shared" si="18"/>
        <v>240</v>
      </c>
      <c r="U35" s="313" t="str">
        <f t="shared" si="9"/>
        <v>M&amp;T Resources</v>
      </c>
      <c r="V35" s="309" t="str">
        <f t="shared" si="10"/>
        <v>Energy Queensland</v>
      </c>
      <c r="W35" s="314" t="str">
        <f t="shared" si="19"/>
        <v>2020-M02</v>
      </c>
      <c r="X35" s="314" t="str">
        <f t="shared" si="20"/>
        <v>2020-M02</v>
      </c>
    </row>
    <row r="36" spans="1:24" x14ac:dyDescent="0.25">
      <c r="A36" s="157" t="s">
        <v>147</v>
      </c>
      <c r="B36" s="157" t="s">
        <v>695</v>
      </c>
      <c r="C36" s="157" t="s">
        <v>838</v>
      </c>
      <c r="D36" s="157" t="s">
        <v>669</v>
      </c>
      <c r="E36" s="159">
        <v>11</v>
      </c>
      <c r="F36" s="369">
        <v>43695</v>
      </c>
      <c r="G36" s="374">
        <v>43699</v>
      </c>
      <c r="H36" s="157"/>
      <c r="I36" s="309">
        <f>IF(ISBLANK(B36),0,VLOOKUP(A36&amp;B36,Project,3))</f>
        <v>900</v>
      </c>
      <c r="J36" s="310">
        <f>E36*I36</f>
        <v>9900</v>
      </c>
      <c r="K36" s="310"/>
      <c r="L36" s="310">
        <f>ROUND((J36+K36)*0.1,2)</f>
        <v>990</v>
      </c>
      <c r="M36" s="310"/>
      <c r="N36" s="311">
        <f>SUM(J36:M36)</f>
        <v>10890</v>
      </c>
      <c r="O36" s="312">
        <f>IF(ISBLANK(G36),N36,0)</f>
        <v>0</v>
      </c>
      <c r="P36" s="309">
        <f>IF(ISBLANK(C36),0,VLOOKUP(A36&amp;B36,Project,4))</f>
        <v>855</v>
      </c>
      <c r="Q36" s="310">
        <f>E36*P36</f>
        <v>9405</v>
      </c>
      <c r="R36" s="309">
        <f>IF(ISBLANK(C36),0,VLOOKUP(A36&amp;B36,Project,5))*Q36*0.1</f>
        <v>0</v>
      </c>
      <c r="S36" s="310">
        <f>SUM(Q36:R36)</f>
        <v>9405</v>
      </c>
      <c r="T36" s="312">
        <f>IF(Q36=0,0,J36-Q36)</f>
        <v>495</v>
      </c>
      <c r="U36" s="313" t="str">
        <f>IF(ISBLANK($A36),"",VLOOKUP($A36,Customer,2))</f>
        <v>M&amp;T Resources</v>
      </c>
      <c r="V36" s="309" t="str">
        <f>IF(ISBLANK($A36),"",VLOOKUP(CONCATENATE($A36,$B36),invProject,2))</f>
        <v>Energy Queensland</v>
      </c>
      <c r="W36" s="314" t="str">
        <f>GETPERIOD(F36)</f>
        <v>2020-M02</v>
      </c>
      <c r="X36" s="314" t="str">
        <f>GETPERIOD(G36)</f>
        <v>2020-M02</v>
      </c>
    </row>
    <row r="37" spans="1:24" x14ac:dyDescent="0.25">
      <c r="A37" s="158" t="s">
        <v>145</v>
      </c>
      <c r="B37" s="158" t="s">
        <v>157</v>
      </c>
      <c r="C37" s="158" t="s">
        <v>149</v>
      </c>
      <c r="D37" s="158" t="s">
        <v>649</v>
      </c>
      <c r="E37" s="159">
        <v>17</v>
      </c>
      <c r="F37" s="369">
        <v>43705</v>
      </c>
      <c r="G37" s="374">
        <v>43712</v>
      </c>
      <c r="H37" s="157"/>
      <c r="I37" s="309">
        <f t="shared" si="34"/>
        <v>700</v>
      </c>
      <c r="J37" s="310">
        <f t="shared" si="12"/>
        <v>11900</v>
      </c>
      <c r="K37" s="310"/>
      <c r="L37" s="310">
        <f t="shared" si="13"/>
        <v>1190</v>
      </c>
      <c r="M37" s="310"/>
      <c r="N37" s="311">
        <f t="shared" si="14"/>
        <v>13090</v>
      </c>
      <c r="O37" s="312">
        <f t="shared" si="15"/>
        <v>0</v>
      </c>
      <c r="P37" s="309">
        <f t="shared" si="35"/>
        <v>665</v>
      </c>
      <c r="Q37" s="310">
        <f t="shared" si="16"/>
        <v>11305</v>
      </c>
      <c r="R37" s="309">
        <f t="shared" si="36"/>
        <v>1130.5</v>
      </c>
      <c r="S37" s="310">
        <f t="shared" si="17"/>
        <v>12435.5</v>
      </c>
      <c r="T37" s="312">
        <f t="shared" si="18"/>
        <v>595</v>
      </c>
      <c r="U37" s="313" t="str">
        <f t="shared" ref="U37:U68" si="37">IF(ISBLANK($A37),"",VLOOKUP($A37,Customer,2))</f>
        <v>Taggle Systems</v>
      </c>
      <c r="V37" s="309" t="str">
        <f t="shared" ref="V37:V68" si="38">IF(ISBLANK($A37),"",VLOOKUP(CONCATENATE($A37,$B37),invProject,2))</f>
        <v>Taggle</v>
      </c>
      <c r="W37" s="314" t="str">
        <f t="shared" si="19"/>
        <v>2020-M02</v>
      </c>
      <c r="X37" s="314" t="str">
        <f t="shared" si="20"/>
        <v>2020-M03</v>
      </c>
    </row>
    <row r="38" spans="1:24" x14ac:dyDescent="0.25">
      <c r="A38" s="157" t="s">
        <v>664</v>
      </c>
      <c r="B38" s="157" t="s">
        <v>726</v>
      </c>
      <c r="C38" s="157" t="s">
        <v>154</v>
      </c>
      <c r="D38" s="157" t="s">
        <v>657</v>
      </c>
      <c r="E38" s="159">
        <v>5</v>
      </c>
      <c r="F38" s="369">
        <v>43702</v>
      </c>
      <c r="G38" s="374">
        <v>43717</v>
      </c>
      <c r="H38" s="157"/>
      <c r="I38" s="309">
        <f t="shared" si="34"/>
        <v>890.21</v>
      </c>
      <c r="J38" s="310">
        <f t="shared" si="12"/>
        <v>4451.05</v>
      </c>
      <c r="K38" s="310"/>
      <c r="L38" s="310">
        <f t="shared" si="13"/>
        <v>445.11</v>
      </c>
      <c r="M38" s="310"/>
      <c r="N38" s="311">
        <f t="shared" si="14"/>
        <v>4896.16</v>
      </c>
      <c r="O38" s="312">
        <f t="shared" si="15"/>
        <v>0</v>
      </c>
      <c r="P38" s="309">
        <f t="shared" si="35"/>
        <v>845.69949999999994</v>
      </c>
      <c r="Q38" s="310">
        <f t="shared" si="16"/>
        <v>4228.4974999999995</v>
      </c>
      <c r="R38" s="309">
        <f t="shared" si="36"/>
        <v>0</v>
      </c>
      <c r="S38" s="310">
        <f t="shared" si="17"/>
        <v>4228.4974999999995</v>
      </c>
      <c r="T38" s="312">
        <f t="shared" si="18"/>
        <v>222.55250000000069</v>
      </c>
      <c r="U38" s="313" t="str">
        <f t="shared" si="37"/>
        <v>Paxus</v>
      </c>
      <c r="V38" s="309" t="str">
        <f t="shared" si="38"/>
        <v>Energy Queensland</v>
      </c>
      <c r="W38" s="314" t="str">
        <f t="shared" si="19"/>
        <v>2020-M02</v>
      </c>
      <c r="X38" s="314" t="str">
        <f t="shared" si="20"/>
        <v>2020-M03</v>
      </c>
    </row>
    <row r="39" spans="1:24" x14ac:dyDescent="0.25">
      <c r="A39" s="158" t="s">
        <v>147</v>
      </c>
      <c r="B39" s="158" t="s">
        <v>145</v>
      </c>
      <c r="C39" s="158" t="s">
        <v>856</v>
      </c>
      <c r="D39" s="158" t="s">
        <v>57</v>
      </c>
      <c r="E39" s="159">
        <v>14</v>
      </c>
      <c r="F39" s="369">
        <v>43709</v>
      </c>
      <c r="G39" s="374">
        <v>43713</v>
      </c>
      <c r="H39" s="157"/>
      <c r="I39" s="309">
        <f t="shared" si="34"/>
        <v>1000</v>
      </c>
      <c r="J39" s="310">
        <f t="shared" si="12"/>
        <v>14000</v>
      </c>
      <c r="K39" s="310"/>
      <c r="L39" s="310">
        <f t="shared" si="13"/>
        <v>1400</v>
      </c>
      <c r="M39" s="310"/>
      <c r="N39" s="311">
        <f t="shared" si="14"/>
        <v>15400</v>
      </c>
      <c r="O39" s="312">
        <f t="shared" si="15"/>
        <v>0</v>
      </c>
      <c r="P39" s="309">
        <f t="shared" si="35"/>
        <v>980</v>
      </c>
      <c r="Q39" s="310">
        <f t="shared" si="16"/>
        <v>13720</v>
      </c>
      <c r="R39" s="309">
        <f t="shared" si="36"/>
        <v>0</v>
      </c>
      <c r="S39" s="310">
        <f t="shared" si="17"/>
        <v>13720</v>
      </c>
      <c r="T39" s="312">
        <f t="shared" si="18"/>
        <v>280</v>
      </c>
      <c r="U39" s="313" t="str">
        <f t="shared" si="37"/>
        <v>M&amp;T Resources</v>
      </c>
      <c r="V39" s="309" t="str">
        <f t="shared" si="38"/>
        <v>Energy Queensland</v>
      </c>
      <c r="W39" s="314" t="str">
        <f t="shared" si="19"/>
        <v>2020-M03</v>
      </c>
      <c r="X39" s="314" t="str">
        <f t="shared" si="20"/>
        <v>2020-M03</v>
      </c>
    </row>
    <row r="40" spans="1:24" x14ac:dyDescent="0.25">
      <c r="A40" s="157" t="s">
        <v>147</v>
      </c>
      <c r="B40" s="157" t="s">
        <v>695</v>
      </c>
      <c r="C40" s="157" t="s">
        <v>856</v>
      </c>
      <c r="D40" s="157" t="s">
        <v>669</v>
      </c>
      <c r="E40" s="159">
        <v>13.5</v>
      </c>
      <c r="F40" s="369">
        <v>43709</v>
      </c>
      <c r="G40" s="374">
        <v>43713</v>
      </c>
      <c r="H40" s="157"/>
      <c r="I40" s="309">
        <f t="shared" si="34"/>
        <v>900</v>
      </c>
      <c r="J40" s="310">
        <f t="shared" si="12"/>
        <v>12150</v>
      </c>
      <c r="K40" s="310"/>
      <c r="L40" s="310">
        <f t="shared" si="13"/>
        <v>1215</v>
      </c>
      <c r="M40" s="310"/>
      <c r="N40" s="311">
        <f t="shared" si="14"/>
        <v>13365</v>
      </c>
      <c r="O40" s="312">
        <f t="shared" si="15"/>
        <v>0</v>
      </c>
      <c r="P40" s="309">
        <f t="shared" si="35"/>
        <v>855</v>
      </c>
      <c r="Q40" s="310">
        <f t="shared" si="16"/>
        <v>11542.5</v>
      </c>
      <c r="R40" s="309">
        <f t="shared" si="36"/>
        <v>0</v>
      </c>
      <c r="S40" s="310">
        <f t="shared" si="17"/>
        <v>11542.5</v>
      </c>
      <c r="T40" s="312">
        <f t="shared" si="18"/>
        <v>607.5</v>
      </c>
      <c r="U40" s="313" t="str">
        <f t="shared" si="37"/>
        <v>M&amp;T Resources</v>
      </c>
      <c r="V40" s="309" t="str">
        <f t="shared" si="38"/>
        <v>Energy Queensland</v>
      </c>
      <c r="W40" s="314" t="str">
        <f t="shared" si="19"/>
        <v>2020-M03</v>
      </c>
      <c r="X40" s="314" t="str">
        <f t="shared" si="20"/>
        <v>2020-M03</v>
      </c>
    </row>
    <row r="41" spans="1:24" x14ac:dyDescent="0.25">
      <c r="A41" s="158" t="s">
        <v>158</v>
      </c>
      <c r="B41" s="158" t="s">
        <v>731</v>
      </c>
      <c r="C41" s="158" t="s">
        <v>871</v>
      </c>
      <c r="D41" s="158" t="s">
        <v>55</v>
      </c>
      <c r="E41" s="159">
        <v>4</v>
      </c>
      <c r="F41" s="369">
        <v>43707</v>
      </c>
      <c r="G41" s="374">
        <v>43707</v>
      </c>
      <c r="H41" s="157"/>
      <c r="I41" s="309">
        <f t="shared" si="34"/>
        <v>980</v>
      </c>
      <c r="J41" s="310">
        <f t="shared" si="12"/>
        <v>3920</v>
      </c>
      <c r="K41" s="310"/>
      <c r="L41" s="310">
        <f t="shared" si="13"/>
        <v>392</v>
      </c>
      <c r="M41" s="310"/>
      <c r="N41" s="311">
        <f t="shared" si="14"/>
        <v>4312</v>
      </c>
      <c r="O41" s="312">
        <f t="shared" si="15"/>
        <v>0</v>
      </c>
      <c r="P41" s="309">
        <f t="shared" si="35"/>
        <v>900</v>
      </c>
      <c r="Q41" s="310">
        <f t="shared" si="16"/>
        <v>3600</v>
      </c>
      <c r="R41" s="309">
        <f t="shared" si="36"/>
        <v>0</v>
      </c>
      <c r="S41" s="310">
        <f t="shared" si="17"/>
        <v>3600</v>
      </c>
      <c r="T41" s="312">
        <f t="shared" si="18"/>
        <v>320</v>
      </c>
      <c r="U41" s="313" t="str">
        <f t="shared" si="37"/>
        <v>Hays</v>
      </c>
      <c r="V41" s="309" t="str">
        <f t="shared" si="38"/>
        <v>MLC</v>
      </c>
      <c r="W41" s="314" t="str">
        <f t="shared" si="19"/>
        <v>2020-M02</v>
      </c>
      <c r="X41" s="314" t="str">
        <f t="shared" si="20"/>
        <v>2020-M02</v>
      </c>
    </row>
    <row r="42" spans="1:24" x14ac:dyDescent="0.25">
      <c r="A42" s="158" t="s">
        <v>158</v>
      </c>
      <c r="B42" s="158" t="s">
        <v>731</v>
      </c>
      <c r="C42" s="158" t="s">
        <v>872</v>
      </c>
      <c r="D42" s="158" t="s">
        <v>55</v>
      </c>
      <c r="E42" s="159">
        <v>3.5</v>
      </c>
      <c r="F42" s="369">
        <v>43717</v>
      </c>
      <c r="G42" s="374">
        <v>43719</v>
      </c>
      <c r="H42" s="157"/>
      <c r="I42" s="309">
        <f t="shared" si="34"/>
        <v>980</v>
      </c>
      <c r="J42" s="310">
        <f t="shared" si="12"/>
        <v>3430</v>
      </c>
      <c r="K42" s="310"/>
      <c r="L42" s="310">
        <f t="shared" si="13"/>
        <v>343</v>
      </c>
      <c r="M42" s="310"/>
      <c r="N42" s="311">
        <f t="shared" si="14"/>
        <v>3773</v>
      </c>
      <c r="O42" s="312">
        <f t="shared" si="15"/>
        <v>0</v>
      </c>
      <c r="P42" s="309">
        <f t="shared" si="35"/>
        <v>900</v>
      </c>
      <c r="Q42" s="310">
        <f t="shared" si="16"/>
        <v>3150</v>
      </c>
      <c r="R42" s="309">
        <f t="shared" si="36"/>
        <v>0</v>
      </c>
      <c r="S42" s="310">
        <f t="shared" si="17"/>
        <v>3150</v>
      </c>
      <c r="T42" s="312">
        <f t="shared" si="18"/>
        <v>280</v>
      </c>
      <c r="U42" s="313" t="str">
        <f t="shared" si="37"/>
        <v>Hays</v>
      </c>
      <c r="V42" s="309" t="str">
        <f t="shared" si="38"/>
        <v>MLC</v>
      </c>
      <c r="W42" s="314" t="str">
        <f t="shared" si="19"/>
        <v>2020-M03</v>
      </c>
      <c r="X42" s="314" t="str">
        <f t="shared" si="20"/>
        <v>2020-M03</v>
      </c>
    </row>
    <row r="43" spans="1:24" x14ac:dyDescent="0.25">
      <c r="A43" s="158" t="s">
        <v>650</v>
      </c>
      <c r="B43" s="158" t="s">
        <v>691</v>
      </c>
      <c r="C43" s="158" t="s">
        <v>162</v>
      </c>
      <c r="D43" s="158" t="s">
        <v>55</v>
      </c>
      <c r="E43" s="159">
        <v>3</v>
      </c>
      <c r="F43" s="369">
        <v>43715</v>
      </c>
      <c r="G43" s="374">
        <v>43720</v>
      </c>
      <c r="H43" s="157"/>
      <c r="I43" s="309">
        <f t="shared" si="34"/>
        <v>950</v>
      </c>
      <c r="J43" s="310">
        <f t="shared" si="12"/>
        <v>2850</v>
      </c>
      <c r="K43" s="310"/>
      <c r="L43" s="310">
        <f t="shared" si="13"/>
        <v>285</v>
      </c>
      <c r="M43" s="310"/>
      <c r="N43" s="311">
        <f t="shared" si="14"/>
        <v>3135</v>
      </c>
      <c r="O43" s="312">
        <f t="shared" si="15"/>
        <v>0</v>
      </c>
      <c r="P43" s="309">
        <f t="shared" si="35"/>
        <v>900</v>
      </c>
      <c r="Q43" s="310">
        <f t="shared" si="16"/>
        <v>2700</v>
      </c>
      <c r="R43" s="309">
        <f t="shared" si="36"/>
        <v>0</v>
      </c>
      <c r="S43" s="310">
        <f t="shared" si="17"/>
        <v>2700</v>
      </c>
      <c r="T43" s="312">
        <f t="shared" si="18"/>
        <v>150</v>
      </c>
      <c r="U43" s="313" t="str">
        <f t="shared" si="37"/>
        <v>Mine Super</v>
      </c>
      <c r="V43" s="309" t="str">
        <f t="shared" si="38"/>
        <v>Mine Super</v>
      </c>
      <c r="W43" s="314" t="str">
        <f t="shared" si="19"/>
        <v>2020-M03</v>
      </c>
      <c r="X43" s="314" t="str">
        <f t="shared" si="20"/>
        <v>2020-M03</v>
      </c>
    </row>
    <row r="44" spans="1:24" x14ac:dyDescent="0.25">
      <c r="A44" s="158" t="s">
        <v>145</v>
      </c>
      <c r="B44" s="158" t="s">
        <v>157</v>
      </c>
      <c r="C44" s="158" t="s">
        <v>159</v>
      </c>
      <c r="D44" s="158" t="s">
        <v>649</v>
      </c>
      <c r="E44" s="159">
        <v>10</v>
      </c>
      <c r="F44" s="369">
        <v>43716</v>
      </c>
      <c r="G44" s="374">
        <v>43718</v>
      </c>
      <c r="H44" s="157"/>
      <c r="I44" s="309">
        <f t="shared" si="34"/>
        <v>700</v>
      </c>
      <c r="J44" s="310">
        <f t="shared" si="12"/>
        <v>7000</v>
      </c>
      <c r="K44" s="310"/>
      <c r="L44" s="310">
        <f t="shared" si="13"/>
        <v>700</v>
      </c>
      <c r="M44" s="310"/>
      <c r="N44" s="311">
        <f t="shared" si="14"/>
        <v>7700</v>
      </c>
      <c r="O44" s="312">
        <f t="shared" si="15"/>
        <v>0</v>
      </c>
      <c r="P44" s="309">
        <f t="shared" si="35"/>
        <v>665</v>
      </c>
      <c r="Q44" s="310">
        <f t="shared" si="16"/>
        <v>6650</v>
      </c>
      <c r="R44" s="309">
        <f t="shared" si="36"/>
        <v>665</v>
      </c>
      <c r="S44" s="310">
        <f t="shared" si="17"/>
        <v>7315</v>
      </c>
      <c r="T44" s="312">
        <f t="shared" si="18"/>
        <v>350</v>
      </c>
      <c r="U44" s="313" t="str">
        <f t="shared" si="37"/>
        <v>Taggle Systems</v>
      </c>
      <c r="V44" s="309" t="str">
        <f t="shared" si="38"/>
        <v>Taggle</v>
      </c>
      <c r="W44" s="314" t="str">
        <f t="shared" si="19"/>
        <v>2020-M03</v>
      </c>
      <c r="X44" s="314" t="str">
        <f t="shared" si="20"/>
        <v>2020-M03</v>
      </c>
    </row>
    <row r="45" spans="1:24" x14ac:dyDescent="0.25">
      <c r="A45" s="158" t="s">
        <v>158</v>
      </c>
      <c r="B45" s="158" t="s">
        <v>731</v>
      </c>
      <c r="C45" s="158" t="s">
        <v>876</v>
      </c>
      <c r="D45" s="158" t="s">
        <v>55</v>
      </c>
      <c r="E45" s="159">
        <v>5</v>
      </c>
      <c r="F45" s="369">
        <v>43721</v>
      </c>
      <c r="G45" s="374">
        <v>43724</v>
      </c>
      <c r="H45" s="157"/>
      <c r="I45" s="309">
        <f t="shared" si="34"/>
        <v>980</v>
      </c>
      <c r="J45" s="310">
        <f t="shared" si="12"/>
        <v>4900</v>
      </c>
      <c r="K45" s="310"/>
      <c r="L45" s="310">
        <f t="shared" si="13"/>
        <v>490</v>
      </c>
      <c r="M45" s="310"/>
      <c r="N45" s="311">
        <f t="shared" si="14"/>
        <v>5390</v>
      </c>
      <c r="O45" s="312">
        <f t="shared" si="15"/>
        <v>0</v>
      </c>
      <c r="P45" s="309">
        <f t="shared" si="35"/>
        <v>900</v>
      </c>
      <c r="Q45" s="310">
        <f t="shared" si="16"/>
        <v>4500</v>
      </c>
      <c r="R45" s="309">
        <f t="shared" si="36"/>
        <v>0</v>
      </c>
      <c r="S45" s="310">
        <f t="shared" si="17"/>
        <v>4500</v>
      </c>
      <c r="T45" s="312">
        <f t="shared" si="18"/>
        <v>400</v>
      </c>
      <c r="U45" s="313" t="str">
        <f t="shared" si="37"/>
        <v>Hays</v>
      </c>
      <c r="V45" s="309" t="str">
        <f t="shared" si="38"/>
        <v>MLC</v>
      </c>
      <c r="W45" s="314" t="str">
        <f t="shared" si="19"/>
        <v>2020-M03</v>
      </c>
      <c r="X45" s="314" t="str">
        <f t="shared" si="20"/>
        <v>2020-M03</v>
      </c>
    </row>
    <row r="46" spans="1:24" x14ac:dyDescent="0.25">
      <c r="A46" s="158" t="s">
        <v>664</v>
      </c>
      <c r="B46" s="158" t="s">
        <v>726</v>
      </c>
      <c r="C46" s="158" t="s">
        <v>147</v>
      </c>
      <c r="D46" s="158" t="s">
        <v>657</v>
      </c>
      <c r="E46" s="159">
        <v>5</v>
      </c>
      <c r="F46" s="369">
        <v>43709</v>
      </c>
      <c r="G46" s="374">
        <v>43724</v>
      </c>
      <c r="H46" s="157"/>
      <c r="I46" s="309">
        <f t="shared" si="34"/>
        <v>890.21</v>
      </c>
      <c r="J46" s="310">
        <f t="shared" si="12"/>
        <v>4451.05</v>
      </c>
      <c r="K46" s="310"/>
      <c r="L46" s="310">
        <f t="shared" si="13"/>
        <v>445.11</v>
      </c>
      <c r="M46" s="310"/>
      <c r="N46" s="311">
        <f t="shared" si="14"/>
        <v>4896.16</v>
      </c>
      <c r="O46" s="312">
        <f t="shared" si="15"/>
        <v>0</v>
      </c>
      <c r="P46" s="309">
        <f t="shared" si="35"/>
        <v>845.69949999999994</v>
      </c>
      <c r="Q46" s="310">
        <f t="shared" si="16"/>
        <v>4228.4974999999995</v>
      </c>
      <c r="R46" s="309">
        <f t="shared" si="36"/>
        <v>0</v>
      </c>
      <c r="S46" s="310">
        <f t="shared" si="17"/>
        <v>4228.4974999999995</v>
      </c>
      <c r="T46" s="312">
        <f t="shared" si="18"/>
        <v>222.55250000000069</v>
      </c>
      <c r="U46" s="313" t="str">
        <f t="shared" si="37"/>
        <v>Paxus</v>
      </c>
      <c r="V46" s="309" t="str">
        <f t="shared" si="38"/>
        <v>Energy Queensland</v>
      </c>
      <c r="W46" s="314" t="str">
        <f t="shared" si="19"/>
        <v>2020-M03</v>
      </c>
      <c r="X46" s="314" t="str">
        <f t="shared" si="20"/>
        <v>2020-M03</v>
      </c>
    </row>
    <row r="47" spans="1:24" x14ac:dyDescent="0.25">
      <c r="A47" s="157" t="s">
        <v>147</v>
      </c>
      <c r="B47" s="295" t="s">
        <v>145</v>
      </c>
      <c r="C47" s="295" t="s">
        <v>895</v>
      </c>
      <c r="D47" s="157" t="s">
        <v>57</v>
      </c>
      <c r="E47" s="159">
        <v>10</v>
      </c>
      <c r="F47" s="369">
        <v>43723</v>
      </c>
      <c r="G47" s="374">
        <v>43727</v>
      </c>
      <c r="H47" s="157"/>
      <c r="I47" s="309">
        <f t="shared" si="34"/>
        <v>1000</v>
      </c>
      <c r="J47" s="310">
        <f t="shared" si="12"/>
        <v>10000</v>
      </c>
      <c r="K47" s="310"/>
      <c r="L47" s="310">
        <f t="shared" si="13"/>
        <v>1000</v>
      </c>
      <c r="M47" s="310"/>
      <c r="N47" s="311">
        <f t="shared" si="14"/>
        <v>11000</v>
      </c>
      <c r="O47" s="312">
        <f t="shared" si="15"/>
        <v>0</v>
      </c>
      <c r="P47" s="309">
        <f t="shared" si="35"/>
        <v>980</v>
      </c>
      <c r="Q47" s="310">
        <f t="shared" si="16"/>
        <v>9800</v>
      </c>
      <c r="R47" s="309">
        <f t="shared" si="36"/>
        <v>0</v>
      </c>
      <c r="S47" s="310">
        <f t="shared" si="17"/>
        <v>9800</v>
      </c>
      <c r="T47" s="312">
        <f t="shared" si="18"/>
        <v>200</v>
      </c>
      <c r="U47" s="313" t="str">
        <f t="shared" si="37"/>
        <v>M&amp;T Resources</v>
      </c>
      <c r="V47" s="309" t="str">
        <f t="shared" si="38"/>
        <v>Energy Queensland</v>
      </c>
      <c r="W47" s="314" t="str">
        <f t="shared" si="19"/>
        <v>2020-M03</v>
      </c>
      <c r="X47" s="314" t="str">
        <f t="shared" si="20"/>
        <v>2020-M03</v>
      </c>
    </row>
    <row r="48" spans="1:24" x14ac:dyDescent="0.25">
      <c r="A48" s="157" t="s">
        <v>147</v>
      </c>
      <c r="B48" s="157" t="s">
        <v>695</v>
      </c>
      <c r="C48" s="157" t="s">
        <v>895</v>
      </c>
      <c r="D48" s="157" t="s">
        <v>669</v>
      </c>
      <c r="E48" s="159">
        <v>11.5</v>
      </c>
      <c r="F48" s="369">
        <v>43723</v>
      </c>
      <c r="G48" s="374">
        <v>43727</v>
      </c>
      <c r="H48" s="157"/>
      <c r="I48" s="309">
        <f t="shared" si="34"/>
        <v>900</v>
      </c>
      <c r="J48" s="310">
        <f t="shared" si="12"/>
        <v>10350</v>
      </c>
      <c r="K48" s="310"/>
      <c r="L48" s="310">
        <f t="shared" si="13"/>
        <v>1035</v>
      </c>
      <c r="M48" s="310"/>
      <c r="N48" s="311">
        <f t="shared" si="14"/>
        <v>11385</v>
      </c>
      <c r="O48" s="312">
        <f t="shared" si="15"/>
        <v>0</v>
      </c>
      <c r="P48" s="309">
        <f t="shared" si="35"/>
        <v>855</v>
      </c>
      <c r="Q48" s="310">
        <f t="shared" si="16"/>
        <v>9832.5</v>
      </c>
      <c r="R48" s="309">
        <f t="shared" si="36"/>
        <v>0</v>
      </c>
      <c r="S48" s="310">
        <f t="shared" si="17"/>
        <v>9832.5</v>
      </c>
      <c r="T48" s="312">
        <f t="shared" si="18"/>
        <v>517.5</v>
      </c>
      <c r="U48" s="313" t="str">
        <f t="shared" si="37"/>
        <v>M&amp;T Resources</v>
      </c>
      <c r="V48" s="309" t="str">
        <f t="shared" si="38"/>
        <v>Energy Queensland</v>
      </c>
      <c r="W48" s="314" t="str">
        <f t="shared" si="19"/>
        <v>2020-M03</v>
      </c>
      <c r="X48" s="314" t="str">
        <f t="shared" si="20"/>
        <v>2020-M03</v>
      </c>
    </row>
    <row r="49" spans="1:24" x14ac:dyDescent="0.25">
      <c r="A49" s="158" t="s">
        <v>664</v>
      </c>
      <c r="B49" s="158" t="s">
        <v>726</v>
      </c>
      <c r="C49" s="158" t="s">
        <v>156</v>
      </c>
      <c r="D49" s="158" t="s">
        <v>657</v>
      </c>
      <c r="E49" s="159">
        <v>5</v>
      </c>
      <c r="F49" s="369">
        <v>43716</v>
      </c>
      <c r="G49" s="374">
        <v>43731</v>
      </c>
      <c r="H49" s="157"/>
      <c r="I49" s="309">
        <f t="shared" si="34"/>
        <v>890.21</v>
      </c>
      <c r="J49" s="310">
        <f t="shared" si="12"/>
        <v>4451.05</v>
      </c>
      <c r="K49" s="310"/>
      <c r="L49" s="310">
        <f t="shared" si="13"/>
        <v>445.11</v>
      </c>
      <c r="M49" s="310"/>
      <c r="N49" s="311">
        <f t="shared" si="14"/>
        <v>4896.16</v>
      </c>
      <c r="O49" s="312">
        <f t="shared" si="15"/>
        <v>0</v>
      </c>
      <c r="P49" s="309">
        <f t="shared" si="35"/>
        <v>845.69949999999994</v>
      </c>
      <c r="Q49" s="310">
        <f t="shared" si="16"/>
        <v>4228.4974999999995</v>
      </c>
      <c r="R49" s="309">
        <f t="shared" si="36"/>
        <v>0</v>
      </c>
      <c r="S49" s="310">
        <f t="shared" si="17"/>
        <v>4228.4974999999995</v>
      </c>
      <c r="T49" s="312">
        <f t="shared" si="18"/>
        <v>222.55250000000069</v>
      </c>
      <c r="U49" s="313" t="str">
        <f t="shared" si="37"/>
        <v>Paxus</v>
      </c>
      <c r="V49" s="309" t="str">
        <f t="shared" si="38"/>
        <v>Energy Queensland</v>
      </c>
      <c r="W49" s="314" t="str">
        <f t="shared" si="19"/>
        <v>2020-M03</v>
      </c>
      <c r="X49" s="314" t="str">
        <f t="shared" si="20"/>
        <v>2020-M03</v>
      </c>
    </row>
    <row r="50" spans="1:24" x14ac:dyDescent="0.25">
      <c r="A50" s="158" t="s">
        <v>158</v>
      </c>
      <c r="B50" s="158" t="s">
        <v>731</v>
      </c>
      <c r="C50" s="158" t="s">
        <v>145</v>
      </c>
      <c r="D50" s="158" t="s">
        <v>55</v>
      </c>
      <c r="E50" s="159">
        <v>5</v>
      </c>
      <c r="F50" s="369">
        <v>43728</v>
      </c>
      <c r="G50" s="374">
        <v>43728</v>
      </c>
      <c r="H50" s="157"/>
      <c r="I50" s="309">
        <f t="shared" si="34"/>
        <v>980</v>
      </c>
      <c r="J50" s="310">
        <f t="shared" si="12"/>
        <v>4900</v>
      </c>
      <c r="K50" s="310"/>
      <c r="L50" s="310">
        <f t="shared" si="13"/>
        <v>490</v>
      </c>
      <c r="M50" s="310"/>
      <c r="N50" s="311">
        <f t="shared" si="14"/>
        <v>5390</v>
      </c>
      <c r="O50" s="312">
        <f t="shared" si="15"/>
        <v>0</v>
      </c>
      <c r="P50" s="309">
        <f t="shared" si="35"/>
        <v>900</v>
      </c>
      <c r="Q50" s="310">
        <f t="shared" si="16"/>
        <v>4500</v>
      </c>
      <c r="R50" s="309">
        <f t="shared" si="36"/>
        <v>0</v>
      </c>
      <c r="S50" s="310">
        <f t="shared" si="17"/>
        <v>4500</v>
      </c>
      <c r="T50" s="312">
        <f t="shared" si="18"/>
        <v>400</v>
      </c>
      <c r="U50" s="313" t="str">
        <f t="shared" si="37"/>
        <v>Hays</v>
      </c>
      <c r="V50" s="309" t="str">
        <f t="shared" si="38"/>
        <v>MLC</v>
      </c>
      <c r="W50" s="314" t="str">
        <f t="shared" si="19"/>
        <v>2020-M03</v>
      </c>
      <c r="X50" s="314" t="str">
        <f t="shared" si="20"/>
        <v>2020-M03</v>
      </c>
    </row>
    <row r="51" spans="1:24" x14ac:dyDescent="0.25">
      <c r="A51" s="158" t="s">
        <v>664</v>
      </c>
      <c r="B51" s="158" t="s">
        <v>726</v>
      </c>
      <c r="C51" s="158" t="s">
        <v>149</v>
      </c>
      <c r="D51" s="158" t="s">
        <v>657</v>
      </c>
      <c r="E51" s="159">
        <v>5</v>
      </c>
      <c r="F51" s="369">
        <v>43723</v>
      </c>
      <c r="G51" s="374">
        <v>43738</v>
      </c>
      <c r="H51" s="157"/>
      <c r="I51" s="309">
        <f t="shared" ref="I51" si="39">IF(ISBLANK(B51),0,VLOOKUP(A51&amp;B51,Project,3))</f>
        <v>890.21</v>
      </c>
      <c r="J51" s="310">
        <f t="shared" ref="J51" si="40">E51*I51</f>
        <v>4451.05</v>
      </c>
      <c r="K51" s="310"/>
      <c r="L51" s="310">
        <f t="shared" ref="L51" si="41">ROUND((J51+K51)*0.1,2)</f>
        <v>445.11</v>
      </c>
      <c r="M51" s="310"/>
      <c r="N51" s="311">
        <f t="shared" ref="N51" si="42">SUM(J51:M51)</f>
        <v>4896.16</v>
      </c>
      <c r="O51" s="312">
        <f t="shared" ref="O51" si="43">IF(ISBLANK(G51),N51,0)</f>
        <v>0</v>
      </c>
      <c r="P51" s="309">
        <f t="shared" ref="P51" si="44">IF(ISBLANK(C51),0,VLOOKUP(A51&amp;B51,Project,4))</f>
        <v>845.69949999999994</v>
      </c>
      <c r="Q51" s="310">
        <f t="shared" ref="Q51" si="45">E51*P51</f>
        <v>4228.4974999999995</v>
      </c>
      <c r="R51" s="309">
        <f t="shared" ref="R51" si="46">IF(ISBLANK(C51),0,VLOOKUP(A51&amp;B51,Project,5))*Q51*0.1</f>
        <v>0</v>
      </c>
      <c r="S51" s="310">
        <f t="shared" ref="S51" si="47">SUM(Q51:R51)</f>
        <v>4228.4974999999995</v>
      </c>
      <c r="T51" s="312">
        <f t="shared" ref="T51" si="48">IF(Q51=0,0,J51-Q51)</f>
        <v>222.55250000000069</v>
      </c>
      <c r="U51" s="313" t="str">
        <f t="shared" si="37"/>
        <v>Paxus</v>
      </c>
      <c r="V51" s="309" t="str">
        <f t="shared" si="38"/>
        <v>Energy Queensland</v>
      </c>
      <c r="W51" s="314" t="str">
        <f t="shared" ref="W51" si="49">GETPERIOD(F51)</f>
        <v>2020-M03</v>
      </c>
      <c r="X51" s="314" t="str">
        <f t="shared" ref="X51" si="50">GETPERIOD(G51)</f>
        <v>2020-M03</v>
      </c>
    </row>
    <row r="52" spans="1:24" x14ac:dyDescent="0.25">
      <c r="A52" s="158" t="s">
        <v>158</v>
      </c>
      <c r="B52" s="158" t="s">
        <v>803</v>
      </c>
      <c r="C52" s="158" t="s">
        <v>695</v>
      </c>
      <c r="D52" s="295" t="s">
        <v>55</v>
      </c>
      <c r="E52" s="159">
        <v>5</v>
      </c>
      <c r="F52" s="369">
        <v>43735</v>
      </c>
      <c r="G52" s="374">
        <v>43740</v>
      </c>
      <c r="H52" s="157"/>
      <c r="I52" s="309">
        <f t="shared" si="34"/>
        <v>980</v>
      </c>
      <c r="J52" s="310">
        <f t="shared" si="12"/>
        <v>4900</v>
      </c>
      <c r="K52" s="310"/>
      <c r="L52" s="310">
        <f t="shared" si="13"/>
        <v>490</v>
      </c>
      <c r="M52" s="310"/>
      <c r="N52" s="311">
        <f t="shared" si="14"/>
        <v>5390</v>
      </c>
      <c r="O52" s="312">
        <f t="shared" si="15"/>
        <v>0</v>
      </c>
      <c r="P52" s="309">
        <f t="shared" si="35"/>
        <v>900</v>
      </c>
      <c r="Q52" s="310">
        <f t="shared" si="16"/>
        <v>4500</v>
      </c>
      <c r="R52" s="309">
        <f t="shared" si="36"/>
        <v>0</v>
      </c>
      <c r="S52" s="310">
        <f t="shared" si="17"/>
        <v>4500</v>
      </c>
      <c r="T52" s="312">
        <f t="shared" si="18"/>
        <v>400</v>
      </c>
      <c r="U52" s="313" t="str">
        <f t="shared" si="37"/>
        <v>Hays</v>
      </c>
      <c r="V52" s="309" t="str">
        <f t="shared" si="38"/>
        <v>MLC</v>
      </c>
      <c r="W52" s="314" t="str">
        <f t="shared" si="19"/>
        <v>2020-M03</v>
      </c>
      <c r="X52" s="314" t="str">
        <f t="shared" si="20"/>
        <v>2020-M04</v>
      </c>
    </row>
    <row r="53" spans="1:24" x14ac:dyDescent="0.25">
      <c r="A53" s="157" t="s">
        <v>664</v>
      </c>
      <c r="B53" s="157" t="s">
        <v>726</v>
      </c>
      <c r="C53" s="157" t="s">
        <v>159</v>
      </c>
      <c r="D53" s="157" t="s">
        <v>657</v>
      </c>
      <c r="E53" s="159">
        <v>5</v>
      </c>
      <c r="F53" s="369">
        <v>43730</v>
      </c>
      <c r="G53" s="374"/>
      <c r="H53" s="157"/>
      <c r="I53" s="309">
        <f t="shared" si="34"/>
        <v>890.21</v>
      </c>
      <c r="J53" s="310">
        <f t="shared" si="12"/>
        <v>4451.05</v>
      </c>
      <c r="K53" s="310"/>
      <c r="L53" s="310">
        <f t="shared" si="13"/>
        <v>445.11</v>
      </c>
      <c r="M53" s="310"/>
      <c r="N53" s="311">
        <f t="shared" si="14"/>
        <v>4896.16</v>
      </c>
      <c r="O53" s="312">
        <f t="shared" si="15"/>
        <v>4896.16</v>
      </c>
      <c r="P53" s="309">
        <f t="shared" si="35"/>
        <v>845.69949999999994</v>
      </c>
      <c r="Q53" s="310">
        <f t="shared" si="16"/>
        <v>4228.4974999999995</v>
      </c>
      <c r="R53" s="309">
        <f t="shared" si="36"/>
        <v>0</v>
      </c>
      <c r="S53" s="310">
        <f t="shared" si="17"/>
        <v>4228.4974999999995</v>
      </c>
      <c r="T53" s="312">
        <f t="shared" si="18"/>
        <v>222.55250000000069</v>
      </c>
      <c r="U53" s="313" t="str">
        <f t="shared" si="37"/>
        <v>Paxus</v>
      </c>
      <c r="V53" s="309" t="str">
        <f t="shared" si="38"/>
        <v>Energy Queensland</v>
      </c>
      <c r="W53" s="314" t="str">
        <f t="shared" si="19"/>
        <v>2020-M03</v>
      </c>
      <c r="X53" s="314" t="str">
        <f t="shared" si="20"/>
        <v/>
      </c>
    </row>
    <row r="54" spans="1:24" x14ac:dyDescent="0.25">
      <c r="A54" s="158" t="s">
        <v>147</v>
      </c>
      <c r="B54" s="158" t="s">
        <v>145</v>
      </c>
      <c r="C54" s="158" t="s">
        <v>924</v>
      </c>
      <c r="D54" s="158" t="s">
        <v>57</v>
      </c>
      <c r="E54" s="159">
        <v>10</v>
      </c>
      <c r="F54" s="369">
        <v>43737</v>
      </c>
      <c r="G54" s="374">
        <v>43741</v>
      </c>
      <c r="H54" s="157"/>
      <c r="I54" s="309">
        <f t="shared" si="34"/>
        <v>1000</v>
      </c>
      <c r="J54" s="310">
        <f t="shared" si="12"/>
        <v>10000</v>
      </c>
      <c r="K54" s="310"/>
      <c r="L54" s="310">
        <f t="shared" si="13"/>
        <v>1000</v>
      </c>
      <c r="M54" s="310"/>
      <c r="N54" s="311">
        <f t="shared" si="14"/>
        <v>11000</v>
      </c>
      <c r="O54" s="312">
        <f t="shared" si="15"/>
        <v>0</v>
      </c>
      <c r="P54" s="309">
        <f t="shared" si="35"/>
        <v>980</v>
      </c>
      <c r="Q54" s="310">
        <f t="shared" si="16"/>
        <v>9800</v>
      </c>
      <c r="R54" s="309">
        <f t="shared" si="36"/>
        <v>0</v>
      </c>
      <c r="S54" s="310">
        <f t="shared" si="17"/>
        <v>9800</v>
      </c>
      <c r="T54" s="312">
        <f t="shared" si="18"/>
        <v>200</v>
      </c>
      <c r="U54" s="313" t="str">
        <f t="shared" si="37"/>
        <v>M&amp;T Resources</v>
      </c>
      <c r="V54" s="309" t="str">
        <f t="shared" si="38"/>
        <v>Energy Queensland</v>
      </c>
      <c r="W54" s="314" t="str">
        <f t="shared" si="19"/>
        <v>2020-M03</v>
      </c>
      <c r="X54" s="314" t="str">
        <f t="shared" si="20"/>
        <v>2020-M04</v>
      </c>
    </row>
    <row r="55" spans="1:24" x14ac:dyDescent="0.25">
      <c r="A55" s="158" t="s">
        <v>147</v>
      </c>
      <c r="B55" s="158" t="s">
        <v>695</v>
      </c>
      <c r="C55" s="158" t="s">
        <v>924</v>
      </c>
      <c r="D55" s="158" t="s">
        <v>669</v>
      </c>
      <c r="E55" s="159">
        <v>10</v>
      </c>
      <c r="F55" s="369">
        <v>43737</v>
      </c>
      <c r="G55" s="374">
        <v>43741</v>
      </c>
      <c r="H55" s="157"/>
      <c r="I55" s="309">
        <f t="shared" si="34"/>
        <v>900</v>
      </c>
      <c r="J55" s="310">
        <f t="shared" si="12"/>
        <v>9000</v>
      </c>
      <c r="K55" s="310"/>
      <c r="L55" s="310">
        <f t="shared" si="13"/>
        <v>900</v>
      </c>
      <c r="M55" s="310"/>
      <c r="N55" s="311">
        <f t="shared" si="14"/>
        <v>9900</v>
      </c>
      <c r="O55" s="312">
        <f t="shared" si="15"/>
        <v>0</v>
      </c>
      <c r="P55" s="309">
        <f t="shared" si="35"/>
        <v>855</v>
      </c>
      <c r="Q55" s="310">
        <f t="shared" si="16"/>
        <v>8550</v>
      </c>
      <c r="R55" s="309">
        <f t="shared" si="36"/>
        <v>0</v>
      </c>
      <c r="S55" s="310">
        <f t="shared" si="17"/>
        <v>8550</v>
      </c>
      <c r="T55" s="312">
        <f t="shared" si="18"/>
        <v>450</v>
      </c>
      <c r="U55" s="313" t="str">
        <f t="shared" si="37"/>
        <v>M&amp;T Resources</v>
      </c>
      <c r="V55" s="309" t="str">
        <f t="shared" si="38"/>
        <v>Energy Queensland</v>
      </c>
      <c r="W55" s="314" t="str">
        <f t="shared" si="19"/>
        <v>2020-M03</v>
      </c>
      <c r="X55" s="314" t="str">
        <f t="shared" si="20"/>
        <v>2020-M04</v>
      </c>
    </row>
    <row r="56" spans="1:24" x14ac:dyDescent="0.25">
      <c r="A56" s="158" t="s">
        <v>158</v>
      </c>
      <c r="B56" s="158" t="s">
        <v>803</v>
      </c>
      <c r="C56" s="158" t="s">
        <v>928</v>
      </c>
      <c r="D56" s="158" t="s">
        <v>55</v>
      </c>
      <c r="E56" s="159">
        <v>5</v>
      </c>
      <c r="F56" s="369">
        <v>43742</v>
      </c>
      <c r="G56" s="374"/>
      <c r="H56" s="157"/>
      <c r="I56" s="309">
        <f t="shared" si="34"/>
        <v>980</v>
      </c>
      <c r="J56" s="310">
        <f t="shared" si="12"/>
        <v>4900</v>
      </c>
      <c r="K56" s="310"/>
      <c r="L56" s="310">
        <f t="shared" si="13"/>
        <v>490</v>
      </c>
      <c r="M56" s="310"/>
      <c r="N56" s="311">
        <f t="shared" si="14"/>
        <v>5390</v>
      </c>
      <c r="O56" s="312">
        <f t="shared" si="15"/>
        <v>5390</v>
      </c>
      <c r="P56" s="309">
        <f t="shared" si="35"/>
        <v>900</v>
      </c>
      <c r="Q56" s="310">
        <f t="shared" si="16"/>
        <v>4500</v>
      </c>
      <c r="R56" s="309">
        <f t="shared" si="36"/>
        <v>0</v>
      </c>
      <c r="S56" s="310">
        <f t="shared" si="17"/>
        <v>4500</v>
      </c>
      <c r="T56" s="312">
        <f t="shared" si="18"/>
        <v>400</v>
      </c>
      <c r="U56" s="313" t="str">
        <f t="shared" si="37"/>
        <v>Hays</v>
      </c>
      <c r="V56" s="309" t="str">
        <f t="shared" si="38"/>
        <v>MLC</v>
      </c>
      <c r="W56" s="314" t="str">
        <f t="shared" si="19"/>
        <v>2020-M04</v>
      </c>
      <c r="X56" s="314" t="str">
        <f t="shared" si="20"/>
        <v/>
      </c>
    </row>
    <row r="57" spans="1:24" x14ac:dyDescent="0.25">
      <c r="A57" s="157"/>
      <c r="B57" s="157"/>
      <c r="C57" s="158"/>
      <c r="D57" s="157"/>
      <c r="E57" s="159"/>
      <c r="F57" s="369"/>
      <c r="G57" s="374"/>
      <c r="H57" s="157"/>
      <c r="I57" s="309">
        <f t="shared" si="34"/>
        <v>0</v>
      </c>
      <c r="J57" s="310">
        <f t="shared" si="12"/>
        <v>0</v>
      </c>
      <c r="K57" s="310"/>
      <c r="L57" s="310">
        <f t="shared" si="13"/>
        <v>0</v>
      </c>
      <c r="M57" s="310"/>
      <c r="N57" s="311">
        <f t="shared" si="14"/>
        <v>0</v>
      </c>
      <c r="O57" s="312">
        <f t="shared" si="15"/>
        <v>0</v>
      </c>
      <c r="P57" s="309">
        <f t="shared" si="35"/>
        <v>0</v>
      </c>
      <c r="Q57" s="310">
        <f t="shared" si="16"/>
        <v>0</v>
      </c>
      <c r="R57" s="309">
        <f t="shared" si="36"/>
        <v>0</v>
      </c>
      <c r="S57" s="310">
        <f t="shared" si="17"/>
        <v>0</v>
      </c>
      <c r="T57" s="312">
        <f t="shared" si="18"/>
        <v>0</v>
      </c>
      <c r="U57" s="313" t="str">
        <f t="shared" si="37"/>
        <v/>
      </c>
      <c r="V57" s="309" t="str">
        <f t="shared" si="38"/>
        <v/>
      </c>
      <c r="W57" s="314" t="str">
        <f t="shared" si="19"/>
        <v/>
      </c>
      <c r="X57" s="314" t="str">
        <f t="shared" si="20"/>
        <v/>
      </c>
    </row>
    <row r="58" spans="1:24" x14ac:dyDescent="0.25">
      <c r="A58" s="158"/>
      <c r="B58" s="158"/>
      <c r="C58" s="158"/>
      <c r="D58" s="158"/>
      <c r="E58" s="159"/>
      <c r="F58" s="369"/>
      <c r="G58" s="374"/>
      <c r="H58" s="157"/>
      <c r="I58" s="309">
        <f t="shared" si="34"/>
        <v>0</v>
      </c>
      <c r="J58" s="310">
        <f t="shared" si="12"/>
        <v>0</v>
      </c>
      <c r="K58" s="310"/>
      <c r="L58" s="310">
        <f t="shared" si="13"/>
        <v>0</v>
      </c>
      <c r="M58" s="310"/>
      <c r="N58" s="311">
        <f t="shared" si="14"/>
        <v>0</v>
      </c>
      <c r="O58" s="312">
        <f t="shared" si="15"/>
        <v>0</v>
      </c>
      <c r="P58" s="309">
        <f t="shared" si="35"/>
        <v>0</v>
      </c>
      <c r="Q58" s="310">
        <f t="shared" si="16"/>
        <v>0</v>
      </c>
      <c r="R58" s="309">
        <f t="shared" si="36"/>
        <v>0</v>
      </c>
      <c r="S58" s="310">
        <f t="shared" si="17"/>
        <v>0</v>
      </c>
      <c r="T58" s="312">
        <f t="shared" si="18"/>
        <v>0</v>
      </c>
      <c r="U58" s="313" t="str">
        <f t="shared" si="37"/>
        <v/>
      </c>
      <c r="V58" s="309" t="str">
        <f t="shared" si="38"/>
        <v/>
      </c>
      <c r="W58" s="314" t="str">
        <f t="shared" si="19"/>
        <v/>
      </c>
      <c r="X58" s="314" t="str">
        <f t="shared" si="20"/>
        <v/>
      </c>
    </row>
    <row r="59" spans="1:24" x14ac:dyDescent="0.25">
      <c r="A59" s="158"/>
      <c r="B59" s="158"/>
      <c r="C59" s="158"/>
      <c r="D59" s="158"/>
      <c r="E59" s="159"/>
      <c r="F59" s="369"/>
      <c r="G59" s="374"/>
      <c r="H59" s="157"/>
      <c r="I59" s="309">
        <f>IF(ISBLANK(B59),0,VLOOKUP(A59&amp;B59,Project,3))</f>
        <v>0</v>
      </c>
      <c r="J59" s="310">
        <f>E59*I59</f>
        <v>0</v>
      </c>
      <c r="K59" s="310"/>
      <c r="L59" s="310">
        <f>ROUND((J59+K59)*0.1,2)</f>
        <v>0</v>
      </c>
      <c r="M59" s="310"/>
      <c r="N59" s="311">
        <f>SUM(J59:M59)</f>
        <v>0</v>
      </c>
      <c r="O59" s="312">
        <f>IF(ISBLANK(G59),N59,0)</f>
        <v>0</v>
      </c>
      <c r="P59" s="309">
        <f>IF(ISBLANK(C59),0,VLOOKUP(A59&amp;B59,Project,4))</f>
        <v>0</v>
      </c>
      <c r="Q59" s="310">
        <f>E59*P59</f>
        <v>0</v>
      </c>
      <c r="R59" s="309">
        <f>IF(ISBLANK(C59),0,VLOOKUP(A59&amp;B59,Project,5))*Q59*0.1</f>
        <v>0</v>
      </c>
      <c r="S59" s="310">
        <f>SUM(Q59:R59)</f>
        <v>0</v>
      </c>
      <c r="T59" s="312">
        <f>IF(Q59=0,0,J59-Q59)</f>
        <v>0</v>
      </c>
      <c r="U59" s="313" t="str">
        <f>IF(ISBLANK($A59),"",VLOOKUP($A59,Customer,2))</f>
        <v/>
      </c>
      <c r="V59" s="309" t="str">
        <f>IF(ISBLANK($A59),"",VLOOKUP(CONCATENATE($A59,$B59),invProject,2))</f>
        <v/>
      </c>
      <c r="W59" s="314" t="str">
        <f>GETPERIOD(F59)</f>
        <v/>
      </c>
      <c r="X59" s="314" t="str">
        <f>GETPERIOD(G59)</f>
        <v/>
      </c>
    </row>
    <row r="60" spans="1:24" x14ac:dyDescent="0.25">
      <c r="A60" s="158"/>
      <c r="B60" s="158"/>
      <c r="C60" s="158"/>
      <c r="D60" s="158"/>
      <c r="E60" s="159"/>
      <c r="F60" s="369"/>
      <c r="G60" s="374"/>
      <c r="H60" s="157"/>
      <c r="I60" s="309">
        <f t="shared" si="34"/>
        <v>0</v>
      </c>
      <c r="J60" s="310">
        <f t="shared" si="12"/>
        <v>0</v>
      </c>
      <c r="K60" s="310"/>
      <c r="L60" s="310">
        <f t="shared" si="13"/>
        <v>0</v>
      </c>
      <c r="M60" s="310"/>
      <c r="N60" s="311">
        <f t="shared" si="14"/>
        <v>0</v>
      </c>
      <c r="O60" s="312">
        <f t="shared" si="15"/>
        <v>0</v>
      </c>
      <c r="P60" s="309">
        <f t="shared" si="35"/>
        <v>0</v>
      </c>
      <c r="Q60" s="310">
        <f t="shared" si="16"/>
        <v>0</v>
      </c>
      <c r="R60" s="309">
        <f t="shared" si="36"/>
        <v>0</v>
      </c>
      <c r="S60" s="310">
        <f t="shared" si="17"/>
        <v>0</v>
      </c>
      <c r="T60" s="312">
        <f t="shared" si="18"/>
        <v>0</v>
      </c>
      <c r="U60" s="313" t="str">
        <f t="shared" si="37"/>
        <v/>
      </c>
      <c r="V60" s="309" t="str">
        <f t="shared" si="38"/>
        <v/>
      </c>
      <c r="W60" s="314" t="str">
        <f t="shared" si="19"/>
        <v/>
      </c>
      <c r="X60" s="314" t="str">
        <f t="shared" si="20"/>
        <v/>
      </c>
    </row>
    <row r="61" spans="1:24" x14ac:dyDescent="0.25">
      <c r="A61" s="158"/>
      <c r="B61" s="158"/>
      <c r="C61" s="158"/>
      <c r="D61" s="158"/>
      <c r="E61" s="159"/>
      <c r="F61" s="369"/>
      <c r="G61" s="374"/>
      <c r="H61" s="157"/>
      <c r="I61" s="309">
        <f t="shared" si="34"/>
        <v>0</v>
      </c>
      <c r="J61" s="310">
        <f t="shared" si="12"/>
        <v>0</v>
      </c>
      <c r="K61" s="310"/>
      <c r="L61" s="310">
        <f t="shared" si="13"/>
        <v>0</v>
      </c>
      <c r="M61" s="310"/>
      <c r="N61" s="311">
        <f t="shared" si="14"/>
        <v>0</v>
      </c>
      <c r="O61" s="312">
        <f t="shared" si="15"/>
        <v>0</v>
      </c>
      <c r="P61" s="309">
        <f t="shared" si="35"/>
        <v>0</v>
      </c>
      <c r="Q61" s="310">
        <f t="shared" si="16"/>
        <v>0</v>
      </c>
      <c r="R61" s="309">
        <f t="shared" si="36"/>
        <v>0</v>
      </c>
      <c r="S61" s="310">
        <f t="shared" si="17"/>
        <v>0</v>
      </c>
      <c r="T61" s="312">
        <f t="shared" si="18"/>
        <v>0</v>
      </c>
      <c r="U61" s="313" t="str">
        <f t="shared" si="37"/>
        <v/>
      </c>
      <c r="V61" s="309" t="str">
        <f t="shared" si="38"/>
        <v/>
      </c>
      <c r="W61" s="314" t="str">
        <f t="shared" si="19"/>
        <v/>
      </c>
      <c r="X61" s="314" t="str">
        <f t="shared" si="20"/>
        <v/>
      </c>
    </row>
    <row r="62" spans="1:24" x14ac:dyDescent="0.25">
      <c r="A62" s="158"/>
      <c r="B62" s="158"/>
      <c r="C62" s="158"/>
      <c r="D62" s="158"/>
      <c r="E62" s="159"/>
      <c r="F62" s="369"/>
      <c r="G62" s="374"/>
      <c r="H62" s="157"/>
      <c r="I62" s="309">
        <f t="shared" si="34"/>
        <v>0</v>
      </c>
      <c r="J62" s="310">
        <f t="shared" si="12"/>
        <v>0</v>
      </c>
      <c r="K62" s="310"/>
      <c r="L62" s="310">
        <f t="shared" si="13"/>
        <v>0</v>
      </c>
      <c r="M62" s="310"/>
      <c r="N62" s="311">
        <f t="shared" si="14"/>
        <v>0</v>
      </c>
      <c r="O62" s="312">
        <f t="shared" si="15"/>
        <v>0</v>
      </c>
      <c r="P62" s="309">
        <f t="shared" si="35"/>
        <v>0</v>
      </c>
      <c r="Q62" s="310">
        <f t="shared" si="16"/>
        <v>0</v>
      </c>
      <c r="R62" s="309">
        <f t="shared" si="36"/>
        <v>0</v>
      </c>
      <c r="S62" s="310">
        <f t="shared" si="17"/>
        <v>0</v>
      </c>
      <c r="T62" s="312">
        <f t="shared" si="18"/>
        <v>0</v>
      </c>
      <c r="U62" s="313" t="str">
        <f t="shared" si="37"/>
        <v/>
      </c>
      <c r="V62" s="309" t="str">
        <f t="shared" si="38"/>
        <v/>
      </c>
      <c r="W62" s="314" t="str">
        <f t="shared" si="19"/>
        <v/>
      </c>
      <c r="X62" s="314" t="str">
        <f t="shared" si="20"/>
        <v/>
      </c>
    </row>
    <row r="63" spans="1:24" x14ac:dyDescent="0.25">
      <c r="A63" s="158"/>
      <c r="B63" s="158"/>
      <c r="C63" s="158"/>
      <c r="D63" s="158"/>
      <c r="E63" s="159"/>
      <c r="F63" s="369"/>
      <c r="G63" s="374"/>
      <c r="H63" s="157"/>
      <c r="I63" s="309">
        <f t="shared" si="34"/>
        <v>0</v>
      </c>
      <c r="J63" s="310">
        <f t="shared" si="12"/>
        <v>0</v>
      </c>
      <c r="K63" s="310"/>
      <c r="L63" s="310">
        <f t="shared" si="13"/>
        <v>0</v>
      </c>
      <c r="M63" s="310"/>
      <c r="N63" s="311">
        <f t="shared" si="14"/>
        <v>0</v>
      </c>
      <c r="O63" s="312">
        <f t="shared" si="15"/>
        <v>0</v>
      </c>
      <c r="P63" s="309">
        <f t="shared" si="35"/>
        <v>0</v>
      </c>
      <c r="Q63" s="310">
        <f t="shared" si="16"/>
        <v>0</v>
      </c>
      <c r="R63" s="309">
        <f t="shared" si="36"/>
        <v>0</v>
      </c>
      <c r="S63" s="310">
        <f t="shared" si="17"/>
        <v>0</v>
      </c>
      <c r="T63" s="312">
        <f t="shared" si="18"/>
        <v>0</v>
      </c>
      <c r="U63" s="313" t="str">
        <f t="shared" si="37"/>
        <v/>
      </c>
      <c r="V63" s="309" t="str">
        <f t="shared" si="38"/>
        <v/>
      </c>
      <c r="W63" s="314" t="str">
        <f t="shared" si="19"/>
        <v/>
      </c>
      <c r="X63" s="314" t="str">
        <f t="shared" si="20"/>
        <v/>
      </c>
    </row>
    <row r="64" spans="1:24" x14ac:dyDescent="0.25">
      <c r="A64" s="158"/>
      <c r="B64" s="158"/>
      <c r="C64" s="158"/>
      <c r="D64" s="158"/>
      <c r="E64" s="159"/>
      <c r="F64" s="369"/>
      <c r="G64" s="374"/>
      <c r="H64" s="157"/>
      <c r="I64" s="309">
        <f t="shared" si="34"/>
        <v>0</v>
      </c>
      <c r="J64" s="310">
        <f t="shared" si="12"/>
        <v>0</v>
      </c>
      <c r="K64" s="310"/>
      <c r="L64" s="310">
        <f t="shared" si="13"/>
        <v>0</v>
      </c>
      <c r="M64" s="310"/>
      <c r="N64" s="311">
        <f t="shared" si="14"/>
        <v>0</v>
      </c>
      <c r="O64" s="312">
        <f t="shared" si="15"/>
        <v>0</v>
      </c>
      <c r="P64" s="309">
        <f t="shared" si="35"/>
        <v>0</v>
      </c>
      <c r="Q64" s="310">
        <f t="shared" si="16"/>
        <v>0</v>
      </c>
      <c r="R64" s="309">
        <f t="shared" si="36"/>
        <v>0</v>
      </c>
      <c r="S64" s="310">
        <f t="shared" si="17"/>
        <v>0</v>
      </c>
      <c r="T64" s="312">
        <f t="shared" si="18"/>
        <v>0</v>
      </c>
      <c r="U64" s="313" t="str">
        <f t="shared" si="37"/>
        <v/>
      </c>
      <c r="V64" s="309" t="str">
        <f t="shared" si="38"/>
        <v/>
      </c>
      <c r="W64" s="314" t="str">
        <f t="shared" si="19"/>
        <v/>
      </c>
      <c r="X64" s="314" t="str">
        <f t="shared" si="20"/>
        <v/>
      </c>
    </row>
    <row r="65" spans="1:24" x14ac:dyDescent="0.25">
      <c r="A65" s="158"/>
      <c r="B65" s="158"/>
      <c r="C65" s="158"/>
      <c r="D65" s="158"/>
      <c r="E65" s="159"/>
      <c r="F65" s="369"/>
      <c r="G65" s="374"/>
      <c r="H65" s="157"/>
      <c r="I65" s="309">
        <f>IF(ISBLANK(B65),0,VLOOKUP(A65&amp;B65,Project,3))</f>
        <v>0</v>
      </c>
      <c r="J65" s="310">
        <f>E65*I65</f>
        <v>0</v>
      </c>
      <c r="K65" s="310"/>
      <c r="L65" s="310">
        <f>ROUND((J65+K65)*0.1,2)</f>
        <v>0</v>
      </c>
      <c r="M65" s="310"/>
      <c r="N65" s="311">
        <f>SUM(J65:M65)</f>
        <v>0</v>
      </c>
      <c r="O65" s="312">
        <f>IF(ISBLANK(G65),N65,0)</f>
        <v>0</v>
      </c>
      <c r="P65" s="309">
        <f>IF(ISBLANK(C65),0,VLOOKUP(A65&amp;B65,Project,4))</f>
        <v>0</v>
      </c>
      <c r="Q65" s="310">
        <f>E65*P65</f>
        <v>0</v>
      </c>
      <c r="R65" s="309">
        <f>IF(ISBLANK(C65),0,VLOOKUP(A65&amp;B65,Project,5))*Q65*0.1</f>
        <v>0</v>
      </c>
      <c r="S65" s="310">
        <f>SUM(Q65:R65)</f>
        <v>0</v>
      </c>
      <c r="T65" s="312">
        <f>IF(Q65=0,0,J65-Q65)</f>
        <v>0</v>
      </c>
      <c r="U65" s="313" t="str">
        <f>IF(ISBLANK($A65),"",VLOOKUP($A65,Customer,2))</f>
        <v/>
      </c>
      <c r="V65" s="309" t="str">
        <f>IF(ISBLANK($A65),"",VLOOKUP(CONCATENATE($A65,$B65),invProject,2))</f>
        <v/>
      </c>
      <c r="W65" s="314" t="str">
        <f>GETPERIOD(F65)</f>
        <v/>
      </c>
      <c r="X65" s="314" t="str">
        <f>GETPERIOD(G65)</f>
        <v/>
      </c>
    </row>
    <row r="66" spans="1:24" x14ac:dyDescent="0.25">
      <c r="A66" s="158"/>
      <c r="B66" s="158"/>
      <c r="C66" s="158"/>
      <c r="D66" s="158"/>
      <c r="E66" s="159"/>
      <c r="F66" s="369"/>
      <c r="G66" s="374"/>
      <c r="H66" s="157"/>
      <c r="I66" s="309">
        <f t="shared" si="34"/>
        <v>0</v>
      </c>
      <c r="J66" s="310">
        <f t="shared" si="12"/>
        <v>0</v>
      </c>
      <c r="K66" s="310"/>
      <c r="L66" s="310">
        <f t="shared" si="13"/>
        <v>0</v>
      </c>
      <c r="M66" s="310"/>
      <c r="N66" s="311">
        <f t="shared" si="14"/>
        <v>0</v>
      </c>
      <c r="O66" s="312">
        <f t="shared" si="15"/>
        <v>0</v>
      </c>
      <c r="P66" s="309">
        <f t="shared" si="35"/>
        <v>0</v>
      </c>
      <c r="Q66" s="310">
        <f t="shared" si="16"/>
        <v>0</v>
      </c>
      <c r="R66" s="309">
        <f t="shared" si="36"/>
        <v>0</v>
      </c>
      <c r="S66" s="310">
        <f t="shared" si="17"/>
        <v>0</v>
      </c>
      <c r="T66" s="312">
        <f t="shared" si="18"/>
        <v>0</v>
      </c>
      <c r="U66" s="313" t="str">
        <f t="shared" si="37"/>
        <v/>
      </c>
      <c r="V66" s="309" t="str">
        <f t="shared" si="38"/>
        <v/>
      </c>
      <c r="W66" s="314" t="str">
        <f t="shared" si="19"/>
        <v/>
      </c>
      <c r="X66" s="314" t="str">
        <f t="shared" si="20"/>
        <v/>
      </c>
    </row>
    <row r="67" spans="1:24" x14ac:dyDescent="0.25">
      <c r="A67" s="158"/>
      <c r="B67" s="158"/>
      <c r="C67" s="158"/>
      <c r="D67" s="158"/>
      <c r="E67" s="159"/>
      <c r="F67" s="369"/>
      <c r="G67" s="374"/>
      <c r="H67" s="157"/>
      <c r="I67" s="309">
        <f t="shared" ref="I67:I98" si="51">IF(ISBLANK(B67),0,VLOOKUP(A67&amp;B67,Project,3))</f>
        <v>0</v>
      </c>
      <c r="J67" s="310">
        <f t="shared" si="12"/>
        <v>0</v>
      </c>
      <c r="K67" s="310"/>
      <c r="L67" s="310">
        <f t="shared" si="13"/>
        <v>0</v>
      </c>
      <c r="M67" s="310"/>
      <c r="N67" s="311">
        <f t="shared" si="14"/>
        <v>0</v>
      </c>
      <c r="O67" s="312">
        <f t="shared" si="15"/>
        <v>0</v>
      </c>
      <c r="P67" s="309">
        <f t="shared" ref="P67:P98" si="52">IF(ISBLANK(C67),0,VLOOKUP(A67&amp;B67,Project,4))</f>
        <v>0</v>
      </c>
      <c r="Q67" s="310">
        <f t="shared" si="16"/>
        <v>0</v>
      </c>
      <c r="R67" s="309">
        <f t="shared" ref="R67:R98" si="53">IF(ISBLANK(C67),0,VLOOKUP(A67&amp;B67,Project,5))*Q67*0.1</f>
        <v>0</v>
      </c>
      <c r="S67" s="310">
        <f t="shared" si="17"/>
        <v>0</v>
      </c>
      <c r="T67" s="312">
        <f t="shared" si="18"/>
        <v>0</v>
      </c>
      <c r="U67" s="313" t="str">
        <f t="shared" si="37"/>
        <v/>
      </c>
      <c r="V67" s="309" t="str">
        <f t="shared" si="38"/>
        <v/>
      </c>
      <c r="W67" s="314" t="str">
        <f t="shared" si="19"/>
        <v/>
      </c>
      <c r="X67" s="314" t="str">
        <f t="shared" si="20"/>
        <v/>
      </c>
    </row>
    <row r="68" spans="1:24" x14ac:dyDescent="0.25">
      <c r="A68" s="157"/>
      <c r="B68" s="157"/>
      <c r="C68" s="157"/>
      <c r="D68" s="158"/>
      <c r="E68" s="159"/>
      <c r="F68" s="369"/>
      <c r="G68" s="374"/>
      <c r="H68" s="157"/>
      <c r="I68" s="309">
        <f t="shared" si="51"/>
        <v>0</v>
      </c>
      <c r="J68" s="310">
        <f t="shared" ref="J68:J131" si="54">E68*I68</f>
        <v>0</v>
      </c>
      <c r="K68" s="310"/>
      <c r="L68" s="310">
        <f t="shared" ref="L68:L131" si="55">ROUND((J68+K68)*0.1,2)</f>
        <v>0</v>
      </c>
      <c r="M68" s="310"/>
      <c r="N68" s="311">
        <f t="shared" ref="N68:N131" si="56">SUM(J68:M68)</f>
        <v>0</v>
      </c>
      <c r="O68" s="312">
        <f t="shared" ref="O68:O131" si="57">IF(ISBLANK(G68),N68,0)</f>
        <v>0</v>
      </c>
      <c r="P68" s="309">
        <f t="shared" si="52"/>
        <v>0</v>
      </c>
      <c r="Q68" s="310">
        <f t="shared" ref="Q68:Q131" si="58">E68*P68</f>
        <v>0</v>
      </c>
      <c r="R68" s="309">
        <f t="shared" si="53"/>
        <v>0</v>
      </c>
      <c r="S68" s="310">
        <f t="shared" ref="S68:S131" si="59">SUM(Q68:R68)</f>
        <v>0</v>
      </c>
      <c r="T68" s="312">
        <f t="shared" ref="T68:T131" si="60">IF(Q68=0,0,J68-Q68)</f>
        <v>0</v>
      </c>
      <c r="U68" s="313" t="str">
        <f t="shared" si="37"/>
        <v/>
      </c>
      <c r="V68" s="309" t="str">
        <f t="shared" si="38"/>
        <v/>
      </c>
      <c r="W68" s="314" t="str">
        <f t="shared" ref="W68:W131" si="61">GETPERIOD(F68)</f>
        <v/>
      </c>
      <c r="X68" s="314" t="str">
        <f t="shared" ref="X68:X131" si="62">GETPERIOD(G68)</f>
        <v/>
      </c>
    </row>
    <row r="69" spans="1:24" x14ac:dyDescent="0.25">
      <c r="A69" s="158"/>
      <c r="B69" s="158"/>
      <c r="C69" s="158"/>
      <c r="D69" s="158"/>
      <c r="E69" s="159"/>
      <c r="F69" s="369"/>
      <c r="G69" s="374"/>
      <c r="H69" s="157"/>
      <c r="I69" s="309">
        <f t="shared" si="51"/>
        <v>0</v>
      </c>
      <c r="J69" s="310">
        <f t="shared" si="54"/>
        <v>0</v>
      </c>
      <c r="K69" s="310"/>
      <c r="L69" s="310">
        <f t="shared" si="55"/>
        <v>0</v>
      </c>
      <c r="M69" s="310"/>
      <c r="N69" s="311">
        <f t="shared" si="56"/>
        <v>0</v>
      </c>
      <c r="O69" s="312">
        <f t="shared" si="57"/>
        <v>0</v>
      </c>
      <c r="P69" s="309">
        <f t="shared" si="52"/>
        <v>0</v>
      </c>
      <c r="Q69" s="310">
        <f t="shared" si="58"/>
        <v>0</v>
      </c>
      <c r="R69" s="309">
        <f t="shared" si="53"/>
        <v>0</v>
      </c>
      <c r="S69" s="310">
        <f t="shared" si="59"/>
        <v>0</v>
      </c>
      <c r="T69" s="312">
        <f t="shared" si="60"/>
        <v>0</v>
      </c>
      <c r="U69" s="313" t="str">
        <f t="shared" ref="U69:U100" si="63">IF(ISBLANK($A69),"",VLOOKUP($A69,Customer,2))</f>
        <v/>
      </c>
      <c r="V69" s="309" t="str">
        <f t="shared" ref="V69:V100" si="64">IF(ISBLANK($A69),"",VLOOKUP(CONCATENATE($A69,$B69),invProject,2))</f>
        <v/>
      </c>
      <c r="W69" s="314" t="str">
        <f t="shared" si="61"/>
        <v/>
      </c>
      <c r="X69" s="314" t="str">
        <f t="shared" si="62"/>
        <v/>
      </c>
    </row>
    <row r="70" spans="1:24" x14ac:dyDescent="0.25">
      <c r="A70" s="158"/>
      <c r="B70" s="158"/>
      <c r="C70" s="158"/>
      <c r="D70" s="158"/>
      <c r="E70" s="159"/>
      <c r="F70" s="369"/>
      <c r="G70" s="374"/>
      <c r="H70" s="157"/>
      <c r="I70" s="309">
        <f t="shared" si="51"/>
        <v>0</v>
      </c>
      <c r="J70" s="310">
        <f t="shared" si="54"/>
        <v>0</v>
      </c>
      <c r="K70" s="310"/>
      <c r="L70" s="310">
        <f t="shared" si="55"/>
        <v>0</v>
      </c>
      <c r="M70" s="310"/>
      <c r="N70" s="311">
        <f t="shared" si="56"/>
        <v>0</v>
      </c>
      <c r="O70" s="312">
        <f t="shared" si="57"/>
        <v>0</v>
      </c>
      <c r="P70" s="309">
        <f t="shared" si="52"/>
        <v>0</v>
      </c>
      <c r="Q70" s="310">
        <f t="shared" si="58"/>
        <v>0</v>
      </c>
      <c r="R70" s="309">
        <f t="shared" si="53"/>
        <v>0</v>
      </c>
      <c r="S70" s="310">
        <f t="shared" si="59"/>
        <v>0</v>
      </c>
      <c r="T70" s="312">
        <f t="shared" si="60"/>
        <v>0</v>
      </c>
      <c r="U70" s="313" t="str">
        <f t="shared" si="63"/>
        <v/>
      </c>
      <c r="V70" s="309" t="str">
        <f t="shared" si="64"/>
        <v/>
      </c>
      <c r="W70" s="314" t="str">
        <f t="shared" si="61"/>
        <v/>
      </c>
      <c r="X70" s="314" t="str">
        <f t="shared" si="62"/>
        <v/>
      </c>
    </row>
    <row r="71" spans="1:24" x14ac:dyDescent="0.25">
      <c r="A71" s="158"/>
      <c r="B71" s="158"/>
      <c r="C71" s="158"/>
      <c r="D71" s="158"/>
      <c r="E71" s="159"/>
      <c r="F71" s="369"/>
      <c r="G71" s="374"/>
      <c r="H71" s="157"/>
      <c r="I71" s="309">
        <f t="shared" si="51"/>
        <v>0</v>
      </c>
      <c r="J71" s="310">
        <f t="shared" si="54"/>
        <v>0</v>
      </c>
      <c r="K71" s="310"/>
      <c r="L71" s="310">
        <f t="shared" si="55"/>
        <v>0</v>
      </c>
      <c r="M71" s="310"/>
      <c r="N71" s="311">
        <f t="shared" si="56"/>
        <v>0</v>
      </c>
      <c r="O71" s="312">
        <f t="shared" si="57"/>
        <v>0</v>
      </c>
      <c r="P71" s="309">
        <f t="shared" si="52"/>
        <v>0</v>
      </c>
      <c r="Q71" s="310">
        <f t="shared" si="58"/>
        <v>0</v>
      </c>
      <c r="R71" s="309">
        <f t="shared" si="53"/>
        <v>0</v>
      </c>
      <c r="S71" s="310">
        <f t="shared" si="59"/>
        <v>0</v>
      </c>
      <c r="T71" s="312">
        <f t="shared" si="60"/>
        <v>0</v>
      </c>
      <c r="U71" s="313" t="str">
        <f t="shared" si="63"/>
        <v/>
      </c>
      <c r="V71" s="309" t="str">
        <f t="shared" si="64"/>
        <v/>
      </c>
      <c r="W71" s="314" t="str">
        <f t="shared" si="61"/>
        <v/>
      </c>
      <c r="X71" s="314" t="str">
        <f t="shared" si="62"/>
        <v/>
      </c>
    </row>
    <row r="72" spans="1:24" x14ac:dyDescent="0.25">
      <c r="A72" s="158"/>
      <c r="B72" s="158"/>
      <c r="C72" s="158"/>
      <c r="D72" s="158"/>
      <c r="E72" s="159"/>
      <c r="F72" s="369"/>
      <c r="G72" s="374"/>
      <c r="H72" s="157"/>
      <c r="I72" s="309">
        <f t="shared" si="51"/>
        <v>0</v>
      </c>
      <c r="J72" s="310">
        <f t="shared" si="54"/>
        <v>0</v>
      </c>
      <c r="K72" s="310"/>
      <c r="L72" s="310">
        <f t="shared" si="55"/>
        <v>0</v>
      </c>
      <c r="M72" s="310"/>
      <c r="N72" s="311">
        <f t="shared" si="56"/>
        <v>0</v>
      </c>
      <c r="O72" s="312">
        <f t="shared" si="57"/>
        <v>0</v>
      </c>
      <c r="P72" s="309">
        <f t="shared" si="52"/>
        <v>0</v>
      </c>
      <c r="Q72" s="310">
        <f t="shared" si="58"/>
        <v>0</v>
      </c>
      <c r="R72" s="309">
        <f t="shared" si="53"/>
        <v>0</v>
      </c>
      <c r="S72" s="310">
        <f t="shared" si="59"/>
        <v>0</v>
      </c>
      <c r="T72" s="312">
        <f t="shared" si="60"/>
        <v>0</v>
      </c>
      <c r="U72" s="313" t="str">
        <f t="shared" si="63"/>
        <v/>
      </c>
      <c r="V72" s="309" t="str">
        <f t="shared" si="64"/>
        <v/>
      </c>
      <c r="W72" s="314" t="str">
        <f t="shared" si="61"/>
        <v/>
      </c>
      <c r="X72" s="314" t="str">
        <f t="shared" si="62"/>
        <v/>
      </c>
    </row>
    <row r="73" spans="1:24" x14ac:dyDescent="0.25">
      <c r="A73" s="158"/>
      <c r="B73" s="158"/>
      <c r="C73" s="158"/>
      <c r="D73" s="158"/>
      <c r="E73" s="159"/>
      <c r="F73" s="369"/>
      <c r="G73" s="374"/>
      <c r="H73" s="157"/>
      <c r="I73" s="309">
        <f t="shared" si="51"/>
        <v>0</v>
      </c>
      <c r="J73" s="310">
        <f t="shared" si="54"/>
        <v>0</v>
      </c>
      <c r="K73" s="310"/>
      <c r="L73" s="310">
        <f t="shared" si="55"/>
        <v>0</v>
      </c>
      <c r="M73" s="310"/>
      <c r="N73" s="311">
        <f t="shared" si="56"/>
        <v>0</v>
      </c>
      <c r="O73" s="312">
        <f t="shared" si="57"/>
        <v>0</v>
      </c>
      <c r="P73" s="309">
        <f t="shared" si="52"/>
        <v>0</v>
      </c>
      <c r="Q73" s="310">
        <f t="shared" si="58"/>
        <v>0</v>
      </c>
      <c r="R73" s="309">
        <f t="shared" si="53"/>
        <v>0</v>
      </c>
      <c r="S73" s="310">
        <f t="shared" si="59"/>
        <v>0</v>
      </c>
      <c r="T73" s="312">
        <f t="shared" si="60"/>
        <v>0</v>
      </c>
      <c r="U73" s="313" t="str">
        <f t="shared" si="63"/>
        <v/>
      </c>
      <c r="V73" s="309" t="str">
        <f t="shared" si="64"/>
        <v/>
      </c>
      <c r="W73" s="314" t="str">
        <f t="shared" si="61"/>
        <v/>
      </c>
      <c r="X73" s="314" t="str">
        <f t="shared" si="62"/>
        <v/>
      </c>
    </row>
    <row r="74" spans="1:24" x14ac:dyDescent="0.25">
      <c r="A74" s="157"/>
      <c r="B74" s="157"/>
      <c r="C74" s="157"/>
      <c r="D74" s="157"/>
      <c r="E74" s="159"/>
      <c r="F74" s="369"/>
      <c r="G74" s="374"/>
      <c r="H74" s="157"/>
      <c r="I74" s="309">
        <f>IF(ISBLANK(B74),0,VLOOKUP(A74&amp;B74,Project,3))</f>
        <v>0</v>
      </c>
      <c r="J74" s="310">
        <f>E74*I74</f>
        <v>0</v>
      </c>
      <c r="K74" s="310"/>
      <c r="L74" s="310">
        <f>ROUND((J74+K74)*0.1,2)</f>
        <v>0</v>
      </c>
      <c r="M74" s="310"/>
      <c r="N74" s="311">
        <f>SUM(J74:M74)</f>
        <v>0</v>
      </c>
      <c r="O74" s="312">
        <f>IF(ISBLANK(G74),N74,0)</f>
        <v>0</v>
      </c>
      <c r="P74" s="309">
        <f>IF(ISBLANK(C74),0,VLOOKUP(A74&amp;B74,Project,4))</f>
        <v>0</v>
      </c>
      <c r="Q74" s="310">
        <f>E74*P74</f>
        <v>0</v>
      </c>
      <c r="R74" s="309">
        <f>IF(ISBLANK(C74),0,VLOOKUP(A74&amp;B74,Project,5))*Q74*0.1</f>
        <v>0</v>
      </c>
      <c r="S74" s="310">
        <f>SUM(Q74:R74)</f>
        <v>0</v>
      </c>
      <c r="T74" s="312">
        <f>IF(Q74=0,0,J74-Q74)</f>
        <v>0</v>
      </c>
      <c r="U74" s="313" t="str">
        <f>IF(ISBLANK($A74),"",VLOOKUP($A74,Customer,2))</f>
        <v/>
      </c>
      <c r="V74" s="309" t="str">
        <f>IF(ISBLANK($A74),"",VLOOKUP(CONCATENATE($A74,$B74),invProject,2))</f>
        <v/>
      </c>
      <c r="W74" s="314" t="str">
        <f>GETPERIOD(F74)</f>
        <v/>
      </c>
      <c r="X74" s="314" t="str">
        <f>GETPERIOD(G74)</f>
        <v/>
      </c>
    </row>
    <row r="75" spans="1:24" x14ac:dyDescent="0.25">
      <c r="A75" s="157"/>
      <c r="B75" s="157"/>
      <c r="C75" s="157"/>
      <c r="D75" s="157"/>
      <c r="E75" s="159"/>
      <c r="F75" s="369"/>
      <c r="G75" s="374"/>
      <c r="H75" s="157"/>
      <c r="I75" s="309">
        <f>IF(ISBLANK(B75),0,VLOOKUP(A75&amp;B75,Project,3))</f>
        <v>0</v>
      </c>
      <c r="J75" s="310">
        <f>E75*I75</f>
        <v>0</v>
      </c>
      <c r="K75" s="310"/>
      <c r="L75" s="310">
        <f>ROUND((J75+K75)*0.1,2)</f>
        <v>0</v>
      </c>
      <c r="M75" s="310"/>
      <c r="N75" s="311">
        <f>SUM(J75:M75)</f>
        <v>0</v>
      </c>
      <c r="O75" s="312">
        <f>IF(ISBLANK(G75),N75,0)</f>
        <v>0</v>
      </c>
      <c r="P75" s="309">
        <f>IF(ISBLANK(C75),0,VLOOKUP(A75&amp;B75,Project,4))</f>
        <v>0</v>
      </c>
      <c r="Q75" s="310">
        <f>E75*P75</f>
        <v>0</v>
      </c>
      <c r="R75" s="309">
        <f>IF(ISBLANK(C75),0,VLOOKUP(A75&amp;B75,Project,5))*Q75*0.1</f>
        <v>0</v>
      </c>
      <c r="S75" s="310">
        <f>SUM(Q75:R75)</f>
        <v>0</v>
      </c>
      <c r="T75" s="312">
        <f>IF(Q75=0,0,J75-Q75)</f>
        <v>0</v>
      </c>
      <c r="U75" s="313" t="str">
        <f>IF(ISBLANK($A75),"",VLOOKUP($A75,Customer,2))</f>
        <v/>
      </c>
      <c r="V75" s="309" t="str">
        <f>IF(ISBLANK($A75),"",VLOOKUP(CONCATENATE($A75,$B75),invProject,2))</f>
        <v/>
      </c>
      <c r="W75" s="314" t="str">
        <f>GETPERIOD(F75)</f>
        <v/>
      </c>
      <c r="X75" s="314" t="str">
        <f>GETPERIOD(G75)</f>
        <v/>
      </c>
    </row>
    <row r="76" spans="1:24" x14ac:dyDescent="0.25">
      <c r="A76" s="157"/>
      <c r="B76" s="157"/>
      <c r="C76" s="157"/>
      <c r="D76" s="157"/>
      <c r="E76" s="159"/>
      <c r="F76" s="369"/>
      <c r="G76" s="374"/>
      <c r="H76" s="157"/>
      <c r="I76" s="309">
        <f t="shared" si="51"/>
        <v>0</v>
      </c>
      <c r="J76" s="310">
        <f t="shared" si="54"/>
        <v>0</v>
      </c>
      <c r="K76" s="310"/>
      <c r="L76" s="310">
        <f t="shared" si="55"/>
        <v>0</v>
      </c>
      <c r="M76" s="310"/>
      <c r="N76" s="311">
        <f t="shared" si="56"/>
        <v>0</v>
      </c>
      <c r="O76" s="312">
        <f t="shared" si="57"/>
        <v>0</v>
      </c>
      <c r="P76" s="309">
        <f t="shared" si="52"/>
        <v>0</v>
      </c>
      <c r="Q76" s="310">
        <f t="shared" si="58"/>
        <v>0</v>
      </c>
      <c r="R76" s="309">
        <f t="shared" si="53"/>
        <v>0</v>
      </c>
      <c r="S76" s="310">
        <f t="shared" si="59"/>
        <v>0</v>
      </c>
      <c r="T76" s="312">
        <f t="shared" si="60"/>
        <v>0</v>
      </c>
      <c r="U76" s="313" t="str">
        <f t="shared" si="63"/>
        <v/>
      </c>
      <c r="V76" s="309" t="str">
        <f t="shared" si="64"/>
        <v/>
      </c>
      <c r="W76" s="314" t="str">
        <f t="shared" si="61"/>
        <v/>
      </c>
      <c r="X76" s="314" t="str">
        <f t="shared" si="62"/>
        <v/>
      </c>
    </row>
    <row r="77" spans="1:24" x14ac:dyDescent="0.25">
      <c r="A77" s="157"/>
      <c r="B77" s="157"/>
      <c r="C77" s="157"/>
      <c r="D77" s="157"/>
      <c r="E77" s="159"/>
      <c r="F77" s="369"/>
      <c r="G77" s="374"/>
      <c r="H77" s="157"/>
      <c r="I77" s="309">
        <f t="shared" si="51"/>
        <v>0</v>
      </c>
      <c r="J77" s="310">
        <f t="shared" si="54"/>
        <v>0</v>
      </c>
      <c r="K77" s="310"/>
      <c r="L77" s="310">
        <f t="shared" si="55"/>
        <v>0</v>
      </c>
      <c r="M77" s="310"/>
      <c r="N77" s="311">
        <f t="shared" si="56"/>
        <v>0</v>
      </c>
      <c r="O77" s="312">
        <f t="shared" si="57"/>
        <v>0</v>
      </c>
      <c r="P77" s="309">
        <f t="shared" si="52"/>
        <v>0</v>
      </c>
      <c r="Q77" s="310">
        <f t="shared" si="58"/>
        <v>0</v>
      </c>
      <c r="R77" s="309">
        <f t="shared" si="53"/>
        <v>0</v>
      </c>
      <c r="S77" s="310">
        <f t="shared" si="59"/>
        <v>0</v>
      </c>
      <c r="T77" s="312">
        <f t="shared" si="60"/>
        <v>0</v>
      </c>
      <c r="U77" s="313" t="str">
        <f t="shared" si="63"/>
        <v/>
      </c>
      <c r="V77" s="309" t="str">
        <f t="shared" si="64"/>
        <v/>
      </c>
      <c r="W77" s="314" t="str">
        <f t="shared" si="61"/>
        <v/>
      </c>
      <c r="X77" s="314" t="str">
        <f t="shared" si="62"/>
        <v/>
      </c>
    </row>
    <row r="78" spans="1:24" x14ac:dyDescent="0.25">
      <c r="A78" s="158"/>
      <c r="B78" s="158"/>
      <c r="C78" s="158"/>
      <c r="D78" s="158"/>
      <c r="E78" s="159"/>
      <c r="F78" s="369"/>
      <c r="G78" s="374"/>
      <c r="H78" s="157"/>
      <c r="I78" s="309">
        <f>IF(ISBLANK(B78),0,VLOOKUP(A78&amp;B78,Project,3))</f>
        <v>0</v>
      </c>
      <c r="J78" s="310">
        <f>E78*I78</f>
        <v>0</v>
      </c>
      <c r="K78" s="310"/>
      <c r="L78" s="310">
        <f>ROUND((J78+K78)*0.1,2)</f>
        <v>0</v>
      </c>
      <c r="M78" s="310"/>
      <c r="N78" s="311">
        <f>SUM(J78:M78)</f>
        <v>0</v>
      </c>
      <c r="O78" s="312">
        <f>IF(ISBLANK(G78),N78,0)</f>
        <v>0</v>
      </c>
      <c r="P78" s="309">
        <f>IF(ISBLANK(C78),0,VLOOKUP(A78&amp;B78,Project,4))</f>
        <v>0</v>
      </c>
      <c r="Q78" s="310">
        <f>E78*P78</f>
        <v>0</v>
      </c>
      <c r="R78" s="309">
        <f>IF(ISBLANK(C78),0,VLOOKUP(A78&amp;B78,Project,5))*Q78*0.1</f>
        <v>0</v>
      </c>
      <c r="S78" s="310">
        <f>SUM(Q78:R78)</f>
        <v>0</v>
      </c>
      <c r="T78" s="312">
        <f>IF(Q78=0,0,J78-Q78)</f>
        <v>0</v>
      </c>
      <c r="U78" s="313" t="str">
        <f>IF(ISBLANK($A78),"",VLOOKUP($A78,Customer,2))</f>
        <v/>
      </c>
      <c r="V78" s="309" t="str">
        <f>IF(ISBLANK($A78),"",VLOOKUP(CONCATENATE($A78,$B78),invProject,2))</f>
        <v/>
      </c>
      <c r="W78" s="314" t="str">
        <f>GETPERIOD(F78)</f>
        <v/>
      </c>
      <c r="X78" s="314" t="str">
        <f>GETPERIOD(G78)</f>
        <v/>
      </c>
    </row>
    <row r="79" spans="1:24" x14ac:dyDescent="0.25">
      <c r="A79" s="158"/>
      <c r="B79" s="158"/>
      <c r="C79" s="158"/>
      <c r="D79" s="158"/>
      <c r="E79" s="159"/>
      <c r="F79" s="369"/>
      <c r="G79" s="374"/>
      <c r="H79" s="157"/>
      <c r="I79" s="309">
        <f t="shared" si="51"/>
        <v>0</v>
      </c>
      <c r="J79" s="310">
        <f t="shared" si="54"/>
        <v>0</v>
      </c>
      <c r="K79" s="310"/>
      <c r="L79" s="310">
        <f t="shared" si="55"/>
        <v>0</v>
      </c>
      <c r="M79" s="310"/>
      <c r="N79" s="311">
        <f t="shared" si="56"/>
        <v>0</v>
      </c>
      <c r="O79" s="312">
        <f t="shared" si="57"/>
        <v>0</v>
      </c>
      <c r="P79" s="309">
        <f t="shared" si="52"/>
        <v>0</v>
      </c>
      <c r="Q79" s="310">
        <f t="shared" si="58"/>
        <v>0</v>
      </c>
      <c r="R79" s="309">
        <f t="shared" si="53"/>
        <v>0</v>
      </c>
      <c r="S79" s="310">
        <f t="shared" si="59"/>
        <v>0</v>
      </c>
      <c r="T79" s="312">
        <f t="shared" si="60"/>
        <v>0</v>
      </c>
      <c r="U79" s="313" t="str">
        <f t="shared" si="63"/>
        <v/>
      </c>
      <c r="V79" s="309" t="str">
        <f t="shared" si="64"/>
        <v/>
      </c>
      <c r="W79" s="314" t="str">
        <f t="shared" si="61"/>
        <v/>
      </c>
      <c r="X79" s="314" t="str">
        <f t="shared" si="62"/>
        <v/>
      </c>
    </row>
    <row r="80" spans="1:24" x14ac:dyDescent="0.25">
      <c r="A80" s="157"/>
      <c r="B80" s="157"/>
      <c r="C80" s="157"/>
      <c r="D80" s="157"/>
      <c r="E80" s="159"/>
      <c r="F80" s="369"/>
      <c r="G80" s="374"/>
      <c r="H80" s="157"/>
      <c r="I80" s="309">
        <f>IF(ISBLANK(B80),0,VLOOKUP(A80&amp;B80,Project,3))</f>
        <v>0</v>
      </c>
      <c r="J80" s="310">
        <f>E80*I80</f>
        <v>0</v>
      </c>
      <c r="K80" s="310"/>
      <c r="L80" s="310">
        <f>ROUND((J80+K80)*0.1,2)</f>
        <v>0</v>
      </c>
      <c r="M80" s="310"/>
      <c r="N80" s="311">
        <f>SUM(J80:M80)</f>
        <v>0</v>
      </c>
      <c r="O80" s="312">
        <f>IF(ISBLANK(G80),N80,0)</f>
        <v>0</v>
      </c>
      <c r="P80" s="309">
        <f>IF(ISBLANK(C80),0,VLOOKUP(A80&amp;B80,Project,4))</f>
        <v>0</v>
      </c>
      <c r="Q80" s="310">
        <f>E80*P80</f>
        <v>0</v>
      </c>
      <c r="R80" s="309">
        <f>IF(ISBLANK(C80),0,VLOOKUP(A80&amp;B80,Project,5))*Q80*0.1</f>
        <v>0</v>
      </c>
      <c r="S80" s="310">
        <f>SUM(Q80:R80)</f>
        <v>0</v>
      </c>
      <c r="T80" s="312">
        <f>IF(Q80=0,0,J80-Q80)</f>
        <v>0</v>
      </c>
      <c r="U80" s="313" t="str">
        <f>IF(ISBLANK($A80),"",VLOOKUP($A80,Customer,2))</f>
        <v/>
      </c>
      <c r="V80" s="309" t="str">
        <f>IF(ISBLANK($A80),"",VLOOKUP(CONCATENATE($A80,$B80),invProject,2))</f>
        <v/>
      </c>
      <c r="W80" s="314" t="str">
        <f>GETPERIOD(F80)</f>
        <v/>
      </c>
      <c r="X80" s="314" t="str">
        <f>GETPERIOD(G80)</f>
        <v/>
      </c>
    </row>
    <row r="81" spans="1:24" x14ac:dyDescent="0.25">
      <c r="A81" s="157"/>
      <c r="B81" s="157"/>
      <c r="C81" s="157"/>
      <c r="D81" s="157"/>
      <c r="E81" s="159"/>
      <c r="F81" s="369"/>
      <c r="G81" s="374"/>
      <c r="H81" s="157"/>
      <c r="I81" s="309">
        <f t="shared" si="51"/>
        <v>0</v>
      </c>
      <c r="J81" s="310">
        <f t="shared" si="54"/>
        <v>0</v>
      </c>
      <c r="K81" s="310"/>
      <c r="L81" s="310">
        <f t="shared" si="55"/>
        <v>0</v>
      </c>
      <c r="M81" s="310"/>
      <c r="N81" s="311">
        <f t="shared" si="56"/>
        <v>0</v>
      </c>
      <c r="O81" s="312">
        <f t="shared" si="57"/>
        <v>0</v>
      </c>
      <c r="P81" s="309">
        <f t="shared" si="52"/>
        <v>0</v>
      </c>
      <c r="Q81" s="310">
        <f t="shared" si="58"/>
        <v>0</v>
      </c>
      <c r="R81" s="309">
        <f t="shared" si="53"/>
        <v>0</v>
      </c>
      <c r="S81" s="310">
        <f t="shared" si="59"/>
        <v>0</v>
      </c>
      <c r="T81" s="312">
        <f t="shared" si="60"/>
        <v>0</v>
      </c>
      <c r="U81" s="313" t="str">
        <f t="shared" si="63"/>
        <v/>
      </c>
      <c r="V81" s="309" t="str">
        <f t="shared" si="64"/>
        <v/>
      </c>
      <c r="W81" s="314" t="str">
        <f t="shared" si="61"/>
        <v/>
      </c>
      <c r="X81" s="314" t="str">
        <f t="shared" si="62"/>
        <v/>
      </c>
    </row>
    <row r="82" spans="1:24" ht="14.1" customHeight="1" x14ac:dyDescent="0.25">
      <c r="A82" s="158"/>
      <c r="B82" s="158"/>
      <c r="C82" s="158"/>
      <c r="D82" s="158"/>
      <c r="E82" s="159"/>
      <c r="F82" s="369"/>
      <c r="G82" s="374"/>
      <c r="H82" s="157"/>
      <c r="I82" s="309">
        <f t="shared" si="51"/>
        <v>0</v>
      </c>
      <c r="J82" s="310">
        <f t="shared" si="54"/>
        <v>0</v>
      </c>
      <c r="K82" s="310"/>
      <c r="L82" s="310">
        <f t="shared" si="55"/>
        <v>0</v>
      </c>
      <c r="M82" s="310"/>
      <c r="N82" s="311">
        <f t="shared" si="56"/>
        <v>0</v>
      </c>
      <c r="O82" s="312">
        <f t="shared" si="57"/>
        <v>0</v>
      </c>
      <c r="P82" s="309">
        <f t="shared" si="52"/>
        <v>0</v>
      </c>
      <c r="Q82" s="310">
        <f t="shared" si="58"/>
        <v>0</v>
      </c>
      <c r="R82" s="309">
        <f t="shared" si="53"/>
        <v>0</v>
      </c>
      <c r="S82" s="310">
        <f t="shared" si="59"/>
        <v>0</v>
      </c>
      <c r="T82" s="312">
        <f t="shared" si="60"/>
        <v>0</v>
      </c>
      <c r="U82" s="313" t="str">
        <f t="shared" si="63"/>
        <v/>
      </c>
      <c r="V82" s="309" t="str">
        <f t="shared" si="64"/>
        <v/>
      </c>
      <c r="W82" s="314" t="str">
        <f t="shared" si="61"/>
        <v/>
      </c>
      <c r="X82" s="314" t="str">
        <f t="shared" si="62"/>
        <v/>
      </c>
    </row>
    <row r="83" spans="1:24" x14ac:dyDescent="0.25">
      <c r="A83" s="158"/>
      <c r="B83" s="158"/>
      <c r="C83" s="158"/>
      <c r="D83" s="158"/>
      <c r="E83" s="159"/>
      <c r="F83" s="369"/>
      <c r="G83" s="374"/>
      <c r="H83" s="157"/>
      <c r="I83" s="309">
        <f>IF(ISBLANK(B83),0,VLOOKUP(A83&amp;B83,Project,3))</f>
        <v>0</v>
      </c>
      <c r="J83" s="310">
        <f>E83*I83</f>
        <v>0</v>
      </c>
      <c r="K83" s="310"/>
      <c r="L83" s="310">
        <f>ROUND((J83+K83)*0.1,2)</f>
        <v>0</v>
      </c>
      <c r="M83" s="310"/>
      <c r="N83" s="311">
        <f>SUM(J83:M83)</f>
        <v>0</v>
      </c>
      <c r="O83" s="312">
        <f>IF(ISBLANK(G83),N83,0)</f>
        <v>0</v>
      </c>
      <c r="P83" s="309">
        <f>IF(ISBLANK(C83),0,VLOOKUP(A83&amp;B83,Project,4))</f>
        <v>0</v>
      </c>
      <c r="Q83" s="310">
        <f>E83*P83</f>
        <v>0</v>
      </c>
      <c r="R83" s="309">
        <f>IF(ISBLANK(C83),0,VLOOKUP(A83&amp;B83,Project,5))*Q83*0.1</f>
        <v>0</v>
      </c>
      <c r="S83" s="310">
        <f>SUM(Q83:R83)</f>
        <v>0</v>
      </c>
      <c r="T83" s="312">
        <f>IF(Q83=0,0,J83-Q83)</f>
        <v>0</v>
      </c>
      <c r="U83" s="313" t="str">
        <f>IF(ISBLANK($A83),"",VLOOKUP($A83,Customer,2))</f>
        <v/>
      </c>
      <c r="V83" s="309" t="str">
        <f>IF(ISBLANK($A83),"",VLOOKUP(CONCATENATE($A83,$B83),invProject,2))</f>
        <v/>
      </c>
      <c r="W83" s="314" t="str">
        <f>GETPERIOD(F83)</f>
        <v/>
      </c>
      <c r="X83" s="314" t="str">
        <f>GETPERIOD(G83)</f>
        <v/>
      </c>
    </row>
    <row r="84" spans="1:24" x14ac:dyDescent="0.25">
      <c r="A84" s="157"/>
      <c r="B84" s="157"/>
      <c r="C84" s="157"/>
      <c r="D84" s="157"/>
      <c r="E84" s="159"/>
      <c r="F84" s="369"/>
      <c r="G84" s="374"/>
      <c r="H84" s="157"/>
      <c r="I84" s="309">
        <f t="shared" si="51"/>
        <v>0</v>
      </c>
      <c r="J84" s="310">
        <f t="shared" si="54"/>
        <v>0</v>
      </c>
      <c r="K84" s="310"/>
      <c r="L84" s="310">
        <f t="shared" si="55"/>
        <v>0</v>
      </c>
      <c r="M84" s="310"/>
      <c r="N84" s="311">
        <f t="shared" si="56"/>
        <v>0</v>
      </c>
      <c r="O84" s="312">
        <f t="shared" si="57"/>
        <v>0</v>
      </c>
      <c r="P84" s="309">
        <f t="shared" si="52"/>
        <v>0</v>
      </c>
      <c r="Q84" s="310">
        <f t="shared" si="58"/>
        <v>0</v>
      </c>
      <c r="R84" s="309">
        <f t="shared" si="53"/>
        <v>0</v>
      </c>
      <c r="S84" s="310">
        <f t="shared" si="59"/>
        <v>0</v>
      </c>
      <c r="T84" s="312">
        <f t="shared" si="60"/>
        <v>0</v>
      </c>
      <c r="U84" s="313" t="str">
        <f t="shared" si="63"/>
        <v/>
      </c>
      <c r="V84" s="309" t="str">
        <f t="shared" si="64"/>
        <v/>
      </c>
      <c r="W84" s="314" t="str">
        <f t="shared" si="61"/>
        <v/>
      </c>
      <c r="X84" s="314" t="str">
        <f t="shared" si="62"/>
        <v/>
      </c>
    </row>
    <row r="85" spans="1:24" x14ac:dyDescent="0.25">
      <c r="A85" s="157"/>
      <c r="B85" s="157"/>
      <c r="C85" s="157"/>
      <c r="D85" s="157"/>
      <c r="E85" s="159"/>
      <c r="F85" s="369"/>
      <c r="G85" s="374"/>
      <c r="H85" s="157"/>
      <c r="I85" s="309">
        <f t="shared" si="51"/>
        <v>0</v>
      </c>
      <c r="J85" s="310">
        <f t="shared" si="54"/>
        <v>0</v>
      </c>
      <c r="K85" s="310"/>
      <c r="L85" s="310">
        <f t="shared" si="55"/>
        <v>0</v>
      </c>
      <c r="M85" s="310"/>
      <c r="N85" s="311">
        <f t="shared" si="56"/>
        <v>0</v>
      </c>
      <c r="O85" s="312">
        <f t="shared" si="57"/>
        <v>0</v>
      </c>
      <c r="P85" s="309">
        <f t="shared" si="52"/>
        <v>0</v>
      </c>
      <c r="Q85" s="310">
        <f t="shared" si="58"/>
        <v>0</v>
      </c>
      <c r="R85" s="309">
        <f t="shared" si="53"/>
        <v>0</v>
      </c>
      <c r="S85" s="310">
        <f t="shared" si="59"/>
        <v>0</v>
      </c>
      <c r="T85" s="312">
        <f t="shared" si="60"/>
        <v>0</v>
      </c>
      <c r="U85" s="313" t="str">
        <f t="shared" si="63"/>
        <v/>
      </c>
      <c r="V85" s="309" t="str">
        <f t="shared" si="64"/>
        <v/>
      </c>
      <c r="W85" s="314" t="str">
        <f t="shared" si="61"/>
        <v/>
      </c>
      <c r="X85" s="314" t="str">
        <f t="shared" si="62"/>
        <v/>
      </c>
    </row>
    <row r="86" spans="1:24" x14ac:dyDescent="0.25">
      <c r="A86" s="158"/>
      <c r="B86" s="158"/>
      <c r="C86" s="158"/>
      <c r="D86" s="158"/>
      <c r="E86" s="159"/>
      <c r="F86" s="369"/>
      <c r="G86" s="374"/>
      <c r="H86" s="157"/>
      <c r="I86" s="309">
        <f t="shared" si="51"/>
        <v>0</v>
      </c>
      <c r="J86" s="310">
        <f t="shared" si="54"/>
        <v>0</v>
      </c>
      <c r="K86" s="310"/>
      <c r="L86" s="310">
        <f t="shared" si="55"/>
        <v>0</v>
      </c>
      <c r="M86" s="310"/>
      <c r="N86" s="311">
        <f t="shared" si="56"/>
        <v>0</v>
      </c>
      <c r="O86" s="312">
        <f t="shared" si="57"/>
        <v>0</v>
      </c>
      <c r="P86" s="309">
        <f t="shared" si="52"/>
        <v>0</v>
      </c>
      <c r="Q86" s="310">
        <f t="shared" si="58"/>
        <v>0</v>
      </c>
      <c r="R86" s="309">
        <f t="shared" si="53"/>
        <v>0</v>
      </c>
      <c r="S86" s="310">
        <f t="shared" si="59"/>
        <v>0</v>
      </c>
      <c r="T86" s="312">
        <f t="shared" si="60"/>
        <v>0</v>
      </c>
      <c r="U86" s="313" t="str">
        <f t="shared" si="63"/>
        <v/>
      </c>
      <c r="V86" s="309" t="str">
        <f t="shared" si="64"/>
        <v/>
      </c>
      <c r="W86" s="314" t="str">
        <f t="shared" si="61"/>
        <v/>
      </c>
      <c r="X86" s="314" t="str">
        <f t="shared" si="62"/>
        <v/>
      </c>
    </row>
    <row r="87" spans="1:24" x14ac:dyDescent="0.25">
      <c r="A87" s="157"/>
      <c r="B87" s="157"/>
      <c r="C87" s="157"/>
      <c r="D87" s="157"/>
      <c r="E87" s="159"/>
      <c r="F87" s="369"/>
      <c r="G87" s="374"/>
      <c r="H87" s="157"/>
      <c r="I87" s="309">
        <f t="shared" si="51"/>
        <v>0</v>
      </c>
      <c r="J87" s="310">
        <f t="shared" si="54"/>
        <v>0</v>
      </c>
      <c r="K87" s="310"/>
      <c r="L87" s="310">
        <f t="shared" si="55"/>
        <v>0</v>
      </c>
      <c r="M87" s="310"/>
      <c r="N87" s="311">
        <f t="shared" si="56"/>
        <v>0</v>
      </c>
      <c r="O87" s="312">
        <f t="shared" si="57"/>
        <v>0</v>
      </c>
      <c r="P87" s="309">
        <f t="shared" si="52"/>
        <v>0</v>
      </c>
      <c r="Q87" s="310">
        <f t="shared" si="58"/>
        <v>0</v>
      </c>
      <c r="R87" s="309">
        <f t="shared" si="53"/>
        <v>0</v>
      </c>
      <c r="S87" s="310">
        <f t="shared" si="59"/>
        <v>0</v>
      </c>
      <c r="T87" s="312">
        <f t="shared" si="60"/>
        <v>0</v>
      </c>
      <c r="U87" s="313" t="str">
        <f t="shared" si="63"/>
        <v/>
      </c>
      <c r="V87" s="309" t="str">
        <f t="shared" si="64"/>
        <v/>
      </c>
      <c r="W87" s="314" t="str">
        <f t="shared" si="61"/>
        <v/>
      </c>
      <c r="X87" s="314" t="str">
        <f t="shared" si="62"/>
        <v/>
      </c>
    </row>
    <row r="88" spans="1:24" x14ac:dyDescent="0.25">
      <c r="A88" s="157"/>
      <c r="B88" s="157"/>
      <c r="C88" s="157"/>
      <c r="D88" s="157"/>
      <c r="E88" s="159"/>
      <c r="F88" s="369"/>
      <c r="G88" s="374"/>
      <c r="H88" s="157"/>
      <c r="I88" s="309">
        <f t="shared" si="51"/>
        <v>0</v>
      </c>
      <c r="J88" s="310">
        <f t="shared" si="54"/>
        <v>0</v>
      </c>
      <c r="K88" s="310"/>
      <c r="L88" s="310">
        <f t="shared" si="55"/>
        <v>0</v>
      </c>
      <c r="M88" s="310"/>
      <c r="N88" s="311">
        <f t="shared" si="56"/>
        <v>0</v>
      </c>
      <c r="O88" s="312">
        <f t="shared" si="57"/>
        <v>0</v>
      </c>
      <c r="P88" s="309">
        <f t="shared" si="52"/>
        <v>0</v>
      </c>
      <c r="Q88" s="310">
        <f t="shared" si="58"/>
        <v>0</v>
      </c>
      <c r="R88" s="309">
        <f t="shared" si="53"/>
        <v>0</v>
      </c>
      <c r="S88" s="310">
        <f t="shared" si="59"/>
        <v>0</v>
      </c>
      <c r="T88" s="312">
        <f t="shared" si="60"/>
        <v>0</v>
      </c>
      <c r="U88" s="313" t="str">
        <f t="shared" si="63"/>
        <v/>
      </c>
      <c r="V88" s="309" t="str">
        <f t="shared" si="64"/>
        <v/>
      </c>
      <c r="W88" s="314" t="str">
        <f t="shared" si="61"/>
        <v/>
      </c>
      <c r="X88" s="314" t="str">
        <f t="shared" si="62"/>
        <v/>
      </c>
    </row>
    <row r="89" spans="1:24" x14ac:dyDescent="0.25">
      <c r="A89" s="158"/>
      <c r="B89" s="158"/>
      <c r="C89" s="158"/>
      <c r="D89" s="158"/>
      <c r="E89" s="159"/>
      <c r="F89" s="369"/>
      <c r="G89" s="374"/>
      <c r="H89" s="157"/>
      <c r="I89" s="309">
        <f t="shared" si="51"/>
        <v>0</v>
      </c>
      <c r="J89" s="310">
        <f t="shared" si="54"/>
        <v>0</v>
      </c>
      <c r="K89" s="310"/>
      <c r="L89" s="310">
        <f t="shared" si="55"/>
        <v>0</v>
      </c>
      <c r="M89" s="310"/>
      <c r="N89" s="311">
        <f t="shared" si="56"/>
        <v>0</v>
      </c>
      <c r="O89" s="312">
        <f t="shared" si="57"/>
        <v>0</v>
      </c>
      <c r="P89" s="309">
        <f t="shared" si="52"/>
        <v>0</v>
      </c>
      <c r="Q89" s="310">
        <f t="shared" si="58"/>
        <v>0</v>
      </c>
      <c r="R89" s="309">
        <f t="shared" si="53"/>
        <v>0</v>
      </c>
      <c r="S89" s="310">
        <f t="shared" si="59"/>
        <v>0</v>
      </c>
      <c r="T89" s="312">
        <f t="shared" si="60"/>
        <v>0</v>
      </c>
      <c r="U89" s="313" t="str">
        <f t="shared" si="63"/>
        <v/>
      </c>
      <c r="V89" s="309" t="str">
        <f t="shared" si="64"/>
        <v/>
      </c>
      <c r="W89" s="314" t="str">
        <f t="shared" si="61"/>
        <v/>
      </c>
      <c r="X89" s="314" t="str">
        <f t="shared" si="62"/>
        <v/>
      </c>
    </row>
    <row r="90" spans="1:24" x14ac:dyDescent="0.25">
      <c r="A90" s="158"/>
      <c r="B90" s="158"/>
      <c r="C90" s="158"/>
      <c r="D90" s="158"/>
      <c r="E90" s="159"/>
      <c r="F90" s="369"/>
      <c r="G90" s="374"/>
      <c r="H90" s="157"/>
      <c r="I90" s="309">
        <f t="shared" si="51"/>
        <v>0</v>
      </c>
      <c r="J90" s="310">
        <f t="shared" si="54"/>
        <v>0</v>
      </c>
      <c r="K90" s="310"/>
      <c r="L90" s="310">
        <f t="shared" si="55"/>
        <v>0</v>
      </c>
      <c r="M90" s="310"/>
      <c r="N90" s="311">
        <f t="shared" si="56"/>
        <v>0</v>
      </c>
      <c r="O90" s="312">
        <f t="shared" si="57"/>
        <v>0</v>
      </c>
      <c r="P90" s="309">
        <f t="shared" si="52"/>
        <v>0</v>
      </c>
      <c r="Q90" s="310">
        <f t="shared" si="58"/>
        <v>0</v>
      </c>
      <c r="R90" s="309">
        <f t="shared" si="53"/>
        <v>0</v>
      </c>
      <c r="S90" s="310">
        <f t="shared" si="59"/>
        <v>0</v>
      </c>
      <c r="T90" s="312">
        <f t="shared" si="60"/>
        <v>0</v>
      </c>
      <c r="U90" s="313" t="str">
        <f t="shared" si="63"/>
        <v/>
      </c>
      <c r="V90" s="309" t="str">
        <f t="shared" si="64"/>
        <v/>
      </c>
      <c r="W90" s="314" t="str">
        <f t="shared" si="61"/>
        <v/>
      </c>
      <c r="X90" s="314" t="str">
        <f t="shared" si="62"/>
        <v/>
      </c>
    </row>
    <row r="91" spans="1:24" x14ac:dyDescent="0.25">
      <c r="A91" s="158"/>
      <c r="B91" s="158"/>
      <c r="C91" s="158"/>
      <c r="D91" s="158"/>
      <c r="E91" s="159"/>
      <c r="F91" s="369"/>
      <c r="G91" s="374"/>
      <c r="H91" s="157"/>
      <c r="I91" s="309">
        <f t="shared" si="51"/>
        <v>0</v>
      </c>
      <c r="J91" s="310">
        <f t="shared" si="54"/>
        <v>0</v>
      </c>
      <c r="K91" s="310"/>
      <c r="L91" s="310">
        <f t="shared" si="55"/>
        <v>0</v>
      </c>
      <c r="M91" s="310"/>
      <c r="N91" s="311">
        <f t="shared" si="56"/>
        <v>0</v>
      </c>
      <c r="O91" s="312">
        <f t="shared" si="57"/>
        <v>0</v>
      </c>
      <c r="P91" s="309">
        <f t="shared" si="52"/>
        <v>0</v>
      </c>
      <c r="Q91" s="310">
        <f t="shared" si="58"/>
        <v>0</v>
      </c>
      <c r="R91" s="309">
        <f t="shared" si="53"/>
        <v>0</v>
      </c>
      <c r="S91" s="310">
        <f t="shared" si="59"/>
        <v>0</v>
      </c>
      <c r="T91" s="312">
        <f t="shared" si="60"/>
        <v>0</v>
      </c>
      <c r="U91" s="313" t="str">
        <f t="shared" si="63"/>
        <v/>
      </c>
      <c r="V91" s="309" t="str">
        <f t="shared" si="64"/>
        <v/>
      </c>
      <c r="W91" s="314" t="str">
        <f t="shared" si="61"/>
        <v/>
      </c>
      <c r="X91" s="314" t="str">
        <f t="shared" si="62"/>
        <v/>
      </c>
    </row>
    <row r="92" spans="1:24" x14ac:dyDescent="0.25">
      <c r="A92" s="157"/>
      <c r="B92" s="157"/>
      <c r="C92" s="157"/>
      <c r="D92" s="157"/>
      <c r="E92" s="159"/>
      <c r="F92" s="369"/>
      <c r="G92" s="374"/>
      <c r="H92" s="157"/>
      <c r="I92" s="309">
        <f t="shared" si="51"/>
        <v>0</v>
      </c>
      <c r="J92" s="310">
        <f t="shared" si="54"/>
        <v>0</v>
      </c>
      <c r="K92" s="310"/>
      <c r="L92" s="310">
        <f t="shared" si="55"/>
        <v>0</v>
      </c>
      <c r="M92" s="310"/>
      <c r="N92" s="311">
        <f t="shared" si="56"/>
        <v>0</v>
      </c>
      <c r="O92" s="312">
        <f t="shared" si="57"/>
        <v>0</v>
      </c>
      <c r="P92" s="309">
        <f t="shared" si="52"/>
        <v>0</v>
      </c>
      <c r="Q92" s="310">
        <f t="shared" si="58"/>
        <v>0</v>
      </c>
      <c r="R92" s="309">
        <f t="shared" si="53"/>
        <v>0</v>
      </c>
      <c r="S92" s="310">
        <f t="shared" si="59"/>
        <v>0</v>
      </c>
      <c r="T92" s="312">
        <f t="shared" si="60"/>
        <v>0</v>
      </c>
      <c r="U92" s="313" t="str">
        <f t="shared" si="63"/>
        <v/>
      </c>
      <c r="V92" s="309" t="str">
        <f t="shared" si="64"/>
        <v/>
      </c>
      <c r="W92" s="314" t="str">
        <f t="shared" si="61"/>
        <v/>
      </c>
      <c r="X92" s="314" t="str">
        <f t="shared" si="62"/>
        <v/>
      </c>
    </row>
    <row r="93" spans="1:24" x14ac:dyDescent="0.25">
      <c r="A93" s="157"/>
      <c r="B93" s="157"/>
      <c r="C93" s="157"/>
      <c r="D93" s="157"/>
      <c r="E93" s="159"/>
      <c r="F93" s="369"/>
      <c r="G93" s="374"/>
      <c r="H93" s="157"/>
      <c r="I93" s="309">
        <f t="shared" si="51"/>
        <v>0</v>
      </c>
      <c r="J93" s="310">
        <f t="shared" si="54"/>
        <v>0</v>
      </c>
      <c r="K93" s="310"/>
      <c r="L93" s="310">
        <f t="shared" si="55"/>
        <v>0</v>
      </c>
      <c r="M93" s="310"/>
      <c r="N93" s="311">
        <f t="shared" si="56"/>
        <v>0</v>
      </c>
      <c r="O93" s="312">
        <f t="shared" si="57"/>
        <v>0</v>
      </c>
      <c r="P93" s="309">
        <f t="shared" si="52"/>
        <v>0</v>
      </c>
      <c r="Q93" s="310">
        <f t="shared" si="58"/>
        <v>0</v>
      </c>
      <c r="R93" s="309">
        <f t="shared" si="53"/>
        <v>0</v>
      </c>
      <c r="S93" s="310">
        <f t="shared" si="59"/>
        <v>0</v>
      </c>
      <c r="T93" s="312">
        <f t="shared" si="60"/>
        <v>0</v>
      </c>
      <c r="U93" s="313" t="str">
        <f t="shared" si="63"/>
        <v/>
      </c>
      <c r="V93" s="309" t="str">
        <f t="shared" si="64"/>
        <v/>
      </c>
      <c r="W93" s="314" t="str">
        <f t="shared" si="61"/>
        <v/>
      </c>
      <c r="X93" s="314" t="str">
        <f t="shared" si="62"/>
        <v/>
      </c>
    </row>
    <row r="94" spans="1:24" x14ac:dyDescent="0.25">
      <c r="A94" s="158"/>
      <c r="B94" s="158"/>
      <c r="C94" s="158"/>
      <c r="D94" s="158"/>
      <c r="E94" s="159"/>
      <c r="F94" s="369"/>
      <c r="G94" s="374"/>
      <c r="H94" s="157"/>
      <c r="I94" s="309">
        <f t="shared" si="51"/>
        <v>0</v>
      </c>
      <c r="J94" s="310">
        <f t="shared" si="54"/>
        <v>0</v>
      </c>
      <c r="K94" s="310"/>
      <c r="L94" s="310">
        <f t="shared" si="55"/>
        <v>0</v>
      </c>
      <c r="M94" s="310"/>
      <c r="N94" s="311">
        <f t="shared" si="56"/>
        <v>0</v>
      </c>
      <c r="O94" s="312">
        <f t="shared" si="57"/>
        <v>0</v>
      </c>
      <c r="P94" s="309">
        <f t="shared" si="52"/>
        <v>0</v>
      </c>
      <c r="Q94" s="310">
        <f t="shared" si="58"/>
        <v>0</v>
      </c>
      <c r="R94" s="309">
        <f t="shared" si="53"/>
        <v>0</v>
      </c>
      <c r="S94" s="310">
        <f t="shared" si="59"/>
        <v>0</v>
      </c>
      <c r="T94" s="312">
        <f t="shared" si="60"/>
        <v>0</v>
      </c>
      <c r="U94" s="313" t="str">
        <f t="shared" si="63"/>
        <v/>
      </c>
      <c r="V94" s="309" t="str">
        <f t="shared" si="64"/>
        <v/>
      </c>
      <c r="W94" s="314" t="str">
        <f t="shared" si="61"/>
        <v/>
      </c>
      <c r="X94" s="314" t="str">
        <f t="shared" si="62"/>
        <v/>
      </c>
    </row>
    <row r="95" spans="1:24" x14ac:dyDescent="0.25">
      <c r="A95" s="158"/>
      <c r="B95" s="158"/>
      <c r="C95" s="158"/>
      <c r="D95" s="158"/>
      <c r="E95" s="159"/>
      <c r="F95" s="369"/>
      <c r="G95" s="374"/>
      <c r="H95" s="157"/>
      <c r="I95" s="309">
        <f t="shared" si="51"/>
        <v>0</v>
      </c>
      <c r="J95" s="310">
        <f t="shared" si="54"/>
        <v>0</v>
      </c>
      <c r="K95" s="310"/>
      <c r="L95" s="310">
        <f t="shared" si="55"/>
        <v>0</v>
      </c>
      <c r="M95" s="310"/>
      <c r="N95" s="311">
        <f t="shared" si="56"/>
        <v>0</v>
      </c>
      <c r="O95" s="312">
        <f t="shared" si="57"/>
        <v>0</v>
      </c>
      <c r="P95" s="309">
        <f t="shared" si="52"/>
        <v>0</v>
      </c>
      <c r="Q95" s="310">
        <f t="shared" si="58"/>
        <v>0</v>
      </c>
      <c r="R95" s="309">
        <f t="shared" si="53"/>
        <v>0</v>
      </c>
      <c r="S95" s="310">
        <f t="shared" si="59"/>
        <v>0</v>
      </c>
      <c r="T95" s="312">
        <f t="shared" si="60"/>
        <v>0</v>
      </c>
      <c r="U95" s="313" t="str">
        <f t="shared" si="63"/>
        <v/>
      </c>
      <c r="V95" s="309" t="str">
        <f t="shared" si="64"/>
        <v/>
      </c>
      <c r="W95" s="314" t="str">
        <f t="shared" si="61"/>
        <v/>
      </c>
      <c r="X95" s="314" t="str">
        <f t="shared" si="62"/>
        <v/>
      </c>
    </row>
    <row r="96" spans="1:24" x14ac:dyDescent="0.25">
      <c r="A96" s="158"/>
      <c r="B96" s="158"/>
      <c r="C96" s="158"/>
      <c r="D96" s="158"/>
      <c r="E96" s="159"/>
      <c r="F96" s="369"/>
      <c r="G96" s="374"/>
      <c r="H96" s="157"/>
      <c r="I96" s="309">
        <f t="shared" si="51"/>
        <v>0</v>
      </c>
      <c r="J96" s="310">
        <f t="shared" si="54"/>
        <v>0</v>
      </c>
      <c r="K96" s="310"/>
      <c r="L96" s="310">
        <f t="shared" si="55"/>
        <v>0</v>
      </c>
      <c r="M96" s="310"/>
      <c r="N96" s="311">
        <f t="shared" si="56"/>
        <v>0</v>
      </c>
      <c r="O96" s="312">
        <f t="shared" si="57"/>
        <v>0</v>
      </c>
      <c r="P96" s="309">
        <f t="shared" si="52"/>
        <v>0</v>
      </c>
      <c r="Q96" s="310">
        <f t="shared" si="58"/>
        <v>0</v>
      </c>
      <c r="R96" s="309">
        <f t="shared" si="53"/>
        <v>0</v>
      </c>
      <c r="S96" s="310">
        <f t="shared" si="59"/>
        <v>0</v>
      </c>
      <c r="T96" s="312">
        <f t="shared" si="60"/>
        <v>0</v>
      </c>
      <c r="U96" s="313" t="str">
        <f t="shared" si="63"/>
        <v/>
      </c>
      <c r="V96" s="309" t="str">
        <f t="shared" si="64"/>
        <v/>
      </c>
      <c r="W96" s="314" t="str">
        <f t="shared" si="61"/>
        <v/>
      </c>
      <c r="X96" s="314" t="str">
        <f t="shared" si="62"/>
        <v/>
      </c>
    </row>
    <row r="97" spans="1:24" x14ac:dyDescent="0.25">
      <c r="A97" s="157"/>
      <c r="B97" s="157"/>
      <c r="C97" s="157"/>
      <c r="D97" s="157"/>
      <c r="E97" s="159"/>
      <c r="F97" s="369"/>
      <c r="G97" s="374"/>
      <c r="H97" s="157"/>
      <c r="I97" s="309">
        <f t="shared" si="51"/>
        <v>0</v>
      </c>
      <c r="J97" s="310">
        <f t="shared" si="54"/>
        <v>0</v>
      </c>
      <c r="K97" s="310"/>
      <c r="L97" s="310">
        <f t="shared" si="55"/>
        <v>0</v>
      </c>
      <c r="M97" s="310"/>
      <c r="N97" s="311">
        <f t="shared" si="56"/>
        <v>0</v>
      </c>
      <c r="O97" s="312">
        <f t="shared" si="57"/>
        <v>0</v>
      </c>
      <c r="P97" s="309">
        <f t="shared" si="52"/>
        <v>0</v>
      </c>
      <c r="Q97" s="310">
        <f t="shared" si="58"/>
        <v>0</v>
      </c>
      <c r="R97" s="309">
        <f t="shared" si="53"/>
        <v>0</v>
      </c>
      <c r="S97" s="310">
        <f t="shared" si="59"/>
        <v>0</v>
      </c>
      <c r="T97" s="312">
        <f t="shared" si="60"/>
        <v>0</v>
      </c>
      <c r="U97" s="313" t="str">
        <f t="shared" si="63"/>
        <v/>
      </c>
      <c r="V97" s="309" t="str">
        <f t="shared" si="64"/>
        <v/>
      </c>
      <c r="W97" s="314" t="str">
        <f t="shared" si="61"/>
        <v/>
      </c>
      <c r="X97" s="314" t="str">
        <f t="shared" si="62"/>
        <v/>
      </c>
    </row>
    <row r="98" spans="1:24" x14ac:dyDescent="0.25">
      <c r="A98" s="158"/>
      <c r="B98" s="158"/>
      <c r="C98" s="158"/>
      <c r="D98" s="158"/>
      <c r="E98" s="159"/>
      <c r="F98" s="369"/>
      <c r="G98" s="374"/>
      <c r="H98" s="157"/>
      <c r="I98" s="309">
        <f t="shared" si="51"/>
        <v>0</v>
      </c>
      <c r="J98" s="310">
        <f t="shared" si="54"/>
        <v>0</v>
      </c>
      <c r="K98" s="310"/>
      <c r="L98" s="310">
        <f t="shared" si="55"/>
        <v>0</v>
      </c>
      <c r="M98" s="310"/>
      <c r="N98" s="311">
        <f t="shared" si="56"/>
        <v>0</v>
      </c>
      <c r="O98" s="312">
        <f t="shared" si="57"/>
        <v>0</v>
      </c>
      <c r="P98" s="309">
        <f t="shared" si="52"/>
        <v>0</v>
      </c>
      <c r="Q98" s="310">
        <f t="shared" si="58"/>
        <v>0</v>
      </c>
      <c r="R98" s="309">
        <f t="shared" si="53"/>
        <v>0</v>
      </c>
      <c r="S98" s="310">
        <f t="shared" si="59"/>
        <v>0</v>
      </c>
      <c r="T98" s="312">
        <f t="shared" si="60"/>
        <v>0</v>
      </c>
      <c r="U98" s="313" t="str">
        <f t="shared" si="63"/>
        <v/>
      </c>
      <c r="V98" s="309" t="str">
        <f t="shared" si="64"/>
        <v/>
      </c>
      <c r="W98" s="314" t="str">
        <f t="shared" si="61"/>
        <v/>
      </c>
      <c r="X98" s="314" t="str">
        <f t="shared" si="62"/>
        <v/>
      </c>
    </row>
    <row r="99" spans="1:24" x14ac:dyDescent="0.25">
      <c r="A99" s="158"/>
      <c r="B99" s="158"/>
      <c r="C99" s="158"/>
      <c r="D99" s="158"/>
      <c r="E99" s="159"/>
      <c r="F99" s="369"/>
      <c r="G99" s="374"/>
      <c r="H99" s="157"/>
      <c r="I99" s="309">
        <f t="shared" ref="I99:I130" si="65">IF(ISBLANK(B99),0,VLOOKUP(A99&amp;B99,Project,3))</f>
        <v>0</v>
      </c>
      <c r="J99" s="310">
        <f t="shared" si="54"/>
        <v>0</v>
      </c>
      <c r="K99" s="310"/>
      <c r="L99" s="310">
        <f t="shared" si="55"/>
        <v>0</v>
      </c>
      <c r="M99" s="310"/>
      <c r="N99" s="311">
        <f t="shared" si="56"/>
        <v>0</v>
      </c>
      <c r="O99" s="312">
        <f t="shared" si="57"/>
        <v>0</v>
      </c>
      <c r="P99" s="309">
        <f t="shared" ref="P99:P130" si="66">IF(ISBLANK(C99),0,VLOOKUP(A99&amp;B99,Project,4))</f>
        <v>0</v>
      </c>
      <c r="Q99" s="310">
        <f t="shared" si="58"/>
        <v>0</v>
      </c>
      <c r="R99" s="309">
        <f t="shared" ref="R99:R130" si="67">IF(ISBLANK(C99),0,VLOOKUP(A99&amp;B99,Project,5))*Q99*0.1</f>
        <v>0</v>
      </c>
      <c r="S99" s="310">
        <f t="shared" si="59"/>
        <v>0</v>
      </c>
      <c r="T99" s="312">
        <f t="shared" si="60"/>
        <v>0</v>
      </c>
      <c r="U99" s="313" t="str">
        <f t="shared" si="63"/>
        <v/>
      </c>
      <c r="V99" s="309" t="str">
        <f t="shared" si="64"/>
        <v/>
      </c>
      <c r="W99" s="314" t="str">
        <f t="shared" si="61"/>
        <v/>
      </c>
      <c r="X99" s="314" t="str">
        <f t="shared" si="62"/>
        <v/>
      </c>
    </row>
    <row r="100" spans="1:24" x14ac:dyDescent="0.25">
      <c r="A100" s="295"/>
      <c r="B100" s="295"/>
      <c r="C100" s="295"/>
      <c r="D100" s="295"/>
      <c r="E100" s="159"/>
      <c r="F100" s="369"/>
      <c r="G100" s="374"/>
      <c r="H100" s="157"/>
      <c r="I100" s="309">
        <f t="shared" si="65"/>
        <v>0</v>
      </c>
      <c r="J100" s="310">
        <f t="shared" si="54"/>
        <v>0</v>
      </c>
      <c r="K100" s="310"/>
      <c r="L100" s="310">
        <f t="shared" si="55"/>
        <v>0</v>
      </c>
      <c r="M100" s="310"/>
      <c r="N100" s="311">
        <f t="shared" si="56"/>
        <v>0</v>
      </c>
      <c r="O100" s="312">
        <f t="shared" si="57"/>
        <v>0</v>
      </c>
      <c r="P100" s="309">
        <f t="shared" si="66"/>
        <v>0</v>
      </c>
      <c r="Q100" s="310">
        <f t="shared" si="58"/>
        <v>0</v>
      </c>
      <c r="R100" s="309">
        <f t="shared" si="67"/>
        <v>0</v>
      </c>
      <c r="S100" s="310">
        <f t="shared" si="59"/>
        <v>0</v>
      </c>
      <c r="T100" s="312">
        <f t="shared" si="60"/>
        <v>0</v>
      </c>
      <c r="U100" s="313" t="str">
        <f t="shared" si="63"/>
        <v/>
      </c>
      <c r="V100" s="309" t="str">
        <f t="shared" si="64"/>
        <v/>
      </c>
      <c r="W100" s="314" t="str">
        <f t="shared" si="61"/>
        <v/>
      </c>
      <c r="X100" s="314" t="str">
        <f t="shared" si="62"/>
        <v/>
      </c>
    </row>
    <row r="101" spans="1:24" x14ac:dyDescent="0.25">
      <c r="A101" s="157"/>
      <c r="B101" s="157"/>
      <c r="C101" s="157"/>
      <c r="D101" s="157"/>
      <c r="E101" s="159"/>
      <c r="F101" s="369"/>
      <c r="G101" s="374"/>
      <c r="H101" s="157"/>
      <c r="I101" s="309">
        <f t="shared" si="65"/>
        <v>0</v>
      </c>
      <c r="J101" s="310">
        <f t="shared" si="54"/>
        <v>0</v>
      </c>
      <c r="K101" s="310"/>
      <c r="L101" s="310">
        <f t="shared" si="55"/>
        <v>0</v>
      </c>
      <c r="M101" s="310"/>
      <c r="N101" s="311">
        <f t="shared" si="56"/>
        <v>0</v>
      </c>
      <c r="O101" s="312">
        <f t="shared" si="57"/>
        <v>0</v>
      </c>
      <c r="P101" s="309">
        <f t="shared" si="66"/>
        <v>0</v>
      </c>
      <c r="Q101" s="310">
        <f t="shared" si="58"/>
        <v>0</v>
      </c>
      <c r="R101" s="309">
        <f t="shared" si="67"/>
        <v>0</v>
      </c>
      <c r="S101" s="310">
        <f t="shared" si="59"/>
        <v>0</v>
      </c>
      <c r="T101" s="312">
        <f t="shared" si="60"/>
        <v>0</v>
      </c>
      <c r="U101" s="313" t="str">
        <f t="shared" ref="U101:U132" si="68">IF(ISBLANK($A101),"",VLOOKUP($A101,Customer,2))</f>
        <v/>
      </c>
      <c r="V101" s="309" t="str">
        <f t="shared" ref="V101:V132" si="69">IF(ISBLANK($A101),"",VLOOKUP(CONCATENATE($A101,$B101),invProject,2))</f>
        <v/>
      </c>
      <c r="W101" s="314" t="str">
        <f t="shared" si="61"/>
        <v/>
      </c>
      <c r="X101" s="314" t="str">
        <f t="shared" si="62"/>
        <v/>
      </c>
    </row>
    <row r="102" spans="1:24" x14ac:dyDescent="0.25">
      <c r="A102" s="158"/>
      <c r="B102" s="158"/>
      <c r="C102" s="158"/>
      <c r="D102" s="158"/>
      <c r="E102" s="159"/>
      <c r="F102" s="369"/>
      <c r="G102" s="374"/>
      <c r="H102" s="157"/>
      <c r="I102" s="309">
        <f t="shared" si="65"/>
        <v>0</v>
      </c>
      <c r="J102" s="310">
        <f t="shared" si="54"/>
        <v>0</v>
      </c>
      <c r="K102" s="310"/>
      <c r="L102" s="310">
        <f t="shared" si="55"/>
        <v>0</v>
      </c>
      <c r="M102" s="310"/>
      <c r="N102" s="311">
        <f t="shared" si="56"/>
        <v>0</v>
      </c>
      <c r="O102" s="312">
        <f t="shared" si="57"/>
        <v>0</v>
      </c>
      <c r="P102" s="309">
        <f t="shared" si="66"/>
        <v>0</v>
      </c>
      <c r="Q102" s="310">
        <f t="shared" si="58"/>
        <v>0</v>
      </c>
      <c r="R102" s="309">
        <f t="shared" si="67"/>
        <v>0</v>
      </c>
      <c r="S102" s="310">
        <f t="shared" si="59"/>
        <v>0</v>
      </c>
      <c r="T102" s="312">
        <f t="shared" si="60"/>
        <v>0</v>
      </c>
      <c r="U102" s="313" t="str">
        <f t="shared" si="68"/>
        <v/>
      </c>
      <c r="V102" s="309" t="str">
        <f t="shared" si="69"/>
        <v/>
      </c>
      <c r="W102" s="314" t="str">
        <f t="shared" si="61"/>
        <v/>
      </c>
      <c r="X102" s="314" t="str">
        <f t="shared" si="62"/>
        <v/>
      </c>
    </row>
    <row r="103" spans="1:24" x14ac:dyDescent="0.25">
      <c r="A103" s="157"/>
      <c r="B103" s="157"/>
      <c r="C103" s="157"/>
      <c r="D103" s="157"/>
      <c r="E103" s="159"/>
      <c r="F103" s="369"/>
      <c r="G103" s="374"/>
      <c r="H103" s="157"/>
      <c r="I103" s="309">
        <f t="shared" si="65"/>
        <v>0</v>
      </c>
      <c r="J103" s="310">
        <f t="shared" si="54"/>
        <v>0</v>
      </c>
      <c r="K103" s="310"/>
      <c r="L103" s="310">
        <f t="shared" si="55"/>
        <v>0</v>
      </c>
      <c r="M103" s="310"/>
      <c r="N103" s="311">
        <f t="shared" si="56"/>
        <v>0</v>
      </c>
      <c r="O103" s="312">
        <f t="shared" si="57"/>
        <v>0</v>
      </c>
      <c r="P103" s="309">
        <f t="shared" si="66"/>
        <v>0</v>
      </c>
      <c r="Q103" s="310">
        <f t="shared" si="58"/>
        <v>0</v>
      </c>
      <c r="R103" s="309">
        <f t="shared" si="67"/>
        <v>0</v>
      </c>
      <c r="S103" s="310">
        <f t="shared" si="59"/>
        <v>0</v>
      </c>
      <c r="T103" s="312">
        <f t="shared" si="60"/>
        <v>0</v>
      </c>
      <c r="U103" s="313" t="str">
        <f t="shared" si="68"/>
        <v/>
      </c>
      <c r="V103" s="309" t="str">
        <f t="shared" si="69"/>
        <v/>
      </c>
      <c r="W103" s="314" t="str">
        <f t="shared" si="61"/>
        <v/>
      </c>
      <c r="X103" s="314" t="str">
        <f t="shared" si="62"/>
        <v/>
      </c>
    </row>
    <row r="104" spans="1:24" x14ac:dyDescent="0.25">
      <c r="A104" s="157"/>
      <c r="B104" s="157"/>
      <c r="C104" s="157"/>
      <c r="D104" s="157"/>
      <c r="E104" s="159"/>
      <c r="F104" s="369"/>
      <c r="G104" s="374"/>
      <c r="H104" s="157"/>
      <c r="I104" s="309">
        <f t="shared" si="65"/>
        <v>0</v>
      </c>
      <c r="J104" s="310">
        <f t="shared" si="54"/>
        <v>0</v>
      </c>
      <c r="K104" s="310"/>
      <c r="L104" s="310">
        <f t="shared" si="55"/>
        <v>0</v>
      </c>
      <c r="M104" s="310"/>
      <c r="N104" s="311">
        <f t="shared" si="56"/>
        <v>0</v>
      </c>
      <c r="O104" s="312">
        <f t="shared" si="57"/>
        <v>0</v>
      </c>
      <c r="P104" s="309">
        <f t="shared" si="66"/>
        <v>0</v>
      </c>
      <c r="Q104" s="310">
        <f t="shared" si="58"/>
        <v>0</v>
      </c>
      <c r="R104" s="309">
        <f t="shared" si="67"/>
        <v>0</v>
      </c>
      <c r="S104" s="310">
        <f t="shared" si="59"/>
        <v>0</v>
      </c>
      <c r="T104" s="312">
        <f t="shared" si="60"/>
        <v>0</v>
      </c>
      <c r="U104" s="313" t="str">
        <f t="shared" si="68"/>
        <v/>
      </c>
      <c r="V104" s="309" t="str">
        <f t="shared" si="69"/>
        <v/>
      </c>
      <c r="W104" s="314" t="str">
        <f t="shared" si="61"/>
        <v/>
      </c>
      <c r="X104" s="314" t="str">
        <f t="shared" si="62"/>
        <v/>
      </c>
    </row>
    <row r="105" spans="1:24" x14ac:dyDescent="0.25">
      <c r="A105" s="158"/>
      <c r="B105" s="158"/>
      <c r="C105" s="158"/>
      <c r="D105" s="158"/>
      <c r="E105" s="159"/>
      <c r="F105" s="369"/>
      <c r="G105" s="374"/>
      <c r="H105" s="157"/>
      <c r="I105" s="309">
        <f t="shared" si="65"/>
        <v>0</v>
      </c>
      <c r="J105" s="310">
        <f t="shared" si="54"/>
        <v>0</v>
      </c>
      <c r="K105" s="310"/>
      <c r="L105" s="310">
        <f t="shared" si="55"/>
        <v>0</v>
      </c>
      <c r="M105" s="310"/>
      <c r="N105" s="311">
        <f t="shared" si="56"/>
        <v>0</v>
      </c>
      <c r="O105" s="312">
        <f t="shared" si="57"/>
        <v>0</v>
      </c>
      <c r="P105" s="309">
        <f t="shared" si="66"/>
        <v>0</v>
      </c>
      <c r="Q105" s="310">
        <f t="shared" si="58"/>
        <v>0</v>
      </c>
      <c r="R105" s="309">
        <f t="shared" si="67"/>
        <v>0</v>
      </c>
      <c r="S105" s="310">
        <f t="shared" si="59"/>
        <v>0</v>
      </c>
      <c r="T105" s="312">
        <f t="shared" si="60"/>
        <v>0</v>
      </c>
      <c r="U105" s="313" t="str">
        <f t="shared" si="68"/>
        <v/>
      </c>
      <c r="V105" s="309" t="str">
        <f t="shared" si="69"/>
        <v/>
      </c>
      <c r="W105" s="314" t="str">
        <f t="shared" si="61"/>
        <v/>
      </c>
      <c r="X105" s="314" t="str">
        <f t="shared" si="62"/>
        <v/>
      </c>
    </row>
    <row r="106" spans="1:24" x14ac:dyDescent="0.25">
      <c r="A106" s="157"/>
      <c r="B106" s="157"/>
      <c r="C106" s="157"/>
      <c r="D106" s="157"/>
      <c r="E106" s="159"/>
      <c r="F106" s="369"/>
      <c r="G106" s="374"/>
      <c r="H106" s="157"/>
      <c r="I106" s="309">
        <f t="shared" si="65"/>
        <v>0</v>
      </c>
      <c r="J106" s="310">
        <f t="shared" si="54"/>
        <v>0</v>
      </c>
      <c r="K106" s="310"/>
      <c r="L106" s="310">
        <f t="shared" si="55"/>
        <v>0</v>
      </c>
      <c r="M106" s="310"/>
      <c r="N106" s="311">
        <f t="shared" si="56"/>
        <v>0</v>
      </c>
      <c r="O106" s="312">
        <f t="shared" si="57"/>
        <v>0</v>
      </c>
      <c r="P106" s="309">
        <f t="shared" si="66"/>
        <v>0</v>
      </c>
      <c r="Q106" s="310">
        <f t="shared" si="58"/>
        <v>0</v>
      </c>
      <c r="R106" s="309">
        <f t="shared" si="67"/>
        <v>0</v>
      </c>
      <c r="S106" s="310">
        <f t="shared" si="59"/>
        <v>0</v>
      </c>
      <c r="T106" s="312">
        <f t="shared" si="60"/>
        <v>0</v>
      </c>
      <c r="U106" s="313" t="str">
        <f t="shared" si="68"/>
        <v/>
      </c>
      <c r="V106" s="309" t="str">
        <f t="shared" si="69"/>
        <v/>
      </c>
      <c r="W106" s="314" t="str">
        <f t="shared" si="61"/>
        <v/>
      </c>
      <c r="X106" s="314" t="str">
        <f t="shared" si="62"/>
        <v/>
      </c>
    </row>
    <row r="107" spans="1:24" x14ac:dyDescent="0.25">
      <c r="A107" s="157"/>
      <c r="B107" s="157"/>
      <c r="C107" s="157"/>
      <c r="D107" s="157"/>
      <c r="E107" s="159"/>
      <c r="F107" s="369"/>
      <c r="G107" s="374"/>
      <c r="H107" s="157"/>
      <c r="I107" s="309">
        <f t="shared" si="65"/>
        <v>0</v>
      </c>
      <c r="J107" s="310">
        <f t="shared" si="54"/>
        <v>0</v>
      </c>
      <c r="K107" s="310"/>
      <c r="L107" s="310">
        <f t="shared" si="55"/>
        <v>0</v>
      </c>
      <c r="M107" s="310"/>
      <c r="N107" s="311">
        <f t="shared" si="56"/>
        <v>0</v>
      </c>
      <c r="O107" s="312">
        <f t="shared" si="57"/>
        <v>0</v>
      </c>
      <c r="P107" s="309">
        <f t="shared" si="66"/>
        <v>0</v>
      </c>
      <c r="Q107" s="310">
        <f t="shared" si="58"/>
        <v>0</v>
      </c>
      <c r="R107" s="309">
        <f t="shared" si="67"/>
        <v>0</v>
      </c>
      <c r="S107" s="310">
        <f t="shared" si="59"/>
        <v>0</v>
      </c>
      <c r="T107" s="312">
        <f t="shared" si="60"/>
        <v>0</v>
      </c>
      <c r="U107" s="313" t="str">
        <f t="shared" si="68"/>
        <v/>
      </c>
      <c r="V107" s="309" t="str">
        <f t="shared" si="69"/>
        <v/>
      </c>
      <c r="W107" s="314" t="str">
        <f t="shared" si="61"/>
        <v/>
      </c>
      <c r="X107" s="314" t="str">
        <f t="shared" si="62"/>
        <v/>
      </c>
    </row>
    <row r="108" spans="1:24" x14ac:dyDescent="0.25">
      <c r="A108" s="158"/>
      <c r="B108" s="158"/>
      <c r="C108" s="158"/>
      <c r="D108" s="158"/>
      <c r="E108" s="159"/>
      <c r="F108" s="369"/>
      <c r="G108" s="374"/>
      <c r="H108" s="157"/>
      <c r="I108" s="309">
        <f t="shared" si="65"/>
        <v>0</v>
      </c>
      <c r="J108" s="310">
        <f t="shared" si="54"/>
        <v>0</v>
      </c>
      <c r="K108" s="310"/>
      <c r="L108" s="310">
        <f t="shared" si="55"/>
        <v>0</v>
      </c>
      <c r="M108" s="310"/>
      <c r="N108" s="311">
        <f t="shared" si="56"/>
        <v>0</v>
      </c>
      <c r="O108" s="312">
        <f t="shared" si="57"/>
        <v>0</v>
      </c>
      <c r="P108" s="309">
        <f t="shared" si="66"/>
        <v>0</v>
      </c>
      <c r="Q108" s="310">
        <f t="shared" si="58"/>
        <v>0</v>
      </c>
      <c r="R108" s="309">
        <f t="shared" si="67"/>
        <v>0</v>
      </c>
      <c r="S108" s="310">
        <f t="shared" si="59"/>
        <v>0</v>
      </c>
      <c r="T108" s="312">
        <f t="shared" si="60"/>
        <v>0</v>
      </c>
      <c r="U108" s="313" t="str">
        <f t="shared" si="68"/>
        <v/>
      </c>
      <c r="V108" s="309" t="str">
        <f t="shared" si="69"/>
        <v/>
      </c>
      <c r="W108" s="314" t="str">
        <f t="shared" si="61"/>
        <v/>
      </c>
      <c r="X108" s="314" t="str">
        <f t="shared" si="62"/>
        <v/>
      </c>
    </row>
    <row r="109" spans="1:24" x14ac:dyDescent="0.25">
      <c r="A109" s="158"/>
      <c r="B109" s="158"/>
      <c r="C109" s="158"/>
      <c r="D109" s="158"/>
      <c r="E109" s="159"/>
      <c r="F109" s="369"/>
      <c r="G109" s="374"/>
      <c r="H109" s="157"/>
      <c r="I109" s="309">
        <f t="shared" si="65"/>
        <v>0</v>
      </c>
      <c r="J109" s="310">
        <f t="shared" si="54"/>
        <v>0</v>
      </c>
      <c r="K109" s="310"/>
      <c r="L109" s="310">
        <f t="shared" si="55"/>
        <v>0</v>
      </c>
      <c r="M109" s="310"/>
      <c r="N109" s="311">
        <f t="shared" si="56"/>
        <v>0</v>
      </c>
      <c r="O109" s="312">
        <f t="shared" si="57"/>
        <v>0</v>
      </c>
      <c r="P109" s="309">
        <f t="shared" si="66"/>
        <v>0</v>
      </c>
      <c r="Q109" s="310">
        <f t="shared" si="58"/>
        <v>0</v>
      </c>
      <c r="R109" s="309">
        <f t="shared" si="67"/>
        <v>0</v>
      </c>
      <c r="S109" s="310">
        <f t="shared" si="59"/>
        <v>0</v>
      </c>
      <c r="T109" s="312">
        <f t="shared" si="60"/>
        <v>0</v>
      </c>
      <c r="U109" s="313" t="str">
        <f t="shared" si="68"/>
        <v/>
      </c>
      <c r="V109" s="309" t="str">
        <f t="shared" si="69"/>
        <v/>
      </c>
      <c r="W109" s="314" t="str">
        <f t="shared" si="61"/>
        <v/>
      </c>
      <c r="X109" s="314" t="str">
        <f t="shared" si="62"/>
        <v/>
      </c>
    </row>
    <row r="110" spans="1:24" x14ac:dyDescent="0.25">
      <c r="A110" s="157"/>
      <c r="B110" s="157"/>
      <c r="C110" s="157"/>
      <c r="D110" s="157"/>
      <c r="E110" s="159"/>
      <c r="F110" s="369"/>
      <c r="G110" s="374"/>
      <c r="H110" s="157"/>
      <c r="I110" s="309">
        <f t="shared" si="65"/>
        <v>0</v>
      </c>
      <c r="J110" s="310">
        <f t="shared" si="54"/>
        <v>0</v>
      </c>
      <c r="K110" s="310"/>
      <c r="L110" s="310">
        <f t="shared" si="55"/>
        <v>0</v>
      </c>
      <c r="M110" s="310"/>
      <c r="N110" s="311">
        <f t="shared" si="56"/>
        <v>0</v>
      </c>
      <c r="O110" s="312">
        <f t="shared" si="57"/>
        <v>0</v>
      </c>
      <c r="P110" s="309">
        <f t="shared" si="66"/>
        <v>0</v>
      </c>
      <c r="Q110" s="310">
        <f t="shared" si="58"/>
        <v>0</v>
      </c>
      <c r="R110" s="309">
        <f t="shared" si="67"/>
        <v>0</v>
      </c>
      <c r="S110" s="310">
        <f t="shared" si="59"/>
        <v>0</v>
      </c>
      <c r="T110" s="312">
        <f t="shared" si="60"/>
        <v>0</v>
      </c>
      <c r="U110" s="313" t="str">
        <f t="shared" si="68"/>
        <v/>
      </c>
      <c r="V110" s="309" t="str">
        <f t="shared" si="69"/>
        <v/>
      </c>
      <c r="W110" s="314" t="str">
        <f t="shared" si="61"/>
        <v/>
      </c>
      <c r="X110" s="314" t="str">
        <f t="shared" si="62"/>
        <v/>
      </c>
    </row>
    <row r="111" spans="1:24" x14ac:dyDescent="0.25">
      <c r="A111" s="157"/>
      <c r="B111" s="157"/>
      <c r="C111" s="157"/>
      <c r="D111" s="157"/>
      <c r="E111" s="159"/>
      <c r="F111" s="369"/>
      <c r="G111" s="374"/>
      <c r="H111" s="157"/>
      <c r="I111" s="309">
        <f t="shared" si="65"/>
        <v>0</v>
      </c>
      <c r="J111" s="310">
        <f t="shared" si="54"/>
        <v>0</v>
      </c>
      <c r="K111" s="310"/>
      <c r="L111" s="310">
        <f t="shared" si="55"/>
        <v>0</v>
      </c>
      <c r="M111" s="310"/>
      <c r="N111" s="311">
        <f t="shared" si="56"/>
        <v>0</v>
      </c>
      <c r="O111" s="312">
        <f t="shared" si="57"/>
        <v>0</v>
      </c>
      <c r="P111" s="309">
        <f t="shared" si="66"/>
        <v>0</v>
      </c>
      <c r="Q111" s="310">
        <f t="shared" si="58"/>
        <v>0</v>
      </c>
      <c r="R111" s="309">
        <f t="shared" si="67"/>
        <v>0</v>
      </c>
      <c r="S111" s="310">
        <f t="shared" si="59"/>
        <v>0</v>
      </c>
      <c r="T111" s="312">
        <f t="shared" si="60"/>
        <v>0</v>
      </c>
      <c r="U111" s="313" t="str">
        <f t="shared" si="68"/>
        <v/>
      </c>
      <c r="V111" s="309" t="str">
        <f t="shared" si="69"/>
        <v/>
      </c>
      <c r="W111" s="314" t="str">
        <f t="shared" si="61"/>
        <v/>
      </c>
      <c r="X111" s="314" t="str">
        <f t="shared" si="62"/>
        <v/>
      </c>
    </row>
    <row r="112" spans="1:24" x14ac:dyDescent="0.25">
      <c r="A112" s="158"/>
      <c r="B112" s="158"/>
      <c r="C112" s="158"/>
      <c r="D112" s="158"/>
      <c r="E112" s="159"/>
      <c r="F112" s="369"/>
      <c r="G112" s="374"/>
      <c r="H112" s="157"/>
      <c r="I112" s="309">
        <f t="shared" si="65"/>
        <v>0</v>
      </c>
      <c r="J112" s="310">
        <f t="shared" si="54"/>
        <v>0</v>
      </c>
      <c r="K112" s="310"/>
      <c r="L112" s="310">
        <f t="shared" si="55"/>
        <v>0</v>
      </c>
      <c r="M112" s="310"/>
      <c r="N112" s="311">
        <f t="shared" si="56"/>
        <v>0</v>
      </c>
      <c r="O112" s="312">
        <f t="shared" si="57"/>
        <v>0</v>
      </c>
      <c r="P112" s="309">
        <f t="shared" si="66"/>
        <v>0</v>
      </c>
      <c r="Q112" s="310">
        <f t="shared" si="58"/>
        <v>0</v>
      </c>
      <c r="R112" s="309">
        <f t="shared" si="67"/>
        <v>0</v>
      </c>
      <c r="S112" s="310">
        <f t="shared" si="59"/>
        <v>0</v>
      </c>
      <c r="T112" s="312">
        <f t="shared" si="60"/>
        <v>0</v>
      </c>
      <c r="U112" s="313" t="str">
        <f t="shared" si="68"/>
        <v/>
      </c>
      <c r="V112" s="309" t="str">
        <f t="shared" si="69"/>
        <v/>
      </c>
      <c r="W112" s="314" t="str">
        <f t="shared" si="61"/>
        <v/>
      </c>
      <c r="X112" s="314" t="str">
        <f t="shared" si="62"/>
        <v/>
      </c>
    </row>
    <row r="113" spans="1:24" x14ac:dyDescent="0.25">
      <c r="A113" s="158"/>
      <c r="B113" s="158"/>
      <c r="C113" s="158"/>
      <c r="D113" s="158"/>
      <c r="E113" s="159"/>
      <c r="F113" s="369"/>
      <c r="G113" s="374"/>
      <c r="H113" s="157"/>
      <c r="I113" s="309">
        <f t="shared" si="65"/>
        <v>0</v>
      </c>
      <c r="J113" s="310">
        <f t="shared" si="54"/>
        <v>0</v>
      </c>
      <c r="K113" s="310"/>
      <c r="L113" s="310">
        <f t="shared" si="55"/>
        <v>0</v>
      </c>
      <c r="M113" s="310"/>
      <c r="N113" s="311">
        <f t="shared" si="56"/>
        <v>0</v>
      </c>
      <c r="O113" s="312">
        <f t="shared" si="57"/>
        <v>0</v>
      </c>
      <c r="P113" s="309">
        <f t="shared" si="66"/>
        <v>0</v>
      </c>
      <c r="Q113" s="310">
        <f t="shared" si="58"/>
        <v>0</v>
      </c>
      <c r="R113" s="309">
        <f t="shared" si="67"/>
        <v>0</v>
      </c>
      <c r="S113" s="310">
        <f t="shared" si="59"/>
        <v>0</v>
      </c>
      <c r="T113" s="312">
        <f t="shared" si="60"/>
        <v>0</v>
      </c>
      <c r="U113" s="313" t="str">
        <f t="shared" si="68"/>
        <v/>
      </c>
      <c r="V113" s="309" t="str">
        <f t="shared" si="69"/>
        <v/>
      </c>
      <c r="W113" s="314" t="str">
        <f t="shared" si="61"/>
        <v/>
      </c>
      <c r="X113" s="314" t="str">
        <f t="shared" si="62"/>
        <v/>
      </c>
    </row>
    <row r="114" spans="1:24" x14ac:dyDescent="0.25">
      <c r="A114" s="157"/>
      <c r="B114" s="157"/>
      <c r="C114" s="157"/>
      <c r="D114" s="157"/>
      <c r="E114" s="159"/>
      <c r="F114" s="369"/>
      <c r="G114" s="374"/>
      <c r="H114" s="157"/>
      <c r="I114" s="309">
        <f t="shared" si="65"/>
        <v>0</v>
      </c>
      <c r="J114" s="310">
        <f t="shared" si="54"/>
        <v>0</v>
      </c>
      <c r="K114" s="310"/>
      <c r="L114" s="310">
        <f t="shared" si="55"/>
        <v>0</v>
      </c>
      <c r="M114" s="310"/>
      <c r="N114" s="311">
        <f t="shared" si="56"/>
        <v>0</v>
      </c>
      <c r="O114" s="312">
        <f t="shared" si="57"/>
        <v>0</v>
      </c>
      <c r="P114" s="309">
        <f t="shared" si="66"/>
        <v>0</v>
      </c>
      <c r="Q114" s="310">
        <f t="shared" si="58"/>
        <v>0</v>
      </c>
      <c r="R114" s="309">
        <f t="shared" si="67"/>
        <v>0</v>
      </c>
      <c r="S114" s="310">
        <f t="shared" si="59"/>
        <v>0</v>
      </c>
      <c r="T114" s="312">
        <f t="shared" si="60"/>
        <v>0</v>
      </c>
      <c r="U114" s="313" t="str">
        <f t="shared" si="68"/>
        <v/>
      </c>
      <c r="V114" s="309" t="str">
        <f t="shared" si="69"/>
        <v/>
      </c>
      <c r="W114" s="314" t="str">
        <f t="shared" si="61"/>
        <v/>
      </c>
      <c r="X114" s="314" t="str">
        <f t="shared" si="62"/>
        <v/>
      </c>
    </row>
    <row r="115" spans="1:24" x14ac:dyDescent="0.25">
      <c r="A115" s="157"/>
      <c r="B115" s="157"/>
      <c r="C115" s="157"/>
      <c r="D115" s="157"/>
      <c r="E115" s="159"/>
      <c r="F115" s="369"/>
      <c r="G115" s="374"/>
      <c r="H115" s="157"/>
      <c r="I115" s="309">
        <f>IF(ISBLANK(B115),0,VLOOKUP(A115&amp;B115,Project,3))</f>
        <v>0</v>
      </c>
      <c r="J115" s="310">
        <f>E115*I115</f>
        <v>0</v>
      </c>
      <c r="K115" s="310"/>
      <c r="L115" s="310">
        <f>ROUND((J115+K115)*0.1,2)</f>
        <v>0</v>
      </c>
      <c r="M115" s="310"/>
      <c r="N115" s="311">
        <f>SUM(J115:M115)</f>
        <v>0</v>
      </c>
      <c r="O115" s="312">
        <f>IF(ISBLANK(G115),N115,0)</f>
        <v>0</v>
      </c>
      <c r="P115" s="309">
        <f>IF(ISBLANK(C115),0,VLOOKUP(A115&amp;B115,Project,4))</f>
        <v>0</v>
      </c>
      <c r="Q115" s="310">
        <f>E115*P115</f>
        <v>0</v>
      </c>
      <c r="R115" s="309">
        <f>IF(ISBLANK(C115),0,VLOOKUP(A115&amp;B115,Project,5))*Q115*0.1</f>
        <v>0</v>
      </c>
      <c r="S115" s="310">
        <f>SUM(Q115:R115)</f>
        <v>0</v>
      </c>
      <c r="T115" s="312">
        <f>IF(Q115=0,0,J115-Q115)</f>
        <v>0</v>
      </c>
      <c r="U115" s="313" t="str">
        <f>IF(ISBLANK($A115),"",VLOOKUP($A115,Customer,2))</f>
        <v/>
      </c>
      <c r="V115" s="309" t="str">
        <f>IF(ISBLANK($A115),"",VLOOKUP(CONCATENATE($A115,$B115),invProject,2))</f>
        <v/>
      </c>
      <c r="W115" s="314" t="str">
        <f>GETPERIOD(F115)</f>
        <v/>
      </c>
      <c r="X115" s="314" t="str">
        <f>GETPERIOD(G115)</f>
        <v/>
      </c>
    </row>
    <row r="116" spans="1:24" x14ac:dyDescent="0.25">
      <c r="A116" s="157"/>
      <c r="B116" s="157"/>
      <c r="C116" s="157"/>
      <c r="D116" s="157"/>
      <c r="E116" s="159"/>
      <c r="F116" s="369"/>
      <c r="G116" s="374"/>
      <c r="H116" s="157"/>
      <c r="I116" s="309">
        <f t="shared" si="65"/>
        <v>0</v>
      </c>
      <c r="J116" s="310">
        <f t="shared" si="54"/>
        <v>0</v>
      </c>
      <c r="K116" s="310"/>
      <c r="L116" s="310">
        <f t="shared" si="55"/>
        <v>0</v>
      </c>
      <c r="M116" s="310"/>
      <c r="N116" s="311">
        <f t="shared" si="56"/>
        <v>0</v>
      </c>
      <c r="O116" s="312">
        <f t="shared" si="57"/>
        <v>0</v>
      </c>
      <c r="P116" s="309">
        <f t="shared" si="66"/>
        <v>0</v>
      </c>
      <c r="Q116" s="310">
        <f t="shared" si="58"/>
        <v>0</v>
      </c>
      <c r="R116" s="309">
        <f t="shared" si="67"/>
        <v>0</v>
      </c>
      <c r="S116" s="310">
        <f t="shared" si="59"/>
        <v>0</v>
      </c>
      <c r="T116" s="312">
        <f t="shared" si="60"/>
        <v>0</v>
      </c>
      <c r="U116" s="313" t="str">
        <f t="shared" si="68"/>
        <v/>
      </c>
      <c r="V116" s="309" t="str">
        <f t="shared" si="69"/>
        <v/>
      </c>
      <c r="W116" s="314" t="str">
        <f t="shared" si="61"/>
        <v/>
      </c>
      <c r="X116" s="314" t="str">
        <f t="shared" si="62"/>
        <v/>
      </c>
    </row>
    <row r="117" spans="1:24" x14ac:dyDescent="0.25">
      <c r="A117" s="157"/>
      <c r="B117" s="157"/>
      <c r="C117" s="157"/>
      <c r="D117" s="157"/>
      <c r="E117" s="159"/>
      <c r="F117" s="369"/>
      <c r="G117" s="374"/>
      <c r="H117" s="157"/>
      <c r="I117" s="309">
        <f t="shared" si="65"/>
        <v>0</v>
      </c>
      <c r="J117" s="310">
        <f t="shared" si="54"/>
        <v>0</v>
      </c>
      <c r="K117" s="310"/>
      <c r="L117" s="310">
        <f t="shared" si="55"/>
        <v>0</v>
      </c>
      <c r="M117" s="310"/>
      <c r="N117" s="311">
        <f t="shared" si="56"/>
        <v>0</v>
      </c>
      <c r="O117" s="312">
        <f t="shared" si="57"/>
        <v>0</v>
      </c>
      <c r="P117" s="309">
        <f t="shared" si="66"/>
        <v>0</v>
      </c>
      <c r="Q117" s="310">
        <f t="shared" si="58"/>
        <v>0</v>
      </c>
      <c r="R117" s="309">
        <f t="shared" si="67"/>
        <v>0</v>
      </c>
      <c r="S117" s="310">
        <f t="shared" si="59"/>
        <v>0</v>
      </c>
      <c r="T117" s="312">
        <f t="shared" si="60"/>
        <v>0</v>
      </c>
      <c r="U117" s="313" t="str">
        <f t="shared" si="68"/>
        <v/>
      </c>
      <c r="V117" s="309" t="str">
        <f t="shared" si="69"/>
        <v/>
      </c>
      <c r="W117" s="314" t="str">
        <f t="shared" si="61"/>
        <v/>
      </c>
      <c r="X117" s="314" t="str">
        <f t="shared" si="62"/>
        <v/>
      </c>
    </row>
    <row r="118" spans="1:24" x14ac:dyDescent="0.25">
      <c r="A118" s="157"/>
      <c r="B118" s="157"/>
      <c r="C118" s="157"/>
      <c r="D118" s="157"/>
      <c r="E118" s="159"/>
      <c r="F118" s="369"/>
      <c r="G118" s="374"/>
      <c r="H118" s="157"/>
      <c r="I118" s="309">
        <f t="shared" si="65"/>
        <v>0</v>
      </c>
      <c r="J118" s="310">
        <f t="shared" si="54"/>
        <v>0</v>
      </c>
      <c r="K118" s="310"/>
      <c r="L118" s="310">
        <f t="shared" si="55"/>
        <v>0</v>
      </c>
      <c r="M118" s="310"/>
      <c r="N118" s="311">
        <f t="shared" si="56"/>
        <v>0</v>
      </c>
      <c r="O118" s="312">
        <f t="shared" si="57"/>
        <v>0</v>
      </c>
      <c r="P118" s="309">
        <f t="shared" si="66"/>
        <v>0</v>
      </c>
      <c r="Q118" s="310">
        <f t="shared" si="58"/>
        <v>0</v>
      </c>
      <c r="R118" s="309">
        <f t="shared" si="67"/>
        <v>0</v>
      </c>
      <c r="S118" s="310">
        <f t="shared" si="59"/>
        <v>0</v>
      </c>
      <c r="T118" s="312">
        <f t="shared" si="60"/>
        <v>0</v>
      </c>
      <c r="U118" s="313" t="str">
        <f t="shared" si="68"/>
        <v/>
      </c>
      <c r="V118" s="309" t="str">
        <f t="shared" si="69"/>
        <v/>
      </c>
      <c r="W118" s="314" t="str">
        <f t="shared" si="61"/>
        <v/>
      </c>
      <c r="X118" s="314" t="str">
        <f t="shared" si="62"/>
        <v/>
      </c>
    </row>
    <row r="119" spans="1:24" x14ac:dyDescent="0.25">
      <c r="A119" s="158"/>
      <c r="B119" s="158"/>
      <c r="C119" s="158"/>
      <c r="D119" s="158"/>
      <c r="E119" s="159"/>
      <c r="F119" s="369"/>
      <c r="G119" s="374"/>
      <c r="H119" s="157"/>
      <c r="I119" s="309">
        <f t="shared" si="65"/>
        <v>0</v>
      </c>
      <c r="J119" s="310">
        <f t="shared" si="54"/>
        <v>0</v>
      </c>
      <c r="K119" s="310"/>
      <c r="L119" s="310">
        <f t="shared" si="55"/>
        <v>0</v>
      </c>
      <c r="M119" s="310"/>
      <c r="N119" s="311">
        <f t="shared" si="56"/>
        <v>0</v>
      </c>
      <c r="O119" s="312">
        <f t="shared" si="57"/>
        <v>0</v>
      </c>
      <c r="P119" s="309">
        <f t="shared" si="66"/>
        <v>0</v>
      </c>
      <c r="Q119" s="310">
        <f t="shared" si="58"/>
        <v>0</v>
      </c>
      <c r="R119" s="309">
        <f t="shared" si="67"/>
        <v>0</v>
      </c>
      <c r="S119" s="310">
        <f t="shared" si="59"/>
        <v>0</v>
      </c>
      <c r="T119" s="312">
        <f t="shared" si="60"/>
        <v>0</v>
      </c>
      <c r="U119" s="313" t="str">
        <f t="shared" si="68"/>
        <v/>
      </c>
      <c r="V119" s="309" t="str">
        <f t="shared" si="69"/>
        <v/>
      </c>
      <c r="W119" s="314" t="str">
        <f t="shared" si="61"/>
        <v/>
      </c>
      <c r="X119" s="314" t="str">
        <f t="shared" si="62"/>
        <v/>
      </c>
    </row>
    <row r="120" spans="1:24" x14ac:dyDescent="0.25">
      <c r="A120" s="157"/>
      <c r="B120" s="157"/>
      <c r="C120" s="157"/>
      <c r="D120" s="157"/>
      <c r="E120" s="159"/>
      <c r="F120" s="369"/>
      <c r="G120" s="374"/>
      <c r="H120" s="157"/>
      <c r="I120" s="309">
        <f t="shared" si="65"/>
        <v>0</v>
      </c>
      <c r="J120" s="310">
        <f t="shared" si="54"/>
        <v>0</v>
      </c>
      <c r="K120" s="310"/>
      <c r="L120" s="310">
        <f t="shared" si="55"/>
        <v>0</v>
      </c>
      <c r="M120" s="310"/>
      <c r="N120" s="311">
        <f t="shared" si="56"/>
        <v>0</v>
      </c>
      <c r="O120" s="312">
        <f t="shared" si="57"/>
        <v>0</v>
      </c>
      <c r="P120" s="309">
        <f t="shared" si="66"/>
        <v>0</v>
      </c>
      <c r="Q120" s="310">
        <f t="shared" si="58"/>
        <v>0</v>
      </c>
      <c r="R120" s="309">
        <f t="shared" si="67"/>
        <v>0</v>
      </c>
      <c r="S120" s="310">
        <f t="shared" si="59"/>
        <v>0</v>
      </c>
      <c r="T120" s="312">
        <f t="shared" si="60"/>
        <v>0</v>
      </c>
      <c r="U120" s="313" t="str">
        <f t="shared" si="68"/>
        <v/>
      </c>
      <c r="V120" s="309" t="str">
        <f t="shared" si="69"/>
        <v/>
      </c>
      <c r="W120" s="314" t="str">
        <f t="shared" si="61"/>
        <v/>
      </c>
      <c r="X120" s="314" t="str">
        <f t="shared" si="62"/>
        <v/>
      </c>
    </row>
    <row r="121" spans="1:24" x14ac:dyDescent="0.25">
      <c r="A121" s="157"/>
      <c r="B121" s="157"/>
      <c r="C121" s="157"/>
      <c r="D121" s="157"/>
      <c r="E121" s="159"/>
      <c r="F121" s="369"/>
      <c r="G121" s="374"/>
      <c r="H121" s="157"/>
      <c r="I121" s="309">
        <f t="shared" si="65"/>
        <v>0</v>
      </c>
      <c r="J121" s="310">
        <f t="shared" si="54"/>
        <v>0</v>
      </c>
      <c r="K121" s="310"/>
      <c r="L121" s="310">
        <f t="shared" si="55"/>
        <v>0</v>
      </c>
      <c r="M121" s="310"/>
      <c r="N121" s="311">
        <f t="shared" si="56"/>
        <v>0</v>
      </c>
      <c r="O121" s="312">
        <f t="shared" si="57"/>
        <v>0</v>
      </c>
      <c r="P121" s="309">
        <f t="shared" si="66"/>
        <v>0</v>
      </c>
      <c r="Q121" s="310">
        <f t="shared" si="58"/>
        <v>0</v>
      </c>
      <c r="R121" s="309">
        <f t="shared" si="67"/>
        <v>0</v>
      </c>
      <c r="S121" s="310">
        <f t="shared" si="59"/>
        <v>0</v>
      </c>
      <c r="T121" s="312">
        <f t="shared" si="60"/>
        <v>0</v>
      </c>
      <c r="U121" s="313" t="str">
        <f t="shared" si="68"/>
        <v/>
      </c>
      <c r="V121" s="309" t="str">
        <f t="shared" si="69"/>
        <v/>
      </c>
      <c r="W121" s="314" t="str">
        <f t="shared" si="61"/>
        <v/>
      </c>
      <c r="X121" s="314" t="str">
        <f t="shared" si="62"/>
        <v/>
      </c>
    </row>
    <row r="122" spans="1:24" x14ac:dyDescent="0.25">
      <c r="A122" s="158"/>
      <c r="B122" s="158"/>
      <c r="C122" s="158"/>
      <c r="D122" s="158"/>
      <c r="E122" s="159"/>
      <c r="F122" s="369"/>
      <c r="G122" s="374"/>
      <c r="H122" s="157"/>
      <c r="I122" s="309">
        <f t="shared" si="65"/>
        <v>0</v>
      </c>
      <c r="J122" s="310">
        <f t="shared" si="54"/>
        <v>0</v>
      </c>
      <c r="K122" s="310"/>
      <c r="L122" s="310">
        <f t="shared" si="55"/>
        <v>0</v>
      </c>
      <c r="M122" s="310"/>
      <c r="N122" s="311">
        <f t="shared" si="56"/>
        <v>0</v>
      </c>
      <c r="O122" s="312">
        <f t="shared" si="57"/>
        <v>0</v>
      </c>
      <c r="P122" s="309">
        <f t="shared" si="66"/>
        <v>0</v>
      </c>
      <c r="Q122" s="310">
        <f t="shared" si="58"/>
        <v>0</v>
      </c>
      <c r="R122" s="309">
        <f t="shared" si="67"/>
        <v>0</v>
      </c>
      <c r="S122" s="310">
        <f t="shared" si="59"/>
        <v>0</v>
      </c>
      <c r="T122" s="312">
        <f t="shared" si="60"/>
        <v>0</v>
      </c>
      <c r="U122" s="313" t="str">
        <f t="shared" si="68"/>
        <v/>
      </c>
      <c r="V122" s="309" t="str">
        <f t="shared" si="69"/>
        <v/>
      </c>
      <c r="W122" s="314" t="str">
        <f t="shared" si="61"/>
        <v/>
      </c>
      <c r="X122" s="314" t="str">
        <f t="shared" si="62"/>
        <v/>
      </c>
    </row>
    <row r="123" spans="1:24" x14ac:dyDescent="0.25">
      <c r="A123" s="295"/>
      <c r="B123" s="295"/>
      <c r="C123" s="295"/>
      <c r="D123" s="295"/>
      <c r="E123" s="159"/>
      <c r="F123" s="369"/>
      <c r="G123" s="374"/>
      <c r="H123" s="157"/>
      <c r="I123" s="309">
        <f t="shared" si="65"/>
        <v>0</v>
      </c>
      <c r="J123" s="310">
        <f t="shared" si="54"/>
        <v>0</v>
      </c>
      <c r="K123" s="310"/>
      <c r="L123" s="310">
        <f t="shared" si="55"/>
        <v>0</v>
      </c>
      <c r="M123" s="310"/>
      <c r="N123" s="311">
        <f t="shared" si="56"/>
        <v>0</v>
      </c>
      <c r="O123" s="312">
        <f t="shared" si="57"/>
        <v>0</v>
      </c>
      <c r="P123" s="309">
        <f t="shared" si="66"/>
        <v>0</v>
      </c>
      <c r="Q123" s="310">
        <f t="shared" si="58"/>
        <v>0</v>
      </c>
      <c r="R123" s="309">
        <f t="shared" si="67"/>
        <v>0</v>
      </c>
      <c r="S123" s="310">
        <f t="shared" si="59"/>
        <v>0</v>
      </c>
      <c r="T123" s="312">
        <f t="shared" si="60"/>
        <v>0</v>
      </c>
      <c r="U123" s="313" t="str">
        <f t="shared" si="68"/>
        <v/>
      </c>
      <c r="V123" s="309" t="str">
        <f t="shared" si="69"/>
        <v/>
      </c>
      <c r="W123" s="314" t="str">
        <f t="shared" si="61"/>
        <v/>
      </c>
      <c r="X123" s="314" t="str">
        <f t="shared" si="62"/>
        <v/>
      </c>
    </row>
    <row r="124" spans="1:24" x14ac:dyDescent="0.25">
      <c r="A124" s="158"/>
      <c r="B124" s="158"/>
      <c r="C124" s="158"/>
      <c r="D124" s="158"/>
      <c r="E124" s="159"/>
      <c r="F124" s="369"/>
      <c r="G124" s="374"/>
      <c r="H124" s="157"/>
      <c r="I124" s="309">
        <f t="shared" si="65"/>
        <v>0</v>
      </c>
      <c r="J124" s="310">
        <f t="shared" si="54"/>
        <v>0</v>
      </c>
      <c r="K124" s="310"/>
      <c r="L124" s="310">
        <f t="shared" si="55"/>
        <v>0</v>
      </c>
      <c r="M124" s="310"/>
      <c r="N124" s="311">
        <f t="shared" si="56"/>
        <v>0</v>
      </c>
      <c r="O124" s="312">
        <f t="shared" si="57"/>
        <v>0</v>
      </c>
      <c r="P124" s="309">
        <f t="shared" si="66"/>
        <v>0</v>
      </c>
      <c r="Q124" s="310">
        <f t="shared" si="58"/>
        <v>0</v>
      </c>
      <c r="R124" s="309">
        <f t="shared" si="67"/>
        <v>0</v>
      </c>
      <c r="S124" s="310">
        <f t="shared" si="59"/>
        <v>0</v>
      </c>
      <c r="T124" s="312">
        <f t="shared" si="60"/>
        <v>0</v>
      </c>
      <c r="U124" s="313" t="str">
        <f t="shared" si="68"/>
        <v/>
      </c>
      <c r="V124" s="309" t="str">
        <f t="shared" si="69"/>
        <v/>
      </c>
      <c r="W124" s="314" t="str">
        <f t="shared" si="61"/>
        <v/>
      </c>
      <c r="X124" s="314" t="str">
        <f t="shared" si="62"/>
        <v/>
      </c>
    </row>
    <row r="125" spans="1:24" x14ac:dyDescent="0.25">
      <c r="A125" s="157"/>
      <c r="B125" s="157"/>
      <c r="C125" s="157"/>
      <c r="D125" s="157"/>
      <c r="E125" s="159"/>
      <c r="F125" s="369"/>
      <c r="G125" s="374"/>
      <c r="H125" s="157"/>
      <c r="I125" s="309">
        <f t="shared" si="65"/>
        <v>0</v>
      </c>
      <c r="J125" s="310">
        <f t="shared" si="54"/>
        <v>0</v>
      </c>
      <c r="K125" s="310"/>
      <c r="L125" s="310">
        <f t="shared" si="55"/>
        <v>0</v>
      </c>
      <c r="M125" s="310"/>
      <c r="N125" s="311">
        <f t="shared" si="56"/>
        <v>0</v>
      </c>
      <c r="O125" s="312">
        <f t="shared" si="57"/>
        <v>0</v>
      </c>
      <c r="P125" s="309">
        <f t="shared" si="66"/>
        <v>0</v>
      </c>
      <c r="Q125" s="310">
        <f t="shared" si="58"/>
        <v>0</v>
      </c>
      <c r="R125" s="309">
        <f t="shared" si="67"/>
        <v>0</v>
      </c>
      <c r="S125" s="310">
        <f t="shared" si="59"/>
        <v>0</v>
      </c>
      <c r="T125" s="312">
        <f t="shared" si="60"/>
        <v>0</v>
      </c>
      <c r="U125" s="313" t="str">
        <f t="shared" si="68"/>
        <v/>
      </c>
      <c r="V125" s="309" t="str">
        <f t="shared" si="69"/>
        <v/>
      </c>
      <c r="W125" s="314" t="str">
        <f t="shared" si="61"/>
        <v/>
      </c>
      <c r="X125" s="314" t="str">
        <f t="shared" si="62"/>
        <v/>
      </c>
    </row>
    <row r="126" spans="1:24" x14ac:dyDescent="0.25">
      <c r="A126" s="157"/>
      <c r="B126" s="157"/>
      <c r="C126" s="157"/>
      <c r="D126" s="157"/>
      <c r="E126" s="159"/>
      <c r="F126" s="369"/>
      <c r="G126" s="374"/>
      <c r="H126" s="157"/>
      <c r="I126" s="309">
        <f t="shared" si="65"/>
        <v>0</v>
      </c>
      <c r="J126" s="310">
        <f t="shared" si="54"/>
        <v>0</v>
      </c>
      <c r="K126" s="310"/>
      <c r="L126" s="310">
        <f t="shared" si="55"/>
        <v>0</v>
      </c>
      <c r="M126" s="310"/>
      <c r="N126" s="311">
        <f t="shared" si="56"/>
        <v>0</v>
      </c>
      <c r="O126" s="312">
        <f t="shared" si="57"/>
        <v>0</v>
      </c>
      <c r="P126" s="309">
        <f t="shared" si="66"/>
        <v>0</v>
      </c>
      <c r="Q126" s="310">
        <f t="shared" si="58"/>
        <v>0</v>
      </c>
      <c r="R126" s="309">
        <f t="shared" si="67"/>
        <v>0</v>
      </c>
      <c r="S126" s="310">
        <f t="shared" si="59"/>
        <v>0</v>
      </c>
      <c r="T126" s="312">
        <f t="shared" si="60"/>
        <v>0</v>
      </c>
      <c r="U126" s="313" t="str">
        <f t="shared" si="68"/>
        <v/>
      </c>
      <c r="V126" s="309" t="str">
        <f t="shared" si="69"/>
        <v/>
      </c>
      <c r="W126" s="314" t="str">
        <f t="shared" si="61"/>
        <v/>
      </c>
      <c r="X126" s="314" t="str">
        <f t="shared" si="62"/>
        <v/>
      </c>
    </row>
    <row r="127" spans="1:24" x14ac:dyDescent="0.25">
      <c r="A127" s="157"/>
      <c r="B127" s="157"/>
      <c r="C127" s="157"/>
      <c r="D127" s="157"/>
      <c r="E127" s="159"/>
      <c r="F127" s="369"/>
      <c r="G127" s="374"/>
      <c r="H127" s="157"/>
      <c r="I127" s="309">
        <f t="shared" si="65"/>
        <v>0</v>
      </c>
      <c r="J127" s="310">
        <f t="shared" si="54"/>
        <v>0</v>
      </c>
      <c r="K127" s="310"/>
      <c r="L127" s="310">
        <f t="shared" si="55"/>
        <v>0</v>
      </c>
      <c r="M127" s="310"/>
      <c r="N127" s="311">
        <f t="shared" si="56"/>
        <v>0</v>
      </c>
      <c r="O127" s="312">
        <f t="shared" si="57"/>
        <v>0</v>
      </c>
      <c r="P127" s="309">
        <f t="shared" si="66"/>
        <v>0</v>
      </c>
      <c r="Q127" s="310">
        <f t="shared" si="58"/>
        <v>0</v>
      </c>
      <c r="R127" s="309">
        <f t="shared" si="67"/>
        <v>0</v>
      </c>
      <c r="S127" s="310">
        <f t="shared" si="59"/>
        <v>0</v>
      </c>
      <c r="T127" s="312">
        <f t="shared" si="60"/>
        <v>0</v>
      </c>
      <c r="U127" s="313" t="str">
        <f t="shared" si="68"/>
        <v/>
      </c>
      <c r="V127" s="309" t="str">
        <f t="shared" si="69"/>
        <v/>
      </c>
      <c r="W127" s="314" t="str">
        <f t="shared" si="61"/>
        <v/>
      </c>
      <c r="X127" s="314" t="str">
        <f t="shared" si="62"/>
        <v/>
      </c>
    </row>
    <row r="128" spans="1:24" x14ac:dyDescent="0.25">
      <c r="A128" s="157"/>
      <c r="B128" s="157"/>
      <c r="C128" s="157"/>
      <c r="D128" s="157"/>
      <c r="E128" s="159"/>
      <c r="F128" s="369"/>
      <c r="G128" s="374"/>
      <c r="H128" s="157"/>
      <c r="I128" s="309">
        <f t="shared" si="65"/>
        <v>0</v>
      </c>
      <c r="J128" s="310">
        <f t="shared" si="54"/>
        <v>0</v>
      </c>
      <c r="K128" s="310"/>
      <c r="L128" s="310">
        <f t="shared" si="55"/>
        <v>0</v>
      </c>
      <c r="M128" s="310"/>
      <c r="N128" s="311">
        <f t="shared" si="56"/>
        <v>0</v>
      </c>
      <c r="O128" s="312">
        <f t="shared" si="57"/>
        <v>0</v>
      </c>
      <c r="P128" s="309">
        <f t="shared" si="66"/>
        <v>0</v>
      </c>
      <c r="Q128" s="310">
        <f t="shared" si="58"/>
        <v>0</v>
      </c>
      <c r="R128" s="309">
        <f t="shared" si="67"/>
        <v>0</v>
      </c>
      <c r="S128" s="310">
        <f t="shared" si="59"/>
        <v>0</v>
      </c>
      <c r="T128" s="312">
        <f t="shared" si="60"/>
        <v>0</v>
      </c>
      <c r="U128" s="313" t="str">
        <f t="shared" si="68"/>
        <v/>
      </c>
      <c r="V128" s="309" t="str">
        <f t="shared" si="69"/>
        <v/>
      </c>
      <c r="W128" s="314" t="str">
        <f t="shared" si="61"/>
        <v/>
      </c>
      <c r="X128" s="314" t="str">
        <f t="shared" si="62"/>
        <v/>
      </c>
    </row>
    <row r="129" spans="1:24" x14ac:dyDescent="0.25">
      <c r="A129" s="158"/>
      <c r="B129" s="158"/>
      <c r="C129" s="158"/>
      <c r="D129" s="158"/>
      <c r="E129" s="159"/>
      <c r="F129" s="369"/>
      <c r="G129" s="374"/>
      <c r="H129" s="157"/>
      <c r="I129" s="309">
        <f t="shared" si="65"/>
        <v>0</v>
      </c>
      <c r="J129" s="310">
        <f t="shared" si="54"/>
        <v>0</v>
      </c>
      <c r="K129" s="310"/>
      <c r="L129" s="310">
        <f t="shared" si="55"/>
        <v>0</v>
      </c>
      <c r="M129" s="310"/>
      <c r="N129" s="311">
        <f t="shared" si="56"/>
        <v>0</v>
      </c>
      <c r="O129" s="312">
        <f t="shared" si="57"/>
        <v>0</v>
      </c>
      <c r="P129" s="309">
        <f t="shared" si="66"/>
        <v>0</v>
      </c>
      <c r="Q129" s="310">
        <f t="shared" si="58"/>
        <v>0</v>
      </c>
      <c r="R129" s="309">
        <f t="shared" si="67"/>
        <v>0</v>
      </c>
      <c r="S129" s="310">
        <f t="shared" si="59"/>
        <v>0</v>
      </c>
      <c r="T129" s="312">
        <f t="shared" si="60"/>
        <v>0</v>
      </c>
      <c r="U129" s="313" t="str">
        <f t="shared" si="68"/>
        <v/>
      </c>
      <c r="V129" s="309" t="str">
        <f t="shared" si="69"/>
        <v/>
      </c>
      <c r="W129" s="314" t="str">
        <f t="shared" si="61"/>
        <v/>
      </c>
      <c r="X129" s="314" t="str">
        <f t="shared" si="62"/>
        <v/>
      </c>
    </row>
    <row r="130" spans="1:24" x14ac:dyDescent="0.25">
      <c r="A130" s="158"/>
      <c r="B130" s="158"/>
      <c r="C130" s="158"/>
      <c r="D130" s="158"/>
      <c r="E130" s="159"/>
      <c r="F130" s="369"/>
      <c r="G130" s="374"/>
      <c r="H130" s="157"/>
      <c r="I130" s="309">
        <f t="shared" si="65"/>
        <v>0</v>
      </c>
      <c r="J130" s="310">
        <f t="shared" si="54"/>
        <v>0</v>
      </c>
      <c r="K130" s="310"/>
      <c r="L130" s="310">
        <f t="shared" si="55"/>
        <v>0</v>
      </c>
      <c r="M130" s="310"/>
      <c r="N130" s="311">
        <f t="shared" si="56"/>
        <v>0</v>
      </c>
      <c r="O130" s="312">
        <f t="shared" si="57"/>
        <v>0</v>
      </c>
      <c r="P130" s="309">
        <f t="shared" si="66"/>
        <v>0</v>
      </c>
      <c r="Q130" s="310">
        <f t="shared" si="58"/>
        <v>0</v>
      </c>
      <c r="R130" s="309">
        <f t="shared" si="67"/>
        <v>0</v>
      </c>
      <c r="S130" s="310">
        <f t="shared" si="59"/>
        <v>0</v>
      </c>
      <c r="T130" s="312">
        <f t="shared" si="60"/>
        <v>0</v>
      </c>
      <c r="U130" s="313" t="str">
        <f t="shared" si="68"/>
        <v/>
      </c>
      <c r="V130" s="309" t="str">
        <f t="shared" si="69"/>
        <v/>
      </c>
      <c r="W130" s="314" t="str">
        <f t="shared" si="61"/>
        <v/>
      </c>
      <c r="X130" s="314" t="str">
        <f t="shared" si="62"/>
        <v/>
      </c>
    </row>
    <row r="131" spans="1:24" x14ac:dyDescent="0.25">
      <c r="A131" s="295"/>
      <c r="B131" s="295"/>
      <c r="C131" s="295"/>
      <c r="D131" s="295"/>
      <c r="E131" s="159"/>
      <c r="F131" s="369"/>
      <c r="G131" s="374"/>
      <c r="H131" s="157"/>
      <c r="I131" s="309">
        <f t="shared" ref="I131:I140" si="70">IF(ISBLANK(B131),0,VLOOKUP(A131&amp;B131,Project,3))</f>
        <v>0</v>
      </c>
      <c r="J131" s="310">
        <f t="shared" si="54"/>
        <v>0</v>
      </c>
      <c r="K131" s="310"/>
      <c r="L131" s="310">
        <f t="shared" si="55"/>
        <v>0</v>
      </c>
      <c r="M131" s="310"/>
      <c r="N131" s="311">
        <f t="shared" si="56"/>
        <v>0</v>
      </c>
      <c r="O131" s="312">
        <f t="shared" si="57"/>
        <v>0</v>
      </c>
      <c r="P131" s="309">
        <f t="shared" ref="P131:P140" si="71">IF(ISBLANK(C131),0,VLOOKUP(A131&amp;B131,Project,4))</f>
        <v>0</v>
      </c>
      <c r="Q131" s="310">
        <f t="shared" si="58"/>
        <v>0</v>
      </c>
      <c r="R131" s="309">
        <f t="shared" ref="R131:R140" si="72">IF(ISBLANK(C131),0,VLOOKUP(A131&amp;B131,Project,5))*Q131*0.1</f>
        <v>0</v>
      </c>
      <c r="S131" s="310">
        <f t="shared" si="59"/>
        <v>0</v>
      </c>
      <c r="T131" s="312">
        <f t="shared" si="60"/>
        <v>0</v>
      </c>
      <c r="U131" s="313" t="str">
        <f t="shared" si="68"/>
        <v/>
      </c>
      <c r="V131" s="309" t="str">
        <f t="shared" si="69"/>
        <v/>
      </c>
      <c r="W131" s="314" t="str">
        <f t="shared" si="61"/>
        <v/>
      </c>
      <c r="X131" s="314" t="str">
        <f t="shared" si="62"/>
        <v/>
      </c>
    </row>
    <row r="132" spans="1:24" x14ac:dyDescent="0.25">
      <c r="A132" s="295"/>
      <c r="B132" s="295"/>
      <c r="C132" s="295"/>
      <c r="D132" s="295"/>
      <c r="E132" s="159"/>
      <c r="F132" s="369"/>
      <c r="G132" s="374"/>
      <c r="H132" s="157"/>
      <c r="I132" s="309">
        <f t="shared" si="70"/>
        <v>0</v>
      </c>
      <c r="J132" s="310">
        <f t="shared" ref="J132:J140" si="73">E132*I132</f>
        <v>0</v>
      </c>
      <c r="K132" s="310"/>
      <c r="L132" s="310">
        <f t="shared" ref="L132:L140" si="74">ROUND((J132+K132)*0.1,2)</f>
        <v>0</v>
      </c>
      <c r="M132" s="310"/>
      <c r="N132" s="311">
        <f t="shared" ref="N132:N140" si="75">SUM(J132:M132)</f>
        <v>0</v>
      </c>
      <c r="O132" s="312">
        <f t="shared" ref="O132:O140" si="76">IF(ISBLANK(G132),N132,0)</f>
        <v>0</v>
      </c>
      <c r="P132" s="309">
        <f t="shared" si="71"/>
        <v>0</v>
      </c>
      <c r="Q132" s="310">
        <f t="shared" ref="Q132:Q140" si="77">E132*P132</f>
        <v>0</v>
      </c>
      <c r="R132" s="309">
        <f t="shared" si="72"/>
        <v>0</v>
      </c>
      <c r="S132" s="310">
        <f t="shared" ref="S132:S140" si="78">SUM(Q132:R132)</f>
        <v>0</v>
      </c>
      <c r="T132" s="312">
        <f t="shared" ref="T132:T140" si="79">IF(Q132=0,0,J132-Q132)</f>
        <v>0</v>
      </c>
      <c r="U132" s="313" t="str">
        <f t="shared" si="68"/>
        <v/>
      </c>
      <c r="V132" s="309" t="str">
        <f t="shared" si="69"/>
        <v/>
      </c>
      <c r="W132" s="314" t="str">
        <f t="shared" ref="W132:W140" si="80">GETPERIOD(F132)</f>
        <v/>
      </c>
      <c r="X132" s="314" t="str">
        <f t="shared" ref="X132:X140" si="81">GETPERIOD(G132)</f>
        <v/>
      </c>
    </row>
    <row r="133" spans="1:24" x14ac:dyDescent="0.25">
      <c r="A133" s="295"/>
      <c r="B133" s="295"/>
      <c r="C133" s="295"/>
      <c r="D133" s="295"/>
      <c r="E133" s="159"/>
      <c r="F133" s="369"/>
      <c r="G133" s="374"/>
      <c r="H133" s="157"/>
      <c r="I133" s="309">
        <f t="shared" si="70"/>
        <v>0</v>
      </c>
      <c r="J133" s="310">
        <f t="shared" si="73"/>
        <v>0</v>
      </c>
      <c r="K133" s="310"/>
      <c r="L133" s="310">
        <f t="shared" si="74"/>
        <v>0</v>
      </c>
      <c r="M133" s="310"/>
      <c r="N133" s="311">
        <f t="shared" si="75"/>
        <v>0</v>
      </c>
      <c r="O133" s="312">
        <f t="shared" si="76"/>
        <v>0</v>
      </c>
      <c r="P133" s="309">
        <f t="shared" si="71"/>
        <v>0</v>
      </c>
      <c r="Q133" s="310">
        <f t="shared" si="77"/>
        <v>0</v>
      </c>
      <c r="R133" s="309">
        <f t="shared" si="72"/>
        <v>0</v>
      </c>
      <c r="S133" s="310">
        <f t="shared" si="78"/>
        <v>0</v>
      </c>
      <c r="T133" s="312">
        <f t="shared" si="79"/>
        <v>0</v>
      </c>
      <c r="U133" s="313" t="str">
        <f t="shared" ref="U133:U140" si="82">IF(ISBLANK($A133),"",VLOOKUP($A133,Customer,2))</f>
        <v/>
      </c>
      <c r="V133" s="309" t="str">
        <f t="shared" ref="V133:V140" si="83">IF(ISBLANK($A133),"",VLOOKUP(CONCATENATE($A133,$B133),invProject,2))</f>
        <v/>
      </c>
      <c r="W133" s="314" t="str">
        <f t="shared" si="80"/>
        <v/>
      </c>
      <c r="X133" s="314" t="str">
        <f t="shared" si="81"/>
        <v/>
      </c>
    </row>
    <row r="134" spans="1:24" x14ac:dyDescent="0.25">
      <c r="A134" s="295"/>
      <c r="B134" s="295"/>
      <c r="C134" s="295"/>
      <c r="D134" s="295"/>
      <c r="E134" s="159"/>
      <c r="F134" s="369"/>
      <c r="G134" s="374"/>
      <c r="H134" s="157"/>
      <c r="I134" s="309">
        <f t="shared" si="70"/>
        <v>0</v>
      </c>
      <c r="J134" s="310">
        <f t="shared" si="73"/>
        <v>0</v>
      </c>
      <c r="K134" s="310"/>
      <c r="L134" s="310">
        <f t="shared" si="74"/>
        <v>0</v>
      </c>
      <c r="M134" s="310"/>
      <c r="N134" s="311">
        <f t="shared" si="75"/>
        <v>0</v>
      </c>
      <c r="O134" s="312">
        <f t="shared" si="76"/>
        <v>0</v>
      </c>
      <c r="P134" s="309">
        <f t="shared" si="71"/>
        <v>0</v>
      </c>
      <c r="Q134" s="310">
        <f t="shared" si="77"/>
        <v>0</v>
      </c>
      <c r="R134" s="309">
        <f t="shared" si="72"/>
        <v>0</v>
      </c>
      <c r="S134" s="310">
        <f t="shared" si="78"/>
        <v>0</v>
      </c>
      <c r="T134" s="312">
        <f t="shared" si="79"/>
        <v>0</v>
      </c>
      <c r="U134" s="313" t="str">
        <f t="shared" si="82"/>
        <v/>
      </c>
      <c r="V134" s="309" t="str">
        <f t="shared" si="83"/>
        <v/>
      </c>
      <c r="W134" s="314" t="str">
        <f t="shared" si="80"/>
        <v/>
      </c>
      <c r="X134" s="314" t="str">
        <f t="shared" si="81"/>
        <v/>
      </c>
    </row>
    <row r="135" spans="1:24" x14ac:dyDescent="0.25">
      <c r="A135" s="295"/>
      <c r="B135" s="295"/>
      <c r="C135" s="295"/>
      <c r="D135" s="295"/>
      <c r="E135" s="159"/>
      <c r="F135" s="369"/>
      <c r="G135" s="374"/>
      <c r="H135" s="157"/>
      <c r="I135" s="309">
        <f t="shared" si="70"/>
        <v>0</v>
      </c>
      <c r="J135" s="310">
        <f t="shared" si="73"/>
        <v>0</v>
      </c>
      <c r="K135" s="310"/>
      <c r="L135" s="310">
        <f t="shared" si="74"/>
        <v>0</v>
      </c>
      <c r="M135" s="310"/>
      <c r="N135" s="311">
        <f t="shared" si="75"/>
        <v>0</v>
      </c>
      <c r="O135" s="312">
        <f t="shared" si="76"/>
        <v>0</v>
      </c>
      <c r="P135" s="309">
        <f t="shared" si="71"/>
        <v>0</v>
      </c>
      <c r="Q135" s="310">
        <f t="shared" si="77"/>
        <v>0</v>
      </c>
      <c r="R135" s="309">
        <f t="shared" si="72"/>
        <v>0</v>
      </c>
      <c r="S135" s="310">
        <f t="shared" si="78"/>
        <v>0</v>
      </c>
      <c r="T135" s="312">
        <f t="shared" si="79"/>
        <v>0</v>
      </c>
      <c r="U135" s="313" t="str">
        <f t="shared" si="82"/>
        <v/>
      </c>
      <c r="V135" s="309" t="str">
        <f t="shared" si="83"/>
        <v/>
      </c>
      <c r="W135" s="314" t="str">
        <f t="shared" si="80"/>
        <v/>
      </c>
      <c r="X135" s="314" t="str">
        <f t="shared" si="81"/>
        <v/>
      </c>
    </row>
    <row r="136" spans="1:24" x14ac:dyDescent="0.25">
      <c r="A136" s="295"/>
      <c r="B136" s="295"/>
      <c r="C136" s="295"/>
      <c r="D136" s="295"/>
      <c r="E136" s="159"/>
      <c r="F136" s="369"/>
      <c r="G136" s="374"/>
      <c r="H136" s="157"/>
      <c r="I136" s="309">
        <f t="shared" si="70"/>
        <v>0</v>
      </c>
      <c r="J136" s="310">
        <f t="shared" si="73"/>
        <v>0</v>
      </c>
      <c r="K136" s="310"/>
      <c r="L136" s="310">
        <f t="shared" si="74"/>
        <v>0</v>
      </c>
      <c r="M136" s="310"/>
      <c r="N136" s="311">
        <f t="shared" si="75"/>
        <v>0</v>
      </c>
      <c r="O136" s="312">
        <f t="shared" si="76"/>
        <v>0</v>
      </c>
      <c r="P136" s="309">
        <f t="shared" si="71"/>
        <v>0</v>
      </c>
      <c r="Q136" s="310">
        <f t="shared" si="77"/>
        <v>0</v>
      </c>
      <c r="R136" s="309">
        <f t="shared" si="72"/>
        <v>0</v>
      </c>
      <c r="S136" s="310">
        <f t="shared" si="78"/>
        <v>0</v>
      </c>
      <c r="T136" s="312">
        <f t="shared" si="79"/>
        <v>0</v>
      </c>
      <c r="U136" s="313" t="str">
        <f t="shared" si="82"/>
        <v/>
      </c>
      <c r="V136" s="309" t="str">
        <f t="shared" si="83"/>
        <v/>
      </c>
      <c r="W136" s="314" t="str">
        <f t="shared" si="80"/>
        <v/>
      </c>
      <c r="X136" s="314" t="str">
        <f t="shared" si="81"/>
        <v/>
      </c>
    </row>
    <row r="137" spans="1:24" x14ac:dyDescent="0.25">
      <c r="A137" s="157"/>
      <c r="B137" s="157"/>
      <c r="C137" s="157"/>
      <c r="D137" s="295"/>
      <c r="E137" s="159"/>
      <c r="F137" s="369"/>
      <c r="G137" s="374"/>
      <c r="H137" s="157"/>
      <c r="I137" s="309">
        <f t="shared" si="70"/>
        <v>0</v>
      </c>
      <c r="J137" s="310">
        <f t="shared" si="73"/>
        <v>0</v>
      </c>
      <c r="K137" s="310"/>
      <c r="L137" s="310">
        <f t="shared" si="74"/>
        <v>0</v>
      </c>
      <c r="M137" s="310"/>
      <c r="N137" s="311">
        <f t="shared" si="75"/>
        <v>0</v>
      </c>
      <c r="O137" s="312">
        <f t="shared" si="76"/>
        <v>0</v>
      </c>
      <c r="P137" s="309">
        <f t="shared" si="71"/>
        <v>0</v>
      </c>
      <c r="Q137" s="310">
        <f t="shared" si="77"/>
        <v>0</v>
      </c>
      <c r="R137" s="309">
        <f t="shared" si="72"/>
        <v>0</v>
      </c>
      <c r="S137" s="310">
        <f t="shared" si="78"/>
        <v>0</v>
      </c>
      <c r="T137" s="312">
        <f t="shared" si="79"/>
        <v>0</v>
      </c>
      <c r="U137" s="313" t="str">
        <f t="shared" si="82"/>
        <v/>
      </c>
      <c r="V137" s="309" t="str">
        <f t="shared" si="83"/>
        <v/>
      </c>
      <c r="W137" s="314" t="str">
        <f t="shared" si="80"/>
        <v/>
      </c>
      <c r="X137" s="314" t="str">
        <f t="shared" si="81"/>
        <v/>
      </c>
    </row>
    <row r="138" spans="1:24" x14ac:dyDescent="0.25">
      <c r="A138" s="157"/>
      <c r="B138" s="157"/>
      <c r="C138" s="157"/>
      <c r="D138" s="157"/>
      <c r="E138" s="159"/>
      <c r="F138" s="369"/>
      <c r="G138" s="374"/>
      <c r="H138" s="157"/>
      <c r="I138" s="309">
        <f t="shared" si="70"/>
        <v>0</v>
      </c>
      <c r="J138" s="310">
        <f t="shared" si="73"/>
        <v>0</v>
      </c>
      <c r="K138" s="310"/>
      <c r="L138" s="310">
        <f t="shared" si="74"/>
        <v>0</v>
      </c>
      <c r="M138" s="310"/>
      <c r="N138" s="311">
        <f t="shared" si="75"/>
        <v>0</v>
      </c>
      <c r="O138" s="312">
        <f t="shared" si="76"/>
        <v>0</v>
      </c>
      <c r="P138" s="309">
        <f t="shared" si="71"/>
        <v>0</v>
      </c>
      <c r="Q138" s="310">
        <f t="shared" si="77"/>
        <v>0</v>
      </c>
      <c r="R138" s="309">
        <f t="shared" si="72"/>
        <v>0</v>
      </c>
      <c r="S138" s="310">
        <f t="shared" si="78"/>
        <v>0</v>
      </c>
      <c r="T138" s="312">
        <f t="shared" si="79"/>
        <v>0</v>
      </c>
      <c r="U138" s="313" t="str">
        <f t="shared" si="82"/>
        <v/>
      </c>
      <c r="V138" s="309" t="str">
        <f t="shared" si="83"/>
        <v/>
      </c>
      <c r="W138" s="314" t="str">
        <f t="shared" si="80"/>
        <v/>
      </c>
      <c r="X138" s="314" t="str">
        <f t="shared" si="81"/>
        <v/>
      </c>
    </row>
    <row r="139" spans="1:24" x14ac:dyDescent="0.25">
      <c r="A139" s="157"/>
      <c r="B139" s="157"/>
      <c r="C139" s="157"/>
      <c r="D139" s="157"/>
      <c r="E139" s="159"/>
      <c r="F139" s="369"/>
      <c r="G139" s="374"/>
      <c r="H139" s="157"/>
      <c r="I139" s="309">
        <f t="shared" si="70"/>
        <v>0</v>
      </c>
      <c r="J139" s="310">
        <f t="shared" si="73"/>
        <v>0</v>
      </c>
      <c r="K139" s="310"/>
      <c r="L139" s="310">
        <f t="shared" si="74"/>
        <v>0</v>
      </c>
      <c r="M139" s="310"/>
      <c r="N139" s="311">
        <f t="shared" si="75"/>
        <v>0</v>
      </c>
      <c r="O139" s="312">
        <f t="shared" si="76"/>
        <v>0</v>
      </c>
      <c r="P139" s="309">
        <f t="shared" si="71"/>
        <v>0</v>
      </c>
      <c r="Q139" s="310">
        <f t="shared" si="77"/>
        <v>0</v>
      </c>
      <c r="R139" s="309">
        <f t="shared" si="72"/>
        <v>0</v>
      </c>
      <c r="S139" s="310">
        <f t="shared" si="78"/>
        <v>0</v>
      </c>
      <c r="T139" s="312">
        <f t="shared" si="79"/>
        <v>0</v>
      </c>
      <c r="U139" s="313" t="str">
        <f t="shared" si="82"/>
        <v/>
      </c>
      <c r="V139" s="309" t="str">
        <f t="shared" si="83"/>
        <v/>
      </c>
      <c r="W139" s="314" t="str">
        <f t="shared" si="80"/>
        <v/>
      </c>
      <c r="X139" s="314" t="str">
        <f t="shared" si="81"/>
        <v/>
      </c>
    </row>
    <row r="140" spans="1:24" x14ac:dyDescent="0.25">
      <c r="A140" s="157"/>
      <c r="B140" s="157"/>
      <c r="C140" s="157"/>
      <c r="D140" s="157"/>
      <c r="E140" s="159"/>
      <c r="F140" s="369"/>
      <c r="G140" s="374"/>
      <c r="H140" s="157"/>
      <c r="I140" s="309">
        <f t="shared" si="70"/>
        <v>0</v>
      </c>
      <c r="J140" s="310">
        <f t="shared" si="73"/>
        <v>0</v>
      </c>
      <c r="K140" s="310"/>
      <c r="L140" s="310">
        <f t="shared" si="74"/>
        <v>0</v>
      </c>
      <c r="M140" s="310"/>
      <c r="N140" s="311">
        <f t="shared" si="75"/>
        <v>0</v>
      </c>
      <c r="O140" s="312">
        <f t="shared" si="76"/>
        <v>0</v>
      </c>
      <c r="P140" s="309">
        <f t="shared" si="71"/>
        <v>0</v>
      </c>
      <c r="Q140" s="310">
        <f t="shared" si="77"/>
        <v>0</v>
      </c>
      <c r="R140" s="309">
        <f t="shared" si="72"/>
        <v>0</v>
      </c>
      <c r="S140" s="310">
        <f t="shared" si="78"/>
        <v>0</v>
      </c>
      <c r="T140" s="312">
        <f t="shared" si="79"/>
        <v>0</v>
      </c>
      <c r="U140" s="313" t="str">
        <f t="shared" si="82"/>
        <v/>
      </c>
      <c r="V140" s="309" t="str">
        <f t="shared" si="83"/>
        <v/>
      </c>
      <c r="W140" s="314" t="str">
        <f t="shared" si="80"/>
        <v/>
      </c>
      <c r="X140" s="314" t="str">
        <f t="shared" si="81"/>
        <v/>
      </c>
    </row>
  </sheetData>
  <autoFilter ref="A4:X140"/>
  <conditionalFormatting sqref="A5:X50 A52:X140">
    <cfRule type="expression" dxfId="87" priority="2">
      <formula>ISBLANK($G5)</formula>
    </cfRule>
  </conditionalFormatting>
  <conditionalFormatting sqref="A51:X51">
    <cfRule type="expression" dxfId="86" priority="1">
      <formula>ISBLANK($G51)</formula>
    </cfRule>
  </conditionalFormatting>
  <pageMargins left="0.7" right="0.7" top="0.75" bottom="0.75" header="0.51180555555555496" footer="0.51180555555555496"/>
  <pageSetup paperSize="9" firstPageNumber="0" orientation="portrait" horizontalDpi="300" verticalDpi="300" r:id="rId1"/>
  <ignoredErrors>
    <ignoredError sqref="N118" unlocked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G150"/>
  <sheetViews>
    <sheetView showZeros="0" topLeftCell="A61" zoomScaleNormal="100" workbookViewId="0">
      <selection activeCell="D74" sqref="D74"/>
    </sheetView>
  </sheetViews>
  <sheetFormatPr defaultRowHeight="13.2" x14ac:dyDescent="0.25"/>
  <cols>
    <col min="1" max="1" width="10.5546875"/>
    <col min="2" max="2" width="38.44140625"/>
    <col min="3" max="3" width="8.44140625"/>
    <col min="4" max="4" width="8.5546875"/>
    <col min="5" max="5" width="8.5546875" style="161"/>
    <col min="6" max="6" width="49.44140625"/>
    <col min="7" max="7" width="33.44140625" style="162"/>
    <col min="8" max="1025" width="11"/>
  </cols>
  <sheetData>
    <row r="1" spans="1:7" x14ac:dyDescent="0.25">
      <c r="A1" s="163" t="s">
        <v>171</v>
      </c>
      <c r="B1" s="164" t="s">
        <v>172</v>
      </c>
      <c r="C1" s="164"/>
      <c r="D1" s="164"/>
      <c r="E1" s="163"/>
      <c r="F1" s="165" t="s">
        <v>173</v>
      </c>
      <c r="G1" s="165" t="s">
        <v>174</v>
      </c>
    </row>
    <row r="2" spans="1:7" x14ac:dyDescent="0.25">
      <c r="A2" s="166" t="s">
        <v>175</v>
      </c>
      <c r="B2" s="160" t="s">
        <v>175</v>
      </c>
      <c r="C2" s="160"/>
      <c r="D2" s="160"/>
      <c r="E2" s="167"/>
      <c r="F2" s="168" t="s">
        <v>175</v>
      </c>
      <c r="G2" s="168" t="s">
        <v>175</v>
      </c>
    </row>
    <row r="3" spans="1:7" x14ac:dyDescent="0.25">
      <c r="A3" s="166" t="s">
        <v>176</v>
      </c>
      <c r="B3" s="160" t="s">
        <v>175</v>
      </c>
      <c r="C3" s="160"/>
      <c r="D3" s="160" t="s">
        <v>175</v>
      </c>
      <c r="E3" s="167" t="s">
        <v>175</v>
      </c>
      <c r="F3" s="168" t="s">
        <v>175</v>
      </c>
      <c r="G3" s="168" t="s">
        <v>175</v>
      </c>
    </row>
    <row r="4" spans="1:7" x14ac:dyDescent="0.25">
      <c r="A4" s="169" t="s">
        <v>145</v>
      </c>
      <c r="B4" s="170" t="s">
        <v>177</v>
      </c>
      <c r="C4" s="170"/>
      <c r="D4" s="170" t="s">
        <v>175</v>
      </c>
      <c r="E4" s="171" t="s">
        <v>175</v>
      </c>
      <c r="F4" s="172" t="s">
        <v>178</v>
      </c>
      <c r="G4" s="173" t="s">
        <v>179</v>
      </c>
    </row>
    <row r="5" spans="1:7" x14ac:dyDescent="0.25">
      <c r="A5" s="169" t="s">
        <v>157</v>
      </c>
      <c r="B5" s="170" t="s">
        <v>180</v>
      </c>
      <c r="C5" s="170"/>
      <c r="D5" s="170" t="s">
        <v>175</v>
      </c>
      <c r="E5" s="171" t="s">
        <v>175</v>
      </c>
      <c r="F5" s="172"/>
      <c r="G5" s="173" t="s">
        <v>181</v>
      </c>
    </row>
    <row r="6" spans="1:7" x14ac:dyDescent="0.25">
      <c r="A6" s="169" t="s">
        <v>160</v>
      </c>
      <c r="B6" s="170" t="s">
        <v>182</v>
      </c>
      <c r="C6" s="170"/>
      <c r="D6" s="170"/>
      <c r="E6" s="171"/>
      <c r="F6" s="172"/>
      <c r="G6" s="172"/>
    </row>
    <row r="7" spans="1:7" x14ac:dyDescent="0.25">
      <c r="A7" s="169" t="s">
        <v>161</v>
      </c>
      <c r="B7" s="170" t="s">
        <v>183</v>
      </c>
      <c r="C7" s="170"/>
      <c r="D7" s="170"/>
      <c r="E7" s="171"/>
      <c r="F7" s="172"/>
      <c r="G7" s="172"/>
    </row>
    <row r="8" spans="1:7" x14ac:dyDescent="0.25">
      <c r="A8" s="169" t="s">
        <v>142</v>
      </c>
      <c r="B8" s="170" t="s">
        <v>184</v>
      </c>
      <c r="C8" s="170"/>
      <c r="D8" s="170"/>
      <c r="E8" s="171"/>
      <c r="F8" s="172" t="s">
        <v>185</v>
      </c>
      <c r="G8" s="172" t="s">
        <v>186</v>
      </c>
    </row>
    <row r="9" spans="1:7" x14ac:dyDescent="0.25">
      <c r="A9" s="169" t="s">
        <v>144</v>
      </c>
      <c r="B9" s="170" t="s">
        <v>187</v>
      </c>
      <c r="C9" s="170"/>
      <c r="D9" s="170"/>
      <c r="E9" s="171"/>
      <c r="F9" s="172"/>
      <c r="G9" s="172"/>
    </row>
    <row r="10" spans="1:7" x14ac:dyDescent="0.25">
      <c r="A10" s="169" t="s">
        <v>151</v>
      </c>
      <c r="B10" s="170" t="s">
        <v>188</v>
      </c>
      <c r="C10" s="170"/>
      <c r="D10" s="170"/>
      <c r="E10" s="171"/>
      <c r="F10" s="172"/>
      <c r="G10" s="172"/>
    </row>
    <row r="11" spans="1:7" x14ac:dyDescent="0.25">
      <c r="A11" s="169" t="s">
        <v>155</v>
      </c>
      <c r="B11" s="170" t="s">
        <v>189</v>
      </c>
      <c r="C11" s="170"/>
      <c r="D11" s="170"/>
      <c r="E11" s="171"/>
      <c r="F11" s="172"/>
      <c r="G11" s="173" t="s">
        <v>190</v>
      </c>
    </row>
    <row r="12" spans="1:7" x14ac:dyDescent="0.25">
      <c r="A12" s="169" t="s">
        <v>158</v>
      </c>
      <c r="B12" s="170" t="s">
        <v>729</v>
      </c>
      <c r="C12" s="170"/>
      <c r="D12" s="170" t="s">
        <v>175</v>
      </c>
      <c r="E12" s="171" t="s">
        <v>175</v>
      </c>
      <c r="F12" s="172"/>
      <c r="G12" s="173"/>
    </row>
    <row r="13" spans="1:7" x14ac:dyDescent="0.25">
      <c r="A13" s="169" t="s">
        <v>162</v>
      </c>
      <c r="B13" s="170" t="s">
        <v>191</v>
      </c>
      <c r="C13" s="170"/>
      <c r="D13" s="170" t="s">
        <v>175</v>
      </c>
      <c r="E13" s="171" t="s">
        <v>175</v>
      </c>
      <c r="F13" s="172" t="s">
        <v>192</v>
      </c>
      <c r="G13" s="173" t="s">
        <v>193</v>
      </c>
    </row>
    <row r="14" spans="1:7" x14ac:dyDescent="0.25">
      <c r="A14" s="169" t="s">
        <v>165</v>
      </c>
      <c r="B14" s="170" t="s">
        <v>194</v>
      </c>
      <c r="C14" s="170"/>
      <c r="D14" s="170" t="s">
        <v>175</v>
      </c>
      <c r="E14" s="171" t="s">
        <v>175</v>
      </c>
      <c r="F14" s="172"/>
      <c r="G14" s="173"/>
    </row>
    <row r="15" spans="1:7" x14ac:dyDescent="0.25">
      <c r="A15" s="169" t="s">
        <v>169</v>
      </c>
      <c r="B15" s="170" t="s">
        <v>195</v>
      </c>
      <c r="C15" s="170"/>
      <c r="D15" s="170" t="s">
        <v>175</v>
      </c>
      <c r="E15" s="171" t="s">
        <v>175</v>
      </c>
      <c r="F15" s="172"/>
      <c r="G15" s="173" t="s">
        <v>196</v>
      </c>
    </row>
    <row r="16" spans="1:7" x14ac:dyDescent="0.25">
      <c r="A16" s="169" t="s">
        <v>170</v>
      </c>
      <c r="B16" s="170" t="s">
        <v>197</v>
      </c>
      <c r="C16" s="170"/>
      <c r="D16" s="170" t="s">
        <v>175</v>
      </c>
      <c r="E16" s="171" t="s">
        <v>175</v>
      </c>
      <c r="F16" s="172"/>
      <c r="G16" s="173" t="s">
        <v>198</v>
      </c>
    </row>
    <row r="17" spans="1:7" x14ac:dyDescent="0.25">
      <c r="A17" s="169" t="s">
        <v>650</v>
      </c>
      <c r="B17" s="170" t="s">
        <v>651</v>
      </c>
      <c r="C17" s="170"/>
      <c r="D17" s="170" t="s">
        <v>175</v>
      </c>
      <c r="E17" s="171" t="s">
        <v>175</v>
      </c>
      <c r="F17" s="172"/>
      <c r="G17" s="173"/>
    </row>
    <row r="18" spans="1:7" x14ac:dyDescent="0.25">
      <c r="A18" s="169" t="s">
        <v>728</v>
      </c>
      <c r="B18" s="170" t="s">
        <v>729</v>
      </c>
      <c r="C18" s="170"/>
      <c r="D18" s="170" t="s">
        <v>175</v>
      </c>
      <c r="E18" s="171" t="s">
        <v>175</v>
      </c>
      <c r="F18" s="172"/>
      <c r="G18" s="173"/>
    </row>
    <row r="19" spans="1:7" x14ac:dyDescent="0.25">
      <c r="A19" s="169" t="s">
        <v>199</v>
      </c>
      <c r="B19" s="170" t="s">
        <v>184</v>
      </c>
      <c r="C19" s="170"/>
      <c r="D19" s="170" t="s">
        <v>175</v>
      </c>
      <c r="E19" s="171" t="s">
        <v>175</v>
      </c>
      <c r="F19" s="172" t="s">
        <v>200</v>
      </c>
      <c r="G19" s="173" t="s">
        <v>201</v>
      </c>
    </row>
    <row r="20" spans="1:7" x14ac:dyDescent="0.25">
      <c r="A20" s="169" t="s">
        <v>202</v>
      </c>
      <c r="B20" s="170" t="s">
        <v>203</v>
      </c>
      <c r="C20" s="170"/>
      <c r="D20" s="170" t="s">
        <v>175</v>
      </c>
      <c r="E20" s="171" t="s">
        <v>175</v>
      </c>
      <c r="F20" s="172"/>
      <c r="G20" s="172"/>
    </row>
    <row r="21" spans="1:7" x14ac:dyDescent="0.25">
      <c r="A21" s="169" t="s">
        <v>204</v>
      </c>
      <c r="B21" s="170" t="s">
        <v>205</v>
      </c>
      <c r="C21" s="170"/>
      <c r="D21" s="170" t="s">
        <v>175</v>
      </c>
      <c r="E21" s="171" t="s">
        <v>175</v>
      </c>
      <c r="F21" s="172" t="s">
        <v>206</v>
      </c>
      <c r="G21" s="173" t="s">
        <v>207</v>
      </c>
    </row>
    <row r="22" spans="1:7" x14ac:dyDescent="0.25">
      <c r="A22" s="169" t="s">
        <v>208</v>
      </c>
      <c r="B22" s="170" t="s">
        <v>209</v>
      </c>
      <c r="C22" s="170"/>
      <c r="D22" s="170" t="s">
        <v>175</v>
      </c>
      <c r="E22" s="171" t="s">
        <v>175</v>
      </c>
      <c r="F22" s="172"/>
      <c r="G22" s="173" t="s">
        <v>210</v>
      </c>
    </row>
    <row r="23" spans="1:7" x14ac:dyDescent="0.25">
      <c r="A23" s="169" t="s">
        <v>211</v>
      </c>
      <c r="B23" s="170" t="s">
        <v>212</v>
      </c>
      <c r="C23" s="170"/>
      <c r="D23" s="170" t="s">
        <v>175</v>
      </c>
      <c r="E23" s="171" t="s">
        <v>175</v>
      </c>
      <c r="F23" s="172"/>
      <c r="G23" s="173"/>
    </row>
    <row r="24" spans="1:7" x14ac:dyDescent="0.25">
      <c r="A24" s="169" t="s">
        <v>213</v>
      </c>
      <c r="B24" s="170" t="s">
        <v>214</v>
      </c>
      <c r="C24" s="170"/>
      <c r="D24" s="170" t="s">
        <v>175</v>
      </c>
      <c r="E24" s="171" t="s">
        <v>175</v>
      </c>
      <c r="F24" s="172"/>
      <c r="G24" s="173" t="s">
        <v>215</v>
      </c>
    </row>
    <row r="25" spans="1:7" x14ac:dyDescent="0.25">
      <c r="A25" s="169" t="s">
        <v>216</v>
      </c>
      <c r="B25" s="170" t="s">
        <v>217</v>
      </c>
      <c r="C25" s="170"/>
      <c r="D25" s="170" t="s">
        <v>175</v>
      </c>
      <c r="E25" s="171" t="s">
        <v>175</v>
      </c>
      <c r="F25" s="172"/>
      <c r="G25" s="173" t="s">
        <v>218</v>
      </c>
    </row>
    <row r="26" spans="1:7" x14ac:dyDescent="0.25">
      <c r="A26" s="169" t="s">
        <v>219</v>
      </c>
      <c r="B26" s="170" t="s">
        <v>220</v>
      </c>
      <c r="C26" s="170"/>
      <c r="D26" s="170" t="s">
        <v>175</v>
      </c>
      <c r="E26" s="171" t="s">
        <v>175</v>
      </c>
      <c r="F26" s="172"/>
      <c r="G26" s="173"/>
    </row>
    <row r="27" spans="1:7" x14ac:dyDescent="0.25">
      <c r="A27" s="169" t="s">
        <v>148</v>
      </c>
      <c r="B27" s="170" t="s">
        <v>221</v>
      </c>
      <c r="C27" s="170"/>
      <c r="D27" s="170" t="s">
        <v>175</v>
      </c>
      <c r="E27" s="171" t="s">
        <v>175</v>
      </c>
      <c r="F27" s="172"/>
      <c r="G27" s="173"/>
    </row>
    <row r="28" spans="1:7" x14ac:dyDescent="0.25">
      <c r="A28" s="169" t="s">
        <v>152</v>
      </c>
      <c r="B28" s="170" t="s">
        <v>222</v>
      </c>
      <c r="C28" s="170"/>
      <c r="D28" s="170" t="s">
        <v>175</v>
      </c>
      <c r="E28" s="171" t="s">
        <v>175</v>
      </c>
      <c r="F28" s="172"/>
      <c r="G28" s="173" t="s">
        <v>223</v>
      </c>
    </row>
    <row r="29" spans="1:7" x14ac:dyDescent="0.25">
      <c r="A29" s="169" t="s">
        <v>154</v>
      </c>
      <c r="B29" s="170" t="s">
        <v>224</v>
      </c>
      <c r="C29" s="170"/>
      <c r="D29" s="170" t="s">
        <v>175</v>
      </c>
      <c r="E29" s="171" t="s">
        <v>175</v>
      </c>
      <c r="F29" s="172"/>
      <c r="G29" s="173" t="s">
        <v>225</v>
      </c>
    </row>
    <row r="30" spans="1:7" x14ac:dyDescent="0.25">
      <c r="A30" s="169" t="s">
        <v>147</v>
      </c>
      <c r="B30" s="170" t="s">
        <v>226</v>
      </c>
      <c r="C30" s="170"/>
      <c r="D30" s="170" t="s">
        <v>175</v>
      </c>
      <c r="E30" s="171" t="s">
        <v>175</v>
      </c>
      <c r="F30" s="172"/>
      <c r="G30" s="173"/>
    </row>
    <row r="31" spans="1:7" x14ac:dyDescent="0.25">
      <c r="A31" s="166" t="s">
        <v>156</v>
      </c>
      <c r="B31" s="160" t="s">
        <v>227</v>
      </c>
      <c r="C31" s="170"/>
      <c r="D31" s="170" t="s">
        <v>175</v>
      </c>
      <c r="E31" s="171" t="s">
        <v>175</v>
      </c>
      <c r="F31" s="172"/>
      <c r="G31" s="173"/>
    </row>
    <row r="32" spans="1:7" x14ac:dyDescent="0.25">
      <c r="A32" s="166" t="s">
        <v>149</v>
      </c>
      <c r="B32" s="160" t="s">
        <v>228</v>
      </c>
      <c r="C32" s="170"/>
      <c r="D32" s="170" t="s">
        <v>175</v>
      </c>
      <c r="E32" s="171" t="s">
        <v>175</v>
      </c>
      <c r="F32" s="172"/>
      <c r="G32" s="173"/>
    </row>
    <row r="33" spans="1:7" x14ac:dyDescent="0.25">
      <c r="A33" s="166" t="s">
        <v>159</v>
      </c>
      <c r="B33" s="160" t="s">
        <v>540</v>
      </c>
      <c r="C33" s="170"/>
      <c r="D33" s="170" t="s">
        <v>175</v>
      </c>
      <c r="E33" s="171" t="s">
        <v>175</v>
      </c>
      <c r="F33" s="172"/>
      <c r="G33" s="173" t="s">
        <v>623</v>
      </c>
    </row>
    <row r="34" spans="1:7" x14ac:dyDescent="0.25">
      <c r="A34" s="166" t="s">
        <v>664</v>
      </c>
      <c r="B34" s="160" t="s">
        <v>660</v>
      </c>
      <c r="C34" s="170"/>
      <c r="D34" s="170" t="s">
        <v>175</v>
      </c>
      <c r="E34" s="171" t="s">
        <v>175</v>
      </c>
      <c r="F34" s="172"/>
      <c r="G34" s="173"/>
    </row>
    <row r="35" spans="1:7" x14ac:dyDescent="0.25">
      <c r="A35" s="169" t="s">
        <v>163</v>
      </c>
      <c r="B35" s="170" t="s">
        <v>229</v>
      </c>
      <c r="C35" s="170"/>
      <c r="D35" s="170" t="s">
        <v>175</v>
      </c>
      <c r="E35" s="171" t="s">
        <v>175</v>
      </c>
      <c r="F35" s="172"/>
      <c r="G35" s="173" t="s">
        <v>230</v>
      </c>
    </row>
    <row r="36" spans="1:7" x14ac:dyDescent="0.25">
      <c r="A36" s="169" t="s">
        <v>164</v>
      </c>
      <c r="B36" s="170" t="s">
        <v>231</v>
      </c>
      <c r="C36" s="170"/>
      <c r="D36" s="170" t="s">
        <v>175</v>
      </c>
      <c r="E36" s="171" t="s">
        <v>175</v>
      </c>
      <c r="F36" s="172"/>
      <c r="G36" s="173" t="s">
        <v>232</v>
      </c>
    </row>
    <row r="37" spans="1:7" x14ac:dyDescent="0.25">
      <c r="A37" s="166" t="s">
        <v>166</v>
      </c>
      <c r="B37" s="160" t="s">
        <v>233</v>
      </c>
      <c r="C37" s="170"/>
      <c r="D37" s="170" t="s">
        <v>175</v>
      </c>
      <c r="E37" s="171" t="s">
        <v>175</v>
      </c>
      <c r="F37" s="172"/>
      <c r="G37" s="173"/>
    </row>
    <row r="38" spans="1:7" x14ac:dyDescent="0.25">
      <c r="A38" s="166" t="s">
        <v>168</v>
      </c>
      <c r="B38" s="160" t="s">
        <v>234</v>
      </c>
      <c r="C38" s="170"/>
      <c r="D38" s="170" t="s">
        <v>175</v>
      </c>
      <c r="E38" s="171" t="s">
        <v>175</v>
      </c>
      <c r="F38" s="172"/>
      <c r="G38" s="173" t="s">
        <v>235</v>
      </c>
    </row>
    <row r="39" spans="1:7" x14ac:dyDescent="0.25">
      <c r="A39" s="169" t="s">
        <v>236</v>
      </c>
      <c r="B39" s="170" t="s">
        <v>237</v>
      </c>
      <c r="C39" s="170"/>
      <c r="D39" s="170" t="s">
        <v>175</v>
      </c>
      <c r="E39" s="171" t="s">
        <v>175</v>
      </c>
      <c r="F39" s="172" t="s">
        <v>175</v>
      </c>
      <c r="G39" s="172" t="s">
        <v>175</v>
      </c>
    </row>
    <row r="40" spans="1:7" x14ac:dyDescent="0.25">
      <c r="A40" s="169" t="s">
        <v>238</v>
      </c>
      <c r="B40" s="170" t="s">
        <v>239</v>
      </c>
      <c r="C40" s="170"/>
      <c r="D40" s="170" t="s">
        <v>175</v>
      </c>
      <c r="E40" s="171" t="s">
        <v>175</v>
      </c>
      <c r="F40" s="172" t="s">
        <v>175</v>
      </c>
      <c r="G40" s="172" t="s">
        <v>240</v>
      </c>
    </row>
    <row r="41" spans="1:7" x14ac:dyDescent="0.25">
      <c r="A41" s="169" t="s">
        <v>241</v>
      </c>
      <c r="B41" s="296" t="s">
        <v>630</v>
      </c>
      <c r="C41" s="170"/>
      <c r="D41" s="170" t="s">
        <v>175</v>
      </c>
      <c r="E41" s="171" t="s">
        <v>175</v>
      </c>
      <c r="F41" s="172" t="s">
        <v>175</v>
      </c>
      <c r="G41" s="172"/>
    </row>
    <row r="42" spans="1:7" x14ac:dyDescent="0.25">
      <c r="A42" s="166" t="s">
        <v>242</v>
      </c>
      <c r="B42" s="160" t="s">
        <v>243</v>
      </c>
      <c r="C42" s="170"/>
      <c r="D42" s="170" t="s">
        <v>175</v>
      </c>
      <c r="E42" s="171" t="s">
        <v>175</v>
      </c>
      <c r="F42" s="172" t="s">
        <v>175</v>
      </c>
      <c r="G42" s="172"/>
    </row>
    <row r="43" spans="1:7" x14ac:dyDescent="0.25">
      <c r="A43" s="166" t="s">
        <v>244</v>
      </c>
      <c r="B43" s="160" t="s">
        <v>245</v>
      </c>
      <c r="C43" s="170"/>
      <c r="D43" s="170" t="s">
        <v>175</v>
      </c>
      <c r="E43" s="171" t="s">
        <v>175</v>
      </c>
      <c r="F43" s="172" t="s">
        <v>175</v>
      </c>
      <c r="G43" s="172"/>
    </row>
    <row r="44" spans="1:7" x14ac:dyDescent="0.25">
      <c r="A44" s="166" t="s">
        <v>141</v>
      </c>
      <c r="B44" s="160" t="s">
        <v>246</v>
      </c>
      <c r="C44" s="170"/>
      <c r="D44" s="170" t="s">
        <v>175</v>
      </c>
      <c r="E44" s="171" t="s">
        <v>175</v>
      </c>
      <c r="F44" s="172" t="s">
        <v>175</v>
      </c>
      <c r="G44" s="172"/>
    </row>
    <row r="45" spans="1:7" x14ac:dyDescent="0.25">
      <c r="A45" s="166" t="s">
        <v>143</v>
      </c>
      <c r="B45" s="160" t="s">
        <v>247</v>
      </c>
      <c r="C45" s="170"/>
      <c r="D45" s="170" t="s">
        <v>175</v>
      </c>
      <c r="E45" s="171" t="s">
        <v>175</v>
      </c>
      <c r="F45" s="172" t="s">
        <v>175</v>
      </c>
      <c r="G45" s="172"/>
    </row>
    <row r="46" spans="1:7" x14ac:dyDescent="0.25">
      <c r="A46" s="166" t="s">
        <v>167</v>
      </c>
      <c r="B46" s="160" t="s">
        <v>248</v>
      </c>
      <c r="C46" s="170"/>
      <c r="D46" s="170" t="s">
        <v>175</v>
      </c>
      <c r="E46" s="171" t="s">
        <v>175</v>
      </c>
      <c r="F46" s="172" t="s">
        <v>175</v>
      </c>
      <c r="G46" s="168" t="s">
        <v>249</v>
      </c>
    </row>
    <row r="47" spans="1:7" x14ac:dyDescent="0.25">
      <c r="A47" s="166" t="s">
        <v>150</v>
      </c>
      <c r="B47" s="160" t="s">
        <v>250</v>
      </c>
      <c r="C47" s="170"/>
      <c r="D47" s="170" t="s">
        <v>175</v>
      </c>
      <c r="E47" s="171" t="s">
        <v>175</v>
      </c>
      <c r="F47" s="172" t="s">
        <v>175</v>
      </c>
      <c r="G47" s="168"/>
    </row>
    <row r="48" spans="1:7" x14ac:dyDescent="0.25">
      <c r="A48" s="166" t="s">
        <v>153</v>
      </c>
      <c r="B48" s="160" t="s">
        <v>251</v>
      </c>
      <c r="C48" s="170"/>
      <c r="D48" s="170" t="s">
        <v>175</v>
      </c>
      <c r="E48" s="171" t="s">
        <v>175</v>
      </c>
      <c r="F48" s="172" t="s">
        <v>175</v>
      </c>
      <c r="G48" s="168"/>
    </row>
    <row r="49" spans="1:7" x14ac:dyDescent="0.25">
      <c r="A49" s="169" t="s">
        <v>252</v>
      </c>
      <c r="B49" s="170" t="s">
        <v>253</v>
      </c>
      <c r="C49" s="170"/>
      <c r="D49" s="170" t="s">
        <v>175</v>
      </c>
      <c r="E49" s="171" t="s">
        <v>175</v>
      </c>
      <c r="F49" s="172" t="s">
        <v>175</v>
      </c>
      <c r="G49" s="172" t="s">
        <v>254</v>
      </c>
    </row>
    <row r="50" spans="1:7" x14ac:dyDescent="0.25">
      <c r="A50" s="169" t="s">
        <v>255</v>
      </c>
      <c r="B50" s="170" t="s">
        <v>256</v>
      </c>
      <c r="C50" s="170"/>
      <c r="D50" s="170" t="s">
        <v>175</v>
      </c>
      <c r="E50" s="171" t="s">
        <v>175</v>
      </c>
      <c r="F50" s="172" t="s">
        <v>175</v>
      </c>
      <c r="G50" s="172" t="s">
        <v>175</v>
      </c>
    </row>
    <row r="51" spans="1:7" x14ac:dyDescent="0.25">
      <c r="A51" s="169" t="s">
        <v>257</v>
      </c>
      <c r="B51" s="170" t="s">
        <v>258</v>
      </c>
      <c r="C51" s="170"/>
      <c r="D51" s="170" t="s">
        <v>175</v>
      </c>
      <c r="E51" s="171" t="s">
        <v>175</v>
      </c>
      <c r="F51" s="172"/>
      <c r="G51" s="172"/>
    </row>
    <row r="52" spans="1:7" x14ac:dyDescent="0.25">
      <c r="A52" s="163" t="s">
        <v>171</v>
      </c>
      <c r="B52" s="164" t="s">
        <v>5</v>
      </c>
      <c r="C52" s="163" t="s">
        <v>128</v>
      </c>
      <c r="D52" s="163" t="s">
        <v>259</v>
      </c>
      <c r="E52" s="163" t="s">
        <v>133</v>
      </c>
      <c r="F52" s="165" t="s">
        <v>42</v>
      </c>
      <c r="G52" s="165" t="s">
        <v>260</v>
      </c>
    </row>
    <row r="53" spans="1:7" x14ac:dyDescent="0.25">
      <c r="A53" s="166" t="s">
        <v>175</v>
      </c>
      <c r="B53" s="160" t="s">
        <v>175</v>
      </c>
      <c r="C53" s="174"/>
      <c r="D53" s="174"/>
      <c r="E53" s="167"/>
      <c r="F53" s="168"/>
      <c r="G53" s="168"/>
    </row>
    <row r="54" spans="1:7" x14ac:dyDescent="0.25">
      <c r="A54" s="166" t="s">
        <v>176</v>
      </c>
      <c r="B54" s="160" t="s">
        <v>175</v>
      </c>
      <c r="C54" s="174"/>
      <c r="D54" s="174"/>
      <c r="E54" s="167"/>
      <c r="F54" s="168"/>
      <c r="G54" s="168"/>
    </row>
    <row r="55" spans="1:7" x14ac:dyDescent="0.25">
      <c r="A55" s="169" t="s">
        <v>261</v>
      </c>
      <c r="B55" s="170" t="s">
        <v>70</v>
      </c>
      <c r="C55" s="170">
        <v>950</v>
      </c>
      <c r="D55" s="170">
        <v>880</v>
      </c>
      <c r="E55" s="171">
        <v>1</v>
      </c>
      <c r="F55" s="172" t="s">
        <v>262</v>
      </c>
      <c r="G55" s="172"/>
    </row>
    <row r="56" spans="1:7" x14ac:dyDescent="0.25">
      <c r="A56" s="169" t="s">
        <v>625</v>
      </c>
      <c r="B56" s="170" t="s">
        <v>70</v>
      </c>
      <c r="C56" s="170">
        <v>700</v>
      </c>
      <c r="D56" s="170">
        <v>665</v>
      </c>
      <c r="E56" s="171">
        <v>1</v>
      </c>
      <c r="F56" s="172" t="s">
        <v>626</v>
      </c>
      <c r="G56" s="172"/>
    </row>
    <row r="57" spans="1:7" x14ac:dyDescent="0.25">
      <c r="A57" s="169" t="s">
        <v>263</v>
      </c>
      <c r="B57" s="170" t="s">
        <v>264</v>
      </c>
      <c r="C57" s="170">
        <v>936</v>
      </c>
      <c r="D57" s="170"/>
      <c r="E57" s="171"/>
      <c r="F57" s="172" t="s">
        <v>265</v>
      </c>
      <c r="G57" s="172"/>
    </row>
    <row r="58" spans="1:7" x14ac:dyDescent="0.25">
      <c r="A58" s="169" t="s">
        <v>266</v>
      </c>
      <c r="B58" s="170" t="s">
        <v>180</v>
      </c>
      <c r="C58" s="170">
        <v>936</v>
      </c>
      <c r="D58" s="170"/>
      <c r="E58" s="171"/>
      <c r="F58" s="172" t="s">
        <v>264</v>
      </c>
      <c r="G58" s="172"/>
    </row>
    <row r="59" spans="1:7" x14ac:dyDescent="0.25">
      <c r="A59" s="169" t="s">
        <v>267</v>
      </c>
      <c r="B59" s="170" t="s">
        <v>180</v>
      </c>
      <c r="C59" s="170">
        <v>950</v>
      </c>
      <c r="D59" s="170">
        <v>900</v>
      </c>
      <c r="E59" s="171"/>
      <c r="F59" s="172" t="s">
        <v>268</v>
      </c>
      <c r="G59" s="172"/>
    </row>
    <row r="60" spans="1:7" x14ac:dyDescent="0.25">
      <c r="A60" s="169" t="s">
        <v>269</v>
      </c>
      <c r="B60" s="170" t="s">
        <v>270</v>
      </c>
      <c r="C60" s="170">
        <v>60</v>
      </c>
      <c r="D60" s="170"/>
      <c r="E60" s="171"/>
      <c r="F60" s="172" t="s">
        <v>271</v>
      </c>
      <c r="G60" s="172"/>
    </row>
    <row r="61" spans="1:7" x14ac:dyDescent="0.25">
      <c r="A61" s="169" t="s">
        <v>272</v>
      </c>
      <c r="B61" s="170" t="s">
        <v>273</v>
      </c>
      <c r="C61" s="170">
        <v>650</v>
      </c>
      <c r="D61" s="170"/>
      <c r="E61" s="171"/>
      <c r="F61" s="172" t="s">
        <v>274</v>
      </c>
      <c r="G61" s="172"/>
    </row>
    <row r="62" spans="1:7" x14ac:dyDescent="0.25">
      <c r="A62" s="169" t="s">
        <v>275</v>
      </c>
      <c r="B62" s="170" t="s">
        <v>276</v>
      </c>
      <c r="C62" s="170">
        <v>750</v>
      </c>
      <c r="D62" s="170"/>
      <c r="E62" s="171"/>
      <c r="F62" s="172" t="s">
        <v>274</v>
      </c>
      <c r="G62" s="172"/>
    </row>
    <row r="63" spans="1:7" x14ac:dyDescent="0.25">
      <c r="A63" s="169" t="s">
        <v>277</v>
      </c>
      <c r="B63" s="170" t="s">
        <v>278</v>
      </c>
      <c r="C63" s="170">
        <v>111</v>
      </c>
      <c r="D63" s="170"/>
      <c r="E63" s="171"/>
      <c r="F63" s="172" t="s">
        <v>274</v>
      </c>
      <c r="G63" s="172"/>
    </row>
    <row r="64" spans="1:7" x14ac:dyDescent="0.25">
      <c r="A64" s="169" t="s">
        <v>279</v>
      </c>
      <c r="B64" s="170" t="s">
        <v>280</v>
      </c>
      <c r="C64" s="170">
        <v>475</v>
      </c>
      <c r="D64" s="170"/>
      <c r="E64" s="171"/>
      <c r="F64" s="172" t="s">
        <v>281</v>
      </c>
      <c r="G64" s="172"/>
    </row>
    <row r="65" spans="1:7" x14ac:dyDescent="0.25">
      <c r="A65" s="169" t="s">
        <v>282</v>
      </c>
      <c r="B65" s="170" t="s">
        <v>278</v>
      </c>
      <c r="C65" s="170">
        <v>1000</v>
      </c>
      <c r="D65" s="170"/>
      <c r="E65" s="171"/>
      <c r="F65" s="172" t="s">
        <v>283</v>
      </c>
      <c r="G65" s="172"/>
    </row>
    <row r="66" spans="1:7" x14ac:dyDescent="0.25">
      <c r="A66" s="169" t="s">
        <v>284</v>
      </c>
      <c r="B66" s="170" t="s">
        <v>285</v>
      </c>
      <c r="C66" s="170">
        <v>650</v>
      </c>
      <c r="D66" s="170"/>
      <c r="E66" s="171"/>
      <c r="F66" s="172" t="s">
        <v>286</v>
      </c>
      <c r="G66" s="172"/>
    </row>
    <row r="67" spans="1:7" x14ac:dyDescent="0.25">
      <c r="A67" s="169" t="s">
        <v>287</v>
      </c>
      <c r="B67" s="170" t="s">
        <v>288</v>
      </c>
      <c r="C67" s="170">
        <v>725</v>
      </c>
      <c r="D67" s="170"/>
      <c r="E67" s="171"/>
      <c r="F67" s="172" t="s">
        <v>289</v>
      </c>
      <c r="G67" s="172"/>
    </row>
    <row r="68" spans="1:7" x14ac:dyDescent="0.25">
      <c r="A68" s="169" t="s">
        <v>290</v>
      </c>
      <c r="B68" s="170" t="s">
        <v>291</v>
      </c>
      <c r="C68" s="170">
        <v>725</v>
      </c>
      <c r="D68" s="170"/>
      <c r="E68" s="171"/>
      <c r="F68" s="172" t="s">
        <v>289</v>
      </c>
      <c r="G68" s="172"/>
    </row>
    <row r="69" spans="1:7" x14ac:dyDescent="0.25">
      <c r="A69" s="169" t="s">
        <v>292</v>
      </c>
      <c r="B69" s="170" t="s">
        <v>67</v>
      </c>
      <c r="C69" s="170">
        <v>800</v>
      </c>
      <c r="D69" s="170"/>
      <c r="E69" s="171"/>
      <c r="F69" s="172" t="s">
        <v>293</v>
      </c>
      <c r="G69" s="172"/>
    </row>
    <row r="70" spans="1:7" x14ac:dyDescent="0.25">
      <c r="A70" s="169" t="s">
        <v>294</v>
      </c>
      <c r="B70" s="170" t="s">
        <v>295</v>
      </c>
      <c r="C70" s="170">
        <v>825</v>
      </c>
      <c r="D70" s="170"/>
      <c r="E70" s="171"/>
      <c r="F70" s="172" t="s">
        <v>289</v>
      </c>
      <c r="G70" s="172"/>
    </row>
    <row r="71" spans="1:7" x14ac:dyDescent="0.25">
      <c r="A71" s="169" t="s">
        <v>296</v>
      </c>
      <c r="B71" s="170" t="s">
        <v>180</v>
      </c>
      <c r="C71" s="170">
        <v>850</v>
      </c>
      <c r="D71" s="170"/>
      <c r="E71" s="171"/>
      <c r="F71" s="172" t="s">
        <v>265</v>
      </c>
      <c r="G71" s="172"/>
    </row>
    <row r="72" spans="1:7" x14ac:dyDescent="0.25">
      <c r="A72" s="169" t="s">
        <v>297</v>
      </c>
      <c r="B72" s="170" t="s">
        <v>180</v>
      </c>
      <c r="C72" s="170">
        <v>860</v>
      </c>
      <c r="D72" s="170"/>
      <c r="E72" s="171"/>
      <c r="F72" s="172" t="s">
        <v>265</v>
      </c>
      <c r="G72" s="172"/>
    </row>
    <row r="73" spans="1:7" x14ac:dyDescent="0.25">
      <c r="A73" s="169" t="s">
        <v>730</v>
      </c>
      <c r="B73" s="170" t="s">
        <v>180</v>
      </c>
      <c r="C73" s="170">
        <v>980</v>
      </c>
      <c r="D73" s="170">
        <v>900</v>
      </c>
      <c r="E73" s="171"/>
      <c r="F73" s="172" t="s">
        <v>265</v>
      </c>
      <c r="G73" s="172"/>
    </row>
    <row r="74" spans="1:7" x14ac:dyDescent="0.25">
      <c r="A74" s="169" t="s">
        <v>298</v>
      </c>
      <c r="B74" s="170" t="s">
        <v>299</v>
      </c>
      <c r="C74" s="170">
        <v>800</v>
      </c>
      <c r="D74" s="170">
        <v>1E-4</v>
      </c>
      <c r="E74" s="171"/>
      <c r="F74" s="172" t="s">
        <v>265</v>
      </c>
      <c r="G74" s="172"/>
    </row>
    <row r="75" spans="1:7" x14ac:dyDescent="0.25">
      <c r="A75" s="169" t="s">
        <v>300</v>
      </c>
      <c r="B75" s="170" t="s">
        <v>299</v>
      </c>
      <c r="C75" s="170">
        <v>900</v>
      </c>
      <c r="D75" s="170">
        <v>1200</v>
      </c>
      <c r="E75" s="171">
        <v>1</v>
      </c>
      <c r="F75" s="172" t="s">
        <v>265</v>
      </c>
      <c r="G75" s="172"/>
    </row>
    <row r="76" spans="1:7" x14ac:dyDescent="0.25">
      <c r="A76" s="169" t="s">
        <v>301</v>
      </c>
      <c r="B76" s="170" t="s">
        <v>302</v>
      </c>
      <c r="C76" s="170">
        <v>800</v>
      </c>
      <c r="D76" s="170"/>
      <c r="E76" s="171"/>
      <c r="F76" s="172" t="s">
        <v>303</v>
      </c>
      <c r="G76" s="172"/>
    </row>
    <row r="77" spans="1:7" x14ac:dyDescent="0.25">
      <c r="A77" s="169" t="s">
        <v>304</v>
      </c>
      <c r="B77" s="170" t="s">
        <v>305</v>
      </c>
      <c r="C77" s="170">
        <v>725</v>
      </c>
      <c r="D77" s="170"/>
      <c r="E77" s="171"/>
      <c r="F77" s="172" t="s">
        <v>303</v>
      </c>
      <c r="G77" s="172"/>
    </row>
    <row r="78" spans="1:7" x14ac:dyDescent="0.25">
      <c r="A78" s="169" t="s">
        <v>652</v>
      </c>
      <c r="B78" s="170" t="s">
        <v>651</v>
      </c>
      <c r="C78" s="170">
        <v>950</v>
      </c>
      <c r="D78" s="170">
        <v>900</v>
      </c>
      <c r="E78" s="171"/>
      <c r="F78" s="172" t="s">
        <v>343</v>
      </c>
      <c r="G78" s="172"/>
    </row>
    <row r="79" spans="1:7" x14ac:dyDescent="0.25">
      <c r="A79" s="169" t="s">
        <v>306</v>
      </c>
      <c r="B79" s="170" t="s">
        <v>285</v>
      </c>
      <c r="C79" s="170">
        <v>100</v>
      </c>
      <c r="D79" s="170"/>
      <c r="E79" s="171"/>
      <c r="F79" s="172" t="s">
        <v>307</v>
      </c>
      <c r="G79" s="172"/>
    </row>
    <row r="80" spans="1:7" x14ac:dyDescent="0.25">
      <c r="A80" s="169" t="s">
        <v>308</v>
      </c>
      <c r="B80" s="170" t="s">
        <v>285</v>
      </c>
      <c r="C80" s="170">
        <v>500</v>
      </c>
      <c r="D80" s="170"/>
      <c r="E80" s="171"/>
      <c r="F80" s="172" t="s">
        <v>307</v>
      </c>
      <c r="G80" s="172"/>
    </row>
    <row r="81" spans="1:7" x14ac:dyDescent="0.25">
      <c r="A81" s="169" t="s">
        <v>309</v>
      </c>
      <c r="B81" s="170" t="s">
        <v>310</v>
      </c>
      <c r="C81" s="170">
        <v>900</v>
      </c>
      <c r="D81" s="170"/>
      <c r="E81" s="171"/>
      <c r="F81" s="172" t="s">
        <v>307</v>
      </c>
      <c r="G81" s="172"/>
    </row>
    <row r="82" spans="1:7" x14ac:dyDescent="0.25">
      <c r="A82" s="169" t="s">
        <v>311</v>
      </c>
      <c r="B82" s="170" t="s">
        <v>312</v>
      </c>
      <c r="C82" s="170">
        <v>900</v>
      </c>
      <c r="D82" s="170"/>
      <c r="E82" s="171"/>
      <c r="F82" s="172" t="s">
        <v>307</v>
      </c>
      <c r="G82" s="172"/>
    </row>
    <row r="83" spans="1:7" x14ac:dyDescent="0.25">
      <c r="A83" s="169" t="s">
        <v>313</v>
      </c>
      <c r="B83" s="170" t="s">
        <v>67</v>
      </c>
      <c r="C83" s="170">
        <v>100</v>
      </c>
      <c r="D83" s="170"/>
      <c r="E83" s="171"/>
      <c r="F83" s="172" t="s">
        <v>307</v>
      </c>
      <c r="G83" s="172"/>
    </row>
    <row r="84" spans="1:7" x14ac:dyDescent="0.25">
      <c r="A84" s="169" t="s">
        <v>314</v>
      </c>
      <c r="B84" s="170" t="s">
        <v>315</v>
      </c>
      <c r="C84" s="170">
        <v>100</v>
      </c>
      <c r="D84" s="170"/>
      <c r="E84" s="171"/>
      <c r="F84" s="172" t="s">
        <v>307</v>
      </c>
      <c r="G84" s="172"/>
    </row>
    <row r="85" spans="1:7" x14ac:dyDescent="0.25">
      <c r="A85" s="169" t="s">
        <v>316</v>
      </c>
      <c r="B85" s="170" t="s">
        <v>36</v>
      </c>
      <c r="C85" s="170">
        <v>100</v>
      </c>
      <c r="D85" s="170"/>
      <c r="E85" s="171"/>
      <c r="F85" s="172" t="s">
        <v>317</v>
      </c>
      <c r="G85" s="172"/>
    </row>
    <row r="86" spans="1:7" x14ac:dyDescent="0.25">
      <c r="A86" s="169" t="s">
        <v>318</v>
      </c>
      <c r="B86" s="170" t="s">
        <v>319</v>
      </c>
      <c r="C86" s="170">
        <v>850</v>
      </c>
      <c r="D86" s="170"/>
      <c r="E86" s="171"/>
      <c r="F86" s="172" t="s">
        <v>317</v>
      </c>
      <c r="G86" s="172"/>
    </row>
    <row r="87" spans="1:7" x14ac:dyDescent="0.25">
      <c r="A87" s="169" t="s">
        <v>320</v>
      </c>
      <c r="B87" s="170" t="s">
        <v>67</v>
      </c>
      <c r="C87" s="170">
        <v>800</v>
      </c>
      <c r="D87" s="170"/>
      <c r="E87" s="171"/>
      <c r="F87" s="172" t="s">
        <v>317</v>
      </c>
      <c r="G87" s="172"/>
    </row>
    <row r="88" spans="1:7" x14ac:dyDescent="0.25">
      <c r="A88" s="169" t="s">
        <v>321</v>
      </c>
      <c r="B88" s="170" t="s">
        <v>322</v>
      </c>
      <c r="C88" s="170">
        <v>875</v>
      </c>
      <c r="D88" s="170"/>
      <c r="E88" s="171"/>
      <c r="F88" s="172" t="s">
        <v>317</v>
      </c>
      <c r="G88" s="172"/>
    </row>
    <row r="89" spans="1:7" x14ac:dyDescent="0.25">
      <c r="A89" s="169" t="s">
        <v>323</v>
      </c>
      <c r="B89" s="170" t="s">
        <v>36</v>
      </c>
      <c r="C89" s="170">
        <v>875</v>
      </c>
      <c r="D89" s="170"/>
      <c r="E89" s="171"/>
      <c r="F89" s="172" t="s">
        <v>317</v>
      </c>
      <c r="G89" s="172"/>
    </row>
    <row r="90" spans="1:7" x14ac:dyDescent="0.25">
      <c r="A90" s="169" t="s">
        <v>324</v>
      </c>
      <c r="B90" s="170" t="s">
        <v>325</v>
      </c>
      <c r="C90" s="170">
        <v>800</v>
      </c>
      <c r="D90" s="170"/>
      <c r="E90" s="171"/>
      <c r="F90" s="172" t="s">
        <v>317</v>
      </c>
      <c r="G90" s="172"/>
    </row>
    <row r="91" spans="1:7" x14ac:dyDescent="0.25">
      <c r="A91" s="169" t="s">
        <v>326</v>
      </c>
      <c r="B91" s="170" t="s">
        <v>327</v>
      </c>
      <c r="C91" s="170">
        <v>1100</v>
      </c>
      <c r="D91" s="170"/>
      <c r="E91" s="171"/>
      <c r="F91" s="172" t="s">
        <v>317</v>
      </c>
      <c r="G91" s="172"/>
    </row>
    <row r="92" spans="1:7" x14ac:dyDescent="0.25">
      <c r="A92" s="169" t="s">
        <v>328</v>
      </c>
      <c r="B92" s="170" t="s">
        <v>212</v>
      </c>
      <c r="C92" s="170">
        <v>1100</v>
      </c>
      <c r="D92" s="170"/>
      <c r="E92" s="171"/>
      <c r="F92" s="172" t="s">
        <v>317</v>
      </c>
      <c r="G92" s="172"/>
    </row>
    <row r="93" spans="1:7" x14ac:dyDescent="0.25">
      <c r="A93" s="169" t="s">
        <v>329</v>
      </c>
      <c r="B93" s="170" t="s">
        <v>330</v>
      </c>
      <c r="C93" s="170">
        <v>400</v>
      </c>
      <c r="D93" s="170"/>
      <c r="E93" s="171"/>
      <c r="F93" s="172" t="s">
        <v>317</v>
      </c>
      <c r="G93" s="172"/>
    </row>
    <row r="94" spans="1:7" x14ac:dyDescent="0.25">
      <c r="A94" s="169" t="s">
        <v>331</v>
      </c>
      <c r="B94" s="170" t="s">
        <v>332</v>
      </c>
      <c r="C94" s="170">
        <v>700</v>
      </c>
      <c r="D94" s="170"/>
      <c r="E94" s="171"/>
      <c r="F94" s="172" t="s">
        <v>317</v>
      </c>
      <c r="G94" s="172"/>
    </row>
    <row r="95" spans="1:7" x14ac:dyDescent="0.25">
      <c r="A95" s="169" t="s">
        <v>333</v>
      </c>
      <c r="B95" s="170" t="s">
        <v>334</v>
      </c>
      <c r="C95" s="170">
        <v>725</v>
      </c>
      <c r="D95" s="170"/>
      <c r="E95" s="171"/>
      <c r="F95" s="172" t="s">
        <v>317</v>
      </c>
      <c r="G95" s="172"/>
    </row>
    <row r="96" spans="1:7" x14ac:dyDescent="0.25">
      <c r="A96" s="169" t="s">
        <v>335</v>
      </c>
      <c r="B96" s="170" t="s">
        <v>336</v>
      </c>
      <c r="C96" s="170">
        <v>400</v>
      </c>
      <c r="D96" s="170"/>
      <c r="E96" s="171"/>
      <c r="F96" s="172" t="s">
        <v>317</v>
      </c>
      <c r="G96" s="172"/>
    </row>
    <row r="97" spans="1:7" x14ac:dyDescent="0.25">
      <c r="A97" s="169" t="s">
        <v>337</v>
      </c>
      <c r="B97" s="170" t="s">
        <v>338</v>
      </c>
      <c r="C97" s="170">
        <v>660</v>
      </c>
      <c r="D97" s="170"/>
      <c r="E97" s="171"/>
      <c r="F97" s="172" t="s">
        <v>339</v>
      </c>
      <c r="G97" s="172"/>
    </row>
    <row r="98" spans="1:7" x14ac:dyDescent="0.25">
      <c r="A98" s="169" t="s">
        <v>340</v>
      </c>
      <c r="B98" s="170" t="s">
        <v>67</v>
      </c>
      <c r="C98" s="170">
        <v>800</v>
      </c>
      <c r="D98" s="170"/>
      <c r="E98" s="171"/>
      <c r="F98" s="172" t="s">
        <v>317</v>
      </c>
      <c r="G98" s="172"/>
    </row>
    <row r="99" spans="1:7" x14ac:dyDescent="0.25">
      <c r="A99" s="169" t="s">
        <v>341</v>
      </c>
      <c r="B99" s="170" t="s">
        <v>342</v>
      </c>
      <c r="C99" s="170">
        <v>900</v>
      </c>
      <c r="D99" s="170"/>
      <c r="E99" s="171"/>
      <c r="F99" s="172" t="s">
        <v>343</v>
      </c>
      <c r="G99" s="172"/>
    </row>
    <row r="100" spans="1:7" x14ac:dyDescent="0.25">
      <c r="A100" s="169" t="s">
        <v>344</v>
      </c>
      <c r="B100" s="170" t="s">
        <v>342</v>
      </c>
      <c r="C100" s="170">
        <v>650</v>
      </c>
      <c r="D100" s="170"/>
      <c r="E100" s="171"/>
      <c r="F100" s="172" t="s">
        <v>345</v>
      </c>
      <c r="G100" s="172"/>
    </row>
    <row r="101" spans="1:7" x14ac:dyDescent="0.25">
      <c r="A101" s="169" t="s">
        <v>346</v>
      </c>
      <c r="B101" s="170" t="s">
        <v>347</v>
      </c>
      <c r="C101" s="170">
        <v>900</v>
      </c>
      <c r="D101" s="170"/>
      <c r="E101" s="171"/>
      <c r="F101" s="172" t="s">
        <v>348</v>
      </c>
      <c r="G101" s="172"/>
    </row>
    <row r="102" spans="1:7" x14ac:dyDescent="0.25">
      <c r="A102" s="169" t="s">
        <v>349</v>
      </c>
      <c r="B102" s="170" t="s">
        <v>350</v>
      </c>
      <c r="C102" s="170">
        <v>900</v>
      </c>
      <c r="D102" s="170">
        <v>1E-4</v>
      </c>
      <c r="E102" s="171"/>
      <c r="F102" s="172" t="s">
        <v>351</v>
      </c>
      <c r="G102" s="172"/>
    </row>
    <row r="103" spans="1:7" x14ac:dyDescent="0.25">
      <c r="A103" s="169" t="s">
        <v>352</v>
      </c>
      <c r="B103" s="170" t="s">
        <v>350</v>
      </c>
      <c r="C103" s="170">
        <v>800</v>
      </c>
      <c r="D103" s="170">
        <v>760</v>
      </c>
      <c r="E103" s="171"/>
      <c r="F103" s="172" t="s">
        <v>69</v>
      </c>
      <c r="G103" s="172"/>
    </row>
    <row r="104" spans="1:7" x14ac:dyDescent="0.25">
      <c r="A104" s="169" t="s">
        <v>353</v>
      </c>
      <c r="B104" s="170" t="s">
        <v>338</v>
      </c>
      <c r="C104" s="170">
        <v>600</v>
      </c>
      <c r="D104" s="170"/>
      <c r="E104" s="171"/>
      <c r="F104" s="172" t="s">
        <v>289</v>
      </c>
      <c r="G104" s="172"/>
    </row>
    <row r="105" spans="1:7" x14ac:dyDescent="0.25">
      <c r="A105" s="169" t="s">
        <v>354</v>
      </c>
      <c r="B105" s="170" t="s">
        <v>315</v>
      </c>
      <c r="C105" s="170">
        <v>80</v>
      </c>
      <c r="D105" s="170"/>
      <c r="E105" s="171"/>
      <c r="F105" s="172" t="s">
        <v>307</v>
      </c>
      <c r="G105" s="172"/>
    </row>
    <row r="106" spans="1:7" x14ac:dyDescent="0.25">
      <c r="A106" s="169" t="s">
        <v>355</v>
      </c>
      <c r="B106" s="170" t="s">
        <v>356</v>
      </c>
      <c r="C106" s="50">
        <v>94.07</v>
      </c>
      <c r="D106" s="170"/>
      <c r="E106" s="171"/>
      <c r="F106" s="172" t="s">
        <v>307</v>
      </c>
      <c r="G106" s="172"/>
    </row>
    <row r="107" spans="1:7" x14ac:dyDescent="0.25">
      <c r="A107" s="169" t="s">
        <v>357</v>
      </c>
      <c r="B107" s="170" t="s">
        <v>36</v>
      </c>
      <c r="C107" s="170">
        <v>900</v>
      </c>
      <c r="D107" s="170"/>
      <c r="E107" s="171"/>
      <c r="F107" s="172" t="s">
        <v>358</v>
      </c>
      <c r="G107" s="172"/>
    </row>
    <row r="108" spans="1:7" x14ac:dyDescent="0.25">
      <c r="A108" s="169" t="s">
        <v>359</v>
      </c>
      <c r="B108" s="170" t="s">
        <v>360</v>
      </c>
      <c r="C108" s="170">
        <v>800</v>
      </c>
      <c r="D108" s="170">
        <v>1E-4</v>
      </c>
      <c r="E108" s="171"/>
      <c r="F108" s="172" t="s">
        <v>361</v>
      </c>
      <c r="G108" s="172"/>
    </row>
    <row r="109" spans="1:7" x14ac:dyDescent="0.25">
      <c r="A109" s="166" t="s">
        <v>362</v>
      </c>
      <c r="B109" s="160" t="s">
        <v>319</v>
      </c>
      <c r="C109" s="170">
        <v>950</v>
      </c>
      <c r="D109" s="170">
        <v>1E-4</v>
      </c>
      <c r="E109" s="171"/>
      <c r="F109" s="172" t="s">
        <v>361</v>
      </c>
      <c r="G109" s="172"/>
    </row>
    <row r="110" spans="1:7" x14ac:dyDescent="0.25">
      <c r="A110" s="169" t="s">
        <v>363</v>
      </c>
      <c r="B110" s="170" t="s">
        <v>364</v>
      </c>
      <c r="C110" s="170">
        <v>970</v>
      </c>
      <c r="D110" s="170">
        <v>941</v>
      </c>
      <c r="E110" s="171">
        <v>1</v>
      </c>
      <c r="F110" s="172" t="s">
        <v>361</v>
      </c>
      <c r="G110" s="172"/>
    </row>
    <row r="111" spans="1:7" x14ac:dyDescent="0.25">
      <c r="A111" s="169" t="s">
        <v>365</v>
      </c>
      <c r="B111" s="170" t="s">
        <v>364</v>
      </c>
      <c r="C111" s="170">
        <v>970</v>
      </c>
      <c r="D111" s="170">
        <v>950.5</v>
      </c>
      <c r="E111" s="171">
        <v>1</v>
      </c>
      <c r="F111" s="172" t="s">
        <v>366</v>
      </c>
      <c r="G111" s="172"/>
    </row>
    <row r="112" spans="1:7" x14ac:dyDescent="0.25">
      <c r="A112" s="169" t="s">
        <v>367</v>
      </c>
      <c r="B112" s="170" t="s">
        <v>364</v>
      </c>
      <c r="C112" s="170">
        <v>800</v>
      </c>
      <c r="D112" s="170">
        <v>760</v>
      </c>
      <c r="E112" s="171">
        <v>1</v>
      </c>
      <c r="F112" s="172" t="s">
        <v>368</v>
      </c>
      <c r="G112" s="172"/>
    </row>
    <row r="113" spans="1:7" x14ac:dyDescent="0.25">
      <c r="A113" s="166" t="s">
        <v>369</v>
      </c>
      <c r="B113" s="160" t="s">
        <v>370</v>
      </c>
      <c r="C113" s="170">
        <v>800</v>
      </c>
      <c r="D113" s="170">
        <v>1E-4</v>
      </c>
      <c r="E113" s="171"/>
      <c r="F113" s="172" t="s">
        <v>371</v>
      </c>
      <c r="G113" s="172"/>
    </row>
    <row r="114" spans="1:7" x14ac:dyDescent="0.25">
      <c r="A114" s="166" t="s">
        <v>372</v>
      </c>
      <c r="B114" s="160" t="s">
        <v>370</v>
      </c>
      <c r="C114" s="170">
        <v>700</v>
      </c>
      <c r="D114" s="170">
        <v>665</v>
      </c>
      <c r="E114" s="171">
        <v>1</v>
      </c>
      <c r="F114" s="172" t="s">
        <v>368</v>
      </c>
      <c r="G114" s="172"/>
    </row>
    <row r="115" spans="1:7" x14ac:dyDescent="0.25">
      <c r="A115" s="166" t="s">
        <v>373</v>
      </c>
      <c r="B115" s="160" t="s">
        <v>370</v>
      </c>
      <c r="C115" s="170">
        <v>850</v>
      </c>
      <c r="D115" s="170">
        <v>1E-4</v>
      </c>
      <c r="E115" s="171"/>
      <c r="F115" s="172" t="s">
        <v>374</v>
      </c>
      <c r="G115" s="172"/>
    </row>
    <row r="116" spans="1:7" x14ac:dyDescent="0.25">
      <c r="A116" s="166" t="s">
        <v>375</v>
      </c>
      <c r="B116" s="160" t="s">
        <v>319</v>
      </c>
      <c r="C116" s="170">
        <v>700</v>
      </c>
      <c r="D116" s="170">
        <v>665</v>
      </c>
      <c r="E116" s="171">
        <v>1</v>
      </c>
      <c r="F116" s="172" t="s">
        <v>368</v>
      </c>
      <c r="G116" s="172"/>
    </row>
    <row r="117" spans="1:7" x14ac:dyDescent="0.25">
      <c r="A117" s="166" t="s">
        <v>644</v>
      </c>
      <c r="B117" s="160" t="s">
        <v>646</v>
      </c>
      <c r="C117" s="170">
        <v>1000</v>
      </c>
      <c r="D117" s="170">
        <v>970</v>
      </c>
      <c r="E117" s="171">
        <v>1</v>
      </c>
      <c r="F117" s="172" t="s">
        <v>645</v>
      </c>
      <c r="G117" s="172"/>
    </row>
    <row r="118" spans="1:7" x14ac:dyDescent="0.25">
      <c r="A118" s="166" t="s">
        <v>680</v>
      </c>
      <c r="B118" s="160" t="s">
        <v>646</v>
      </c>
      <c r="C118" s="170">
        <v>915</v>
      </c>
      <c r="D118" s="170">
        <v>860.1</v>
      </c>
      <c r="E118" s="171"/>
      <c r="F118" s="168" t="s">
        <v>677</v>
      </c>
      <c r="G118" s="172"/>
    </row>
    <row r="119" spans="1:7" x14ac:dyDescent="0.25">
      <c r="A119" s="166" t="s">
        <v>686</v>
      </c>
      <c r="B119" s="160" t="s">
        <v>666</v>
      </c>
      <c r="C119" s="170">
        <v>1000</v>
      </c>
      <c r="D119" s="170">
        <v>980</v>
      </c>
      <c r="E119" s="171"/>
      <c r="F119" s="168" t="s">
        <v>683</v>
      </c>
      <c r="G119" s="172"/>
    </row>
    <row r="120" spans="1:7" x14ac:dyDescent="0.25">
      <c r="A120" s="166" t="s">
        <v>687</v>
      </c>
      <c r="B120" s="160" t="s">
        <v>666</v>
      </c>
      <c r="C120" s="170">
        <v>900</v>
      </c>
      <c r="D120" s="170">
        <v>855</v>
      </c>
      <c r="E120" s="171"/>
      <c r="F120" s="168" t="s">
        <v>684</v>
      </c>
      <c r="G120" s="172"/>
    </row>
    <row r="121" spans="1:7" x14ac:dyDescent="0.25">
      <c r="A121" s="166" t="s">
        <v>376</v>
      </c>
      <c r="B121" s="160" t="s">
        <v>377</v>
      </c>
      <c r="C121" s="170">
        <v>800</v>
      </c>
      <c r="D121" s="170">
        <v>760</v>
      </c>
      <c r="E121" s="171"/>
      <c r="F121" s="168" t="s">
        <v>378</v>
      </c>
      <c r="G121" s="172"/>
    </row>
    <row r="122" spans="1:7" x14ac:dyDescent="0.25">
      <c r="A122" s="166" t="s">
        <v>379</v>
      </c>
      <c r="B122" s="160" t="s">
        <v>350</v>
      </c>
      <c r="C122" s="170">
        <v>800</v>
      </c>
      <c r="D122" s="170">
        <v>760</v>
      </c>
      <c r="E122" s="171"/>
      <c r="F122" s="168" t="s">
        <v>378</v>
      </c>
      <c r="G122" s="172"/>
    </row>
    <row r="123" spans="1:7" x14ac:dyDescent="0.25">
      <c r="A123" s="166" t="s">
        <v>624</v>
      </c>
      <c r="B123" s="160" t="s">
        <v>397</v>
      </c>
      <c r="C123" s="170">
        <v>1000</v>
      </c>
      <c r="D123" s="170">
        <v>950</v>
      </c>
      <c r="E123" s="171"/>
      <c r="F123" s="168" t="s">
        <v>69</v>
      </c>
      <c r="G123" s="172"/>
    </row>
    <row r="124" spans="1:7" x14ac:dyDescent="0.25">
      <c r="A124" s="166" t="s">
        <v>665</v>
      </c>
      <c r="B124" s="160" t="s">
        <v>666</v>
      </c>
      <c r="C124" s="170">
        <v>890</v>
      </c>
      <c r="D124" s="170">
        <v>845.5</v>
      </c>
      <c r="E124" s="171"/>
      <c r="F124" s="168" t="s">
        <v>667</v>
      </c>
      <c r="G124" s="172"/>
    </row>
    <row r="125" spans="1:7" x14ac:dyDescent="0.25">
      <c r="A125" s="166" t="s">
        <v>776</v>
      </c>
      <c r="B125" s="160" t="s">
        <v>666</v>
      </c>
      <c r="C125" s="170">
        <v>890.21</v>
      </c>
      <c r="D125" s="170">
        <f>890.21*0.95</f>
        <v>845.69949999999994</v>
      </c>
      <c r="E125" s="171"/>
      <c r="F125" s="168" t="s">
        <v>667</v>
      </c>
      <c r="G125" s="172"/>
    </row>
    <row r="126" spans="1:7" x14ac:dyDescent="0.25">
      <c r="A126" s="169" t="s">
        <v>380</v>
      </c>
      <c r="B126" s="170" t="s">
        <v>322</v>
      </c>
      <c r="C126" s="170">
        <v>800</v>
      </c>
      <c r="D126" s="170"/>
      <c r="E126" s="171"/>
      <c r="F126" s="172" t="s">
        <v>307</v>
      </c>
      <c r="G126" s="172"/>
    </row>
    <row r="127" spans="1:7" x14ac:dyDescent="0.25">
      <c r="A127" s="169" t="s">
        <v>381</v>
      </c>
      <c r="B127" s="170" t="s">
        <v>67</v>
      </c>
      <c r="C127" s="170">
        <v>700</v>
      </c>
      <c r="D127" s="170"/>
      <c r="E127" s="171"/>
      <c r="F127" s="172" t="s">
        <v>307</v>
      </c>
      <c r="G127" s="172"/>
    </row>
    <row r="128" spans="1:7" x14ac:dyDescent="0.25">
      <c r="A128" s="169" t="s">
        <v>382</v>
      </c>
      <c r="B128" s="170" t="s">
        <v>67</v>
      </c>
      <c r="C128" s="170">
        <v>800</v>
      </c>
      <c r="D128" s="170">
        <v>752</v>
      </c>
      <c r="E128" s="171"/>
      <c r="F128" s="172" t="s">
        <v>307</v>
      </c>
      <c r="G128" s="172"/>
    </row>
    <row r="129" spans="1:7" x14ac:dyDescent="0.25">
      <c r="A129" s="166" t="s">
        <v>383</v>
      </c>
      <c r="B129" s="160" t="s">
        <v>384</v>
      </c>
      <c r="C129" s="170">
        <v>1100</v>
      </c>
      <c r="D129" s="170"/>
      <c r="E129" s="171"/>
      <c r="F129" s="168" t="s">
        <v>385</v>
      </c>
      <c r="G129" s="172"/>
    </row>
    <row r="130" spans="1:7" x14ac:dyDescent="0.25">
      <c r="A130" s="166" t="s">
        <v>386</v>
      </c>
      <c r="B130" s="160" t="s">
        <v>384</v>
      </c>
      <c r="C130" s="170">
        <v>900</v>
      </c>
      <c r="D130" s="170"/>
      <c r="E130" s="171"/>
      <c r="F130" s="168" t="s">
        <v>385</v>
      </c>
      <c r="G130" s="172"/>
    </row>
    <row r="131" spans="1:7" x14ac:dyDescent="0.25">
      <c r="A131" s="166" t="s">
        <v>387</v>
      </c>
      <c r="B131" s="160" t="s">
        <v>388</v>
      </c>
      <c r="C131" s="170">
        <v>800</v>
      </c>
      <c r="D131" s="170"/>
      <c r="E131" s="171"/>
      <c r="F131" s="168" t="s">
        <v>389</v>
      </c>
      <c r="G131" s="172"/>
    </row>
    <row r="132" spans="1:7" x14ac:dyDescent="0.25">
      <c r="A132" s="166" t="s">
        <v>390</v>
      </c>
      <c r="B132" s="160" t="s">
        <v>391</v>
      </c>
      <c r="C132" s="170">
        <v>850</v>
      </c>
      <c r="D132" s="170"/>
      <c r="E132" s="171"/>
      <c r="F132" s="168" t="s">
        <v>392</v>
      </c>
      <c r="G132" s="172"/>
    </row>
    <row r="133" spans="1:7" x14ac:dyDescent="0.25">
      <c r="A133" s="166" t="s">
        <v>393</v>
      </c>
      <c r="B133" s="160" t="s">
        <v>394</v>
      </c>
      <c r="C133" s="170">
        <v>1000</v>
      </c>
      <c r="D133" s="170"/>
      <c r="E133" s="171"/>
      <c r="F133" s="168" t="s">
        <v>395</v>
      </c>
      <c r="G133" s="172"/>
    </row>
    <row r="134" spans="1:7" x14ac:dyDescent="0.25">
      <c r="A134" s="166" t="s">
        <v>396</v>
      </c>
      <c r="B134" s="160" t="s">
        <v>397</v>
      </c>
      <c r="C134" s="170">
        <v>875</v>
      </c>
      <c r="D134" s="170"/>
      <c r="E134" s="171"/>
      <c r="F134" s="168" t="s">
        <v>398</v>
      </c>
      <c r="G134" s="172"/>
    </row>
    <row r="135" spans="1:7" x14ac:dyDescent="0.25">
      <c r="A135" s="166" t="s">
        <v>399</v>
      </c>
      <c r="B135" s="160" t="s">
        <v>630</v>
      </c>
      <c r="C135" s="170">
        <v>100</v>
      </c>
      <c r="D135" s="76">
        <v>100</v>
      </c>
      <c r="E135" s="175"/>
      <c r="F135" s="168" t="s">
        <v>401</v>
      </c>
      <c r="G135" s="172"/>
    </row>
    <row r="136" spans="1:7" x14ac:dyDescent="0.25">
      <c r="A136" s="166" t="s">
        <v>400</v>
      </c>
      <c r="B136" s="160" t="s">
        <v>243</v>
      </c>
      <c r="C136" s="170">
        <v>63.636000000000003</v>
      </c>
      <c r="D136" s="170">
        <v>63.636000000000003</v>
      </c>
      <c r="E136" s="175"/>
      <c r="F136" s="168" t="s">
        <v>401</v>
      </c>
      <c r="G136" s="172"/>
    </row>
    <row r="137" spans="1:7" x14ac:dyDescent="0.25">
      <c r="A137" s="166" t="s">
        <v>402</v>
      </c>
      <c r="B137" s="160" t="s">
        <v>245</v>
      </c>
      <c r="C137" s="170">
        <v>59.09</v>
      </c>
      <c r="D137" s="170">
        <v>59.09</v>
      </c>
      <c r="E137" s="171"/>
      <c r="F137" s="168" t="s">
        <v>401</v>
      </c>
      <c r="G137" s="172"/>
    </row>
    <row r="138" spans="1:7" x14ac:dyDescent="0.25">
      <c r="A138" s="166" t="s">
        <v>403</v>
      </c>
      <c r="B138" s="160" t="s">
        <v>404</v>
      </c>
      <c r="C138" s="170">
        <v>55</v>
      </c>
      <c r="D138" s="170">
        <v>55</v>
      </c>
      <c r="E138" s="171"/>
      <c r="F138" s="168" t="s">
        <v>401</v>
      </c>
      <c r="G138" s="172"/>
    </row>
    <row r="139" spans="1:7" x14ac:dyDescent="0.25">
      <c r="A139" s="166" t="s">
        <v>405</v>
      </c>
      <c r="B139" s="160" t="s">
        <v>247</v>
      </c>
      <c r="C139" s="170">
        <v>55</v>
      </c>
      <c r="D139" s="170">
        <v>55</v>
      </c>
      <c r="E139" s="171"/>
      <c r="F139" s="168" t="s">
        <v>401</v>
      </c>
      <c r="G139" s="172"/>
    </row>
    <row r="140" spans="1:7" x14ac:dyDescent="0.25">
      <c r="A140" s="166" t="s">
        <v>406</v>
      </c>
      <c r="B140" s="160" t="s">
        <v>407</v>
      </c>
      <c r="C140" s="170">
        <v>60</v>
      </c>
      <c r="D140" s="170">
        <v>60</v>
      </c>
      <c r="E140" s="171"/>
      <c r="F140" s="168" t="s">
        <v>401</v>
      </c>
      <c r="G140" s="172"/>
    </row>
    <row r="141" spans="1:7" x14ac:dyDescent="0.25">
      <c r="A141" s="166" t="s">
        <v>408</v>
      </c>
      <c r="B141" s="160" t="s">
        <v>409</v>
      </c>
      <c r="C141" s="170">
        <v>70</v>
      </c>
      <c r="D141" s="170">
        <v>70</v>
      </c>
      <c r="E141" s="171"/>
      <c r="F141" s="168" t="s">
        <v>401</v>
      </c>
      <c r="G141" s="172"/>
    </row>
    <row r="142" spans="1:7" x14ac:dyDescent="0.25">
      <c r="A142" s="166" t="s">
        <v>410</v>
      </c>
      <c r="B142" s="160" t="s">
        <v>409</v>
      </c>
      <c r="C142" s="170">
        <v>60</v>
      </c>
      <c r="D142" s="170">
        <v>60</v>
      </c>
      <c r="E142" s="171"/>
      <c r="F142" s="168" t="s">
        <v>401</v>
      </c>
      <c r="G142" s="172"/>
    </row>
    <row r="143" spans="1:7" x14ac:dyDescent="0.25">
      <c r="A143" s="166" t="s">
        <v>411</v>
      </c>
      <c r="B143" s="160" t="s">
        <v>412</v>
      </c>
      <c r="C143" s="170">
        <v>60</v>
      </c>
      <c r="D143" s="170">
        <v>60</v>
      </c>
      <c r="E143" s="171"/>
      <c r="F143" s="168" t="s">
        <v>401</v>
      </c>
      <c r="G143" s="172"/>
    </row>
    <row r="144" spans="1:7" x14ac:dyDescent="0.25">
      <c r="A144" s="166" t="s">
        <v>413</v>
      </c>
      <c r="B144" s="160" t="s">
        <v>414</v>
      </c>
      <c r="C144" s="170">
        <v>60</v>
      </c>
      <c r="D144" s="170">
        <v>60</v>
      </c>
      <c r="E144" s="171"/>
      <c r="F144" s="168" t="s">
        <v>401</v>
      </c>
      <c r="G144" s="172"/>
    </row>
    <row r="145" spans="1:7" x14ac:dyDescent="0.25">
      <c r="A145" s="166" t="s">
        <v>415</v>
      </c>
      <c r="B145" s="160" t="s">
        <v>251</v>
      </c>
      <c r="C145" s="170">
        <v>50</v>
      </c>
      <c r="D145" s="170">
        <v>50</v>
      </c>
      <c r="E145" s="171"/>
      <c r="F145" s="168" t="s">
        <v>401</v>
      </c>
      <c r="G145" s="172"/>
    </row>
    <row r="146" spans="1:7" x14ac:dyDescent="0.25">
      <c r="A146" s="166" t="s">
        <v>416</v>
      </c>
      <c r="B146" s="160" t="s">
        <v>417</v>
      </c>
      <c r="C146" s="170">
        <v>70</v>
      </c>
      <c r="D146" s="170">
        <v>70</v>
      </c>
      <c r="E146" s="171"/>
      <c r="F146" s="168" t="s">
        <v>401</v>
      </c>
      <c r="G146" s="172"/>
    </row>
    <row r="147" spans="1:7" x14ac:dyDescent="0.25">
      <c r="A147" s="166" t="s">
        <v>418</v>
      </c>
      <c r="B147" s="160" t="s">
        <v>417</v>
      </c>
      <c r="C147" s="170">
        <v>25</v>
      </c>
      <c r="D147" s="170">
        <v>25</v>
      </c>
      <c r="E147" s="171"/>
      <c r="F147" s="168" t="s">
        <v>401</v>
      </c>
      <c r="G147" s="172"/>
    </row>
    <row r="148" spans="1:7" x14ac:dyDescent="0.25">
      <c r="A148" s="169" t="s">
        <v>419</v>
      </c>
      <c r="B148" s="160" t="s">
        <v>420</v>
      </c>
      <c r="C148" s="170">
        <v>1000</v>
      </c>
      <c r="D148" s="170"/>
      <c r="E148" s="171"/>
      <c r="F148" s="172"/>
      <c r="G148" s="172"/>
    </row>
    <row r="149" spans="1:7" x14ac:dyDescent="0.25">
      <c r="A149" s="169" t="s">
        <v>421</v>
      </c>
      <c r="B149" s="160" t="s">
        <v>422</v>
      </c>
      <c r="C149" s="170"/>
      <c r="D149" s="170"/>
      <c r="E149" s="171"/>
      <c r="F149" s="172"/>
      <c r="G149" s="172"/>
    </row>
    <row r="150" spans="1:7" x14ac:dyDescent="0.25">
      <c r="A150" s="169" t="s">
        <v>423</v>
      </c>
      <c r="B150" s="170" t="s">
        <v>54</v>
      </c>
      <c r="C150" s="170"/>
      <c r="D150" s="170"/>
      <c r="E150" s="171"/>
      <c r="F150" s="172"/>
      <c r="G150" s="172"/>
    </row>
  </sheetData>
  <sortState ref="A54:G150">
    <sortCondition ref="A54"/>
  </sortState>
  <hyperlinks>
    <hyperlink ref="G5" display="Stephen Davey"/>
    <hyperlink ref="G11" display="Marie Roudenko"/>
    <hyperlink ref="G13" display="Steven Gill"/>
    <hyperlink ref="G15" display="Alice Lumkin"/>
    <hyperlink ref="G19" display="Maurice Leung"/>
    <hyperlink ref="G21" display="Mal Collins"/>
    <hyperlink ref="G22" display="Caroline Casey"/>
    <hyperlink ref="G24" display="Betty Mouawad"/>
    <hyperlink ref="G25" display="Steve Rapley"/>
    <hyperlink ref="G35" display="Matt Dowling"/>
    <hyperlink ref="G36" display="Suparna Mallick"/>
    <hyperlink ref="G16" display="David Frizzell"/>
  </hyperlinks>
  <pageMargins left="0.75" right="0.75" top="1" bottom="1" header="0.51180555555555496" footer="0.51180555555555496"/>
  <pageSetup paperSize="9" firstPageNumber="0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2:D28"/>
  <sheetViews>
    <sheetView showZeros="0" zoomScaleNormal="100" workbookViewId="0">
      <selection activeCell="A21" sqref="A21"/>
    </sheetView>
  </sheetViews>
  <sheetFormatPr defaultRowHeight="13.2" x14ac:dyDescent="0.25"/>
  <cols>
    <col min="1" max="1" width="17.44140625" bestFit="1" customWidth="1"/>
    <col min="2" max="2" width="8.5546875" bestFit="1" customWidth="1"/>
    <col min="3" max="3" width="9.109375" bestFit="1" customWidth="1"/>
    <col min="4" max="4" width="11.44140625" bestFit="1" customWidth="1"/>
    <col min="5" max="6" width="9.44140625" bestFit="1" customWidth="1"/>
    <col min="7" max="7" width="10.44140625" bestFit="1" customWidth="1"/>
    <col min="8" max="10" width="9.44140625" bestFit="1" customWidth="1"/>
    <col min="11" max="11" width="11.5546875" bestFit="1" customWidth="1"/>
    <col min="12" max="14" width="11.5546875"/>
    <col min="15" max="16" width="14.5546875"/>
    <col min="17" max="1025" width="11"/>
  </cols>
  <sheetData>
    <row r="2" spans="1:4" x14ac:dyDescent="0.25">
      <c r="A2" s="329" t="s">
        <v>632</v>
      </c>
      <c r="B2" s="329" t="s">
        <v>634</v>
      </c>
    </row>
    <row r="3" spans="1:4" x14ac:dyDescent="0.25">
      <c r="A3" s="329" t="s">
        <v>138</v>
      </c>
      <c r="C3" t="s">
        <v>747</v>
      </c>
      <c r="D3" t="s">
        <v>633</v>
      </c>
    </row>
    <row r="4" spans="1:4" x14ac:dyDescent="0.25">
      <c r="A4" s="162" t="s">
        <v>177</v>
      </c>
      <c r="B4" s="62">
        <v>6650</v>
      </c>
      <c r="C4" s="62">
        <v>7000</v>
      </c>
      <c r="D4" s="62">
        <v>13650</v>
      </c>
    </row>
    <row r="5" spans="1:4" x14ac:dyDescent="0.25">
      <c r="A5" s="162" t="s">
        <v>226</v>
      </c>
      <c r="B5" s="62"/>
      <c r="C5" s="62">
        <v>16200</v>
      </c>
      <c r="D5" s="62">
        <v>16200</v>
      </c>
    </row>
    <row r="6" spans="1:4" x14ac:dyDescent="0.25">
      <c r="A6" s="162" t="s">
        <v>651</v>
      </c>
      <c r="B6" s="62"/>
      <c r="C6" s="62">
        <v>9500</v>
      </c>
      <c r="D6" s="62">
        <v>9500</v>
      </c>
    </row>
    <row r="7" spans="1:4" x14ac:dyDescent="0.25">
      <c r="A7" s="162" t="s">
        <v>660</v>
      </c>
      <c r="B7" s="62"/>
      <c r="C7" s="62">
        <v>18246.05</v>
      </c>
      <c r="D7" s="62">
        <v>18246.05</v>
      </c>
    </row>
    <row r="8" spans="1:4" x14ac:dyDescent="0.25">
      <c r="A8" s="162" t="s">
        <v>729</v>
      </c>
      <c r="B8" s="62"/>
      <c r="C8" s="62">
        <v>7350</v>
      </c>
      <c r="D8" s="62">
        <v>7350</v>
      </c>
    </row>
    <row r="9" spans="1:4" x14ac:dyDescent="0.25">
      <c r="A9" s="162" t="s">
        <v>633</v>
      </c>
      <c r="B9" s="62">
        <v>6650</v>
      </c>
      <c r="C9" s="62">
        <v>58296.05</v>
      </c>
      <c r="D9" s="62">
        <v>64946.05</v>
      </c>
    </row>
    <row r="12" spans="1:4" x14ac:dyDescent="0.25">
      <c r="A12" s="329" t="s">
        <v>632</v>
      </c>
      <c r="B12" s="329" t="s">
        <v>634</v>
      </c>
    </row>
    <row r="13" spans="1:4" x14ac:dyDescent="0.25">
      <c r="A13" s="329" t="s">
        <v>477</v>
      </c>
      <c r="C13" t="s">
        <v>747</v>
      </c>
      <c r="D13" t="s">
        <v>633</v>
      </c>
    </row>
    <row r="14" spans="1:4" x14ac:dyDescent="0.25">
      <c r="A14" s="162" t="s">
        <v>55</v>
      </c>
      <c r="B14" s="62"/>
      <c r="C14" s="62">
        <v>16850</v>
      </c>
      <c r="D14" s="62">
        <v>16850</v>
      </c>
    </row>
    <row r="15" spans="1:4" x14ac:dyDescent="0.25">
      <c r="A15" s="162" t="s">
        <v>649</v>
      </c>
      <c r="B15" s="62">
        <v>6650</v>
      </c>
      <c r="C15" s="62">
        <v>7000</v>
      </c>
      <c r="D15" s="62">
        <v>13650</v>
      </c>
    </row>
    <row r="16" spans="1:4" x14ac:dyDescent="0.25">
      <c r="A16" s="162" t="s">
        <v>57</v>
      </c>
      <c r="B16" s="62"/>
      <c r="C16" s="62">
        <v>9000</v>
      </c>
      <c r="D16" s="62">
        <v>9000</v>
      </c>
    </row>
    <row r="17" spans="1:4" x14ac:dyDescent="0.25">
      <c r="A17" s="162" t="s">
        <v>657</v>
      </c>
      <c r="B17" s="62"/>
      <c r="C17" s="62">
        <v>18246.05</v>
      </c>
      <c r="D17" s="62">
        <v>18246.05</v>
      </c>
    </row>
    <row r="18" spans="1:4" x14ac:dyDescent="0.25">
      <c r="A18" s="162" t="s">
        <v>669</v>
      </c>
      <c r="B18" s="62"/>
      <c r="C18" s="62">
        <v>7200</v>
      </c>
      <c r="D18" s="62">
        <v>7200</v>
      </c>
    </row>
    <row r="19" spans="1:4" x14ac:dyDescent="0.25">
      <c r="A19" s="162" t="s">
        <v>633</v>
      </c>
      <c r="B19" s="62">
        <v>6650</v>
      </c>
      <c r="C19" s="62">
        <v>58296.05</v>
      </c>
      <c r="D19" s="62">
        <v>64946.05</v>
      </c>
    </row>
    <row r="22" spans="1:4" x14ac:dyDescent="0.25">
      <c r="A22" s="329" t="s">
        <v>632</v>
      </c>
      <c r="B22" s="329" t="s">
        <v>634</v>
      </c>
    </row>
    <row r="23" spans="1:4" x14ac:dyDescent="0.25">
      <c r="A23" s="329" t="s">
        <v>5</v>
      </c>
      <c r="C23" t="s">
        <v>747</v>
      </c>
      <c r="D23" t="s">
        <v>633</v>
      </c>
    </row>
    <row r="24" spans="1:4" x14ac:dyDescent="0.25">
      <c r="A24" s="162" t="s">
        <v>180</v>
      </c>
      <c r="B24" s="62"/>
      <c r="C24" s="62">
        <v>7350</v>
      </c>
      <c r="D24" s="62">
        <v>7350</v>
      </c>
    </row>
    <row r="25" spans="1:4" x14ac:dyDescent="0.25">
      <c r="A25" s="162" t="s">
        <v>70</v>
      </c>
      <c r="B25" s="62">
        <v>6650</v>
      </c>
      <c r="C25" s="62">
        <v>7000</v>
      </c>
      <c r="D25" s="62">
        <v>13650</v>
      </c>
    </row>
    <row r="26" spans="1:4" x14ac:dyDescent="0.25">
      <c r="A26" s="162" t="s">
        <v>651</v>
      </c>
      <c r="B26" s="62"/>
      <c r="C26" s="62">
        <v>9500</v>
      </c>
      <c r="D26" s="62">
        <v>9500</v>
      </c>
    </row>
    <row r="27" spans="1:4" x14ac:dyDescent="0.25">
      <c r="A27" s="162" t="s">
        <v>666</v>
      </c>
      <c r="B27" s="62"/>
      <c r="C27" s="62">
        <v>34446.050000000003</v>
      </c>
      <c r="D27" s="62">
        <v>34446.050000000003</v>
      </c>
    </row>
    <row r="28" spans="1:4" x14ac:dyDescent="0.25">
      <c r="A28" s="162" t="s">
        <v>633</v>
      </c>
      <c r="B28" s="62">
        <v>6650</v>
      </c>
      <c r="C28" s="62">
        <v>58296.05</v>
      </c>
      <c r="D28" s="62">
        <v>64946.05</v>
      </c>
    </row>
  </sheetData>
  <pageMargins left="0.75" right="0.75" top="1" bottom="1" header="0.51180555555555496" footer="0.51180555555555496"/>
  <pageSetup firstPageNumber="0" orientation="portrait" horizontalDpi="300" verticalDpi="300"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showZeros="0" zoomScaleNormal="100" workbookViewId="0">
      <selection activeCell="F6" sqref="F6"/>
    </sheetView>
  </sheetViews>
  <sheetFormatPr defaultRowHeight="13.2" x14ac:dyDescent="0.25"/>
  <cols>
    <col min="1" max="1025" width="11"/>
  </cols>
  <sheetData/>
  <pageMargins left="0.75" right="0.75" top="1" bottom="1" header="0.51180555555555496" footer="0.51180555555555496"/>
  <pageSetup paperSize="9" firstPageNumber="0"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F11"/>
  <sheetViews>
    <sheetView showZeros="0" zoomScaleNormal="100" workbookViewId="0">
      <selection activeCell="A8" sqref="A8"/>
    </sheetView>
  </sheetViews>
  <sheetFormatPr defaultRowHeight="13.2" x14ac:dyDescent="0.25"/>
  <cols>
    <col min="1" max="1" width="5.44140625"/>
    <col min="2" max="2" width="69.5546875"/>
    <col min="3" max="3" width="18.5546875" style="62"/>
    <col min="4" max="4" width="14.5546875" style="62"/>
    <col min="5" max="5" width="11.5546875" style="176"/>
    <col min="6" max="6" width="24.44140625" style="177"/>
    <col min="7" max="1025" width="11"/>
  </cols>
  <sheetData>
    <row r="1" spans="1:6" ht="24.75" customHeight="1" x14ac:dyDescent="0.4">
      <c r="A1" s="178"/>
      <c r="B1" s="179" t="s">
        <v>424</v>
      </c>
      <c r="C1" s="180"/>
      <c r="D1" s="180"/>
      <c r="E1" s="180"/>
      <c r="F1" s="181"/>
    </row>
    <row r="2" spans="1:6" ht="13.8" x14ac:dyDescent="0.25">
      <c r="A2" s="182"/>
      <c r="B2" s="11" t="s">
        <v>425</v>
      </c>
      <c r="C2" s="67" t="s">
        <v>38</v>
      </c>
      <c r="D2" s="67" t="s">
        <v>426</v>
      </c>
      <c r="E2" s="67" t="s">
        <v>427</v>
      </c>
      <c r="F2" s="183" t="s">
        <v>428</v>
      </c>
    </row>
    <row r="3" spans="1:6" x14ac:dyDescent="0.25">
      <c r="A3" s="184"/>
      <c r="B3" s="16" t="s">
        <v>429</v>
      </c>
      <c r="C3" s="76">
        <f>bankDirect</f>
        <v>77032.14</v>
      </c>
      <c r="D3" s="76"/>
      <c r="E3" s="185" t="s">
        <v>430</v>
      </c>
      <c r="F3" s="186" t="s">
        <v>431</v>
      </c>
    </row>
    <row r="4" spans="1:6" x14ac:dyDescent="0.25">
      <c r="A4" s="184"/>
      <c r="B4" s="16"/>
      <c r="C4" s="76"/>
      <c r="D4" s="76"/>
      <c r="E4" s="187"/>
      <c r="F4" s="188"/>
    </row>
    <row r="5" spans="1:6" s="35" customFormat="1" x14ac:dyDescent="0.25">
      <c r="A5" s="189"/>
      <c r="B5" s="31" t="s">
        <v>432</v>
      </c>
      <c r="C5" s="190">
        <f>SUBTOTAL(9,C3:C4)</f>
        <v>77032.14</v>
      </c>
      <c r="D5" s="190"/>
      <c r="E5" s="191"/>
      <c r="F5" s="192"/>
    </row>
    <row r="6" spans="1:6" x14ac:dyDescent="0.25">
      <c r="A6" s="193"/>
      <c r="B6" s="55"/>
      <c r="C6" s="194"/>
      <c r="D6" s="194"/>
      <c r="E6" s="187"/>
      <c r="F6" s="188"/>
    </row>
    <row r="7" spans="1:6" x14ac:dyDescent="0.25">
      <c r="A7" s="195" t="s">
        <v>90</v>
      </c>
      <c r="B7" s="196"/>
      <c r="C7" s="86">
        <f>SUBTOTAL(9,C2:C5)</f>
        <v>77032.14</v>
      </c>
      <c r="D7" s="86"/>
      <c r="E7" s="197"/>
      <c r="F7" s="198"/>
    </row>
    <row r="9" spans="1:6" x14ac:dyDescent="0.25">
      <c r="A9" t="s">
        <v>433</v>
      </c>
      <c r="B9" s="199" t="s">
        <v>434</v>
      </c>
    </row>
    <row r="10" spans="1:6" x14ac:dyDescent="0.25">
      <c r="A10" t="s">
        <v>435</v>
      </c>
      <c r="B10" s="200" t="s">
        <v>436</v>
      </c>
    </row>
    <row r="11" spans="1:6" x14ac:dyDescent="0.25">
      <c r="A11" t="s">
        <v>437</v>
      </c>
      <c r="B11" s="22" t="s">
        <v>438</v>
      </c>
    </row>
  </sheetData>
  <hyperlinks>
    <hyperlink ref="B10" display="54 072 965 256"/>
  </hyperlinks>
  <pageMargins left="0.75" right="0.75" top="1" bottom="1" header="0.51180555555555496" footer="0.51180555555555496"/>
  <pageSetup paperSize="9" firstPageNumber="0"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outlinePr summaryBelow="0"/>
  </sheetPr>
  <dimension ref="A1:G411"/>
  <sheetViews>
    <sheetView showZeros="0" zoomScale="85" zoomScaleNormal="85" workbookViewId="0">
      <pane ySplit="1" topLeftCell="A93" activePane="bottomLeft" state="frozen"/>
      <selection pane="bottomLeft" activeCell="B292" sqref="B292"/>
    </sheetView>
  </sheetViews>
  <sheetFormatPr defaultRowHeight="13.2" outlineLevelRow="1" x14ac:dyDescent="0.25"/>
  <cols>
    <col min="1" max="1" width="5" style="201" customWidth="1"/>
    <col min="2" max="2" width="13.44140625" style="202" customWidth="1"/>
    <col min="3" max="3" width="97.44140625" customWidth="1"/>
    <col min="4" max="4" width="25.5546875" customWidth="1"/>
    <col min="5" max="5" width="15.44140625" style="202" customWidth="1"/>
  </cols>
  <sheetData>
    <row r="1" spans="1:5" s="35" customFormat="1" x14ac:dyDescent="0.25">
      <c r="A1" s="203" t="s">
        <v>40</v>
      </c>
      <c r="B1" s="92" t="s">
        <v>439</v>
      </c>
      <c r="C1" s="204"/>
      <c r="D1" s="204" t="s">
        <v>440</v>
      </c>
      <c r="E1" s="92" t="s">
        <v>38</v>
      </c>
    </row>
    <row r="2" spans="1:5" x14ac:dyDescent="0.25">
      <c r="A2" s="203"/>
      <c r="B2" s="205" t="s">
        <v>441</v>
      </c>
      <c r="C2" s="204" t="s">
        <v>442</v>
      </c>
      <c r="D2" s="204"/>
      <c r="E2" s="206">
        <f>E3</f>
        <v>77032.14</v>
      </c>
    </row>
    <row r="3" spans="1:5" collapsed="1" x14ac:dyDescent="0.25">
      <c r="A3" s="207" t="s">
        <v>25</v>
      </c>
      <c r="B3" s="206">
        <f>SUBTOTAL(9,B4:B31)</f>
        <v>0</v>
      </c>
      <c r="C3" s="208"/>
      <c r="D3" s="208"/>
      <c r="E3" s="206">
        <f>E32+B3</f>
        <v>77032.14</v>
      </c>
    </row>
    <row r="4" spans="1:5" hidden="1" outlineLevel="1" x14ac:dyDescent="0.25">
      <c r="A4" s="209"/>
      <c r="B4" s="210"/>
      <c r="C4" s="75"/>
      <c r="D4" s="75"/>
      <c r="E4" s="211"/>
    </row>
    <row r="5" spans="1:5" hidden="1" outlineLevel="1" x14ac:dyDescent="0.25">
      <c r="A5" s="212"/>
      <c r="B5" s="84"/>
      <c r="C5" s="77"/>
      <c r="D5" s="77"/>
      <c r="E5" s="213"/>
    </row>
    <row r="6" spans="1:5" hidden="1" outlineLevel="1" x14ac:dyDescent="0.25">
      <c r="A6" s="212"/>
      <c r="B6" s="84"/>
      <c r="C6" s="77"/>
      <c r="D6" s="77"/>
      <c r="E6" s="213"/>
    </row>
    <row r="7" spans="1:5" hidden="1" outlineLevel="1" x14ac:dyDescent="0.25">
      <c r="A7" s="212"/>
      <c r="B7" s="84"/>
      <c r="C7" s="77"/>
      <c r="D7" s="77"/>
      <c r="E7" s="213"/>
    </row>
    <row r="8" spans="1:5" hidden="1" outlineLevel="1" x14ac:dyDescent="0.25">
      <c r="A8" s="212"/>
      <c r="B8" s="84"/>
      <c r="C8" s="77"/>
      <c r="D8" s="77"/>
      <c r="E8" s="213"/>
    </row>
    <row r="9" spans="1:5" hidden="1" outlineLevel="1" x14ac:dyDescent="0.25">
      <c r="A9" s="212"/>
      <c r="B9" s="84"/>
      <c r="C9" s="77"/>
      <c r="D9" s="77"/>
      <c r="E9" s="213"/>
    </row>
    <row r="10" spans="1:5" hidden="1" outlineLevel="1" x14ac:dyDescent="0.25">
      <c r="A10" s="212"/>
      <c r="B10" s="84"/>
      <c r="C10" s="77"/>
      <c r="D10" s="77"/>
      <c r="E10" s="213"/>
    </row>
    <row r="11" spans="1:5" hidden="1" outlineLevel="1" x14ac:dyDescent="0.25">
      <c r="A11" s="212"/>
      <c r="B11" s="84"/>
      <c r="C11" s="77"/>
      <c r="D11" s="77"/>
      <c r="E11" s="213"/>
    </row>
    <row r="12" spans="1:5" hidden="1" outlineLevel="1" x14ac:dyDescent="0.25">
      <c r="A12" s="212"/>
      <c r="B12" s="84"/>
      <c r="C12" s="77"/>
      <c r="D12" s="77"/>
      <c r="E12" s="213"/>
    </row>
    <row r="13" spans="1:5" hidden="1" outlineLevel="1" x14ac:dyDescent="0.25">
      <c r="A13" s="212"/>
      <c r="B13" s="84"/>
      <c r="C13" s="77"/>
      <c r="D13" s="77"/>
      <c r="E13" s="213"/>
    </row>
    <row r="14" spans="1:5" hidden="1" outlineLevel="1" x14ac:dyDescent="0.25">
      <c r="A14" s="212"/>
      <c r="B14" s="84"/>
      <c r="C14" s="77"/>
      <c r="D14" s="77"/>
      <c r="E14" s="213"/>
    </row>
    <row r="15" spans="1:5" hidden="1" outlineLevel="1" x14ac:dyDescent="0.25">
      <c r="A15" s="212"/>
      <c r="B15" s="84"/>
      <c r="C15" s="77"/>
      <c r="D15" s="77"/>
      <c r="E15" s="213"/>
    </row>
    <row r="16" spans="1:5" hidden="1" outlineLevel="1" x14ac:dyDescent="0.25">
      <c r="A16" s="212"/>
      <c r="B16" s="84"/>
      <c r="C16" s="77"/>
      <c r="D16" s="77"/>
      <c r="E16" s="213"/>
    </row>
    <row r="17" spans="1:5" hidden="1" outlineLevel="1" x14ac:dyDescent="0.25">
      <c r="A17" s="212"/>
      <c r="B17" s="84"/>
      <c r="C17" s="77"/>
      <c r="D17" s="77"/>
      <c r="E17" s="213"/>
    </row>
    <row r="18" spans="1:5" hidden="1" outlineLevel="1" x14ac:dyDescent="0.25">
      <c r="A18" s="212"/>
      <c r="B18" s="84"/>
      <c r="C18" s="77"/>
      <c r="D18" s="77"/>
      <c r="E18" s="213"/>
    </row>
    <row r="19" spans="1:5" hidden="1" outlineLevel="1" x14ac:dyDescent="0.25">
      <c r="A19" s="212"/>
      <c r="B19" s="84"/>
      <c r="C19" s="77"/>
      <c r="D19" s="77"/>
      <c r="E19" s="213"/>
    </row>
    <row r="20" spans="1:5" hidden="1" outlineLevel="1" x14ac:dyDescent="0.25">
      <c r="A20" s="212"/>
      <c r="B20" s="84"/>
      <c r="C20" s="77"/>
      <c r="D20" s="77"/>
      <c r="E20" s="213"/>
    </row>
    <row r="21" spans="1:5" hidden="1" outlineLevel="1" x14ac:dyDescent="0.25">
      <c r="A21" s="212"/>
      <c r="B21" s="84"/>
      <c r="C21" s="77"/>
      <c r="D21" s="77"/>
      <c r="E21" s="213"/>
    </row>
    <row r="22" spans="1:5" hidden="1" outlineLevel="1" x14ac:dyDescent="0.25">
      <c r="A22" s="212"/>
      <c r="B22" s="84"/>
      <c r="C22" s="77"/>
      <c r="D22" s="77"/>
      <c r="E22" s="213"/>
    </row>
    <row r="23" spans="1:5" hidden="1" outlineLevel="1" x14ac:dyDescent="0.25">
      <c r="A23" s="212"/>
      <c r="B23" s="84"/>
      <c r="C23" s="77"/>
      <c r="D23" s="77"/>
      <c r="E23" s="213"/>
    </row>
    <row r="24" spans="1:5" hidden="1" outlineLevel="1" x14ac:dyDescent="0.25">
      <c r="A24" s="212"/>
      <c r="B24" s="84"/>
      <c r="C24" s="77"/>
      <c r="D24" s="77"/>
      <c r="E24" s="213"/>
    </row>
    <row r="25" spans="1:5" hidden="1" outlineLevel="1" x14ac:dyDescent="0.25">
      <c r="A25" s="212"/>
      <c r="B25" s="84"/>
      <c r="C25" s="77"/>
      <c r="D25" s="77"/>
      <c r="E25" s="213"/>
    </row>
    <row r="26" spans="1:5" hidden="1" outlineLevel="1" x14ac:dyDescent="0.25">
      <c r="A26" s="212"/>
      <c r="B26" s="84"/>
      <c r="C26" s="77"/>
      <c r="D26" s="77"/>
      <c r="E26" s="213"/>
    </row>
    <row r="27" spans="1:5" hidden="1" outlineLevel="1" x14ac:dyDescent="0.25">
      <c r="A27" s="212"/>
      <c r="B27" s="84"/>
      <c r="C27" s="77"/>
      <c r="D27" s="77"/>
      <c r="E27" s="213"/>
    </row>
    <row r="28" spans="1:5" hidden="1" outlineLevel="1" x14ac:dyDescent="0.25">
      <c r="A28" s="212"/>
      <c r="B28" s="84"/>
      <c r="C28" s="77"/>
      <c r="D28" s="77"/>
      <c r="E28" s="213"/>
    </row>
    <row r="29" spans="1:5" hidden="1" outlineLevel="1" x14ac:dyDescent="0.25">
      <c r="A29" s="212"/>
      <c r="B29" s="84"/>
      <c r="C29" s="77"/>
      <c r="D29" s="77"/>
      <c r="E29" s="213"/>
    </row>
    <row r="30" spans="1:5" hidden="1" outlineLevel="1" x14ac:dyDescent="0.25">
      <c r="A30" s="212"/>
      <c r="B30" s="84"/>
      <c r="C30" s="77"/>
      <c r="D30" s="77"/>
      <c r="E30" s="213"/>
    </row>
    <row r="31" spans="1:5" hidden="1" outlineLevel="1" x14ac:dyDescent="0.25">
      <c r="A31" s="214"/>
      <c r="B31" s="215"/>
      <c r="C31" s="79"/>
      <c r="D31" s="79"/>
      <c r="E31" s="216"/>
    </row>
    <row r="32" spans="1:5" collapsed="1" x14ac:dyDescent="0.25">
      <c r="A32" s="217" t="s">
        <v>24</v>
      </c>
      <c r="B32" s="218">
        <f>SUBTOTAL(9,B33:B63)</f>
        <v>0</v>
      </c>
      <c r="C32" s="73"/>
      <c r="D32" s="73"/>
      <c r="E32" s="218">
        <f>E64+B32</f>
        <v>77032.14</v>
      </c>
    </row>
    <row r="33" spans="1:5" hidden="1" outlineLevel="1" x14ac:dyDescent="0.25">
      <c r="A33" s="209"/>
      <c r="B33" s="210"/>
      <c r="C33" s="75"/>
      <c r="D33" s="75"/>
      <c r="E33" s="211"/>
    </row>
    <row r="34" spans="1:5" hidden="1" outlineLevel="1" x14ac:dyDescent="0.25">
      <c r="A34" s="212"/>
      <c r="B34" s="84"/>
      <c r="C34" s="77"/>
      <c r="D34" s="77"/>
      <c r="E34" s="213"/>
    </row>
    <row r="35" spans="1:5" hidden="1" outlineLevel="1" x14ac:dyDescent="0.25">
      <c r="A35" s="212"/>
      <c r="B35" s="84"/>
      <c r="C35" s="77"/>
      <c r="D35" s="77"/>
      <c r="E35" s="213"/>
    </row>
    <row r="36" spans="1:5" hidden="1" outlineLevel="1" x14ac:dyDescent="0.25">
      <c r="A36" s="212"/>
      <c r="B36" s="84"/>
      <c r="C36" s="77"/>
      <c r="D36" s="77"/>
      <c r="E36" s="213"/>
    </row>
    <row r="37" spans="1:5" hidden="1" outlineLevel="1" x14ac:dyDescent="0.25">
      <c r="A37" s="212"/>
      <c r="B37" s="84"/>
      <c r="C37" s="77"/>
      <c r="D37" s="77"/>
      <c r="E37" s="213"/>
    </row>
    <row r="38" spans="1:5" hidden="1" outlineLevel="1" x14ac:dyDescent="0.25">
      <c r="A38" s="212"/>
      <c r="B38" s="84"/>
      <c r="C38" s="77"/>
      <c r="D38" s="77"/>
      <c r="E38" s="213"/>
    </row>
    <row r="39" spans="1:5" hidden="1" outlineLevel="1" x14ac:dyDescent="0.25">
      <c r="A39" s="212"/>
      <c r="B39" s="84"/>
      <c r="C39" s="77"/>
      <c r="D39" s="77"/>
      <c r="E39" s="213"/>
    </row>
    <row r="40" spans="1:5" hidden="1" outlineLevel="1" x14ac:dyDescent="0.25">
      <c r="A40" s="212"/>
      <c r="B40" s="84"/>
      <c r="C40" s="77"/>
      <c r="D40" s="77"/>
      <c r="E40" s="213"/>
    </row>
    <row r="41" spans="1:5" hidden="1" outlineLevel="1" x14ac:dyDescent="0.25">
      <c r="A41" s="212"/>
      <c r="B41" s="84"/>
      <c r="C41" s="77"/>
      <c r="D41" s="77"/>
      <c r="E41" s="213"/>
    </row>
    <row r="42" spans="1:5" hidden="1" outlineLevel="1" x14ac:dyDescent="0.25">
      <c r="A42" s="212"/>
      <c r="B42" s="84"/>
      <c r="C42" s="77"/>
      <c r="D42" s="77"/>
      <c r="E42" s="213"/>
    </row>
    <row r="43" spans="1:5" hidden="1" outlineLevel="1" x14ac:dyDescent="0.25">
      <c r="A43" s="212"/>
      <c r="B43" s="84"/>
      <c r="C43" s="77"/>
      <c r="D43" s="77"/>
      <c r="E43" s="213"/>
    </row>
    <row r="44" spans="1:5" hidden="1" outlineLevel="1" x14ac:dyDescent="0.25">
      <c r="A44" s="212"/>
      <c r="B44" s="84"/>
      <c r="C44" s="77"/>
      <c r="D44" s="77"/>
      <c r="E44" s="213"/>
    </row>
    <row r="45" spans="1:5" hidden="1" outlineLevel="1" x14ac:dyDescent="0.25">
      <c r="A45" s="212"/>
      <c r="B45" s="84"/>
      <c r="C45" s="77"/>
      <c r="D45" s="77"/>
      <c r="E45" s="213"/>
    </row>
    <row r="46" spans="1:5" hidden="1" outlineLevel="1" x14ac:dyDescent="0.25">
      <c r="A46" s="212"/>
      <c r="B46" s="84"/>
      <c r="C46" s="77"/>
      <c r="D46" s="77"/>
      <c r="E46" s="213"/>
    </row>
    <row r="47" spans="1:5" hidden="1" outlineLevel="1" x14ac:dyDescent="0.25">
      <c r="A47" s="212"/>
      <c r="B47" s="84"/>
      <c r="C47" s="77"/>
      <c r="D47" s="77"/>
      <c r="E47" s="213"/>
    </row>
    <row r="48" spans="1:5" hidden="1" outlineLevel="1" x14ac:dyDescent="0.25">
      <c r="A48" s="212"/>
      <c r="B48" s="84"/>
      <c r="C48" s="77"/>
      <c r="D48" s="77"/>
      <c r="E48" s="213"/>
    </row>
    <row r="49" spans="1:5" hidden="1" outlineLevel="1" x14ac:dyDescent="0.25">
      <c r="A49" s="212"/>
      <c r="B49" s="84"/>
      <c r="C49" s="77"/>
      <c r="D49" s="77"/>
      <c r="E49" s="213"/>
    </row>
    <row r="50" spans="1:5" hidden="1" outlineLevel="1" x14ac:dyDescent="0.25">
      <c r="A50" s="212"/>
      <c r="B50" s="84"/>
      <c r="C50" s="77"/>
      <c r="D50" s="77"/>
      <c r="E50" s="213"/>
    </row>
    <row r="51" spans="1:5" hidden="1" outlineLevel="1" x14ac:dyDescent="0.25">
      <c r="A51" s="212"/>
      <c r="B51" s="84"/>
      <c r="C51" s="77"/>
      <c r="D51" s="77"/>
      <c r="E51" s="213"/>
    </row>
    <row r="52" spans="1:5" hidden="1" outlineLevel="1" x14ac:dyDescent="0.25">
      <c r="A52" s="212"/>
      <c r="B52" s="84"/>
      <c r="C52" s="77"/>
      <c r="D52" s="77"/>
      <c r="E52" s="213"/>
    </row>
    <row r="53" spans="1:5" hidden="1" outlineLevel="1" x14ac:dyDescent="0.25">
      <c r="A53" s="212"/>
      <c r="B53" s="84"/>
      <c r="C53" s="77"/>
      <c r="D53" s="77"/>
      <c r="E53" s="213"/>
    </row>
    <row r="54" spans="1:5" hidden="1" outlineLevel="1" x14ac:dyDescent="0.25">
      <c r="A54" s="212"/>
      <c r="B54" s="84"/>
      <c r="C54" s="77"/>
      <c r="D54" s="77"/>
      <c r="E54" s="213"/>
    </row>
    <row r="55" spans="1:5" hidden="1" outlineLevel="1" x14ac:dyDescent="0.25">
      <c r="A55" s="212"/>
      <c r="B55" s="84"/>
      <c r="C55" s="77"/>
      <c r="D55" s="77"/>
      <c r="E55" s="213"/>
    </row>
    <row r="56" spans="1:5" hidden="1" outlineLevel="1" x14ac:dyDescent="0.25">
      <c r="A56" s="212"/>
      <c r="B56" s="84"/>
      <c r="C56" s="77"/>
      <c r="D56" s="77"/>
      <c r="E56" s="213"/>
    </row>
    <row r="57" spans="1:5" hidden="1" outlineLevel="1" x14ac:dyDescent="0.25">
      <c r="A57" s="212"/>
      <c r="B57" s="84"/>
      <c r="C57" s="77"/>
      <c r="D57" s="77"/>
      <c r="E57" s="213"/>
    </row>
    <row r="58" spans="1:5" hidden="1" outlineLevel="1" x14ac:dyDescent="0.25">
      <c r="A58" s="212"/>
      <c r="B58" s="84"/>
      <c r="C58" s="77"/>
      <c r="D58" s="77"/>
      <c r="E58" s="213"/>
    </row>
    <row r="59" spans="1:5" hidden="1" outlineLevel="1" x14ac:dyDescent="0.25">
      <c r="A59" s="212"/>
      <c r="B59" s="84"/>
      <c r="C59" s="77"/>
      <c r="D59" s="77"/>
      <c r="E59" s="213"/>
    </row>
    <row r="60" spans="1:5" hidden="1" outlineLevel="1" x14ac:dyDescent="0.25">
      <c r="A60" s="212"/>
      <c r="B60" s="84"/>
      <c r="C60" s="77"/>
      <c r="D60" s="77"/>
      <c r="E60" s="213"/>
    </row>
    <row r="61" spans="1:5" hidden="1" outlineLevel="1" x14ac:dyDescent="0.25">
      <c r="A61" s="212"/>
      <c r="B61" s="84"/>
      <c r="C61" s="77"/>
      <c r="D61" s="77"/>
      <c r="E61" s="213"/>
    </row>
    <row r="62" spans="1:5" hidden="1" outlineLevel="1" x14ac:dyDescent="0.25">
      <c r="A62" s="212"/>
      <c r="B62" s="84"/>
      <c r="C62" s="77"/>
      <c r="D62" s="77"/>
      <c r="E62" s="213"/>
    </row>
    <row r="63" spans="1:5" hidden="1" outlineLevel="1" x14ac:dyDescent="0.25">
      <c r="A63" s="214"/>
      <c r="B63" s="215"/>
      <c r="C63" s="79"/>
      <c r="D63" s="79"/>
      <c r="E63" s="216"/>
    </row>
    <row r="64" spans="1:5" collapsed="1" x14ac:dyDescent="0.25">
      <c r="A64" s="217" t="s">
        <v>23</v>
      </c>
      <c r="B64" s="218">
        <f>SUBTOTAL(9,B65:B92)</f>
        <v>0</v>
      </c>
      <c r="C64" s="73"/>
      <c r="D64" s="73"/>
      <c r="E64" s="218">
        <f>E93+B64</f>
        <v>77032.14</v>
      </c>
    </row>
    <row r="65" spans="1:5" hidden="1" outlineLevel="1" x14ac:dyDescent="0.25">
      <c r="A65" s="209"/>
      <c r="B65" s="210"/>
      <c r="C65" s="75"/>
      <c r="D65" s="75"/>
      <c r="E65" s="211"/>
    </row>
    <row r="66" spans="1:5" hidden="1" outlineLevel="1" x14ac:dyDescent="0.25">
      <c r="A66" s="212"/>
      <c r="B66" s="84"/>
      <c r="C66" s="77"/>
      <c r="D66" s="77"/>
      <c r="E66" s="213"/>
    </row>
    <row r="67" spans="1:5" hidden="1" outlineLevel="1" x14ac:dyDescent="0.25">
      <c r="A67" s="212"/>
      <c r="B67" s="84"/>
      <c r="C67" s="77"/>
      <c r="D67" s="77"/>
      <c r="E67" s="213"/>
    </row>
    <row r="68" spans="1:5" hidden="1" outlineLevel="1" x14ac:dyDescent="0.25">
      <c r="A68" s="212"/>
      <c r="B68" s="84"/>
      <c r="C68" s="77"/>
      <c r="D68" s="77"/>
      <c r="E68" s="213"/>
    </row>
    <row r="69" spans="1:5" hidden="1" outlineLevel="1" x14ac:dyDescent="0.25">
      <c r="A69" s="212"/>
      <c r="B69" s="84"/>
      <c r="C69" s="77"/>
      <c r="D69" s="77"/>
      <c r="E69" s="213"/>
    </row>
    <row r="70" spans="1:5" hidden="1" outlineLevel="1" x14ac:dyDescent="0.25">
      <c r="A70" s="212"/>
      <c r="B70" s="84"/>
      <c r="C70" s="77"/>
      <c r="D70" s="77"/>
      <c r="E70" s="213"/>
    </row>
    <row r="71" spans="1:5" hidden="1" outlineLevel="1" x14ac:dyDescent="0.25">
      <c r="A71" s="212"/>
      <c r="B71" s="84"/>
      <c r="C71" s="77"/>
      <c r="D71" s="77"/>
      <c r="E71" s="213"/>
    </row>
    <row r="72" spans="1:5" hidden="1" outlineLevel="1" x14ac:dyDescent="0.25">
      <c r="A72" s="212"/>
      <c r="B72" s="84"/>
      <c r="C72" s="77"/>
      <c r="D72" s="77"/>
      <c r="E72" s="213"/>
    </row>
    <row r="73" spans="1:5" hidden="1" outlineLevel="1" x14ac:dyDescent="0.25">
      <c r="A73" s="212"/>
      <c r="B73" s="84"/>
      <c r="C73" s="77"/>
      <c r="D73" s="77"/>
      <c r="E73" s="213"/>
    </row>
    <row r="74" spans="1:5" hidden="1" outlineLevel="1" x14ac:dyDescent="0.25">
      <c r="A74" s="212"/>
      <c r="B74" s="84"/>
      <c r="C74" s="77"/>
      <c r="D74" s="77"/>
      <c r="E74" s="213"/>
    </row>
    <row r="75" spans="1:5" hidden="1" outlineLevel="1" x14ac:dyDescent="0.25">
      <c r="A75" s="212"/>
      <c r="B75" s="84"/>
      <c r="C75" s="77"/>
      <c r="D75" s="77"/>
      <c r="E75" s="213"/>
    </row>
    <row r="76" spans="1:5" hidden="1" outlineLevel="1" x14ac:dyDescent="0.25">
      <c r="A76" s="212"/>
      <c r="B76" s="84"/>
      <c r="C76" s="77"/>
      <c r="D76" s="77"/>
      <c r="E76" s="213"/>
    </row>
    <row r="77" spans="1:5" hidden="1" outlineLevel="1" x14ac:dyDescent="0.25">
      <c r="A77" s="212"/>
      <c r="B77" s="84"/>
      <c r="C77" s="77"/>
      <c r="D77" s="77"/>
      <c r="E77" s="213"/>
    </row>
    <row r="78" spans="1:5" hidden="1" outlineLevel="1" x14ac:dyDescent="0.25">
      <c r="A78" s="212"/>
      <c r="B78" s="84"/>
      <c r="C78" s="77"/>
      <c r="D78" s="77"/>
      <c r="E78" s="213"/>
    </row>
    <row r="79" spans="1:5" hidden="1" outlineLevel="1" x14ac:dyDescent="0.25">
      <c r="A79" s="212"/>
      <c r="B79" s="84"/>
      <c r="C79" s="77"/>
      <c r="D79" s="77"/>
      <c r="E79" s="213"/>
    </row>
    <row r="80" spans="1:5" hidden="1" outlineLevel="1" x14ac:dyDescent="0.25">
      <c r="A80" s="212"/>
      <c r="B80" s="84"/>
      <c r="C80" s="77"/>
      <c r="D80" s="77"/>
      <c r="E80" s="213"/>
    </row>
    <row r="81" spans="1:5" hidden="1" outlineLevel="1" x14ac:dyDescent="0.25">
      <c r="A81" s="212"/>
      <c r="B81" s="84"/>
      <c r="C81" s="77"/>
      <c r="D81" s="77"/>
      <c r="E81" s="213"/>
    </row>
    <row r="82" spans="1:5" hidden="1" outlineLevel="1" x14ac:dyDescent="0.25">
      <c r="A82" s="212"/>
      <c r="B82" s="84"/>
      <c r="C82" s="77"/>
      <c r="D82" s="77"/>
      <c r="E82" s="213"/>
    </row>
    <row r="83" spans="1:5" hidden="1" outlineLevel="1" x14ac:dyDescent="0.25">
      <c r="A83" s="212"/>
      <c r="B83" s="84"/>
      <c r="C83" s="77"/>
      <c r="D83" s="77"/>
      <c r="E83" s="213"/>
    </row>
    <row r="84" spans="1:5" hidden="1" outlineLevel="1" x14ac:dyDescent="0.25">
      <c r="A84" s="212"/>
      <c r="B84" s="84"/>
      <c r="C84" s="77"/>
      <c r="D84" s="77"/>
      <c r="E84" s="213"/>
    </row>
    <row r="85" spans="1:5" hidden="1" outlineLevel="1" x14ac:dyDescent="0.25">
      <c r="A85" s="212"/>
      <c r="B85" s="84"/>
      <c r="C85" s="77"/>
      <c r="D85" s="77"/>
      <c r="E85" s="213"/>
    </row>
    <row r="86" spans="1:5" hidden="1" outlineLevel="1" x14ac:dyDescent="0.25">
      <c r="A86" s="212"/>
      <c r="B86" s="84"/>
      <c r="C86" s="77"/>
      <c r="D86" s="77"/>
      <c r="E86" s="213"/>
    </row>
    <row r="87" spans="1:5" hidden="1" outlineLevel="1" x14ac:dyDescent="0.25">
      <c r="A87" s="212"/>
      <c r="B87" s="84"/>
      <c r="C87" s="77"/>
      <c r="D87" s="77"/>
      <c r="E87" s="213"/>
    </row>
    <row r="88" spans="1:5" hidden="1" outlineLevel="1" x14ac:dyDescent="0.25">
      <c r="A88" s="212"/>
      <c r="B88" s="84"/>
      <c r="C88" s="77"/>
      <c r="D88" s="77"/>
      <c r="E88" s="213"/>
    </row>
    <row r="89" spans="1:5" hidden="1" outlineLevel="1" x14ac:dyDescent="0.25">
      <c r="A89" s="212"/>
      <c r="B89" s="84"/>
      <c r="C89" s="77"/>
      <c r="D89" s="77"/>
      <c r="E89" s="213"/>
    </row>
    <row r="90" spans="1:5" hidden="1" outlineLevel="1" x14ac:dyDescent="0.25">
      <c r="A90" s="212"/>
      <c r="B90" s="84"/>
      <c r="C90" s="77"/>
      <c r="D90" s="77"/>
      <c r="E90" s="213"/>
    </row>
    <row r="91" spans="1:5" hidden="1" outlineLevel="1" x14ac:dyDescent="0.25">
      <c r="A91" s="212"/>
      <c r="B91" s="84"/>
      <c r="C91" s="77"/>
      <c r="D91" s="77"/>
      <c r="E91" s="213"/>
    </row>
    <row r="92" spans="1:5" hidden="1" outlineLevel="1" x14ac:dyDescent="0.25">
      <c r="A92" s="212"/>
      <c r="B92" s="84"/>
      <c r="C92" s="77"/>
      <c r="D92" s="77"/>
      <c r="E92" s="213"/>
    </row>
    <row r="93" spans="1:5" collapsed="1" x14ac:dyDescent="0.25">
      <c r="A93" s="207" t="s">
        <v>21</v>
      </c>
      <c r="B93" s="206">
        <f>SUBTOTAL(9,B94:B127)</f>
        <v>0</v>
      </c>
      <c r="C93" s="208"/>
      <c r="D93" s="208"/>
      <c r="E93" s="206">
        <f>E128+B93</f>
        <v>77032.14</v>
      </c>
    </row>
    <row r="94" spans="1:5" hidden="1" outlineLevel="1" x14ac:dyDescent="0.25">
      <c r="A94" s="209"/>
      <c r="B94" s="210"/>
      <c r="C94" s="75"/>
      <c r="D94" s="75"/>
      <c r="E94" s="211"/>
    </row>
    <row r="95" spans="1:5" hidden="1" outlineLevel="1" x14ac:dyDescent="0.25">
      <c r="A95" s="212"/>
      <c r="B95" s="84"/>
      <c r="C95" s="77"/>
      <c r="D95" s="77"/>
      <c r="E95" s="213"/>
    </row>
    <row r="96" spans="1:5" hidden="1" outlineLevel="1" x14ac:dyDescent="0.25">
      <c r="A96" s="212"/>
      <c r="B96" s="84"/>
      <c r="C96" s="77"/>
      <c r="D96" s="77"/>
      <c r="E96" s="213"/>
    </row>
    <row r="97" spans="1:5" hidden="1" outlineLevel="1" x14ac:dyDescent="0.25">
      <c r="A97" s="212"/>
      <c r="B97" s="84"/>
      <c r="C97" s="77"/>
      <c r="D97" s="77"/>
      <c r="E97" s="213"/>
    </row>
    <row r="98" spans="1:5" hidden="1" outlineLevel="1" x14ac:dyDescent="0.25">
      <c r="A98" s="212"/>
      <c r="B98" s="84"/>
      <c r="C98" s="77"/>
      <c r="D98" s="77"/>
      <c r="E98" s="213"/>
    </row>
    <row r="99" spans="1:5" hidden="1" outlineLevel="1" x14ac:dyDescent="0.25">
      <c r="A99" s="212"/>
      <c r="B99" s="84"/>
      <c r="C99" s="77"/>
      <c r="D99" s="77"/>
      <c r="E99" s="213"/>
    </row>
    <row r="100" spans="1:5" hidden="1" outlineLevel="1" x14ac:dyDescent="0.25">
      <c r="A100" s="212"/>
      <c r="B100" s="84"/>
      <c r="C100" s="77"/>
      <c r="D100" s="77"/>
      <c r="E100" s="213"/>
    </row>
    <row r="101" spans="1:5" hidden="1" outlineLevel="1" x14ac:dyDescent="0.25">
      <c r="A101" s="212"/>
      <c r="B101" s="84"/>
      <c r="C101" s="77"/>
      <c r="D101" s="77"/>
      <c r="E101" s="213"/>
    </row>
    <row r="102" spans="1:5" hidden="1" outlineLevel="1" x14ac:dyDescent="0.25">
      <c r="A102" s="212"/>
      <c r="B102" s="84"/>
      <c r="C102" s="77"/>
      <c r="D102" s="77"/>
      <c r="E102" s="213"/>
    </row>
    <row r="103" spans="1:5" hidden="1" outlineLevel="1" x14ac:dyDescent="0.25">
      <c r="A103" s="212"/>
      <c r="B103" s="84"/>
      <c r="C103" s="77"/>
      <c r="D103" s="77"/>
      <c r="E103" s="213"/>
    </row>
    <row r="104" spans="1:5" hidden="1" outlineLevel="1" x14ac:dyDescent="0.25">
      <c r="A104" s="212"/>
      <c r="B104" s="84"/>
      <c r="C104" s="77"/>
      <c r="D104" s="77"/>
      <c r="E104" s="213"/>
    </row>
    <row r="105" spans="1:5" hidden="1" outlineLevel="1" x14ac:dyDescent="0.25">
      <c r="A105" s="212"/>
      <c r="B105" s="84"/>
      <c r="C105" s="77"/>
      <c r="D105" s="77"/>
      <c r="E105" s="213"/>
    </row>
    <row r="106" spans="1:5" hidden="1" outlineLevel="1" x14ac:dyDescent="0.25">
      <c r="A106" s="212"/>
      <c r="B106" s="84"/>
      <c r="C106" s="77"/>
      <c r="D106" s="77"/>
      <c r="E106" s="213"/>
    </row>
    <row r="107" spans="1:5" hidden="1" outlineLevel="1" x14ac:dyDescent="0.25">
      <c r="A107" s="212"/>
      <c r="B107" s="84"/>
      <c r="C107" s="77"/>
      <c r="D107" s="77"/>
      <c r="E107" s="213"/>
    </row>
    <row r="108" spans="1:5" hidden="1" outlineLevel="1" x14ac:dyDescent="0.25">
      <c r="A108" s="212"/>
      <c r="B108" s="84"/>
      <c r="C108" s="77"/>
      <c r="D108" s="77"/>
      <c r="E108" s="213"/>
    </row>
    <row r="109" spans="1:5" hidden="1" outlineLevel="1" x14ac:dyDescent="0.25">
      <c r="A109" s="212"/>
      <c r="B109" s="84"/>
      <c r="C109" s="77"/>
      <c r="D109" s="77"/>
      <c r="E109" s="213"/>
    </row>
    <row r="110" spans="1:5" hidden="1" outlineLevel="1" x14ac:dyDescent="0.25">
      <c r="A110" s="212"/>
      <c r="B110" s="84"/>
      <c r="C110" s="77"/>
      <c r="D110" s="77"/>
      <c r="E110" s="213"/>
    </row>
    <row r="111" spans="1:5" hidden="1" outlineLevel="1" x14ac:dyDescent="0.25">
      <c r="A111" s="212"/>
      <c r="B111" s="84"/>
      <c r="C111" s="77"/>
      <c r="D111" s="77"/>
      <c r="E111" s="213"/>
    </row>
    <row r="112" spans="1:5" hidden="1" outlineLevel="1" x14ac:dyDescent="0.25">
      <c r="A112" s="212"/>
      <c r="B112" s="84"/>
      <c r="C112" s="77"/>
      <c r="D112" s="77"/>
      <c r="E112" s="213"/>
    </row>
    <row r="113" spans="1:5" hidden="1" outlineLevel="1" x14ac:dyDescent="0.25">
      <c r="A113" s="212"/>
      <c r="B113" s="84"/>
      <c r="C113" s="77"/>
      <c r="D113" s="77"/>
      <c r="E113" s="213"/>
    </row>
    <row r="114" spans="1:5" hidden="1" outlineLevel="1" x14ac:dyDescent="0.25">
      <c r="A114" s="212"/>
      <c r="B114" s="84"/>
      <c r="C114" s="77"/>
      <c r="D114" s="77"/>
      <c r="E114" s="213"/>
    </row>
    <row r="115" spans="1:5" hidden="1" outlineLevel="1" x14ac:dyDescent="0.25">
      <c r="A115" s="212"/>
      <c r="B115" s="84"/>
      <c r="C115" s="77"/>
      <c r="D115" s="77"/>
      <c r="E115" s="213"/>
    </row>
    <row r="116" spans="1:5" hidden="1" outlineLevel="1" x14ac:dyDescent="0.25">
      <c r="A116" s="212"/>
      <c r="B116" s="84"/>
      <c r="C116" s="77"/>
      <c r="D116" s="77"/>
      <c r="E116" s="213"/>
    </row>
    <row r="117" spans="1:5" hidden="1" outlineLevel="1" x14ac:dyDescent="0.25">
      <c r="A117" s="212"/>
      <c r="B117" s="84"/>
      <c r="C117" s="77"/>
      <c r="D117" s="77"/>
      <c r="E117" s="213"/>
    </row>
    <row r="118" spans="1:5" hidden="1" outlineLevel="1" x14ac:dyDescent="0.25">
      <c r="A118" s="212"/>
      <c r="B118" s="84"/>
      <c r="C118" s="77"/>
      <c r="D118" s="77"/>
      <c r="E118" s="213"/>
    </row>
    <row r="119" spans="1:5" hidden="1" outlineLevel="1" x14ac:dyDescent="0.25">
      <c r="A119" s="212"/>
      <c r="B119" s="84"/>
      <c r="C119" s="77"/>
      <c r="D119" s="77"/>
      <c r="E119" s="213"/>
    </row>
    <row r="120" spans="1:5" hidden="1" outlineLevel="1" x14ac:dyDescent="0.25">
      <c r="A120" s="212"/>
      <c r="B120" s="84"/>
      <c r="C120" s="77"/>
      <c r="D120" s="77"/>
      <c r="E120" s="213"/>
    </row>
    <row r="121" spans="1:5" hidden="1" outlineLevel="1" x14ac:dyDescent="0.25">
      <c r="A121" s="212"/>
      <c r="B121" s="84"/>
      <c r="C121" s="77"/>
      <c r="D121" s="77"/>
      <c r="E121" s="213"/>
    </row>
    <row r="122" spans="1:5" hidden="1" outlineLevel="1" x14ac:dyDescent="0.25">
      <c r="A122" s="212"/>
      <c r="B122" s="84"/>
      <c r="C122" s="77"/>
      <c r="D122" s="77"/>
      <c r="E122" s="213"/>
    </row>
    <row r="123" spans="1:5" hidden="1" outlineLevel="1" x14ac:dyDescent="0.25">
      <c r="A123" s="212"/>
      <c r="B123" s="84"/>
      <c r="C123" s="77"/>
      <c r="D123" s="77"/>
      <c r="E123" s="213"/>
    </row>
    <row r="124" spans="1:5" hidden="1" outlineLevel="1" x14ac:dyDescent="0.25">
      <c r="A124" s="212"/>
      <c r="B124" s="84"/>
      <c r="C124" s="77"/>
      <c r="D124" s="77"/>
      <c r="E124" s="213"/>
    </row>
    <row r="125" spans="1:5" hidden="1" outlineLevel="1" x14ac:dyDescent="0.25">
      <c r="A125" s="212"/>
      <c r="B125" s="84"/>
      <c r="C125" s="77"/>
      <c r="D125" s="77"/>
      <c r="E125" s="213"/>
    </row>
    <row r="126" spans="1:5" hidden="1" outlineLevel="1" x14ac:dyDescent="0.25">
      <c r="A126" s="212"/>
      <c r="B126" s="84"/>
      <c r="C126" s="77"/>
      <c r="D126" s="77"/>
      <c r="E126" s="213"/>
    </row>
    <row r="127" spans="1:5" hidden="1" outlineLevel="1" x14ac:dyDescent="0.25">
      <c r="A127" s="214"/>
      <c r="B127" s="215"/>
      <c r="C127" s="79"/>
      <c r="D127" s="79"/>
      <c r="E127" s="216"/>
    </row>
    <row r="128" spans="1:5" collapsed="1" x14ac:dyDescent="0.25">
      <c r="A128" s="217" t="s">
        <v>20</v>
      </c>
      <c r="B128" s="218">
        <f>SUBTOTAL(9,B129:B154)</f>
        <v>0</v>
      </c>
      <c r="C128" s="73"/>
      <c r="D128" s="73"/>
      <c r="E128" s="218">
        <f>E155+B128</f>
        <v>77032.14</v>
      </c>
    </row>
    <row r="129" spans="1:5" s="22" customFormat="1" hidden="1" outlineLevel="1" x14ac:dyDescent="0.25">
      <c r="A129" s="209"/>
      <c r="B129" s="210"/>
      <c r="C129" s="75"/>
      <c r="D129" s="75"/>
      <c r="E129" s="211"/>
    </row>
    <row r="130" spans="1:5" hidden="1" outlineLevel="1" x14ac:dyDescent="0.25">
      <c r="A130" s="212"/>
      <c r="B130" s="84"/>
      <c r="C130" s="77"/>
      <c r="D130" s="77"/>
      <c r="E130" s="213"/>
    </row>
    <row r="131" spans="1:5" hidden="1" outlineLevel="1" x14ac:dyDescent="0.25">
      <c r="A131" s="212"/>
      <c r="B131" s="84"/>
      <c r="C131" s="77"/>
      <c r="D131" s="77"/>
      <c r="E131" s="213"/>
    </row>
    <row r="132" spans="1:5" hidden="1" outlineLevel="1" x14ac:dyDescent="0.25">
      <c r="A132" s="212"/>
      <c r="B132" s="84"/>
      <c r="C132" s="77"/>
      <c r="D132" s="77"/>
      <c r="E132" s="213"/>
    </row>
    <row r="133" spans="1:5" hidden="1" outlineLevel="1" x14ac:dyDescent="0.25">
      <c r="A133" s="212"/>
      <c r="B133" s="84"/>
      <c r="C133" s="77"/>
      <c r="D133" s="77"/>
      <c r="E133" s="213"/>
    </row>
    <row r="134" spans="1:5" hidden="1" outlineLevel="1" x14ac:dyDescent="0.25">
      <c r="A134" s="212"/>
      <c r="B134" s="84"/>
      <c r="C134" s="77"/>
      <c r="D134" s="77"/>
      <c r="E134" s="213"/>
    </row>
    <row r="135" spans="1:5" hidden="1" outlineLevel="1" x14ac:dyDescent="0.25">
      <c r="A135" s="212"/>
      <c r="B135" s="84"/>
      <c r="C135" s="77"/>
      <c r="D135" s="77"/>
      <c r="E135" s="213"/>
    </row>
    <row r="136" spans="1:5" hidden="1" outlineLevel="1" x14ac:dyDescent="0.25">
      <c r="A136" s="212"/>
      <c r="B136" s="84"/>
      <c r="C136" s="77"/>
      <c r="D136" s="77"/>
      <c r="E136" s="213"/>
    </row>
    <row r="137" spans="1:5" hidden="1" outlineLevel="1" x14ac:dyDescent="0.25">
      <c r="A137" s="212"/>
      <c r="B137" s="84"/>
      <c r="C137" s="77"/>
      <c r="D137" s="77"/>
      <c r="E137" s="213"/>
    </row>
    <row r="138" spans="1:5" hidden="1" outlineLevel="1" x14ac:dyDescent="0.25">
      <c r="A138" s="212"/>
      <c r="B138" s="84"/>
      <c r="C138" s="77"/>
      <c r="D138" s="77"/>
      <c r="E138" s="213"/>
    </row>
    <row r="139" spans="1:5" hidden="1" outlineLevel="1" x14ac:dyDescent="0.25">
      <c r="A139" s="212"/>
      <c r="B139" s="84"/>
      <c r="C139" s="77"/>
      <c r="D139" s="77"/>
      <c r="E139" s="213"/>
    </row>
    <row r="140" spans="1:5" hidden="1" outlineLevel="1" x14ac:dyDescent="0.25">
      <c r="A140" s="212"/>
      <c r="B140" s="84"/>
      <c r="C140" s="77"/>
      <c r="D140" s="77"/>
      <c r="E140" s="213"/>
    </row>
    <row r="141" spans="1:5" hidden="1" outlineLevel="1" x14ac:dyDescent="0.25">
      <c r="A141" s="212"/>
      <c r="B141" s="84"/>
      <c r="C141" s="77"/>
      <c r="D141" s="77"/>
      <c r="E141" s="213"/>
    </row>
    <row r="142" spans="1:5" hidden="1" outlineLevel="1" x14ac:dyDescent="0.25">
      <c r="A142" s="212"/>
      <c r="B142" s="84"/>
      <c r="C142" s="77"/>
      <c r="D142" s="77"/>
      <c r="E142" s="213"/>
    </row>
    <row r="143" spans="1:5" hidden="1" outlineLevel="1" x14ac:dyDescent="0.25">
      <c r="A143" s="212"/>
      <c r="B143" s="84"/>
      <c r="C143" s="77"/>
      <c r="D143" s="77"/>
      <c r="E143" s="213"/>
    </row>
    <row r="144" spans="1:5" hidden="1" outlineLevel="1" x14ac:dyDescent="0.25">
      <c r="A144" s="212"/>
      <c r="B144" s="84"/>
      <c r="C144" s="77"/>
      <c r="D144" s="77"/>
      <c r="E144" s="213"/>
    </row>
    <row r="145" spans="1:5" hidden="1" outlineLevel="1" x14ac:dyDescent="0.25">
      <c r="A145" s="212"/>
      <c r="B145" s="84"/>
      <c r="C145" s="77"/>
      <c r="D145" s="77"/>
      <c r="E145" s="213"/>
    </row>
    <row r="146" spans="1:5" hidden="1" outlineLevel="1" x14ac:dyDescent="0.25">
      <c r="A146" s="212"/>
      <c r="B146" s="84"/>
      <c r="C146" s="77"/>
      <c r="D146" s="77"/>
      <c r="E146" s="213"/>
    </row>
    <row r="147" spans="1:5" hidden="1" outlineLevel="1" x14ac:dyDescent="0.25">
      <c r="A147" s="212"/>
      <c r="B147" s="84"/>
      <c r="C147" s="77"/>
      <c r="D147" s="77"/>
      <c r="E147" s="213"/>
    </row>
    <row r="148" spans="1:5" hidden="1" outlineLevel="1" x14ac:dyDescent="0.25">
      <c r="A148" s="212"/>
      <c r="B148" s="84"/>
      <c r="C148" s="77"/>
      <c r="D148" s="77"/>
      <c r="E148" s="213"/>
    </row>
    <row r="149" spans="1:5" hidden="1" outlineLevel="1" x14ac:dyDescent="0.25">
      <c r="A149" s="212"/>
      <c r="B149" s="84"/>
      <c r="C149" s="77"/>
      <c r="D149" s="77"/>
      <c r="E149" s="213"/>
    </row>
    <row r="150" spans="1:5" hidden="1" outlineLevel="1" x14ac:dyDescent="0.25">
      <c r="A150" s="212"/>
      <c r="B150" s="84"/>
      <c r="C150" s="77"/>
      <c r="D150" s="77"/>
      <c r="E150" s="213"/>
    </row>
    <row r="151" spans="1:5" hidden="1" outlineLevel="1" x14ac:dyDescent="0.25">
      <c r="A151" s="212"/>
      <c r="B151" s="84"/>
      <c r="C151" s="77"/>
      <c r="D151" s="77"/>
      <c r="E151" s="213"/>
    </row>
    <row r="152" spans="1:5" hidden="1" outlineLevel="1" x14ac:dyDescent="0.25">
      <c r="A152" s="212"/>
      <c r="B152" s="84"/>
      <c r="C152" s="77"/>
      <c r="D152" s="77"/>
      <c r="E152" s="213"/>
    </row>
    <row r="153" spans="1:5" hidden="1" outlineLevel="1" x14ac:dyDescent="0.25">
      <c r="A153" s="212"/>
      <c r="B153" s="84"/>
      <c r="C153" s="77"/>
      <c r="D153" s="77"/>
      <c r="E153" s="213"/>
    </row>
    <row r="154" spans="1:5" hidden="1" outlineLevel="1" x14ac:dyDescent="0.25">
      <c r="A154" s="214"/>
      <c r="B154" s="215"/>
      <c r="C154" s="79"/>
      <c r="D154" s="79"/>
      <c r="E154" s="216"/>
    </row>
    <row r="155" spans="1:5" collapsed="1" x14ac:dyDescent="0.25">
      <c r="A155" s="217" t="s">
        <v>19</v>
      </c>
      <c r="B155" s="218">
        <f>SUBTOTAL(9,B156:B189)</f>
        <v>0</v>
      </c>
      <c r="C155" s="73"/>
      <c r="D155" s="73"/>
      <c r="E155" s="218">
        <f>E190+B155</f>
        <v>77032.14</v>
      </c>
    </row>
    <row r="156" spans="1:5" s="22" customFormat="1" hidden="1" outlineLevel="1" x14ac:dyDescent="0.25">
      <c r="A156" s="209"/>
      <c r="B156" s="210"/>
      <c r="C156" s="75"/>
      <c r="D156" s="75"/>
      <c r="E156" s="211"/>
    </row>
    <row r="157" spans="1:5" hidden="1" outlineLevel="1" x14ac:dyDescent="0.25">
      <c r="A157" s="212"/>
      <c r="B157" s="84"/>
      <c r="C157" s="77"/>
      <c r="D157" s="77"/>
      <c r="E157" s="213"/>
    </row>
    <row r="158" spans="1:5" hidden="1" outlineLevel="1" x14ac:dyDescent="0.25">
      <c r="A158" s="212"/>
      <c r="B158" s="84"/>
      <c r="C158" s="77"/>
      <c r="D158" s="77"/>
      <c r="E158" s="213"/>
    </row>
    <row r="159" spans="1:5" hidden="1" outlineLevel="1" x14ac:dyDescent="0.25">
      <c r="A159" s="212"/>
      <c r="B159" s="84"/>
      <c r="C159" s="77"/>
      <c r="D159" s="77"/>
      <c r="E159" s="213"/>
    </row>
    <row r="160" spans="1:5" hidden="1" outlineLevel="1" x14ac:dyDescent="0.25">
      <c r="A160" s="212"/>
      <c r="B160" s="84"/>
      <c r="C160" s="77"/>
      <c r="D160" s="77"/>
      <c r="E160" s="213"/>
    </row>
    <row r="161" spans="1:5" hidden="1" outlineLevel="1" x14ac:dyDescent="0.25">
      <c r="A161" s="212"/>
      <c r="B161" s="84"/>
      <c r="C161" s="77"/>
      <c r="D161" s="77"/>
      <c r="E161" s="213"/>
    </row>
    <row r="162" spans="1:5" hidden="1" outlineLevel="1" x14ac:dyDescent="0.25">
      <c r="A162" s="212"/>
      <c r="B162" s="84"/>
      <c r="C162" s="77"/>
      <c r="D162" s="77"/>
      <c r="E162" s="213"/>
    </row>
    <row r="163" spans="1:5" hidden="1" outlineLevel="1" x14ac:dyDescent="0.25">
      <c r="A163" s="212"/>
      <c r="B163" s="84"/>
      <c r="C163" s="77"/>
      <c r="D163" s="77"/>
      <c r="E163" s="213"/>
    </row>
    <row r="164" spans="1:5" hidden="1" outlineLevel="1" x14ac:dyDescent="0.25">
      <c r="A164" s="212"/>
      <c r="B164" s="84"/>
      <c r="C164" s="77"/>
      <c r="D164" s="77"/>
      <c r="E164" s="213"/>
    </row>
    <row r="165" spans="1:5" hidden="1" outlineLevel="1" x14ac:dyDescent="0.25">
      <c r="A165" s="212"/>
      <c r="B165" s="84"/>
      <c r="C165" s="77"/>
      <c r="D165" s="77"/>
      <c r="E165" s="213"/>
    </row>
    <row r="166" spans="1:5" hidden="1" outlineLevel="1" x14ac:dyDescent="0.25">
      <c r="A166" s="212"/>
      <c r="B166" s="84"/>
      <c r="C166" s="77"/>
      <c r="D166" s="77"/>
      <c r="E166" s="213"/>
    </row>
    <row r="167" spans="1:5" hidden="1" outlineLevel="1" x14ac:dyDescent="0.25">
      <c r="A167" s="212"/>
      <c r="B167" s="84"/>
      <c r="C167" s="77"/>
      <c r="D167" s="77"/>
      <c r="E167" s="213"/>
    </row>
    <row r="168" spans="1:5" hidden="1" outlineLevel="1" x14ac:dyDescent="0.25">
      <c r="A168" s="212"/>
      <c r="B168" s="84"/>
      <c r="C168" s="77"/>
      <c r="D168" s="77"/>
      <c r="E168" s="213"/>
    </row>
    <row r="169" spans="1:5" hidden="1" outlineLevel="1" x14ac:dyDescent="0.25">
      <c r="A169" s="212"/>
      <c r="B169" s="84"/>
      <c r="C169" s="77"/>
      <c r="D169" s="77"/>
      <c r="E169" s="213"/>
    </row>
    <row r="170" spans="1:5" hidden="1" outlineLevel="1" x14ac:dyDescent="0.25">
      <c r="A170" s="212"/>
      <c r="B170" s="84"/>
      <c r="C170" s="77"/>
      <c r="D170" s="77"/>
      <c r="E170" s="213"/>
    </row>
    <row r="171" spans="1:5" hidden="1" outlineLevel="1" x14ac:dyDescent="0.25">
      <c r="A171" s="212"/>
      <c r="B171" s="84"/>
      <c r="C171" s="77"/>
      <c r="D171" s="77"/>
      <c r="E171" s="213"/>
    </row>
    <row r="172" spans="1:5" hidden="1" outlineLevel="1" x14ac:dyDescent="0.25">
      <c r="A172" s="212"/>
      <c r="B172" s="84"/>
      <c r="C172" s="77"/>
      <c r="D172" s="77"/>
      <c r="E172" s="213"/>
    </row>
    <row r="173" spans="1:5" hidden="1" outlineLevel="1" x14ac:dyDescent="0.25">
      <c r="A173" s="212"/>
      <c r="B173" s="84"/>
      <c r="C173" s="77"/>
      <c r="D173" s="77"/>
      <c r="E173" s="213"/>
    </row>
    <row r="174" spans="1:5" hidden="1" outlineLevel="1" x14ac:dyDescent="0.25">
      <c r="A174" s="212"/>
      <c r="B174" s="84"/>
      <c r="C174" s="77"/>
      <c r="D174" s="77"/>
      <c r="E174" s="213"/>
    </row>
    <row r="175" spans="1:5" hidden="1" outlineLevel="1" x14ac:dyDescent="0.25">
      <c r="A175" s="212"/>
      <c r="B175" s="84"/>
      <c r="C175" s="77"/>
      <c r="D175" s="77"/>
      <c r="E175" s="213"/>
    </row>
    <row r="176" spans="1:5" hidden="1" outlineLevel="1" x14ac:dyDescent="0.25">
      <c r="A176" s="212"/>
      <c r="B176" s="84"/>
      <c r="C176" s="77"/>
      <c r="D176" s="77"/>
      <c r="E176" s="213"/>
    </row>
    <row r="177" spans="1:5" hidden="1" outlineLevel="1" x14ac:dyDescent="0.25">
      <c r="A177" s="212"/>
      <c r="B177" s="84"/>
      <c r="C177" s="77"/>
      <c r="D177" s="77"/>
      <c r="E177" s="213"/>
    </row>
    <row r="178" spans="1:5" hidden="1" outlineLevel="1" x14ac:dyDescent="0.25">
      <c r="A178" s="212"/>
      <c r="B178" s="84"/>
      <c r="C178" s="77"/>
      <c r="D178" s="77"/>
      <c r="E178" s="213"/>
    </row>
    <row r="179" spans="1:5" hidden="1" outlineLevel="1" x14ac:dyDescent="0.25">
      <c r="A179" s="212"/>
      <c r="B179" s="84"/>
      <c r="C179" s="77"/>
      <c r="D179" s="77"/>
      <c r="E179" s="213"/>
    </row>
    <row r="180" spans="1:5" hidden="1" outlineLevel="1" x14ac:dyDescent="0.25">
      <c r="A180" s="212"/>
      <c r="B180" s="84"/>
      <c r="C180" s="77"/>
      <c r="D180" s="77"/>
      <c r="E180" s="213"/>
    </row>
    <row r="181" spans="1:5" hidden="1" outlineLevel="1" x14ac:dyDescent="0.25">
      <c r="A181" s="212"/>
      <c r="B181" s="84"/>
      <c r="C181" s="77"/>
      <c r="D181" s="77"/>
      <c r="E181" s="213"/>
    </row>
    <row r="182" spans="1:5" hidden="1" outlineLevel="1" x14ac:dyDescent="0.25">
      <c r="A182" s="212"/>
      <c r="B182" s="84"/>
      <c r="C182" s="77"/>
      <c r="D182" s="77"/>
      <c r="E182" s="213"/>
    </row>
    <row r="183" spans="1:5" hidden="1" outlineLevel="1" x14ac:dyDescent="0.25">
      <c r="A183" s="212"/>
      <c r="B183" s="84"/>
      <c r="C183" s="77"/>
      <c r="D183" s="77"/>
      <c r="E183" s="213"/>
    </row>
    <row r="184" spans="1:5" hidden="1" outlineLevel="1" x14ac:dyDescent="0.25">
      <c r="A184" s="212"/>
      <c r="B184" s="84"/>
      <c r="C184" s="77"/>
      <c r="D184" s="77"/>
      <c r="E184" s="213"/>
    </row>
    <row r="185" spans="1:5" hidden="1" outlineLevel="1" x14ac:dyDescent="0.25">
      <c r="A185" s="212"/>
      <c r="B185" s="84"/>
      <c r="C185" s="77"/>
      <c r="D185" s="77"/>
      <c r="E185" s="213"/>
    </row>
    <row r="186" spans="1:5" hidden="1" outlineLevel="1" x14ac:dyDescent="0.25">
      <c r="A186" s="212"/>
      <c r="B186" s="84"/>
      <c r="C186" s="77"/>
      <c r="D186" s="77"/>
      <c r="E186" s="213"/>
    </row>
    <row r="187" spans="1:5" hidden="1" outlineLevel="1" x14ac:dyDescent="0.25">
      <c r="A187" s="212"/>
      <c r="B187" s="84"/>
      <c r="C187" s="77"/>
      <c r="D187" s="77"/>
      <c r="E187" s="213"/>
    </row>
    <row r="188" spans="1:5" hidden="1" outlineLevel="1" x14ac:dyDescent="0.25">
      <c r="A188" s="212"/>
      <c r="B188" s="84"/>
      <c r="C188" s="77"/>
      <c r="D188" s="77"/>
      <c r="E188" s="213"/>
    </row>
    <row r="189" spans="1:5" hidden="1" outlineLevel="1" x14ac:dyDescent="0.25">
      <c r="A189" s="214"/>
      <c r="B189" s="215"/>
      <c r="C189" s="79"/>
      <c r="D189" s="79"/>
      <c r="E189" s="216"/>
    </row>
    <row r="190" spans="1:5" collapsed="1" x14ac:dyDescent="0.25">
      <c r="A190" s="207" t="s">
        <v>17</v>
      </c>
      <c r="B190" s="206">
        <f>SUBTOTAL(9,B191:B226)</f>
        <v>0</v>
      </c>
      <c r="C190" s="208"/>
      <c r="D190" s="208"/>
      <c r="E190" s="206">
        <f>E227+B190</f>
        <v>77032.14</v>
      </c>
    </row>
    <row r="191" spans="1:5" s="22" customFormat="1" hidden="1" outlineLevel="1" x14ac:dyDescent="0.25">
      <c r="A191" s="209"/>
      <c r="B191" s="210"/>
      <c r="C191" s="75"/>
      <c r="D191" s="75"/>
      <c r="E191" s="211"/>
    </row>
    <row r="192" spans="1:5" hidden="1" outlineLevel="1" x14ac:dyDescent="0.25">
      <c r="A192" s="212"/>
      <c r="B192" s="84"/>
      <c r="C192" s="77"/>
      <c r="D192" s="77"/>
      <c r="E192" s="213"/>
    </row>
    <row r="193" spans="1:5" hidden="1" outlineLevel="1" x14ac:dyDescent="0.25">
      <c r="A193" s="212"/>
      <c r="B193" s="84"/>
      <c r="C193" s="77"/>
      <c r="D193" s="77"/>
      <c r="E193" s="213"/>
    </row>
    <row r="194" spans="1:5" hidden="1" outlineLevel="1" x14ac:dyDescent="0.25">
      <c r="A194" s="212"/>
      <c r="B194" s="84"/>
      <c r="C194" s="77"/>
      <c r="D194" s="77"/>
      <c r="E194" s="213"/>
    </row>
    <row r="195" spans="1:5" hidden="1" outlineLevel="1" x14ac:dyDescent="0.25">
      <c r="A195" s="212"/>
      <c r="B195" s="84"/>
      <c r="C195" s="77"/>
      <c r="D195" s="77"/>
      <c r="E195" s="213"/>
    </row>
    <row r="196" spans="1:5" hidden="1" outlineLevel="1" x14ac:dyDescent="0.25">
      <c r="A196" s="212"/>
      <c r="B196" s="84"/>
      <c r="C196" s="77"/>
      <c r="D196" s="77"/>
      <c r="E196" s="213"/>
    </row>
    <row r="197" spans="1:5" hidden="1" outlineLevel="1" x14ac:dyDescent="0.25">
      <c r="A197" s="212"/>
      <c r="B197" s="84"/>
      <c r="C197" s="77"/>
      <c r="D197" s="77"/>
      <c r="E197" s="213"/>
    </row>
    <row r="198" spans="1:5" hidden="1" outlineLevel="1" x14ac:dyDescent="0.25">
      <c r="A198" s="212"/>
      <c r="B198" s="84"/>
      <c r="C198" s="77"/>
      <c r="D198" s="77"/>
      <c r="E198" s="213"/>
    </row>
    <row r="199" spans="1:5" hidden="1" outlineLevel="1" x14ac:dyDescent="0.25">
      <c r="A199" s="212"/>
      <c r="B199" s="84"/>
      <c r="C199" s="77"/>
      <c r="D199" s="77"/>
      <c r="E199" s="213"/>
    </row>
    <row r="200" spans="1:5" hidden="1" outlineLevel="1" x14ac:dyDescent="0.25">
      <c r="A200" s="212"/>
      <c r="B200" s="84"/>
      <c r="C200" s="77"/>
      <c r="D200" s="77"/>
      <c r="E200" s="213"/>
    </row>
    <row r="201" spans="1:5" hidden="1" outlineLevel="1" x14ac:dyDescent="0.25">
      <c r="A201" s="212"/>
      <c r="B201" s="84"/>
      <c r="C201" s="77"/>
      <c r="D201" s="77"/>
      <c r="E201" s="213"/>
    </row>
    <row r="202" spans="1:5" hidden="1" outlineLevel="1" x14ac:dyDescent="0.25">
      <c r="A202" s="212"/>
      <c r="B202" s="84"/>
      <c r="C202" s="77"/>
      <c r="D202" s="77"/>
      <c r="E202" s="213"/>
    </row>
    <row r="203" spans="1:5" hidden="1" outlineLevel="1" x14ac:dyDescent="0.25">
      <c r="A203" s="212"/>
      <c r="B203" s="84"/>
      <c r="C203" s="77"/>
      <c r="D203" s="77"/>
      <c r="E203" s="213"/>
    </row>
    <row r="204" spans="1:5" hidden="1" outlineLevel="1" x14ac:dyDescent="0.25">
      <c r="A204" s="212"/>
      <c r="B204" s="84"/>
      <c r="C204" s="77"/>
      <c r="D204" s="77"/>
      <c r="E204" s="213"/>
    </row>
    <row r="205" spans="1:5" hidden="1" outlineLevel="1" x14ac:dyDescent="0.25">
      <c r="A205" s="212"/>
      <c r="B205" s="84"/>
      <c r="C205" s="77"/>
      <c r="D205" s="77"/>
      <c r="E205" s="213"/>
    </row>
    <row r="206" spans="1:5" hidden="1" outlineLevel="1" x14ac:dyDescent="0.25">
      <c r="A206" s="212"/>
      <c r="B206" s="84"/>
      <c r="C206" s="77"/>
      <c r="D206" s="77"/>
      <c r="E206" s="213"/>
    </row>
    <row r="207" spans="1:5" hidden="1" outlineLevel="1" x14ac:dyDescent="0.25">
      <c r="A207" s="212"/>
      <c r="B207" s="84"/>
      <c r="C207" s="77"/>
      <c r="D207" s="77"/>
      <c r="E207" s="213"/>
    </row>
    <row r="208" spans="1:5" hidden="1" outlineLevel="1" x14ac:dyDescent="0.25">
      <c r="A208" s="212"/>
      <c r="B208" s="84"/>
      <c r="C208" s="77"/>
      <c r="D208" s="77"/>
      <c r="E208" s="213"/>
    </row>
    <row r="209" spans="1:5" hidden="1" outlineLevel="1" x14ac:dyDescent="0.25">
      <c r="A209" s="212"/>
      <c r="B209" s="84"/>
      <c r="C209" s="77"/>
      <c r="D209" s="77"/>
      <c r="E209" s="213"/>
    </row>
    <row r="210" spans="1:5" hidden="1" outlineLevel="1" x14ac:dyDescent="0.25">
      <c r="A210" s="212"/>
      <c r="B210" s="84"/>
      <c r="C210" s="77"/>
      <c r="D210" s="77"/>
      <c r="E210" s="213"/>
    </row>
    <row r="211" spans="1:5" hidden="1" outlineLevel="1" x14ac:dyDescent="0.25">
      <c r="A211" s="212"/>
      <c r="B211" s="84"/>
      <c r="C211" s="77"/>
      <c r="D211" s="77"/>
      <c r="E211" s="213"/>
    </row>
    <row r="212" spans="1:5" hidden="1" outlineLevel="1" x14ac:dyDescent="0.25">
      <c r="A212" s="212"/>
      <c r="B212" s="84"/>
      <c r="C212" s="77"/>
      <c r="D212" s="77"/>
      <c r="E212" s="213"/>
    </row>
    <row r="213" spans="1:5" hidden="1" outlineLevel="1" x14ac:dyDescent="0.25">
      <c r="A213" s="212"/>
      <c r="B213" s="84"/>
      <c r="C213" s="77"/>
      <c r="D213" s="77"/>
      <c r="E213" s="213"/>
    </row>
    <row r="214" spans="1:5" hidden="1" outlineLevel="1" x14ac:dyDescent="0.25">
      <c r="A214" s="212"/>
      <c r="B214" s="84"/>
      <c r="C214" s="77"/>
      <c r="D214" s="77"/>
      <c r="E214" s="213"/>
    </row>
    <row r="215" spans="1:5" hidden="1" outlineLevel="1" x14ac:dyDescent="0.25">
      <c r="A215" s="212"/>
      <c r="B215" s="84"/>
      <c r="C215" s="77"/>
      <c r="D215" s="77"/>
      <c r="E215" s="213"/>
    </row>
    <row r="216" spans="1:5" hidden="1" outlineLevel="1" x14ac:dyDescent="0.25">
      <c r="A216" s="212"/>
      <c r="B216" s="84"/>
      <c r="C216" s="77"/>
      <c r="D216" s="77"/>
      <c r="E216" s="213"/>
    </row>
    <row r="217" spans="1:5" hidden="1" outlineLevel="1" x14ac:dyDescent="0.25">
      <c r="A217" s="212"/>
      <c r="B217" s="84"/>
      <c r="C217" s="77"/>
      <c r="D217" s="77"/>
      <c r="E217" s="213"/>
    </row>
    <row r="218" spans="1:5" hidden="1" outlineLevel="1" x14ac:dyDescent="0.25">
      <c r="A218" s="212"/>
      <c r="B218" s="84"/>
      <c r="C218" s="77"/>
      <c r="D218" s="77"/>
      <c r="E218" s="213"/>
    </row>
    <row r="219" spans="1:5" hidden="1" outlineLevel="1" x14ac:dyDescent="0.25">
      <c r="A219" s="212"/>
      <c r="B219" s="84"/>
      <c r="C219" s="77"/>
      <c r="D219" s="77"/>
      <c r="E219" s="213"/>
    </row>
    <row r="220" spans="1:5" hidden="1" outlineLevel="1" x14ac:dyDescent="0.25">
      <c r="A220" s="212"/>
      <c r="B220" s="84"/>
      <c r="C220" s="77"/>
      <c r="D220" s="77"/>
      <c r="E220" s="213"/>
    </row>
    <row r="221" spans="1:5" hidden="1" outlineLevel="1" x14ac:dyDescent="0.25">
      <c r="A221" s="212"/>
      <c r="B221" s="84"/>
      <c r="C221" s="77"/>
      <c r="D221" s="77"/>
      <c r="E221" s="213"/>
    </row>
    <row r="222" spans="1:5" hidden="1" outlineLevel="1" x14ac:dyDescent="0.25">
      <c r="A222" s="212"/>
      <c r="B222" s="84"/>
      <c r="C222" s="77"/>
      <c r="D222" s="77"/>
      <c r="E222" s="213"/>
    </row>
    <row r="223" spans="1:5" hidden="1" outlineLevel="1" x14ac:dyDescent="0.25">
      <c r="A223" s="212"/>
      <c r="B223" s="84"/>
      <c r="C223" s="77"/>
      <c r="D223" s="77"/>
      <c r="E223" s="213"/>
    </row>
    <row r="224" spans="1:5" hidden="1" outlineLevel="1" x14ac:dyDescent="0.25">
      <c r="A224" s="212"/>
      <c r="B224" s="84"/>
      <c r="C224" s="77"/>
      <c r="D224" s="77"/>
      <c r="E224" s="213"/>
    </row>
    <row r="225" spans="1:5" hidden="1" outlineLevel="1" x14ac:dyDescent="0.25">
      <c r="A225" s="212"/>
      <c r="B225" s="84"/>
      <c r="C225" s="77"/>
      <c r="D225" s="77"/>
      <c r="E225" s="213"/>
    </row>
    <row r="226" spans="1:5" hidden="1" outlineLevel="1" x14ac:dyDescent="0.25">
      <c r="A226" s="214"/>
      <c r="B226" s="215"/>
      <c r="C226" s="79"/>
      <c r="D226" s="79"/>
      <c r="E226" s="216"/>
    </row>
    <row r="227" spans="1:5" collapsed="1" x14ac:dyDescent="0.25">
      <c r="A227" s="217" t="s">
        <v>16</v>
      </c>
      <c r="B227" s="218">
        <f>SUBTOTAL(9,B228:B267)</f>
        <v>0</v>
      </c>
      <c r="C227" s="73"/>
      <c r="D227" s="73"/>
      <c r="E227" s="218">
        <f>E268+B227</f>
        <v>77032.14</v>
      </c>
    </row>
    <row r="228" spans="1:5" s="22" customFormat="1" hidden="1" outlineLevel="1" x14ac:dyDescent="0.25">
      <c r="A228" s="209"/>
      <c r="B228" s="210"/>
      <c r="C228" s="75"/>
      <c r="D228" s="75"/>
      <c r="E228" s="211"/>
    </row>
    <row r="229" spans="1:5" hidden="1" outlineLevel="1" x14ac:dyDescent="0.25">
      <c r="A229" s="212"/>
      <c r="B229" s="84"/>
      <c r="C229" s="77"/>
      <c r="D229" s="77"/>
      <c r="E229" s="213"/>
    </row>
    <row r="230" spans="1:5" hidden="1" outlineLevel="1" x14ac:dyDescent="0.25">
      <c r="A230" s="212"/>
      <c r="B230" s="84"/>
      <c r="C230" s="77"/>
      <c r="D230" s="77"/>
      <c r="E230" s="213"/>
    </row>
    <row r="231" spans="1:5" hidden="1" outlineLevel="1" x14ac:dyDescent="0.25">
      <c r="A231" s="212"/>
      <c r="B231" s="84"/>
      <c r="C231" s="77"/>
      <c r="D231" s="77"/>
      <c r="E231" s="213"/>
    </row>
    <row r="232" spans="1:5" hidden="1" outlineLevel="1" x14ac:dyDescent="0.25">
      <c r="A232" s="212"/>
      <c r="B232" s="84"/>
      <c r="C232" s="77"/>
      <c r="D232" s="77"/>
      <c r="E232" s="213"/>
    </row>
    <row r="233" spans="1:5" hidden="1" outlineLevel="1" x14ac:dyDescent="0.25">
      <c r="A233" s="212"/>
      <c r="B233" s="84"/>
      <c r="C233" s="77"/>
      <c r="D233" s="77"/>
      <c r="E233" s="213"/>
    </row>
    <row r="234" spans="1:5" hidden="1" outlineLevel="1" x14ac:dyDescent="0.25">
      <c r="A234" s="212"/>
      <c r="B234" s="84"/>
      <c r="C234" s="77"/>
      <c r="D234" s="77"/>
      <c r="E234" s="213"/>
    </row>
    <row r="235" spans="1:5" hidden="1" outlineLevel="1" x14ac:dyDescent="0.25">
      <c r="A235" s="212"/>
      <c r="B235" s="84"/>
      <c r="C235" s="77"/>
      <c r="D235" s="77"/>
      <c r="E235" s="213"/>
    </row>
    <row r="236" spans="1:5" hidden="1" outlineLevel="1" x14ac:dyDescent="0.25">
      <c r="A236" s="212"/>
      <c r="B236" s="84"/>
      <c r="C236" s="77"/>
      <c r="D236" s="77"/>
      <c r="E236" s="213"/>
    </row>
    <row r="237" spans="1:5" hidden="1" outlineLevel="1" x14ac:dyDescent="0.25">
      <c r="A237" s="212"/>
      <c r="B237" s="84"/>
      <c r="C237" s="77"/>
      <c r="D237" s="77"/>
      <c r="E237" s="213"/>
    </row>
    <row r="238" spans="1:5" hidden="1" outlineLevel="1" x14ac:dyDescent="0.25">
      <c r="A238" s="212"/>
      <c r="B238" s="84"/>
      <c r="C238" s="77"/>
      <c r="D238" s="77"/>
      <c r="E238" s="213"/>
    </row>
    <row r="239" spans="1:5" hidden="1" outlineLevel="1" x14ac:dyDescent="0.25">
      <c r="A239" s="212"/>
      <c r="B239" s="84"/>
      <c r="C239" s="77"/>
      <c r="D239" s="77"/>
      <c r="E239" s="213"/>
    </row>
    <row r="240" spans="1:5" hidden="1" outlineLevel="1" x14ac:dyDescent="0.25">
      <c r="A240" s="212"/>
      <c r="B240" s="84"/>
      <c r="C240" s="77"/>
      <c r="D240" s="77"/>
      <c r="E240" s="213"/>
    </row>
    <row r="241" spans="1:5" hidden="1" outlineLevel="1" x14ac:dyDescent="0.25">
      <c r="A241" s="212"/>
      <c r="B241" s="84"/>
      <c r="C241" s="77"/>
      <c r="D241" s="77"/>
      <c r="E241" s="213"/>
    </row>
    <row r="242" spans="1:5" hidden="1" outlineLevel="1" x14ac:dyDescent="0.25">
      <c r="A242" s="212"/>
      <c r="B242" s="84"/>
      <c r="C242" s="77"/>
      <c r="D242" s="77"/>
      <c r="E242" s="213"/>
    </row>
    <row r="243" spans="1:5" hidden="1" outlineLevel="1" x14ac:dyDescent="0.25">
      <c r="A243" s="212"/>
      <c r="B243" s="84"/>
      <c r="C243" s="77"/>
      <c r="D243" s="77"/>
      <c r="E243" s="213"/>
    </row>
    <row r="244" spans="1:5" hidden="1" outlineLevel="1" x14ac:dyDescent="0.25">
      <c r="A244" s="212"/>
      <c r="B244" s="84"/>
      <c r="C244" s="77"/>
      <c r="D244" s="77"/>
      <c r="E244" s="213"/>
    </row>
    <row r="245" spans="1:5" hidden="1" outlineLevel="1" x14ac:dyDescent="0.25">
      <c r="A245" s="212"/>
      <c r="B245" s="84"/>
      <c r="C245" s="77"/>
      <c r="D245" s="77"/>
      <c r="E245" s="213"/>
    </row>
    <row r="246" spans="1:5" hidden="1" outlineLevel="1" x14ac:dyDescent="0.25">
      <c r="A246" s="212"/>
      <c r="B246" s="84"/>
      <c r="C246" s="77"/>
      <c r="D246" s="77"/>
      <c r="E246" s="213"/>
    </row>
    <row r="247" spans="1:5" hidden="1" outlineLevel="1" x14ac:dyDescent="0.25">
      <c r="A247" s="212"/>
      <c r="B247" s="84"/>
      <c r="C247" s="77"/>
      <c r="D247" s="77"/>
      <c r="E247" s="213"/>
    </row>
    <row r="248" spans="1:5" hidden="1" outlineLevel="1" x14ac:dyDescent="0.25">
      <c r="A248" s="212"/>
      <c r="B248" s="382"/>
      <c r="C248" s="77"/>
      <c r="D248" s="77"/>
      <c r="E248" s="213"/>
    </row>
    <row r="249" spans="1:5" hidden="1" outlineLevel="1" x14ac:dyDescent="0.25">
      <c r="A249" s="212"/>
      <c r="B249" s="84"/>
      <c r="C249" s="77"/>
      <c r="D249" s="77"/>
      <c r="E249" s="213"/>
    </row>
    <row r="250" spans="1:5" hidden="1" outlineLevel="1" x14ac:dyDescent="0.25">
      <c r="A250" s="212"/>
      <c r="B250" s="84"/>
      <c r="C250" s="77"/>
      <c r="D250" s="77"/>
      <c r="E250" s="213"/>
    </row>
    <row r="251" spans="1:5" hidden="1" outlineLevel="1" x14ac:dyDescent="0.25">
      <c r="A251" s="212"/>
      <c r="B251" s="84"/>
      <c r="C251" s="77"/>
      <c r="D251" s="77"/>
      <c r="E251" s="213"/>
    </row>
    <row r="252" spans="1:5" hidden="1" outlineLevel="1" x14ac:dyDescent="0.25">
      <c r="A252" s="212"/>
      <c r="B252" s="84"/>
      <c r="C252" s="77"/>
      <c r="D252" s="77"/>
      <c r="E252" s="213"/>
    </row>
    <row r="253" spans="1:5" hidden="1" outlineLevel="1" x14ac:dyDescent="0.25">
      <c r="A253" s="212"/>
      <c r="B253" s="84"/>
      <c r="C253" s="77"/>
      <c r="D253" s="77"/>
      <c r="E253" s="213"/>
    </row>
    <row r="254" spans="1:5" hidden="1" outlineLevel="1" x14ac:dyDescent="0.25">
      <c r="A254" s="212"/>
      <c r="B254" s="84"/>
      <c r="C254" s="77"/>
      <c r="D254" s="77"/>
      <c r="E254" s="213"/>
    </row>
    <row r="255" spans="1:5" hidden="1" outlineLevel="1" x14ac:dyDescent="0.25">
      <c r="A255" s="212"/>
      <c r="B255" s="84"/>
      <c r="C255" s="77"/>
      <c r="D255" s="77"/>
      <c r="E255" s="213"/>
    </row>
    <row r="256" spans="1:5" hidden="1" outlineLevel="1" x14ac:dyDescent="0.25">
      <c r="A256" s="212"/>
      <c r="B256" s="84"/>
      <c r="C256" s="77"/>
      <c r="D256" s="77"/>
      <c r="E256" s="213"/>
    </row>
    <row r="257" spans="1:5" hidden="1" outlineLevel="1" x14ac:dyDescent="0.25">
      <c r="A257" s="212"/>
      <c r="B257" s="84"/>
      <c r="C257" s="77"/>
      <c r="D257" s="77"/>
      <c r="E257" s="213"/>
    </row>
    <row r="258" spans="1:5" hidden="1" outlineLevel="1" x14ac:dyDescent="0.25">
      <c r="A258" s="212"/>
      <c r="B258" s="84"/>
      <c r="C258" s="77"/>
      <c r="D258" s="77"/>
      <c r="E258" s="213"/>
    </row>
    <row r="259" spans="1:5" hidden="1" outlineLevel="1" x14ac:dyDescent="0.25">
      <c r="A259" s="212"/>
      <c r="B259" s="84"/>
      <c r="C259" s="77"/>
      <c r="D259" s="77"/>
      <c r="E259" s="213"/>
    </row>
    <row r="260" spans="1:5" hidden="1" outlineLevel="1" x14ac:dyDescent="0.25">
      <c r="A260" s="212"/>
      <c r="B260" s="84"/>
      <c r="C260" s="77"/>
      <c r="D260" s="77"/>
      <c r="E260" s="213"/>
    </row>
    <row r="261" spans="1:5" hidden="1" outlineLevel="1" x14ac:dyDescent="0.25">
      <c r="A261" s="212"/>
      <c r="B261" s="84"/>
      <c r="C261" s="77"/>
      <c r="D261" s="77"/>
      <c r="E261" s="213"/>
    </row>
    <row r="262" spans="1:5" hidden="1" outlineLevel="1" x14ac:dyDescent="0.25">
      <c r="A262" s="212"/>
      <c r="B262" s="84"/>
      <c r="C262" s="77"/>
      <c r="D262" s="77"/>
      <c r="E262" s="213"/>
    </row>
    <row r="263" spans="1:5" hidden="1" outlineLevel="1" x14ac:dyDescent="0.25">
      <c r="A263" s="212"/>
      <c r="B263" s="84"/>
      <c r="C263" s="77"/>
      <c r="D263" s="77"/>
      <c r="E263" s="213"/>
    </row>
    <row r="264" spans="1:5" hidden="1" outlineLevel="1" x14ac:dyDescent="0.25">
      <c r="A264" s="212"/>
      <c r="B264" s="84"/>
      <c r="C264" s="77"/>
      <c r="D264" s="77"/>
      <c r="E264" s="213"/>
    </row>
    <row r="265" spans="1:5" hidden="1" outlineLevel="1" x14ac:dyDescent="0.25">
      <c r="A265" s="212"/>
      <c r="B265" s="84"/>
      <c r="C265" s="77"/>
      <c r="D265" s="77"/>
      <c r="E265" s="213"/>
    </row>
    <row r="266" spans="1:5" hidden="1" outlineLevel="1" x14ac:dyDescent="0.25">
      <c r="A266" s="212"/>
      <c r="B266" s="84"/>
      <c r="C266" s="77"/>
      <c r="D266" s="77"/>
      <c r="E266" s="213"/>
    </row>
    <row r="267" spans="1:5" hidden="1" outlineLevel="1" x14ac:dyDescent="0.25">
      <c r="A267" s="214"/>
      <c r="B267" s="215"/>
      <c r="C267" s="79"/>
      <c r="D267" s="79"/>
      <c r="E267" s="216"/>
    </row>
    <row r="268" spans="1:5" x14ac:dyDescent="0.25">
      <c r="A268" s="217" t="s">
        <v>15</v>
      </c>
      <c r="B268" s="218">
        <f>SUBTOTAL(9,B269:B295)</f>
        <v>512.63000000000102</v>
      </c>
      <c r="C268" s="73"/>
      <c r="D268" s="73"/>
      <c r="E268" s="218">
        <f>E296+B268</f>
        <v>77032.14</v>
      </c>
    </row>
    <row r="269" spans="1:5" s="22" customFormat="1" outlineLevel="1" x14ac:dyDescent="0.25">
      <c r="A269" s="209"/>
      <c r="B269" s="210"/>
      <c r="C269" s="75"/>
      <c r="D269" s="75"/>
      <c r="E269" s="211"/>
    </row>
    <row r="270" spans="1:5" s="22" customFormat="1" outlineLevel="1" x14ac:dyDescent="0.25">
      <c r="A270" s="212"/>
      <c r="B270" s="84"/>
      <c r="C270" s="77"/>
      <c r="D270" s="77"/>
      <c r="E270" s="213"/>
    </row>
    <row r="271" spans="1:5" s="22" customFormat="1" outlineLevel="1" x14ac:dyDescent="0.25">
      <c r="A271" s="212"/>
      <c r="B271" s="84"/>
      <c r="C271" s="77"/>
      <c r="D271" s="77"/>
      <c r="E271" s="213"/>
    </row>
    <row r="272" spans="1:5" s="22" customFormat="1" outlineLevel="1" x14ac:dyDescent="0.25">
      <c r="A272" s="212"/>
      <c r="B272" s="84"/>
      <c r="C272" s="77"/>
      <c r="D272" s="77"/>
      <c r="E272" s="213"/>
    </row>
    <row r="273" spans="1:5" s="22" customFormat="1" outlineLevel="1" x14ac:dyDescent="0.25">
      <c r="A273" s="212"/>
      <c r="B273" s="84"/>
      <c r="C273" s="77"/>
      <c r="D273" s="77"/>
      <c r="E273" s="213"/>
    </row>
    <row r="274" spans="1:5" s="22" customFormat="1" outlineLevel="1" x14ac:dyDescent="0.25">
      <c r="A274" s="212"/>
      <c r="B274" s="84"/>
      <c r="C274" s="77"/>
      <c r="D274" s="77"/>
      <c r="E274" s="213"/>
    </row>
    <row r="275" spans="1:5" s="22" customFormat="1" outlineLevel="1" x14ac:dyDescent="0.25">
      <c r="A275" s="212"/>
      <c r="B275" s="84"/>
      <c r="C275" s="77"/>
      <c r="D275" s="77"/>
      <c r="E275" s="213"/>
    </row>
    <row r="276" spans="1:5" s="22" customFormat="1" outlineLevel="1" x14ac:dyDescent="0.25">
      <c r="A276" s="212"/>
      <c r="B276" s="84"/>
      <c r="C276" s="77"/>
      <c r="D276" s="77"/>
      <c r="E276" s="213"/>
    </row>
    <row r="277" spans="1:5" s="22" customFormat="1" outlineLevel="1" x14ac:dyDescent="0.25">
      <c r="A277" s="212"/>
      <c r="B277" s="84"/>
      <c r="C277" s="77"/>
      <c r="D277" s="77"/>
      <c r="E277" s="213"/>
    </row>
    <row r="278" spans="1:5" s="22" customFormat="1" outlineLevel="1" x14ac:dyDescent="0.25">
      <c r="A278" s="212"/>
      <c r="B278" s="84"/>
      <c r="C278" s="77"/>
      <c r="D278" s="77"/>
      <c r="E278" s="213"/>
    </row>
    <row r="279" spans="1:5" s="22" customFormat="1" outlineLevel="1" x14ac:dyDescent="0.25">
      <c r="A279" s="212"/>
      <c r="B279" s="84"/>
      <c r="C279" s="77"/>
      <c r="D279" s="77"/>
      <c r="E279" s="213"/>
    </row>
    <row r="280" spans="1:5" s="22" customFormat="1" outlineLevel="1" x14ac:dyDescent="0.25">
      <c r="A280" s="212"/>
      <c r="B280" s="84"/>
      <c r="C280" s="77"/>
      <c r="D280" s="77"/>
      <c r="E280" s="213"/>
    </row>
    <row r="281" spans="1:5" s="22" customFormat="1" outlineLevel="1" x14ac:dyDescent="0.25">
      <c r="A281" s="212"/>
      <c r="B281" s="84"/>
      <c r="C281" s="77"/>
      <c r="D281" s="77"/>
      <c r="E281" s="213"/>
    </row>
    <row r="282" spans="1:5" s="22" customFormat="1" outlineLevel="1" x14ac:dyDescent="0.25">
      <c r="A282" s="212"/>
      <c r="B282" s="84"/>
      <c r="C282" s="77"/>
      <c r="D282" s="77"/>
      <c r="E282" s="213"/>
    </row>
    <row r="283" spans="1:5" s="22" customFormat="1" outlineLevel="1" x14ac:dyDescent="0.25">
      <c r="A283" s="212"/>
      <c r="B283" s="84"/>
      <c r="C283" s="77"/>
      <c r="D283" s="77"/>
      <c r="E283" s="213"/>
    </row>
    <row r="284" spans="1:5" s="22" customFormat="1" outlineLevel="1" x14ac:dyDescent="0.25">
      <c r="A284" s="212"/>
      <c r="B284" s="84"/>
      <c r="C284" s="77"/>
      <c r="D284" s="77"/>
      <c r="E284" s="213"/>
    </row>
    <row r="285" spans="1:5" s="22" customFormat="1" outlineLevel="1" x14ac:dyDescent="0.25">
      <c r="A285" s="212"/>
      <c r="B285" s="84"/>
      <c r="C285" s="77"/>
      <c r="D285" s="77"/>
      <c r="E285" s="213"/>
    </row>
    <row r="286" spans="1:5" s="22" customFormat="1" outlineLevel="1" x14ac:dyDescent="0.25">
      <c r="A286" s="212"/>
      <c r="B286" s="84"/>
      <c r="C286" s="77"/>
      <c r="D286" s="77"/>
      <c r="E286" s="213"/>
    </row>
    <row r="287" spans="1:5" s="22" customFormat="1" outlineLevel="1" x14ac:dyDescent="0.25">
      <c r="A287" s="212"/>
      <c r="B287" s="84"/>
      <c r="C287" s="77"/>
      <c r="D287" s="77"/>
      <c r="E287" s="213"/>
    </row>
    <row r="288" spans="1:5" s="22" customFormat="1" outlineLevel="1" x14ac:dyDescent="0.25">
      <c r="A288" s="212"/>
      <c r="B288" s="76"/>
      <c r="C288" s="77"/>
      <c r="D288" s="77"/>
      <c r="E288" s="213"/>
    </row>
    <row r="289" spans="1:7" s="22" customFormat="1" outlineLevel="1" x14ac:dyDescent="0.25">
      <c r="A289" s="212"/>
      <c r="B289" s="84"/>
      <c r="C289" s="77"/>
      <c r="D289" s="77"/>
      <c r="E289" s="213"/>
    </row>
    <row r="290" spans="1:7" s="22" customFormat="1" outlineLevel="1" x14ac:dyDescent="0.25">
      <c r="A290" s="212"/>
      <c r="B290" s="84"/>
      <c r="C290" s="77"/>
      <c r="D290" s="77"/>
      <c r="E290" s="213"/>
    </row>
    <row r="291" spans="1:7" s="22" customFormat="1" outlineLevel="1" x14ac:dyDescent="0.25">
      <c r="A291" s="212"/>
      <c r="B291" s="84">
        <v>-6163.37</v>
      </c>
      <c r="C291" s="77"/>
      <c r="D291" s="77"/>
      <c r="E291" s="213"/>
    </row>
    <row r="292" spans="1:7" s="22" customFormat="1" outlineLevel="1" x14ac:dyDescent="0.25">
      <c r="A292" s="212"/>
      <c r="B292" s="84">
        <v>-19614</v>
      </c>
      <c r="C292" s="77"/>
      <c r="D292" s="77"/>
      <c r="E292" s="213"/>
    </row>
    <row r="293" spans="1:7" s="22" customFormat="1" outlineLevel="1" x14ac:dyDescent="0.25">
      <c r="A293" s="212">
        <v>43741</v>
      </c>
      <c r="B293" s="84">
        <v>11000</v>
      </c>
      <c r="C293" s="77" t="s">
        <v>911</v>
      </c>
      <c r="D293" s="77"/>
      <c r="E293" s="213"/>
    </row>
    <row r="294" spans="1:7" s="22" customFormat="1" outlineLevel="1" x14ac:dyDescent="0.25">
      <c r="A294" s="212">
        <v>43741</v>
      </c>
      <c r="B294" s="84">
        <v>9900</v>
      </c>
      <c r="C294" s="77" t="s">
        <v>912</v>
      </c>
      <c r="D294" s="77"/>
      <c r="E294" s="213"/>
    </row>
    <row r="295" spans="1:7" s="22" customFormat="1" outlineLevel="1" x14ac:dyDescent="0.25">
      <c r="A295" s="212">
        <v>43740</v>
      </c>
      <c r="B295" s="84">
        <v>5390</v>
      </c>
      <c r="C295" s="77" t="s">
        <v>697</v>
      </c>
      <c r="D295" s="77"/>
      <c r="E295" s="213"/>
    </row>
    <row r="296" spans="1:7" s="22" customFormat="1" collapsed="1" x14ac:dyDescent="0.25">
      <c r="A296" s="207" t="s">
        <v>13</v>
      </c>
      <c r="B296" s="206">
        <f>SUBTOTAL(9,B297:B335)</f>
        <v>56762.139999999985</v>
      </c>
      <c r="C296" s="208"/>
      <c r="D296" s="208"/>
      <c r="E296" s="206">
        <f>E336+B296</f>
        <v>76519.509999999995</v>
      </c>
      <c r="G296" s="402"/>
    </row>
    <row r="297" spans="1:7" s="22" customFormat="1" hidden="1" outlineLevel="1" x14ac:dyDescent="0.25">
      <c r="A297" s="209">
        <v>43738</v>
      </c>
      <c r="B297" s="210">
        <v>-1127.99</v>
      </c>
      <c r="C297" s="75" t="s">
        <v>899</v>
      </c>
      <c r="D297" s="75"/>
      <c r="E297" s="211"/>
    </row>
    <row r="298" spans="1:7" hidden="1" outlineLevel="1" x14ac:dyDescent="0.25">
      <c r="A298" s="212">
        <v>43738</v>
      </c>
      <c r="B298" s="84">
        <v>-1430</v>
      </c>
      <c r="C298" s="77" t="s">
        <v>900</v>
      </c>
      <c r="D298" s="77"/>
      <c r="E298" s="213"/>
    </row>
    <row r="299" spans="1:7" hidden="1" outlineLevel="1" x14ac:dyDescent="0.25">
      <c r="A299" s="212">
        <v>43738</v>
      </c>
      <c r="B299" s="84">
        <v>-137.5</v>
      </c>
      <c r="C299" s="77" t="s">
        <v>901</v>
      </c>
      <c r="D299" s="77"/>
      <c r="E299" s="213"/>
    </row>
    <row r="300" spans="1:7" hidden="1" outlineLevel="1" x14ac:dyDescent="0.25">
      <c r="A300" s="212">
        <v>43738</v>
      </c>
      <c r="B300" s="84">
        <v>300</v>
      </c>
      <c r="C300" s="77" t="s">
        <v>902</v>
      </c>
      <c r="D300" s="77"/>
      <c r="E300" s="213"/>
    </row>
    <row r="301" spans="1:7" hidden="1" outlineLevel="1" x14ac:dyDescent="0.25">
      <c r="A301" s="212">
        <v>43738</v>
      </c>
      <c r="B301" s="84">
        <v>4896.16</v>
      </c>
      <c r="C301" s="77" t="s">
        <v>903</v>
      </c>
      <c r="D301" s="77"/>
      <c r="E301" s="213"/>
    </row>
    <row r="302" spans="1:7" hidden="1" outlineLevel="1" x14ac:dyDescent="0.25">
      <c r="A302" s="212">
        <v>43735</v>
      </c>
      <c r="B302" s="84">
        <v>-822.26</v>
      </c>
      <c r="C302" s="77" t="s">
        <v>904</v>
      </c>
      <c r="D302" s="77"/>
      <c r="E302" s="213"/>
    </row>
    <row r="303" spans="1:7" hidden="1" outlineLevel="1" x14ac:dyDescent="0.25">
      <c r="A303" s="212">
        <v>43734</v>
      </c>
      <c r="B303" s="84">
        <v>-681.35</v>
      </c>
      <c r="C303" s="77" t="s">
        <v>905</v>
      </c>
      <c r="D303" s="77"/>
      <c r="E303" s="213"/>
    </row>
    <row r="304" spans="1:7" hidden="1" outlineLevel="1" x14ac:dyDescent="0.25">
      <c r="A304" s="212">
        <v>43734</v>
      </c>
      <c r="B304" s="84">
        <v>400</v>
      </c>
      <c r="C304" s="77" t="s">
        <v>902</v>
      </c>
      <c r="D304" s="77"/>
      <c r="E304" s="213"/>
    </row>
    <row r="305" spans="1:5" hidden="1" outlineLevel="1" x14ac:dyDescent="0.25">
      <c r="A305" s="212">
        <v>43733</v>
      </c>
      <c r="B305" s="84">
        <v>-40</v>
      </c>
      <c r="C305" s="77" t="s">
        <v>906</v>
      </c>
      <c r="D305" s="77"/>
      <c r="E305" s="213"/>
    </row>
    <row r="306" spans="1:5" hidden="1" outlineLevel="1" x14ac:dyDescent="0.25">
      <c r="A306" s="212">
        <v>43733</v>
      </c>
      <c r="B306" s="84">
        <v>-1634</v>
      </c>
      <c r="C306" s="77" t="s">
        <v>705</v>
      </c>
      <c r="D306" s="77"/>
      <c r="E306" s="213"/>
    </row>
    <row r="307" spans="1:5" hidden="1" outlineLevel="1" x14ac:dyDescent="0.25">
      <c r="A307" s="212">
        <v>43731</v>
      </c>
      <c r="B307" s="84">
        <v>-59.99</v>
      </c>
      <c r="C307" s="77" t="s">
        <v>907</v>
      </c>
      <c r="D307" s="77"/>
      <c r="E307" s="213"/>
    </row>
    <row r="308" spans="1:5" hidden="1" outlineLevel="1" x14ac:dyDescent="0.25">
      <c r="A308" s="212">
        <v>43731</v>
      </c>
      <c r="B308" s="84">
        <v>4896.16</v>
      </c>
      <c r="C308" s="77" t="s">
        <v>908</v>
      </c>
      <c r="D308" s="77"/>
      <c r="E308" s="213"/>
    </row>
    <row r="309" spans="1:5" hidden="1" outlineLevel="1" x14ac:dyDescent="0.25">
      <c r="A309" s="212">
        <v>43728</v>
      </c>
      <c r="B309" s="84">
        <v>28000</v>
      </c>
      <c r="C309" s="77" t="s">
        <v>909</v>
      </c>
      <c r="D309" s="77"/>
      <c r="E309" s="213"/>
    </row>
    <row r="310" spans="1:5" hidden="1" outlineLevel="1" x14ac:dyDescent="0.25">
      <c r="A310" s="212">
        <v>43728</v>
      </c>
      <c r="B310" s="84">
        <v>5390</v>
      </c>
      <c r="C310" s="77" t="s">
        <v>697</v>
      </c>
      <c r="D310" s="77"/>
      <c r="E310" s="213"/>
    </row>
    <row r="311" spans="1:5" hidden="1" outlineLevel="1" x14ac:dyDescent="0.25">
      <c r="A311" s="212">
        <v>43728</v>
      </c>
      <c r="B311" s="84">
        <v>-6240.07</v>
      </c>
      <c r="C311" s="77" t="s">
        <v>910</v>
      </c>
      <c r="D311" s="77"/>
      <c r="E311" s="213"/>
    </row>
    <row r="312" spans="1:5" hidden="1" outlineLevel="1" x14ac:dyDescent="0.25">
      <c r="A312" s="212">
        <v>43728</v>
      </c>
      <c r="B312" s="84">
        <v>-700</v>
      </c>
      <c r="C312" s="77" t="s">
        <v>887</v>
      </c>
      <c r="D312" s="77"/>
      <c r="E312" s="213"/>
    </row>
    <row r="313" spans="1:5" hidden="1" outlineLevel="1" x14ac:dyDescent="0.25">
      <c r="A313" s="212">
        <v>43727</v>
      </c>
      <c r="B313" s="84">
        <v>11385</v>
      </c>
      <c r="C313" s="77" t="s">
        <v>888</v>
      </c>
      <c r="D313" s="77"/>
      <c r="E313" s="213"/>
    </row>
    <row r="314" spans="1:5" hidden="1" outlineLevel="1" x14ac:dyDescent="0.25">
      <c r="A314" s="212">
        <v>43727</v>
      </c>
      <c r="B314" s="84">
        <v>11000</v>
      </c>
      <c r="C314" s="77" t="s">
        <v>889</v>
      </c>
      <c r="D314" s="77"/>
      <c r="E314" s="213"/>
    </row>
    <row r="315" spans="1:5" hidden="1" outlineLevel="1" x14ac:dyDescent="0.25">
      <c r="A315" s="212">
        <v>43724</v>
      </c>
      <c r="B315" s="84">
        <v>5390</v>
      </c>
      <c r="C315" s="77" t="s">
        <v>697</v>
      </c>
      <c r="D315" s="77"/>
      <c r="E315" s="213"/>
    </row>
    <row r="316" spans="1:5" hidden="1" outlineLevel="1" x14ac:dyDescent="0.25">
      <c r="A316" s="212">
        <v>43724</v>
      </c>
      <c r="B316" s="84">
        <v>4896.16</v>
      </c>
      <c r="C316" s="77" t="s">
        <v>890</v>
      </c>
      <c r="D316" s="77"/>
      <c r="E316" s="213"/>
    </row>
    <row r="317" spans="1:5" hidden="1" outlineLevel="1" x14ac:dyDescent="0.25">
      <c r="A317" s="212">
        <v>43723</v>
      </c>
      <c r="B317" s="84">
        <v>-3803.91</v>
      </c>
      <c r="C317" s="77" t="s">
        <v>891</v>
      </c>
      <c r="D317" s="77"/>
      <c r="E317" s="213"/>
    </row>
    <row r="318" spans="1:5" hidden="1" outlineLevel="1" x14ac:dyDescent="0.25">
      <c r="A318" s="212">
        <v>43722</v>
      </c>
      <c r="B318" s="84">
        <v>-43357.760000000002</v>
      </c>
      <c r="C318" s="77" t="s">
        <v>892</v>
      </c>
      <c r="D318" s="77"/>
      <c r="E318" s="213"/>
    </row>
    <row r="319" spans="1:5" hidden="1" outlineLevel="1" x14ac:dyDescent="0.25">
      <c r="A319" s="212">
        <v>43722</v>
      </c>
      <c r="B319" s="84">
        <v>-384.1</v>
      </c>
      <c r="C319" s="77" t="s">
        <v>825</v>
      </c>
      <c r="D319" s="77"/>
      <c r="E319" s="213"/>
    </row>
    <row r="320" spans="1:5" hidden="1" outlineLevel="1" x14ac:dyDescent="0.25">
      <c r="A320" s="212">
        <v>43720</v>
      </c>
      <c r="B320" s="84">
        <v>-681.35</v>
      </c>
      <c r="C320" s="77" t="s">
        <v>877</v>
      </c>
      <c r="D320" s="77"/>
      <c r="E320" s="213"/>
    </row>
    <row r="321" spans="1:5" hidden="1" outlineLevel="1" x14ac:dyDescent="0.25">
      <c r="A321" s="212">
        <v>43720</v>
      </c>
      <c r="B321" s="84">
        <v>3135</v>
      </c>
      <c r="C321" s="77" t="s">
        <v>700</v>
      </c>
      <c r="D321" s="77"/>
      <c r="E321" s="213"/>
    </row>
    <row r="322" spans="1:5" hidden="1" outlineLevel="1" x14ac:dyDescent="0.25">
      <c r="A322" s="212">
        <v>43719</v>
      </c>
      <c r="B322" s="84">
        <v>3773</v>
      </c>
      <c r="C322" s="77" t="s">
        <v>697</v>
      </c>
      <c r="D322" s="77"/>
      <c r="E322" s="213"/>
    </row>
    <row r="323" spans="1:5" hidden="1" outlineLevel="1" x14ac:dyDescent="0.25">
      <c r="A323" s="212">
        <v>43719</v>
      </c>
      <c r="B323" s="84">
        <v>-1634</v>
      </c>
      <c r="C323" s="77" t="s">
        <v>705</v>
      </c>
      <c r="D323" s="77"/>
      <c r="E323" s="213"/>
    </row>
    <row r="324" spans="1:5" hidden="1" outlineLevel="1" x14ac:dyDescent="0.25">
      <c r="A324" s="212">
        <v>43718</v>
      </c>
      <c r="B324" s="84">
        <v>7700</v>
      </c>
      <c r="C324" s="77" t="s">
        <v>698</v>
      </c>
      <c r="D324" s="77"/>
      <c r="E324" s="213"/>
    </row>
    <row r="325" spans="1:5" hidden="1" outlineLevel="1" x14ac:dyDescent="0.25">
      <c r="A325" s="212">
        <v>43717</v>
      </c>
      <c r="B325" s="84">
        <v>4896.16</v>
      </c>
      <c r="C325" s="77" t="s">
        <v>878</v>
      </c>
      <c r="D325" s="77"/>
      <c r="E325" s="213"/>
    </row>
    <row r="326" spans="1:5" hidden="1" outlineLevel="1" x14ac:dyDescent="0.25">
      <c r="A326" s="212">
        <v>43713</v>
      </c>
      <c r="B326" s="84">
        <v>-7884.21</v>
      </c>
      <c r="C326" s="77" t="s">
        <v>879</v>
      </c>
      <c r="D326" s="77"/>
      <c r="E326" s="213"/>
    </row>
    <row r="327" spans="1:5" hidden="1" outlineLevel="1" x14ac:dyDescent="0.25">
      <c r="A327" s="212">
        <v>43713</v>
      </c>
      <c r="B327" s="84">
        <v>15400</v>
      </c>
      <c r="C327" s="77" t="s">
        <v>858</v>
      </c>
      <c r="D327" s="77"/>
      <c r="E327" s="213"/>
    </row>
    <row r="328" spans="1:5" hidden="1" outlineLevel="1" x14ac:dyDescent="0.25">
      <c r="A328" s="212">
        <v>43713</v>
      </c>
      <c r="B328" s="84">
        <v>13365</v>
      </c>
      <c r="C328" s="77" t="s">
        <v>859</v>
      </c>
      <c r="D328" s="77"/>
      <c r="E328" s="213"/>
    </row>
    <row r="329" spans="1:5" hidden="1" outlineLevel="1" x14ac:dyDescent="0.25">
      <c r="A329" s="212">
        <v>43713</v>
      </c>
      <c r="B329" s="84">
        <v>-15203</v>
      </c>
      <c r="C329" s="77" t="s">
        <v>860</v>
      </c>
      <c r="D329" s="77"/>
      <c r="E329" s="213"/>
    </row>
    <row r="330" spans="1:5" hidden="1" outlineLevel="1" x14ac:dyDescent="0.25">
      <c r="A330" s="212">
        <v>43712</v>
      </c>
      <c r="B330" s="84">
        <v>13090</v>
      </c>
      <c r="C330" s="77" t="s">
        <v>698</v>
      </c>
      <c r="D330" s="77"/>
      <c r="E330" s="213"/>
    </row>
    <row r="331" spans="1:5" hidden="1" outlineLevel="1" x14ac:dyDescent="0.25">
      <c r="A331" s="212">
        <v>43710</v>
      </c>
      <c r="B331" s="84">
        <v>-40</v>
      </c>
      <c r="C331" s="77" t="s">
        <v>861</v>
      </c>
      <c r="D331" s="77"/>
      <c r="E331" s="213"/>
    </row>
    <row r="332" spans="1:5" hidden="1" outlineLevel="1" x14ac:dyDescent="0.25">
      <c r="A332" s="212">
        <v>43710</v>
      </c>
      <c r="B332" s="84">
        <v>4896.16</v>
      </c>
      <c r="C332" s="77" t="s">
        <v>862</v>
      </c>
      <c r="D332" s="77"/>
      <c r="E332" s="213"/>
    </row>
    <row r="333" spans="1:5" hidden="1" outlineLevel="1" x14ac:dyDescent="0.25">
      <c r="A333" s="212">
        <v>43709</v>
      </c>
      <c r="B333" s="84">
        <v>-141.15</v>
      </c>
      <c r="C333" s="77" t="s">
        <v>863</v>
      </c>
      <c r="D333" s="77"/>
      <c r="E333" s="213"/>
    </row>
    <row r="334" spans="1:5" hidden="1" outlineLevel="1" x14ac:dyDescent="0.25">
      <c r="A334" s="212">
        <v>43709</v>
      </c>
      <c r="B334" s="84">
        <v>-5</v>
      </c>
      <c r="C334" s="77" t="s">
        <v>709</v>
      </c>
      <c r="D334" s="77"/>
      <c r="E334" s="213"/>
    </row>
    <row r="335" spans="1:5" hidden="1" outlineLevel="1" x14ac:dyDescent="0.25">
      <c r="A335" s="214">
        <v>43709</v>
      </c>
      <c r="B335" s="215">
        <v>-39.020000000000003</v>
      </c>
      <c r="C335" s="79" t="s">
        <v>710</v>
      </c>
      <c r="D335" s="79"/>
      <c r="E335" s="216"/>
    </row>
    <row r="336" spans="1:5" collapsed="1" x14ac:dyDescent="0.25">
      <c r="A336" s="217" t="s">
        <v>12</v>
      </c>
      <c r="B336" s="218">
        <f>SUBTOTAL(9,B337:B370)</f>
        <v>-22669.890000000003</v>
      </c>
      <c r="C336" s="73"/>
      <c r="D336" s="73"/>
      <c r="E336" s="218">
        <f>E371+B336</f>
        <v>19757.370000000006</v>
      </c>
    </row>
    <row r="337" spans="1:5" hidden="1" outlineLevel="1" x14ac:dyDescent="0.25">
      <c r="A337" s="209">
        <v>43707</v>
      </c>
      <c r="B337" s="210">
        <v>4312</v>
      </c>
      <c r="C337" s="75" t="s">
        <v>697</v>
      </c>
      <c r="D337" s="75"/>
      <c r="E337" s="211"/>
    </row>
    <row r="338" spans="1:5" hidden="1" outlineLevel="1" x14ac:dyDescent="0.25">
      <c r="A338" s="212">
        <v>43706</v>
      </c>
      <c r="B338" s="84">
        <v>-681.35</v>
      </c>
      <c r="C338" s="77" t="s">
        <v>844</v>
      </c>
      <c r="D338" s="77"/>
      <c r="E338" s="213"/>
    </row>
    <row r="339" spans="1:5" hidden="1" outlineLevel="1" x14ac:dyDescent="0.25">
      <c r="A339" s="212">
        <v>43706</v>
      </c>
      <c r="B339" s="84">
        <v>-1127.99</v>
      </c>
      <c r="C339" s="77" t="s">
        <v>845</v>
      </c>
      <c r="D339" s="77"/>
      <c r="E339" s="213"/>
    </row>
    <row r="340" spans="1:5" hidden="1" outlineLevel="1" x14ac:dyDescent="0.25">
      <c r="A340" s="212">
        <v>43706</v>
      </c>
      <c r="B340" s="84">
        <v>2612.5</v>
      </c>
      <c r="C340" s="77" t="s">
        <v>700</v>
      </c>
      <c r="D340" s="77"/>
      <c r="E340" s="213"/>
    </row>
    <row r="341" spans="1:5" hidden="1" outlineLevel="1" x14ac:dyDescent="0.25">
      <c r="A341" s="212">
        <v>43705</v>
      </c>
      <c r="B341" s="84">
        <v>-1634</v>
      </c>
      <c r="C341" s="77" t="s">
        <v>705</v>
      </c>
      <c r="D341" s="77"/>
      <c r="E341" s="213"/>
    </row>
    <row r="342" spans="1:5" hidden="1" outlineLevel="1" x14ac:dyDescent="0.25">
      <c r="A342" s="212">
        <v>43703</v>
      </c>
      <c r="B342" s="84">
        <v>4896.16</v>
      </c>
      <c r="C342" s="77" t="s">
        <v>846</v>
      </c>
      <c r="D342" s="77"/>
      <c r="E342" s="213"/>
    </row>
    <row r="343" spans="1:5" hidden="1" outlineLevel="1" x14ac:dyDescent="0.25">
      <c r="A343" s="212">
        <v>43702</v>
      </c>
      <c r="B343" s="84">
        <v>-1815</v>
      </c>
      <c r="C343" s="77" t="s">
        <v>847</v>
      </c>
      <c r="D343" s="77"/>
      <c r="E343" s="213"/>
    </row>
    <row r="344" spans="1:5" hidden="1" outlineLevel="1" x14ac:dyDescent="0.25">
      <c r="A344" s="212">
        <v>43700</v>
      </c>
      <c r="B344" s="84">
        <v>4312</v>
      </c>
      <c r="C344" s="77" t="s">
        <v>697</v>
      </c>
      <c r="D344" s="77"/>
      <c r="E344" s="213"/>
    </row>
    <row r="345" spans="1:5" hidden="1" outlineLevel="1" x14ac:dyDescent="0.25">
      <c r="A345" s="212">
        <v>43700</v>
      </c>
      <c r="B345" s="84">
        <v>-6094.73</v>
      </c>
      <c r="C345" s="77" t="s">
        <v>848</v>
      </c>
      <c r="D345" s="77"/>
      <c r="E345" s="213"/>
    </row>
    <row r="346" spans="1:5" hidden="1" outlineLevel="1" x14ac:dyDescent="0.25">
      <c r="A346" s="212">
        <v>43699</v>
      </c>
      <c r="B346" s="84">
        <v>10890</v>
      </c>
      <c r="C346" s="77" t="s">
        <v>830</v>
      </c>
      <c r="D346" s="77"/>
      <c r="E346" s="213"/>
    </row>
    <row r="347" spans="1:5" hidden="1" outlineLevel="1" x14ac:dyDescent="0.25">
      <c r="A347" s="212">
        <v>43699</v>
      </c>
      <c r="B347" s="84">
        <v>13200</v>
      </c>
      <c r="C347" s="77" t="s">
        <v>831</v>
      </c>
      <c r="D347" s="77"/>
      <c r="E347" s="213"/>
    </row>
    <row r="348" spans="1:5" hidden="1" outlineLevel="1" x14ac:dyDescent="0.25">
      <c r="A348" s="212">
        <v>43699</v>
      </c>
      <c r="B348" s="84">
        <v>3135</v>
      </c>
      <c r="C348" s="77" t="s">
        <v>700</v>
      </c>
      <c r="D348" s="77"/>
      <c r="E348" s="213"/>
    </row>
    <row r="349" spans="1:5" hidden="1" outlineLevel="1" x14ac:dyDescent="0.25">
      <c r="A349" s="212">
        <v>43698</v>
      </c>
      <c r="B349" s="84">
        <v>-59.99</v>
      </c>
      <c r="C349" s="77" t="s">
        <v>832</v>
      </c>
      <c r="D349" s="77"/>
      <c r="E349" s="213"/>
    </row>
    <row r="350" spans="1:5" hidden="1" outlineLevel="1" x14ac:dyDescent="0.25">
      <c r="A350" s="212">
        <v>43696</v>
      </c>
      <c r="B350" s="84">
        <v>4896.16</v>
      </c>
      <c r="C350" s="77" t="s">
        <v>833</v>
      </c>
      <c r="D350" s="77"/>
      <c r="E350" s="213"/>
    </row>
    <row r="351" spans="1:5" hidden="1" outlineLevel="1" x14ac:dyDescent="0.25">
      <c r="A351" s="212">
        <v>43693</v>
      </c>
      <c r="B351" s="84">
        <v>3773</v>
      </c>
      <c r="C351" s="77" t="s">
        <v>697</v>
      </c>
      <c r="D351" s="77"/>
      <c r="E351" s="213"/>
    </row>
    <row r="352" spans="1:5" hidden="1" outlineLevel="1" x14ac:dyDescent="0.25">
      <c r="A352" s="212">
        <v>43692</v>
      </c>
      <c r="B352" s="84">
        <v>-681.35</v>
      </c>
      <c r="C352" s="77" t="s">
        <v>834</v>
      </c>
      <c r="D352" s="77"/>
      <c r="E352" s="213"/>
    </row>
    <row r="353" spans="1:5" hidden="1" outlineLevel="1" x14ac:dyDescent="0.25">
      <c r="A353" s="212">
        <v>43691</v>
      </c>
      <c r="B353" s="84">
        <v>-37388.629999999997</v>
      </c>
      <c r="C353" s="77" t="s">
        <v>835</v>
      </c>
      <c r="D353" s="77"/>
      <c r="E353" s="213"/>
    </row>
    <row r="354" spans="1:5" hidden="1" outlineLevel="1" x14ac:dyDescent="0.25">
      <c r="A354" s="212">
        <v>43691</v>
      </c>
      <c r="B354" s="84">
        <v>-1359.82</v>
      </c>
      <c r="C354" s="77" t="s">
        <v>825</v>
      </c>
      <c r="D354" s="77"/>
      <c r="E354" s="213"/>
    </row>
    <row r="355" spans="1:5" hidden="1" outlineLevel="1" x14ac:dyDescent="0.25">
      <c r="A355" s="212">
        <v>43691</v>
      </c>
      <c r="B355" s="84">
        <v>7700</v>
      </c>
      <c r="C355" s="77" t="s">
        <v>698</v>
      </c>
      <c r="D355" s="77"/>
      <c r="E355" s="213"/>
    </row>
    <row r="356" spans="1:5" hidden="1" outlineLevel="1" x14ac:dyDescent="0.25">
      <c r="A356" s="212">
        <v>43691</v>
      </c>
      <c r="B356" s="84">
        <v>-1634</v>
      </c>
      <c r="C356" s="77" t="s">
        <v>705</v>
      </c>
      <c r="D356" s="77"/>
      <c r="E356" s="213"/>
    </row>
    <row r="357" spans="1:5" hidden="1" outlineLevel="1" x14ac:dyDescent="0.25">
      <c r="A357" s="212">
        <v>43689</v>
      </c>
      <c r="B357" s="84">
        <v>4896.16</v>
      </c>
      <c r="C357" s="77" t="s">
        <v>826</v>
      </c>
      <c r="D357" s="77"/>
      <c r="E357" s="213"/>
    </row>
    <row r="358" spans="1:5" hidden="1" outlineLevel="1" x14ac:dyDescent="0.25">
      <c r="A358" s="212">
        <v>43688</v>
      </c>
      <c r="B358" s="84">
        <v>-62799</v>
      </c>
      <c r="C358" s="77" t="s">
        <v>827</v>
      </c>
      <c r="D358" s="77"/>
      <c r="E358" s="213"/>
    </row>
    <row r="359" spans="1:5" hidden="1" outlineLevel="1" x14ac:dyDescent="0.25">
      <c r="A359" s="212">
        <v>10</v>
      </c>
      <c r="B359" s="84">
        <v>-5509.69</v>
      </c>
      <c r="C359" s="77" t="s">
        <v>819</v>
      </c>
      <c r="D359" s="77"/>
      <c r="E359" s="213"/>
    </row>
    <row r="360" spans="1:5" hidden="1" outlineLevel="1" x14ac:dyDescent="0.25">
      <c r="A360" s="212">
        <v>9</v>
      </c>
      <c r="B360" s="84">
        <v>4312</v>
      </c>
      <c r="C360" s="77" t="s">
        <v>697</v>
      </c>
      <c r="D360" s="77"/>
      <c r="E360" s="213"/>
    </row>
    <row r="361" spans="1:5" hidden="1" outlineLevel="1" x14ac:dyDescent="0.25">
      <c r="A361" s="212">
        <v>9</v>
      </c>
      <c r="B361" s="84">
        <v>-7577.31</v>
      </c>
      <c r="C361" s="77" t="s">
        <v>820</v>
      </c>
      <c r="D361" s="77"/>
      <c r="E361" s="213"/>
    </row>
    <row r="362" spans="1:5" hidden="1" outlineLevel="1" x14ac:dyDescent="0.25">
      <c r="A362" s="212">
        <v>43685</v>
      </c>
      <c r="B362" s="84">
        <v>14300</v>
      </c>
      <c r="C362" s="77" t="s">
        <v>797</v>
      </c>
      <c r="D362" s="77"/>
      <c r="E362" s="213"/>
    </row>
    <row r="363" spans="1:5" hidden="1" outlineLevel="1" x14ac:dyDescent="0.25">
      <c r="A363" s="212">
        <v>43685</v>
      </c>
      <c r="B363" s="84">
        <v>12375</v>
      </c>
      <c r="C363" s="77" t="s">
        <v>798</v>
      </c>
      <c r="D363" s="77"/>
      <c r="E363" s="213"/>
    </row>
    <row r="364" spans="1:5" hidden="1" outlineLevel="1" x14ac:dyDescent="0.25">
      <c r="A364" s="212">
        <v>43682</v>
      </c>
      <c r="B364" s="84">
        <v>4896.16</v>
      </c>
      <c r="C364" s="77" t="s">
        <v>799</v>
      </c>
      <c r="D364" s="77"/>
      <c r="E364" s="213"/>
    </row>
    <row r="365" spans="1:5" hidden="1" outlineLevel="1" x14ac:dyDescent="0.25">
      <c r="A365" s="212">
        <v>43679</v>
      </c>
      <c r="B365" s="84">
        <v>4312</v>
      </c>
      <c r="C365" s="77" t="s">
        <v>697</v>
      </c>
      <c r="D365" s="77"/>
      <c r="E365" s="213"/>
    </row>
    <row r="366" spans="1:5" hidden="1" outlineLevel="1" x14ac:dyDescent="0.25">
      <c r="A366" s="212">
        <v>43678</v>
      </c>
      <c r="B366" s="84">
        <v>-681.35</v>
      </c>
      <c r="C366" s="77" t="s">
        <v>800</v>
      </c>
      <c r="D366" s="77"/>
      <c r="E366" s="213"/>
    </row>
    <row r="367" spans="1:5" hidden="1" outlineLevel="1" x14ac:dyDescent="0.25">
      <c r="A367" s="212">
        <v>43678</v>
      </c>
      <c r="B367" s="84">
        <v>1567.5</v>
      </c>
      <c r="C367" s="77" t="s">
        <v>700</v>
      </c>
      <c r="D367" s="77"/>
      <c r="E367" s="213"/>
    </row>
    <row r="368" spans="1:5" hidden="1" outlineLevel="1" x14ac:dyDescent="0.25">
      <c r="A368" s="212">
        <v>43678</v>
      </c>
      <c r="B368" s="84">
        <v>-5.9</v>
      </c>
      <c r="C368" s="77" t="s">
        <v>708</v>
      </c>
      <c r="D368" s="77"/>
      <c r="E368" s="213"/>
    </row>
    <row r="369" spans="1:5" hidden="1" outlineLevel="1" x14ac:dyDescent="0.25">
      <c r="A369" s="212">
        <v>43678</v>
      </c>
      <c r="B369" s="84">
        <v>-5</v>
      </c>
      <c r="C369" s="77" t="s">
        <v>709</v>
      </c>
      <c r="D369" s="77"/>
      <c r="E369" s="213"/>
    </row>
    <row r="370" spans="1:5" hidden="1" outlineLevel="1" x14ac:dyDescent="0.25">
      <c r="A370" s="214">
        <v>43678</v>
      </c>
      <c r="B370" s="215">
        <v>-0.42</v>
      </c>
      <c r="C370" s="79" t="s">
        <v>710</v>
      </c>
      <c r="D370" s="79"/>
      <c r="E370" s="216"/>
    </row>
    <row r="371" spans="1:5" collapsed="1" x14ac:dyDescent="0.25">
      <c r="A371" s="73" t="s">
        <v>11</v>
      </c>
      <c r="B371" s="218">
        <f>SUBTOTAL(9,B372:B410)</f>
        <v>45645.750000000007</v>
      </c>
      <c r="C371" s="73"/>
      <c r="D371" s="73"/>
      <c r="E371" s="218">
        <f>E411+B371</f>
        <v>42427.260000000009</v>
      </c>
    </row>
    <row r="372" spans="1:5" hidden="1" outlineLevel="1" x14ac:dyDescent="0.25">
      <c r="A372" s="209">
        <v>43677</v>
      </c>
      <c r="B372" s="210">
        <v>-1634</v>
      </c>
      <c r="C372" s="75" t="s">
        <v>705</v>
      </c>
      <c r="D372" s="75"/>
      <c r="E372" s="211"/>
    </row>
    <row r="373" spans="1:5" hidden="1" outlineLevel="1" x14ac:dyDescent="0.25">
      <c r="A373" s="212">
        <v>43675</v>
      </c>
      <c r="B373" s="84">
        <v>-1127.99</v>
      </c>
      <c r="C373" s="77" t="s">
        <v>793</v>
      </c>
      <c r="D373" s="77"/>
      <c r="E373" s="213"/>
    </row>
    <row r="374" spans="1:5" hidden="1" outlineLevel="1" x14ac:dyDescent="0.25">
      <c r="A374" s="212">
        <v>43675</v>
      </c>
      <c r="B374" s="84">
        <v>4896.16</v>
      </c>
      <c r="C374" s="77" t="s">
        <v>794</v>
      </c>
      <c r="D374" s="77"/>
      <c r="E374" s="213"/>
    </row>
    <row r="375" spans="1:5" hidden="1" outlineLevel="1" x14ac:dyDescent="0.25">
      <c r="A375" s="212">
        <v>43673</v>
      </c>
      <c r="B375" s="84">
        <v>-1846</v>
      </c>
      <c r="C375" s="77" t="s">
        <v>795</v>
      </c>
      <c r="D375" s="77"/>
      <c r="E375" s="213"/>
    </row>
    <row r="376" spans="1:5" hidden="1" outlineLevel="1" x14ac:dyDescent="0.25">
      <c r="A376" s="212">
        <v>43672</v>
      </c>
      <c r="B376" s="84">
        <v>4312</v>
      </c>
      <c r="C376" s="77" t="s">
        <v>697</v>
      </c>
      <c r="D376" s="77"/>
      <c r="E376" s="213"/>
    </row>
    <row r="377" spans="1:5" hidden="1" outlineLevel="1" x14ac:dyDescent="0.25">
      <c r="A377" s="212">
        <v>43672</v>
      </c>
      <c r="B377" s="84">
        <v>-7089.18</v>
      </c>
      <c r="C377" s="77" t="s">
        <v>790</v>
      </c>
      <c r="D377" s="77"/>
      <c r="E377" s="213"/>
    </row>
    <row r="378" spans="1:5" hidden="1" outlineLevel="1" x14ac:dyDescent="0.25">
      <c r="A378" s="212">
        <v>43671</v>
      </c>
      <c r="B378" s="84">
        <v>12870</v>
      </c>
      <c r="C378" s="77" t="s">
        <v>782</v>
      </c>
      <c r="D378" s="77"/>
      <c r="E378" s="213"/>
    </row>
    <row r="379" spans="1:5" hidden="1" outlineLevel="1" x14ac:dyDescent="0.25">
      <c r="A379" s="212">
        <v>43671</v>
      </c>
      <c r="B379" s="84">
        <v>14300</v>
      </c>
      <c r="C379" s="77" t="s">
        <v>783</v>
      </c>
      <c r="D379" s="77"/>
      <c r="E379" s="213"/>
    </row>
    <row r="380" spans="1:5" hidden="1" outlineLevel="1" x14ac:dyDescent="0.25">
      <c r="A380" s="212">
        <v>43671</v>
      </c>
      <c r="B380" s="84">
        <v>2090</v>
      </c>
      <c r="C380" s="77" t="s">
        <v>700</v>
      </c>
      <c r="D380" s="77"/>
      <c r="E380" s="213"/>
    </row>
    <row r="381" spans="1:5" hidden="1" outlineLevel="1" x14ac:dyDescent="0.25">
      <c r="A381" s="212">
        <v>43670</v>
      </c>
      <c r="B381" s="84">
        <v>7315</v>
      </c>
      <c r="C381" s="77" t="s">
        <v>698</v>
      </c>
      <c r="D381" s="77"/>
      <c r="E381" s="213"/>
    </row>
    <row r="382" spans="1:5" hidden="1" outlineLevel="1" x14ac:dyDescent="0.25">
      <c r="A382" s="212">
        <v>43668</v>
      </c>
      <c r="B382" s="84">
        <v>-59.99</v>
      </c>
      <c r="C382" s="77" t="s">
        <v>765</v>
      </c>
      <c r="D382" s="77"/>
      <c r="E382" s="213"/>
    </row>
    <row r="383" spans="1:5" hidden="1" outlineLevel="1" x14ac:dyDescent="0.25">
      <c r="A383" s="212">
        <v>43668</v>
      </c>
      <c r="B383" s="84">
        <v>4896.16</v>
      </c>
      <c r="C383" s="77" t="s">
        <v>766</v>
      </c>
      <c r="D383" s="77"/>
      <c r="E383" s="213"/>
    </row>
    <row r="384" spans="1:5" hidden="1" outlineLevel="1" x14ac:dyDescent="0.25">
      <c r="A384" s="212">
        <v>43664</v>
      </c>
      <c r="B384" s="84">
        <v>-341.35</v>
      </c>
      <c r="C384" s="77" t="s">
        <v>767</v>
      </c>
      <c r="D384" s="77"/>
      <c r="E384" s="213"/>
    </row>
    <row r="385" spans="1:5" hidden="1" outlineLevel="1" x14ac:dyDescent="0.25">
      <c r="A385" s="212">
        <v>43663</v>
      </c>
      <c r="B385" s="84">
        <v>-1634</v>
      </c>
      <c r="C385" s="77" t="s">
        <v>705</v>
      </c>
      <c r="D385" s="77"/>
      <c r="E385" s="213"/>
    </row>
    <row r="386" spans="1:5" hidden="1" outlineLevel="1" x14ac:dyDescent="0.25">
      <c r="A386" s="212">
        <v>43662</v>
      </c>
      <c r="B386" s="84">
        <v>-3045.31</v>
      </c>
      <c r="C386" s="77" t="s">
        <v>768</v>
      </c>
      <c r="D386" s="77"/>
      <c r="E386" s="213"/>
    </row>
    <row r="387" spans="1:5" hidden="1" outlineLevel="1" x14ac:dyDescent="0.25">
      <c r="A387" s="212">
        <v>43661</v>
      </c>
      <c r="B387" s="84">
        <v>4895</v>
      </c>
      <c r="C387" s="77" t="s">
        <v>769</v>
      </c>
      <c r="D387" s="77"/>
      <c r="E387" s="213"/>
    </row>
    <row r="388" spans="1:5" hidden="1" outlineLevel="1" x14ac:dyDescent="0.25">
      <c r="A388" s="212">
        <v>43659</v>
      </c>
      <c r="B388" s="84">
        <v>-34359.97</v>
      </c>
      <c r="C388" s="77" t="s">
        <v>770</v>
      </c>
      <c r="D388" s="77"/>
      <c r="E388" s="213"/>
    </row>
    <row r="389" spans="1:5" hidden="1" outlineLevel="1" x14ac:dyDescent="0.25">
      <c r="A389" s="212">
        <v>43659</v>
      </c>
      <c r="B389" s="84">
        <v>-2560</v>
      </c>
      <c r="C389" s="77" t="s">
        <v>771</v>
      </c>
      <c r="D389" s="77"/>
      <c r="E389" s="213"/>
    </row>
    <row r="390" spans="1:5" hidden="1" outlineLevel="1" x14ac:dyDescent="0.25">
      <c r="A390" s="212">
        <v>43659</v>
      </c>
      <c r="B390" s="84">
        <v>-1991.38</v>
      </c>
      <c r="C390" s="77" t="s">
        <v>748</v>
      </c>
      <c r="D390" s="77"/>
      <c r="E390" s="213"/>
    </row>
    <row r="391" spans="1:5" hidden="1" outlineLevel="1" x14ac:dyDescent="0.25">
      <c r="A391" s="212">
        <v>43658</v>
      </c>
      <c r="B391" s="84">
        <v>4312</v>
      </c>
      <c r="C391" s="77" t="s">
        <v>697</v>
      </c>
      <c r="D391" s="77"/>
      <c r="E391" s="213"/>
    </row>
    <row r="392" spans="1:5" hidden="1" outlineLevel="1" x14ac:dyDescent="0.25">
      <c r="A392" s="212">
        <v>43658</v>
      </c>
      <c r="B392" s="84">
        <v>-500</v>
      </c>
      <c r="C392" s="77" t="s">
        <v>749</v>
      </c>
      <c r="D392" s="77"/>
      <c r="E392" s="213"/>
    </row>
    <row r="393" spans="1:5" hidden="1" outlineLevel="1" x14ac:dyDescent="0.25">
      <c r="A393" s="212">
        <v>43658</v>
      </c>
      <c r="B393" s="84">
        <v>-4696.12</v>
      </c>
      <c r="C393" s="77" t="s">
        <v>750</v>
      </c>
      <c r="D393" s="77"/>
      <c r="E393" s="213"/>
    </row>
    <row r="394" spans="1:5" hidden="1" outlineLevel="1" x14ac:dyDescent="0.25">
      <c r="A394" s="212">
        <v>43657</v>
      </c>
      <c r="B394" s="84">
        <v>7920</v>
      </c>
      <c r="C394" s="77" t="s">
        <v>734</v>
      </c>
      <c r="D394" s="77"/>
      <c r="E394" s="213"/>
    </row>
    <row r="395" spans="1:5" hidden="1" outlineLevel="1" x14ac:dyDescent="0.25">
      <c r="A395" s="212">
        <v>43657</v>
      </c>
      <c r="B395" s="84">
        <v>9900</v>
      </c>
      <c r="C395" s="77" t="s">
        <v>735</v>
      </c>
      <c r="D395" s="77"/>
      <c r="E395" s="213"/>
    </row>
    <row r="396" spans="1:5" hidden="1" outlineLevel="1" x14ac:dyDescent="0.25">
      <c r="A396" s="212">
        <v>43656</v>
      </c>
      <c r="B396" s="84">
        <v>3773</v>
      </c>
      <c r="C396" s="77" t="s">
        <v>697</v>
      </c>
      <c r="D396" s="77"/>
      <c r="E396" s="213"/>
    </row>
    <row r="397" spans="1:5" hidden="1" outlineLevel="1" x14ac:dyDescent="0.25">
      <c r="A397" s="212">
        <v>43656</v>
      </c>
      <c r="B397" s="84">
        <v>7700</v>
      </c>
      <c r="C397" s="77" t="s">
        <v>698</v>
      </c>
      <c r="D397" s="77"/>
      <c r="E397" s="213"/>
    </row>
    <row r="398" spans="1:5" hidden="1" outlineLevel="1" x14ac:dyDescent="0.25">
      <c r="A398" s="212">
        <v>43654</v>
      </c>
      <c r="B398" s="84">
        <v>4895</v>
      </c>
      <c r="C398" s="77" t="s">
        <v>699</v>
      </c>
      <c r="D398" s="77"/>
      <c r="E398" s="213"/>
    </row>
    <row r="399" spans="1:5" hidden="1" outlineLevel="1" x14ac:dyDescent="0.25">
      <c r="A399" s="212">
        <v>43651</v>
      </c>
      <c r="B399" s="84">
        <v>10450</v>
      </c>
      <c r="C399" s="77" t="s">
        <v>700</v>
      </c>
      <c r="D399" s="77"/>
      <c r="E399" s="213"/>
    </row>
    <row r="400" spans="1:5" hidden="1" outlineLevel="1" x14ac:dyDescent="0.25">
      <c r="A400" s="212">
        <v>43651</v>
      </c>
      <c r="B400" s="84">
        <v>-300</v>
      </c>
      <c r="C400" s="77" t="s">
        <v>701</v>
      </c>
      <c r="D400" s="77"/>
      <c r="E400" s="213"/>
    </row>
    <row r="401" spans="1:5" hidden="1" outlineLevel="1" x14ac:dyDescent="0.25">
      <c r="A401" s="212">
        <v>43650</v>
      </c>
      <c r="B401" s="84">
        <v>-681.35</v>
      </c>
      <c r="C401" s="77" t="s">
        <v>702</v>
      </c>
      <c r="D401" s="77"/>
      <c r="E401" s="213"/>
    </row>
    <row r="402" spans="1:5" hidden="1" outlineLevel="1" x14ac:dyDescent="0.25">
      <c r="A402" s="212">
        <v>43650</v>
      </c>
      <c r="B402" s="84">
        <v>300</v>
      </c>
      <c r="C402" s="77" t="s">
        <v>703</v>
      </c>
      <c r="D402" s="77"/>
      <c r="E402" s="213"/>
    </row>
    <row r="403" spans="1:5" hidden="1" outlineLevel="1" x14ac:dyDescent="0.25">
      <c r="A403" s="212">
        <v>43650</v>
      </c>
      <c r="B403" s="84">
        <v>-40</v>
      </c>
      <c r="C403" s="77" t="s">
        <v>704</v>
      </c>
      <c r="D403" s="77"/>
      <c r="E403" s="213"/>
    </row>
    <row r="404" spans="1:5" hidden="1" outlineLevel="1" x14ac:dyDescent="0.25">
      <c r="A404" s="212">
        <v>43649</v>
      </c>
      <c r="B404" s="84">
        <v>-1634</v>
      </c>
      <c r="C404" s="77" t="s">
        <v>705</v>
      </c>
      <c r="D404" s="77"/>
      <c r="E404" s="213"/>
    </row>
    <row r="405" spans="1:5" hidden="1" outlineLevel="1" x14ac:dyDescent="0.25">
      <c r="A405" s="212">
        <v>43647</v>
      </c>
      <c r="B405" s="84">
        <v>-1127.99</v>
      </c>
      <c r="C405" s="77" t="s">
        <v>706</v>
      </c>
      <c r="D405" s="77"/>
      <c r="E405" s="213"/>
    </row>
    <row r="406" spans="1:5" hidden="1" outlineLevel="1" x14ac:dyDescent="0.25">
      <c r="A406" s="212">
        <v>43647</v>
      </c>
      <c r="B406" s="84">
        <v>150</v>
      </c>
      <c r="C406" s="77" t="s">
        <v>707</v>
      </c>
      <c r="D406" s="77"/>
      <c r="E406" s="213"/>
    </row>
    <row r="407" spans="1:5" hidden="1" outlineLevel="1" x14ac:dyDescent="0.25">
      <c r="A407" s="212">
        <v>43647</v>
      </c>
      <c r="B407" s="84">
        <v>-5.15</v>
      </c>
      <c r="C407" s="77" t="s">
        <v>708</v>
      </c>
      <c r="D407" s="77"/>
      <c r="E407" s="213"/>
    </row>
    <row r="408" spans="1:5" hidden="1" outlineLevel="1" x14ac:dyDescent="0.25">
      <c r="A408" s="212">
        <v>43647</v>
      </c>
      <c r="B408" s="84">
        <v>-5</v>
      </c>
      <c r="C408" s="77" t="s">
        <v>709</v>
      </c>
      <c r="D408" s="77"/>
      <c r="E408" s="213"/>
    </row>
    <row r="409" spans="1:5" hidden="1" outlineLevel="1" x14ac:dyDescent="0.25">
      <c r="A409" s="212">
        <v>43647</v>
      </c>
      <c r="B409" s="84">
        <v>-34.29</v>
      </c>
      <c r="C409" s="77" t="s">
        <v>710</v>
      </c>
      <c r="D409" s="77"/>
      <c r="E409" s="213"/>
    </row>
    <row r="410" spans="1:5" hidden="1" outlineLevel="1" x14ac:dyDescent="0.25">
      <c r="A410" s="214">
        <v>43647</v>
      </c>
      <c r="B410" s="215">
        <v>5384.5</v>
      </c>
      <c r="C410" s="79" t="s">
        <v>711</v>
      </c>
      <c r="D410" s="79"/>
      <c r="E410" s="216"/>
    </row>
    <row r="411" spans="1:5" s="35" customFormat="1" collapsed="1" x14ac:dyDescent="0.25">
      <c r="A411" s="203"/>
      <c r="B411" s="205"/>
      <c r="C411" s="204"/>
      <c r="D411" s="204"/>
      <c r="E411" s="206">
        <v>-3218.49</v>
      </c>
    </row>
  </sheetData>
  <pageMargins left="0.75" right="0.75" top="1" bottom="1" header="0.51180555555555496" footer="0.51180555555555496"/>
  <pageSetup paperSize="9" firstPageNumber="0" orientation="portrait" horizontalDpi="300" verticalDpi="3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showZeros="0" zoomScaleNormal="100" workbookViewId="0">
      <selection activeCell="D3" sqref="D3"/>
    </sheetView>
  </sheetViews>
  <sheetFormatPr defaultRowHeight="13.2" x14ac:dyDescent="0.25"/>
  <cols>
    <col min="1" max="1025" width="11"/>
  </cols>
  <sheetData/>
  <pageMargins left="0.75" right="0.75" top="1" bottom="1" header="0.51180555555555496" footer="0.51180555555555496"/>
  <pageSetup paperSize="9" firstPageNumber="0" orientation="portrait" horizontalDpi="300" verticalDpi="3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U20"/>
  <sheetViews>
    <sheetView showZeros="0" zoomScale="80" zoomScaleNormal="80" workbookViewId="0">
      <selection activeCell="A21" sqref="A21"/>
    </sheetView>
  </sheetViews>
  <sheetFormatPr defaultRowHeight="13.2" outlineLevelRow="1" x14ac:dyDescent="0.25"/>
  <cols>
    <col min="1" max="1" width="7"/>
    <col min="2" max="2" width="9.5546875"/>
    <col min="3" max="4" width="13.44140625"/>
    <col min="5" max="5" width="10.5546875"/>
    <col min="6" max="6" width="9.5546875"/>
    <col min="7" max="7" width="2"/>
    <col min="8" max="8" width="14.5546875"/>
    <col min="9" max="9" width="21"/>
    <col min="10" max="10" width="14.5546875"/>
    <col min="11" max="21" width="13.44140625"/>
    <col min="22" max="1025" width="11"/>
  </cols>
  <sheetData>
    <row r="1" spans="1:21" ht="24" customHeight="1" x14ac:dyDescent="0.4">
      <c r="A1" s="66"/>
      <c r="B1" s="219"/>
      <c r="C1" s="220"/>
      <c r="D1" s="219"/>
      <c r="E1" s="221"/>
      <c r="F1" s="221"/>
      <c r="G1" s="219"/>
      <c r="H1" s="221"/>
      <c r="I1" s="66"/>
      <c r="J1" s="221" t="s">
        <v>443</v>
      </c>
      <c r="K1" s="66"/>
      <c r="L1" s="66"/>
      <c r="M1" s="66"/>
      <c r="N1" s="66"/>
      <c r="O1" s="66"/>
      <c r="P1" s="66"/>
      <c r="Q1" s="66"/>
      <c r="R1" s="66"/>
      <c r="S1" s="66"/>
      <c r="T1" s="66"/>
    </row>
    <row r="2" spans="1:21" s="224" customFormat="1" x14ac:dyDescent="0.25">
      <c r="A2" s="222" t="s">
        <v>444</v>
      </c>
      <c r="B2" s="156" t="s">
        <v>445</v>
      </c>
      <c r="C2" s="223"/>
      <c r="D2" s="156" t="s">
        <v>446</v>
      </c>
      <c r="E2" s="219" t="s">
        <v>126</v>
      </c>
      <c r="F2" s="156" t="s">
        <v>447</v>
      </c>
      <c r="G2" s="156"/>
      <c r="H2" s="156" t="s">
        <v>448</v>
      </c>
      <c r="I2" s="156" t="s">
        <v>449</v>
      </c>
      <c r="J2" s="156" t="s">
        <v>450</v>
      </c>
      <c r="K2" s="156" t="s">
        <v>451</v>
      </c>
      <c r="L2" s="156" t="s">
        <v>452</v>
      </c>
      <c r="M2" s="156" t="s">
        <v>453</v>
      </c>
      <c r="N2" s="156" t="s">
        <v>454</v>
      </c>
      <c r="O2" s="156" t="s">
        <v>455</v>
      </c>
      <c r="P2" s="156" t="s">
        <v>456</v>
      </c>
      <c r="Q2" s="156" t="s">
        <v>457</v>
      </c>
      <c r="R2" s="156" t="s">
        <v>458</v>
      </c>
      <c r="S2" s="156" t="s">
        <v>459</v>
      </c>
      <c r="T2" s="156" t="s">
        <v>460</v>
      </c>
    </row>
    <row r="3" spans="1:21" ht="12" customHeight="1" outlineLevel="1" x14ac:dyDescent="0.25">
      <c r="A3" s="225">
        <v>1</v>
      </c>
      <c r="B3" s="226"/>
      <c r="C3" s="227" t="s">
        <v>11</v>
      </c>
      <c r="D3" s="228"/>
      <c r="E3" s="74">
        <f ca="1">SUMIF(payTot,$A3,Emps!E$24:OFFSET(Emps!E$24,ROWS(payDet)-1,0))</f>
        <v>160.5</v>
      </c>
      <c r="F3" s="74">
        <f ca="1">SUMIF(payTot,$A3,Emps!F$24:OFFSET(Emps!F$24,ROWS(payDet)-1,0))</f>
        <v>0</v>
      </c>
      <c r="G3" s="74"/>
      <c r="H3" s="74">
        <f ca="1">SUMIF(payTot,$A3,Emps!H$24:OFFSET(Emps!H$24,ROWS(payDet)-1,0))</f>
        <v>87745</v>
      </c>
      <c r="I3" s="74">
        <f ca="1">SUMIF(payTot,$A3,Emps!I$24:OFFSET(Emps!I$24,ROWS(payDet)-1,0))</f>
        <v>4214</v>
      </c>
      <c r="J3" s="74">
        <f ca="1">SUMIF(payTot,$A3,Emps!J$24:OFFSET(Emps!J$24,ROWS(payDet)-1,0))</f>
        <v>83940.26</v>
      </c>
      <c r="K3" s="74">
        <f ca="1">SUMIF(payTot,$A3,Emps!K$24:OFFSET(Emps!K$24,ROWS(payDet)-1,0))</f>
        <v>0</v>
      </c>
      <c r="L3" s="74">
        <f ca="1">SUMIF(payTot,$A3,Emps!L$24:OFFSET(Emps!L$24,ROWS(payDet)-1,0))</f>
        <v>4105.1899999999996</v>
      </c>
      <c r="M3" s="74">
        <f ca="1">SUMIF(payTot,$A3,Emps!M$24:OFFSET(Emps!M$24,ROWS(payDet)-1,0))</f>
        <v>6926.32</v>
      </c>
      <c r="N3" s="74">
        <f ca="1">SUMIF(payTot,$A3,Emps!N$24:OFFSET(Emps!N$24,ROWS(payDet)-1,0))</f>
        <v>0</v>
      </c>
      <c r="O3" s="74">
        <f ca="1">SUMIF(payTot,$A3,Emps!O$24:OFFSET(Emps!O$24,ROWS(payDet)-1,0))</f>
        <v>573.22</v>
      </c>
      <c r="P3" s="74">
        <f ca="1">SUMIF(payTot,$A3,Emps!P$24:OFFSET(Emps!P$24,ROWS(payDet)-1,0))</f>
        <v>0</v>
      </c>
      <c r="Q3" s="74">
        <f ca="1">SUMIF(payTot,$A3,Emps!Q$24:OFFSET(Emps!Q$24,ROWS(payDet)-1,0))</f>
        <v>72335.529999999984</v>
      </c>
      <c r="R3" s="74">
        <f ca="1">SUMIF(payTot,$A3,Emps!R$24:OFFSET(Emps!R$24,ROWS(payDet)-1,0))</f>
        <v>20230</v>
      </c>
      <c r="S3" s="74">
        <f ca="1">SUMIF(payTot,$A3,Emps!S$24:OFFSET(Emps!S$24,ROWS(payDet)-1,0))</f>
        <v>52105.529999999984</v>
      </c>
      <c r="T3" s="74">
        <f ca="1">SUMIF(payTot,$A3,Emps!T$24:OFFSET(Emps!T$24,ROWS(payDet)-1,0))</f>
        <v>4515.7</v>
      </c>
      <c r="U3" s="62"/>
    </row>
    <row r="4" spans="1:21" ht="12" customHeight="1" outlineLevel="1" x14ac:dyDescent="0.25">
      <c r="A4" s="120">
        <v>2</v>
      </c>
      <c r="B4" s="231"/>
      <c r="C4" s="77" t="s">
        <v>12</v>
      </c>
      <c r="D4" s="76"/>
      <c r="E4" s="396">
        <f ca="1">SUMIF(payTot,$A4,Emps!E$24:OFFSET(Emps!E$24,ROWS(payDet)-1,0))</f>
        <v>165</v>
      </c>
      <c r="F4" s="396">
        <f ca="1">SUMIF(payTot,$A4,Emps!F$24:OFFSET(Emps!F$24,ROWS(payDet)-1,0))</f>
        <v>0</v>
      </c>
      <c r="G4" s="396"/>
      <c r="H4" s="396">
        <f ca="1">SUMIF(payTot,$A4,Emps!H$24:OFFSET(Emps!H$24,ROWS(payDet)-1,0))</f>
        <v>82465</v>
      </c>
      <c r="I4" s="396">
        <f ca="1">SUMIF(payTot,$A4,Emps!I$24:OFFSET(Emps!I$24,ROWS(payDet)-1,0))</f>
        <v>3918.5</v>
      </c>
      <c r="J4" s="396">
        <f ca="1">SUMIF(payTot,$A4,Emps!J$24:OFFSET(Emps!J$24,ROWS(payDet)-1,0))</f>
        <v>78806.05</v>
      </c>
      <c r="K4" s="396">
        <f ca="1">SUMIF(payTot,$A4,Emps!K$24:OFFSET(Emps!K$24,ROWS(payDet)-1,0))</f>
        <v>0</v>
      </c>
      <c r="L4" s="396">
        <f ca="1">SUMIF(payTot,$A4,Emps!L$24:OFFSET(Emps!L$24,ROWS(payDet)-1,0))</f>
        <v>3407.8299999999995</v>
      </c>
      <c r="M4" s="396">
        <f ca="1">SUMIF(payTot,$A4,Emps!M$24:OFFSET(Emps!M$24,ROWS(payDet)-1,0))</f>
        <v>6541.4</v>
      </c>
      <c r="N4" s="396">
        <f ca="1">SUMIF(payTot,$A4,Emps!N$24:OFFSET(Emps!N$24,ROWS(payDet)-1,0))</f>
        <v>0</v>
      </c>
      <c r="O4" s="396">
        <f ca="1">SUMIF(payTot,$A4,Emps!O$24:OFFSET(Emps!O$24,ROWS(payDet)-1,0))</f>
        <v>511.78</v>
      </c>
      <c r="P4" s="396">
        <f ca="1">SUMIF(payTot,$A4,Emps!P$24:OFFSET(Emps!P$24,ROWS(payDet)-1,0))</f>
        <v>0</v>
      </c>
      <c r="Q4" s="396">
        <f ca="1">SUMIF(payTot,$A4,Emps!Q$24:OFFSET(Emps!Q$24,ROWS(payDet)-1,0))</f>
        <v>68345.040000000008</v>
      </c>
      <c r="R4" s="396">
        <f ca="1">SUMIF(payTot,$A4,Emps!R$24:OFFSET(Emps!R$24,ROWS(payDet)-1,0))</f>
        <v>19614</v>
      </c>
      <c r="S4" s="396">
        <f ca="1">SUMIF(payTot,$A4,Emps!S$24:OFFSET(Emps!S$24,ROWS(payDet)-1,0))</f>
        <v>48731.040000000001</v>
      </c>
      <c r="T4" s="396">
        <f ca="1">SUMIF(payTot,$A4,Emps!T$24:OFFSET(Emps!T$24,ROWS(payDet)-1,0))</f>
        <v>3748.6</v>
      </c>
      <c r="U4" s="62"/>
    </row>
    <row r="5" spans="1:21" ht="12" customHeight="1" outlineLevel="1" x14ac:dyDescent="0.25">
      <c r="A5" s="120">
        <v>3</v>
      </c>
      <c r="B5" s="231"/>
      <c r="C5" s="77" t="s">
        <v>13</v>
      </c>
      <c r="D5" s="78"/>
      <c r="E5" s="78">
        <f ca="1">SUMIF(payTot,$A5,Emps!E$24:OFFSET(Emps!E$24,ROWS(payDet)-1,0))</f>
        <v>27</v>
      </c>
      <c r="F5" s="78">
        <f ca="1">SUMIF(payTot,$A5,Emps!F$24:OFFSET(Emps!F$24,ROWS(payDet)-1,0))</f>
        <v>0</v>
      </c>
      <c r="G5" s="78"/>
      <c r="H5" s="78">
        <f ca="1">SUMIF(payTot,$A5,Emps!H$24:OFFSET(Emps!H$24,ROWS(payDet)-1,0))</f>
        <v>12150</v>
      </c>
      <c r="I5" s="78">
        <f ca="1">SUMIF(payTot,$A5,Emps!I$24:OFFSET(Emps!I$24,ROWS(payDet)-1,0))</f>
        <v>607.5</v>
      </c>
      <c r="J5" s="78">
        <f ca="1">SUMIF(payTot,$A5,Emps!J$24:OFFSET(Emps!J$24,ROWS(payDet)-1,0))</f>
        <v>11542.5</v>
      </c>
      <c r="K5" s="78">
        <f ca="1">SUMIF(payTot,$A5,Emps!K$24:OFFSET(Emps!K$24,ROWS(payDet)-1,0))</f>
        <v>0</v>
      </c>
      <c r="L5" s="78">
        <f ca="1">SUMIF(payTot,$A5,Emps!L$24:OFFSET(Emps!L$24,ROWS(payDet)-1,0))</f>
        <v>1023.6400000000001</v>
      </c>
      <c r="M5" s="78">
        <f ca="1">SUMIF(payTot,$A5,Emps!M$24:OFFSET(Emps!M$24,ROWS(payDet)-1,0))</f>
        <v>912.59</v>
      </c>
      <c r="N5" s="78">
        <f ca="1">SUMIF(payTot,$A5,Emps!N$24:OFFSET(Emps!N$24,ROWS(payDet)-1,0))</f>
        <v>0</v>
      </c>
      <c r="O5" s="78">
        <f ca="1">SUMIF(payTot,$A5,Emps!O$24:OFFSET(Emps!O$24,ROWS(payDet)-1,0))</f>
        <v>96.06</v>
      </c>
      <c r="P5" s="78">
        <f ca="1">SUMIF(payTot,$A5,Emps!P$24:OFFSET(Emps!P$24,ROWS(payDet)-1,0))</f>
        <v>0</v>
      </c>
      <c r="Q5" s="78">
        <f ca="1">SUMIF(payTot,$A5,Emps!Q$24:OFFSET(Emps!Q$24,ROWS(payDet)-1,0))</f>
        <v>9510.2099999999991</v>
      </c>
      <c r="R5" s="78">
        <f ca="1">SUMIF(payTot,$A5,Emps!R$24:OFFSET(Emps!R$24,ROWS(payDet)-1,0))</f>
        <v>2752</v>
      </c>
      <c r="S5" s="78">
        <f ca="1">SUMIF(payTot,$A5,Emps!S$24:OFFSET(Emps!S$24,ROWS(payDet)-1,0))</f>
        <v>6758.21</v>
      </c>
      <c r="T5" s="78">
        <f ca="1">SUMIF(payTot,$A5,Emps!T$24:OFFSET(Emps!T$24,ROWS(payDet)-1,0))</f>
        <v>1126</v>
      </c>
      <c r="U5" s="62"/>
    </row>
    <row r="6" spans="1:21" ht="12" customHeight="1" x14ac:dyDescent="0.25">
      <c r="A6" s="131"/>
      <c r="B6" s="132"/>
      <c r="C6" s="132" t="s">
        <v>14</v>
      </c>
      <c r="D6" s="235"/>
      <c r="E6" s="190">
        <f ca="1">SUBTOTAL(9,E3:E5)</f>
        <v>352.5</v>
      </c>
      <c r="F6" s="190">
        <f ca="1">SUBTOTAL(9,F3:F5)</f>
        <v>0</v>
      </c>
      <c r="G6" s="236"/>
      <c r="H6" s="190">
        <f t="shared" ref="H6:T6" ca="1" si="0">SUBTOTAL(9,H3:H5)</f>
        <v>182360</v>
      </c>
      <c r="I6" s="190">
        <f t="shared" ca="1" si="0"/>
        <v>8740</v>
      </c>
      <c r="J6" s="190">
        <f t="shared" ca="1" si="0"/>
        <v>174288.81</v>
      </c>
      <c r="K6" s="190">
        <f t="shared" ca="1" si="0"/>
        <v>0</v>
      </c>
      <c r="L6" s="190">
        <f t="shared" ca="1" si="0"/>
        <v>8536.659999999998</v>
      </c>
      <c r="M6" s="190">
        <f t="shared" ca="1" si="0"/>
        <v>14380.31</v>
      </c>
      <c r="N6" s="190">
        <f t="shared" ca="1" si="0"/>
        <v>0</v>
      </c>
      <c r="O6" s="190">
        <f t="shared" ca="1" si="0"/>
        <v>1181.06</v>
      </c>
      <c r="P6" s="190">
        <f t="shared" ca="1" si="0"/>
        <v>0</v>
      </c>
      <c r="Q6" s="190">
        <f t="shared" ca="1" si="0"/>
        <v>150190.78</v>
      </c>
      <c r="R6" s="190">
        <f t="shared" ca="1" si="0"/>
        <v>42596</v>
      </c>
      <c r="S6" s="190">
        <f t="shared" ca="1" si="0"/>
        <v>107594.77999999998</v>
      </c>
      <c r="T6" s="237">
        <f t="shared" ca="1" si="0"/>
        <v>9390.2999999999993</v>
      </c>
    </row>
    <row r="7" spans="1:21" ht="12" customHeight="1" outlineLevel="1" x14ac:dyDescent="0.25">
      <c r="A7" s="120">
        <v>4</v>
      </c>
      <c r="B7" s="231"/>
      <c r="C7" s="77" t="s">
        <v>15</v>
      </c>
      <c r="D7" s="238"/>
      <c r="E7" s="74">
        <f ca="1">SUMIF(payTot,$A7,Emps!E$24:OFFSET(Emps!E$24,ROWS(payDet)-1,0))</f>
        <v>0</v>
      </c>
      <c r="F7" s="74">
        <f ca="1">SUMIF(payTot,$A7,Emps!F$24:OFFSET(Emps!F$24,ROWS(payDet)-1,0))</f>
        <v>0</v>
      </c>
      <c r="G7" s="74"/>
      <c r="H7" s="74">
        <f ca="1">SUMIF(payTot,$A7,Emps!H$24:OFFSET(Emps!H$24,ROWS(payDet)-1,0))</f>
        <v>0</v>
      </c>
      <c r="I7" s="74">
        <f ca="1">SUMIF(payTot,$A7,Emps!I$24:OFFSET(Emps!I$24,ROWS(payDet)-1,0))</f>
        <v>0</v>
      </c>
      <c r="J7" s="74">
        <f ca="1">SUMIF(payTot,$A7,Emps!J$24:OFFSET(Emps!J$24,ROWS(payDet)-1,0))</f>
        <v>0</v>
      </c>
      <c r="K7" s="74">
        <f ca="1">SUMIF(payTot,$A7,Emps!K$24:OFFSET(Emps!K$24,ROWS(payDet)-1,0))</f>
        <v>0</v>
      </c>
      <c r="L7" s="74">
        <f ca="1">SUMIF(payTot,$A7,Emps!L$24:OFFSET(Emps!L$24,ROWS(payDet)-1,0))</f>
        <v>0</v>
      </c>
      <c r="M7" s="74">
        <f ca="1">SUMIF(payTot,$A7,Emps!M$24:OFFSET(Emps!M$24,ROWS(payDet)-1,0))</f>
        <v>0</v>
      </c>
      <c r="N7" s="74">
        <f ca="1">SUMIF(payTot,$A7,Emps!N$24:OFFSET(Emps!N$24,ROWS(payDet)-1,0))</f>
        <v>0</v>
      </c>
      <c r="O7" s="74">
        <f ca="1">SUMIF(payTot,$A7,Emps!O$24:OFFSET(Emps!O$24,ROWS(payDet)-1,0))</f>
        <v>0</v>
      </c>
      <c r="P7" s="74">
        <f ca="1">SUMIF(payTot,$A7,Emps!P$24:OFFSET(Emps!P$24,ROWS(payDet)-1,0))</f>
        <v>0</v>
      </c>
      <c r="Q7" s="74">
        <f ca="1">SUMIF(payTot,$A7,Emps!Q$24:OFFSET(Emps!Q$24,ROWS(payDet)-1,0))</f>
        <v>0</v>
      </c>
      <c r="R7" s="74">
        <f ca="1">SUMIF(payTot,$A7,Emps!R$24:OFFSET(Emps!R$24,ROWS(payDet)-1,0))</f>
        <v>0</v>
      </c>
      <c r="S7" s="74">
        <f ca="1">SUMIF(payTot,$A7,Emps!S$24:OFFSET(Emps!S$24,ROWS(payDet)-1,0))</f>
        <v>0</v>
      </c>
      <c r="T7" s="74">
        <f ca="1">SUMIF(payTot,$A7,Emps!T$24:OFFSET(Emps!T$24,ROWS(payDet)-1,0))</f>
        <v>0</v>
      </c>
    </row>
    <row r="8" spans="1:21" ht="12" customHeight="1" outlineLevel="1" x14ac:dyDescent="0.25">
      <c r="A8" s="120">
        <v>5</v>
      </c>
      <c r="B8" s="231"/>
      <c r="C8" s="77" t="s">
        <v>16</v>
      </c>
      <c r="D8" s="238"/>
      <c r="E8" s="396">
        <f ca="1">SUMIF(payTot,$A8,Emps!E$24:OFFSET(Emps!E$24,ROWS(payDet)-1,0))</f>
        <v>0</v>
      </c>
      <c r="F8" s="396">
        <f ca="1">SUMIF(payTot,$A8,Emps!F$24:OFFSET(Emps!F$24,ROWS(payDet)-1,0))</f>
        <v>0</v>
      </c>
      <c r="G8" s="396"/>
      <c r="H8" s="396">
        <f ca="1">SUMIF(payTot,$A8,Emps!H$24:OFFSET(Emps!H$24,ROWS(payDet)-1,0))</f>
        <v>0</v>
      </c>
      <c r="I8" s="396">
        <f ca="1">SUMIF(payTot,$A8,Emps!I$24:OFFSET(Emps!I$24,ROWS(payDet)-1,0))</f>
        <v>0</v>
      </c>
      <c r="J8" s="396">
        <f ca="1">SUMIF(payTot,$A8,Emps!J$24:OFFSET(Emps!J$24,ROWS(payDet)-1,0))</f>
        <v>0</v>
      </c>
      <c r="K8" s="396">
        <f ca="1">SUMIF(payTot,$A8,Emps!K$24:OFFSET(Emps!K$24,ROWS(payDet)-1,0))</f>
        <v>0</v>
      </c>
      <c r="L8" s="396">
        <f ca="1">SUMIF(payTot,$A8,Emps!L$24:OFFSET(Emps!L$24,ROWS(payDet)-1,0))</f>
        <v>0</v>
      </c>
      <c r="M8" s="396">
        <f ca="1">SUMIF(payTot,$A8,Emps!M$24:OFFSET(Emps!M$24,ROWS(payDet)-1,0))</f>
        <v>0</v>
      </c>
      <c r="N8" s="396">
        <f ca="1">SUMIF(payTot,$A8,Emps!N$24:OFFSET(Emps!N$24,ROWS(payDet)-1,0))</f>
        <v>0</v>
      </c>
      <c r="O8" s="396">
        <f ca="1">SUMIF(payTot,$A8,Emps!O$24:OFFSET(Emps!O$24,ROWS(payDet)-1,0))</f>
        <v>0</v>
      </c>
      <c r="P8" s="396">
        <f ca="1">SUMIF(payTot,$A8,Emps!P$24:OFFSET(Emps!P$24,ROWS(payDet)-1,0))</f>
        <v>0</v>
      </c>
      <c r="Q8" s="396">
        <f ca="1">SUMIF(payTot,$A8,Emps!Q$24:OFFSET(Emps!Q$24,ROWS(payDet)-1,0))</f>
        <v>0</v>
      </c>
      <c r="R8" s="396">
        <f ca="1">SUMIF(payTot,$A8,Emps!R$24:OFFSET(Emps!R$24,ROWS(payDet)-1,0))</f>
        <v>0</v>
      </c>
      <c r="S8" s="396">
        <f ca="1">SUMIF(payTot,$A8,Emps!S$24:OFFSET(Emps!S$24,ROWS(payDet)-1,0))</f>
        <v>0</v>
      </c>
      <c r="T8" s="396">
        <f ca="1">SUMIF(payTot,$A8,Emps!T$24:OFFSET(Emps!T$24,ROWS(payDet)-1,0))</f>
        <v>0</v>
      </c>
    </row>
    <row r="9" spans="1:21" ht="12" customHeight="1" outlineLevel="1" x14ac:dyDescent="0.25">
      <c r="A9" s="120">
        <v>6</v>
      </c>
      <c r="B9" s="231"/>
      <c r="C9" s="77" t="s">
        <v>17</v>
      </c>
      <c r="D9" s="238"/>
      <c r="E9" s="78">
        <f ca="1">SUMIF(payTot,$A9,Emps!E$24:OFFSET(Emps!E$24,ROWS(payDet)-1,0))</f>
        <v>0</v>
      </c>
      <c r="F9" s="78">
        <f ca="1">SUMIF(payTot,$A9,Emps!F$24:OFFSET(Emps!F$24,ROWS(payDet)-1,0))</f>
        <v>0</v>
      </c>
      <c r="G9" s="78"/>
      <c r="H9" s="78">
        <f ca="1">SUMIF(payTot,$A9,Emps!H$24:OFFSET(Emps!H$24,ROWS(payDet)-1,0))</f>
        <v>0</v>
      </c>
      <c r="I9" s="78">
        <f ca="1">SUMIF(payTot,$A9,Emps!I$24:OFFSET(Emps!I$24,ROWS(payDet)-1,0))</f>
        <v>0</v>
      </c>
      <c r="J9" s="78">
        <f ca="1">SUMIF(payTot,$A9,Emps!J$24:OFFSET(Emps!J$24,ROWS(payDet)-1,0))</f>
        <v>0</v>
      </c>
      <c r="K9" s="78">
        <f ca="1">SUMIF(payTot,$A9,Emps!K$24:OFFSET(Emps!K$24,ROWS(payDet)-1,0))</f>
        <v>0</v>
      </c>
      <c r="L9" s="78">
        <f ca="1">SUMIF(payTot,$A9,Emps!L$24:OFFSET(Emps!L$24,ROWS(payDet)-1,0))</f>
        <v>0</v>
      </c>
      <c r="M9" s="78">
        <f ca="1">SUMIF(payTot,$A9,Emps!M$24:OFFSET(Emps!M$24,ROWS(payDet)-1,0))</f>
        <v>0</v>
      </c>
      <c r="N9" s="78">
        <f ca="1">SUMIF(payTot,$A9,Emps!N$24:OFFSET(Emps!N$24,ROWS(payDet)-1,0))</f>
        <v>0</v>
      </c>
      <c r="O9" s="78">
        <f ca="1">SUMIF(payTot,$A9,Emps!O$24:OFFSET(Emps!O$24,ROWS(payDet)-1,0))</f>
        <v>0</v>
      </c>
      <c r="P9" s="78">
        <f ca="1">SUMIF(payTot,$A9,Emps!P$24:OFFSET(Emps!P$24,ROWS(payDet)-1,0))</f>
        <v>0</v>
      </c>
      <c r="Q9" s="78">
        <f ca="1">SUMIF(payTot,$A9,Emps!Q$24:OFFSET(Emps!Q$24,ROWS(payDet)-1,0))</f>
        <v>0</v>
      </c>
      <c r="R9" s="78">
        <f ca="1">SUMIF(payTot,$A9,Emps!R$24:OFFSET(Emps!R$24,ROWS(payDet)-1,0))</f>
        <v>0</v>
      </c>
      <c r="S9" s="78">
        <f ca="1">SUMIF(payTot,$A9,Emps!S$24:OFFSET(Emps!S$24,ROWS(payDet)-1,0))</f>
        <v>0</v>
      </c>
      <c r="T9" s="78">
        <f ca="1">SUMIF(payTot,$A9,Emps!T$24:OFFSET(Emps!T$24,ROWS(payDet)-1,0))</f>
        <v>0</v>
      </c>
    </row>
    <row r="10" spans="1:21" ht="12" customHeight="1" x14ac:dyDescent="0.25">
      <c r="A10" s="131"/>
      <c r="B10" s="132"/>
      <c r="C10" s="132" t="s">
        <v>18</v>
      </c>
      <c r="D10" s="235"/>
      <c r="E10" s="132">
        <f ca="1">SUBTOTAL(9,E7:E9)</f>
        <v>0</v>
      </c>
      <c r="F10" s="132">
        <f ca="1">SUBTOTAL(9,F7:F9)</f>
        <v>0</v>
      </c>
      <c r="G10" s="235"/>
      <c r="H10" s="190">
        <f t="shared" ref="H10:T10" ca="1" si="1">SUBTOTAL(9,H7:H9)</f>
        <v>0</v>
      </c>
      <c r="I10" s="190">
        <f t="shared" ca="1" si="1"/>
        <v>0</v>
      </c>
      <c r="J10" s="190">
        <f t="shared" ca="1" si="1"/>
        <v>0</v>
      </c>
      <c r="K10" s="190">
        <f t="shared" ca="1" si="1"/>
        <v>0</v>
      </c>
      <c r="L10" s="190">
        <f t="shared" ca="1" si="1"/>
        <v>0</v>
      </c>
      <c r="M10" s="190">
        <f t="shared" ca="1" si="1"/>
        <v>0</v>
      </c>
      <c r="N10" s="190">
        <f t="shared" ca="1" si="1"/>
        <v>0</v>
      </c>
      <c r="O10" s="190">
        <f t="shared" ca="1" si="1"/>
        <v>0</v>
      </c>
      <c r="P10" s="190">
        <f t="shared" ca="1" si="1"/>
        <v>0</v>
      </c>
      <c r="Q10" s="190">
        <f t="shared" ca="1" si="1"/>
        <v>0</v>
      </c>
      <c r="R10" s="190">
        <f t="shared" ca="1" si="1"/>
        <v>0</v>
      </c>
      <c r="S10" s="190">
        <f t="shared" ca="1" si="1"/>
        <v>0</v>
      </c>
      <c r="T10" s="237">
        <f t="shared" ca="1" si="1"/>
        <v>0</v>
      </c>
    </row>
    <row r="11" spans="1:21" ht="12" customHeight="1" outlineLevel="1" x14ac:dyDescent="0.25">
      <c r="A11" s="120">
        <v>7</v>
      </c>
      <c r="B11" s="231"/>
      <c r="C11" s="77" t="s">
        <v>19</v>
      </c>
      <c r="D11" s="238"/>
      <c r="E11" s="74">
        <f ca="1">SUMIF(payTot,$A11,Emps!E$24:OFFSET(Emps!E$24,ROWS(payDet)-1,0))</f>
        <v>0</v>
      </c>
      <c r="F11" s="74">
        <f ca="1">SUMIF(payTot,$A11,Emps!F$24:OFFSET(Emps!F$24,ROWS(payDet)-1,0))</f>
        <v>0</v>
      </c>
      <c r="G11" s="74"/>
      <c r="H11" s="74">
        <f ca="1">SUMIF(payTot,$A11,Emps!H$24:OFFSET(Emps!H$24,ROWS(payDet)-1,0))</f>
        <v>0</v>
      </c>
      <c r="I11" s="74">
        <f ca="1">SUMIF(payTot,$A11,Emps!I$24:OFFSET(Emps!I$24,ROWS(payDet)-1,0))</f>
        <v>0</v>
      </c>
      <c r="J11" s="74">
        <f ca="1">SUMIF(payTot,$A11,Emps!J$24:OFFSET(Emps!J$24,ROWS(payDet)-1,0))</f>
        <v>0</v>
      </c>
      <c r="K11" s="74">
        <f ca="1">SUMIF(payTot,$A11,Emps!K$24:OFFSET(Emps!K$24,ROWS(payDet)-1,0))</f>
        <v>0</v>
      </c>
      <c r="L11" s="74">
        <f ca="1">SUMIF(payTot,$A11,Emps!L$24:OFFSET(Emps!L$24,ROWS(payDet)-1,0))</f>
        <v>0</v>
      </c>
      <c r="M11" s="74">
        <f ca="1">SUMIF(payTot,$A11,Emps!M$24:OFFSET(Emps!M$24,ROWS(payDet)-1,0))</f>
        <v>0</v>
      </c>
      <c r="N11" s="74">
        <f ca="1">SUMIF(payTot,$A11,Emps!N$24:OFFSET(Emps!N$24,ROWS(payDet)-1,0))</f>
        <v>0</v>
      </c>
      <c r="O11" s="74">
        <f ca="1">SUMIF(payTot,$A11,Emps!O$24:OFFSET(Emps!O$24,ROWS(payDet)-1,0))</f>
        <v>0</v>
      </c>
      <c r="P11" s="74">
        <f ca="1">SUMIF(payTot,$A11,Emps!P$24:OFFSET(Emps!P$24,ROWS(payDet)-1,0))</f>
        <v>0</v>
      </c>
      <c r="Q11" s="74">
        <f ca="1">SUMIF(payTot,$A11,Emps!Q$24:OFFSET(Emps!Q$24,ROWS(payDet)-1,0))</f>
        <v>0</v>
      </c>
      <c r="R11" s="74">
        <f ca="1">SUMIF(payTot,$A11,Emps!R$24:OFFSET(Emps!R$24,ROWS(payDet)-1,0))</f>
        <v>0</v>
      </c>
      <c r="S11" s="74">
        <f ca="1">SUMIF(payTot,$A11,Emps!S$24:OFFSET(Emps!S$24,ROWS(payDet)-1,0))</f>
        <v>0</v>
      </c>
      <c r="T11" s="74">
        <f ca="1">SUMIF(payTot,$A11,Emps!T$24:OFFSET(Emps!T$24,ROWS(payDet)-1,0))</f>
        <v>0</v>
      </c>
    </row>
    <row r="12" spans="1:21" ht="12" customHeight="1" outlineLevel="1" x14ac:dyDescent="0.25">
      <c r="A12" s="120">
        <v>8</v>
      </c>
      <c r="B12" s="231"/>
      <c r="C12" s="77" t="s">
        <v>20</v>
      </c>
      <c r="D12" s="238"/>
      <c r="E12" s="396">
        <f ca="1">SUMIF(payTot,$A12,Emps!E$24:OFFSET(Emps!E$24,ROWS(payDet)-1,0))</f>
        <v>0</v>
      </c>
      <c r="F12" s="396">
        <f ca="1">SUMIF(payTot,$A12,Emps!F$24:OFFSET(Emps!F$24,ROWS(payDet)-1,0))</f>
        <v>0</v>
      </c>
      <c r="G12" s="396"/>
      <c r="H12" s="396">
        <f ca="1">SUMIF(payTot,$A12,Emps!H$24:OFFSET(Emps!H$24,ROWS(payDet)-1,0))</f>
        <v>0</v>
      </c>
      <c r="I12" s="396">
        <f ca="1">SUMIF(payTot,$A12,Emps!I$24:OFFSET(Emps!I$24,ROWS(payDet)-1,0))</f>
        <v>0</v>
      </c>
      <c r="J12" s="396">
        <f ca="1">SUMIF(payTot,$A12,Emps!J$24:OFFSET(Emps!J$24,ROWS(payDet)-1,0))</f>
        <v>0</v>
      </c>
      <c r="K12" s="396">
        <f ca="1">SUMIF(payTot,$A12,Emps!K$24:OFFSET(Emps!K$24,ROWS(payDet)-1,0))</f>
        <v>0</v>
      </c>
      <c r="L12" s="396">
        <f ca="1">SUMIF(payTot,$A12,Emps!L$24:OFFSET(Emps!L$24,ROWS(payDet)-1,0))</f>
        <v>0</v>
      </c>
      <c r="M12" s="396">
        <f ca="1">SUMIF(payTot,$A12,Emps!M$24:OFFSET(Emps!M$24,ROWS(payDet)-1,0))</f>
        <v>0</v>
      </c>
      <c r="N12" s="396">
        <f ca="1">SUMIF(payTot,$A12,Emps!N$24:OFFSET(Emps!N$24,ROWS(payDet)-1,0))</f>
        <v>0</v>
      </c>
      <c r="O12" s="396">
        <f ca="1">SUMIF(payTot,$A12,Emps!O$24:OFFSET(Emps!O$24,ROWS(payDet)-1,0))</f>
        <v>0</v>
      </c>
      <c r="P12" s="396">
        <f ca="1">SUMIF(payTot,$A12,Emps!P$24:OFFSET(Emps!P$24,ROWS(payDet)-1,0))</f>
        <v>0</v>
      </c>
      <c r="Q12" s="396">
        <f ca="1">SUMIF(payTot,$A12,Emps!Q$24:OFFSET(Emps!Q$24,ROWS(payDet)-1,0))</f>
        <v>0</v>
      </c>
      <c r="R12" s="396">
        <f ca="1">SUMIF(payTot,$A12,Emps!R$24:OFFSET(Emps!R$24,ROWS(payDet)-1,0))</f>
        <v>0</v>
      </c>
      <c r="S12" s="396">
        <f ca="1">SUMIF(payTot,$A12,Emps!S$24:OFFSET(Emps!S$24,ROWS(payDet)-1,0))</f>
        <v>0</v>
      </c>
      <c r="T12" s="396">
        <f ca="1">SUMIF(payTot,$A12,Emps!T$24:OFFSET(Emps!T$24,ROWS(payDet)-1,0))</f>
        <v>0</v>
      </c>
    </row>
    <row r="13" spans="1:21" ht="12" customHeight="1" outlineLevel="1" x14ac:dyDescent="0.25">
      <c r="A13" s="120">
        <v>9</v>
      </c>
      <c r="B13" s="231"/>
      <c r="C13" s="77" t="s">
        <v>21</v>
      </c>
      <c r="D13" s="238"/>
      <c r="E13" s="78">
        <f ca="1">SUMIF(payTot,$A13,Emps!E$24:OFFSET(Emps!E$24,ROWS(payDet)-1,0))</f>
        <v>0</v>
      </c>
      <c r="F13" s="78">
        <f ca="1">SUMIF(payTot,$A13,Emps!F$24:OFFSET(Emps!F$24,ROWS(payDet)-1,0))</f>
        <v>0</v>
      </c>
      <c r="G13" s="78"/>
      <c r="H13" s="78">
        <f ca="1">SUMIF(payTot,$A13,Emps!H$24:OFFSET(Emps!H$24,ROWS(payDet)-1,0))</f>
        <v>0</v>
      </c>
      <c r="I13" s="78">
        <f ca="1">SUMIF(payTot,$A13,Emps!I$24:OFFSET(Emps!I$24,ROWS(payDet)-1,0))</f>
        <v>0</v>
      </c>
      <c r="J13" s="78">
        <f ca="1">SUMIF(payTot,$A13,Emps!J$24:OFFSET(Emps!J$24,ROWS(payDet)-1,0))</f>
        <v>0</v>
      </c>
      <c r="K13" s="78">
        <f ca="1">SUMIF(payTot,$A13,Emps!K$24:OFFSET(Emps!K$24,ROWS(payDet)-1,0))</f>
        <v>0</v>
      </c>
      <c r="L13" s="78">
        <f ca="1">SUMIF(payTot,$A13,Emps!L$24:OFFSET(Emps!L$24,ROWS(payDet)-1,0))</f>
        <v>0</v>
      </c>
      <c r="M13" s="78">
        <f ca="1">SUMIF(payTot,$A13,Emps!M$24:OFFSET(Emps!M$24,ROWS(payDet)-1,0))</f>
        <v>0</v>
      </c>
      <c r="N13" s="78">
        <f ca="1">SUMIF(payTot,$A13,Emps!N$24:OFFSET(Emps!N$24,ROWS(payDet)-1,0))</f>
        <v>0</v>
      </c>
      <c r="O13" s="78">
        <f ca="1">SUMIF(payTot,$A13,Emps!O$24:OFFSET(Emps!O$24,ROWS(payDet)-1,0))</f>
        <v>0</v>
      </c>
      <c r="P13" s="78">
        <f ca="1">SUMIF(payTot,$A13,Emps!P$24:OFFSET(Emps!P$24,ROWS(payDet)-1,0))</f>
        <v>0</v>
      </c>
      <c r="Q13" s="78">
        <f ca="1">SUMIF(payTot,$A13,Emps!Q$24:OFFSET(Emps!Q$24,ROWS(payDet)-1,0))</f>
        <v>0</v>
      </c>
      <c r="R13" s="78">
        <f ca="1">SUMIF(payTot,$A13,Emps!R$24:OFFSET(Emps!R$24,ROWS(payDet)-1,0))</f>
        <v>0</v>
      </c>
      <c r="S13" s="78">
        <f ca="1">SUMIF(payTot,$A13,Emps!S$24:OFFSET(Emps!S$24,ROWS(payDet)-1,0))</f>
        <v>0</v>
      </c>
      <c r="T13" s="78">
        <f ca="1">SUMIF(payTot,$A13,Emps!T$24:OFFSET(Emps!T$24,ROWS(payDet)-1,0))</f>
        <v>0</v>
      </c>
    </row>
    <row r="14" spans="1:21" ht="12" customHeight="1" x14ac:dyDescent="0.25">
      <c r="A14" s="131"/>
      <c r="B14" s="132"/>
      <c r="C14" s="132" t="s">
        <v>22</v>
      </c>
      <c r="D14" s="235"/>
      <c r="E14" s="190">
        <f ca="1">SUBTOTAL(9,E11:E13)</f>
        <v>0</v>
      </c>
      <c r="F14" s="190">
        <f ca="1">SUBTOTAL(9,F11:F13)</f>
        <v>0</v>
      </c>
      <c r="G14" s="236"/>
      <c r="H14" s="190">
        <f t="shared" ref="H14:T14" ca="1" si="2">SUBTOTAL(9,H11:H13)</f>
        <v>0</v>
      </c>
      <c r="I14" s="190">
        <f t="shared" ca="1" si="2"/>
        <v>0</v>
      </c>
      <c r="J14" s="190">
        <f t="shared" ca="1" si="2"/>
        <v>0</v>
      </c>
      <c r="K14" s="190">
        <f t="shared" ca="1" si="2"/>
        <v>0</v>
      </c>
      <c r="L14" s="190">
        <f t="shared" ca="1" si="2"/>
        <v>0</v>
      </c>
      <c r="M14" s="190">
        <f t="shared" ca="1" si="2"/>
        <v>0</v>
      </c>
      <c r="N14" s="190">
        <f t="shared" ca="1" si="2"/>
        <v>0</v>
      </c>
      <c r="O14" s="190">
        <f t="shared" ca="1" si="2"/>
        <v>0</v>
      </c>
      <c r="P14" s="190">
        <f t="shared" ca="1" si="2"/>
        <v>0</v>
      </c>
      <c r="Q14" s="190">
        <f t="shared" ca="1" si="2"/>
        <v>0</v>
      </c>
      <c r="R14" s="190">
        <f t="shared" ca="1" si="2"/>
        <v>0</v>
      </c>
      <c r="S14" s="190">
        <f t="shared" ca="1" si="2"/>
        <v>0</v>
      </c>
      <c r="T14" s="237">
        <f t="shared" ca="1" si="2"/>
        <v>0</v>
      </c>
    </row>
    <row r="15" spans="1:21" ht="12" customHeight="1" outlineLevel="1" x14ac:dyDescent="0.25">
      <c r="A15" s="120">
        <v>10</v>
      </c>
      <c r="B15" s="231"/>
      <c r="C15" s="77" t="s">
        <v>23</v>
      </c>
      <c r="D15" s="238"/>
      <c r="E15" s="74">
        <f ca="1">SUMIF(payTot,$A15,Emps!E$24:OFFSET(Emps!E$24,ROWS(payDet)-1,0))</f>
        <v>0</v>
      </c>
      <c r="F15" s="74">
        <f ca="1">SUMIF(payTot,$A15,Emps!F$24:OFFSET(Emps!F$24,ROWS(payDet)-1,0))</f>
        <v>0</v>
      </c>
      <c r="G15" s="74"/>
      <c r="H15" s="74">
        <f ca="1">SUMIF(payTot,$A15,Emps!H$24:OFFSET(Emps!H$24,ROWS(payDet)-1,0))</f>
        <v>0</v>
      </c>
      <c r="I15" s="74">
        <f ca="1">SUMIF(payTot,$A15,Emps!I$24:OFFSET(Emps!I$24,ROWS(payDet)-1,0))</f>
        <v>0</v>
      </c>
      <c r="J15" s="74">
        <f ca="1">SUMIF(payTot,$A15,Emps!J$24:OFFSET(Emps!J$24,ROWS(payDet)-1,0))</f>
        <v>0</v>
      </c>
      <c r="K15" s="74">
        <f ca="1">SUMIF(payTot,$A15,Emps!K$24:OFFSET(Emps!K$24,ROWS(payDet)-1,0))</f>
        <v>0</v>
      </c>
      <c r="L15" s="74">
        <f ca="1">SUMIF(payTot,$A15,Emps!L$24:OFFSET(Emps!L$24,ROWS(payDet)-1,0))</f>
        <v>0</v>
      </c>
      <c r="M15" s="74">
        <f ca="1">SUMIF(payTot,$A15,Emps!M$24:OFFSET(Emps!M$24,ROWS(payDet)-1,0))</f>
        <v>0</v>
      </c>
      <c r="N15" s="74">
        <f ca="1">SUMIF(payTot,$A15,Emps!N$24:OFFSET(Emps!N$24,ROWS(payDet)-1,0))</f>
        <v>0</v>
      </c>
      <c r="O15" s="74">
        <f ca="1">SUMIF(payTot,$A15,Emps!O$24:OFFSET(Emps!O$24,ROWS(payDet)-1,0))</f>
        <v>0</v>
      </c>
      <c r="P15" s="74">
        <f ca="1">SUMIF(payTot,$A15,Emps!P$24:OFFSET(Emps!P$24,ROWS(payDet)-1,0))</f>
        <v>0</v>
      </c>
      <c r="Q15" s="74">
        <f ca="1">SUMIF(payTot,$A15,Emps!Q$24:OFFSET(Emps!Q$24,ROWS(payDet)-1,0))</f>
        <v>0</v>
      </c>
      <c r="R15" s="74">
        <f ca="1">SUMIF(payTot,$A15,Emps!R$24:OFFSET(Emps!R$24,ROWS(payDet)-1,0))</f>
        <v>0</v>
      </c>
      <c r="S15" s="74">
        <f ca="1">SUMIF(payTot,$A15,Emps!S$24:OFFSET(Emps!S$24,ROWS(payDet)-1,0))</f>
        <v>0</v>
      </c>
      <c r="T15" s="74">
        <f ca="1">SUMIF(payTot,$A15,Emps!T$24:OFFSET(Emps!T$24,ROWS(payDet)-1,0))</f>
        <v>0</v>
      </c>
    </row>
    <row r="16" spans="1:21" ht="12" customHeight="1" outlineLevel="1" x14ac:dyDescent="0.25">
      <c r="A16" s="120">
        <v>11</v>
      </c>
      <c r="B16" s="231"/>
      <c r="C16" s="77" t="s">
        <v>24</v>
      </c>
      <c r="D16" s="238"/>
      <c r="E16" s="396">
        <f ca="1">SUMIF(payTot,$A16,Emps!E$24:OFFSET(Emps!E$24,ROWS(payDet)-1,0))</f>
        <v>0</v>
      </c>
      <c r="F16" s="396">
        <f ca="1">SUMIF(payTot,$A16,Emps!F$24:OFFSET(Emps!F$24,ROWS(payDet)-1,0))</f>
        <v>0</v>
      </c>
      <c r="G16" s="396"/>
      <c r="H16" s="396">
        <f ca="1">SUMIF(payTot,$A16,Emps!H$24:OFFSET(Emps!H$24,ROWS(payDet)-1,0))</f>
        <v>0</v>
      </c>
      <c r="I16" s="396">
        <f ca="1">SUMIF(payTot,$A16,Emps!I$24:OFFSET(Emps!I$24,ROWS(payDet)-1,0))</f>
        <v>0</v>
      </c>
      <c r="J16" s="396">
        <f ca="1">SUMIF(payTot,$A16,Emps!J$24:OFFSET(Emps!J$24,ROWS(payDet)-1,0))</f>
        <v>0</v>
      </c>
      <c r="K16" s="396">
        <f ca="1">SUMIF(payTot,$A16,Emps!K$24:OFFSET(Emps!K$24,ROWS(payDet)-1,0))</f>
        <v>0</v>
      </c>
      <c r="L16" s="396">
        <f ca="1">SUMIF(payTot,$A16,Emps!L$24:OFFSET(Emps!L$24,ROWS(payDet)-1,0))</f>
        <v>0</v>
      </c>
      <c r="M16" s="396">
        <f ca="1">SUMIF(payTot,$A16,Emps!M$24:OFFSET(Emps!M$24,ROWS(payDet)-1,0))</f>
        <v>0</v>
      </c>
      <c r="N16" s="396">
        <f ca="1">SUMIF(payTot,$A16,Emps!N$24:OFFSET(Emps!N$24,ROWS(payDet)-1,0))</f>
        <v>0</v>
      </c>
      <c r="O16" s="396">
        <f ca="1">SUMIF(payTot,$A16,Emps!O$24:OFFSET(Emps!O$24,ROWS(payDet)-1,0))</f>
        <v>0</v>
      </c>
      <c r="P16" s="396">
        <f ca="1">SUMIF(payTot,$A16,Emps!P$24:OFFSET(Emps!P$24,ROWS(payDet)-1,0))</f>
        <v>0</v>
      </c>
      <c r="Q16" s="396">
        <f ca="1">SUMIF(payTot,$A16,Emps!Q$24:OFFSET(Emps!Q$24,ROWS(payDet)-1,0))</f>
        <v>0</v>
      </c>
      <c r="R16" s="396">
        <f ca="1">SUMIF(payTot,$A16,Emps!R$24:OFFSET(Emps!R$24,ROWS(payDet)-1,0))</f>
        <v>0</v>
      </c>
      <c r="S16" s="396">
        <f ca="1">SUMIF(payTot,$A16,Emps!S$24:OFFSET(Emps!S$24,ROWS(payDet)-1,0))</f>
        <v>0</v>
      </c>
      <c r="T16" s="396">
        <f ca="1">SUMIF(payTot,$A16,Emps!T$24:OFFSET(Emps!T$24,ROWS(payDet)-1,0))</f>
        <v>0</v>
      </c>
    </row>
    <row r="17" spans="1:20" ht="12" customHeight="1" outlineLevel="1" x14ac:dyDescent="0.25">
      <c r="A17" s="120">
        <v>12</v>
      </c>
      <c r="B17" s="231"/>
      <c r="C17" s="77" t="s">
        <v>25</v>
      </c>
      <c r="D17" s="238"/>
      <c r="E17" s="78">
        <f ca="1">SUMIF(payTot,$A17,Emps!E$24:OFFSET(Emps!E$24,ROWS(payDet)-1,0))</f>
        <v>0</v>
      </c>
      <c r="F17" s="78">
        <f ca="1">SUMIF(payTot,$A17,Emps!F$24:OFFSET(Emps!F$24,ROWS(payDet)-1,0))</f>
        <v>0</v>
      </c>
      <c r="G17" s="78"/>
      <c r="H17" s="78">
        <f ca="1">SUMIF(payTot,$A17,Emps!H$24:OFFSET(Emps!H$24,ROWS(payDet)-1,0))</f>
        <v>0</v>
      </c>
      <c r="I17" s="78">
        <f ca="1">SUMIF(payTot,$A17,Emps!I$24:OFFSET(Emps!I$24,ROWS(payDet)-1,0))</f>
        <v>0</v>
      </c>
      <c r="J17" s="78">
        <f ca="1">SUMIF(payTot,$A17,Emps!J$24:OFFSET(Emps!J$24,ROWS(payDet)-1,0))</f>
        <v>0</v>
      </c>
      <c r="K17" s="78">
        <f ca="1">SUMIF(payTot,$A17,Emps!K$24:OFFSET(Emps!K$24,ROWS(payDet)-1,0))</f>
        <v>0</v>
      </c>
      <c r="L17" s="78">
        <f ca="1">SUMIF(payTot,$A17,Emps!L$24:OFFSET(Emps!L$24,ROWS(payDet)-1,0))</f>
        <v>0</v>
      </c>
      <c r="M17" s="78">
        <f ca="1">SUMIF(payTot,$A17,Emps!M$24:OFFSET(Emps!M$24,ROWS(payDet)-1,0))</f>
        <v>0</v>
      </c>
      <c r="N17" s="78">
        <f ca="1">SUMIF(payTot,$A17,Emps!N$24:OFFSET(Emps!N$24,ROWS(payDet)-1,0))</f>
        <v>0</v>
      </c>
      <c r="O17" s="78">
        <f ca="1">SUMIF(payTot,$A17,Emps!O$24:OFFSET(Emps!O$24,ROWS(payDet)-1,0))</f>
        <v>0</v>
      </c>
      <c r="P17" s="78">
        <f ca="1">SUMIF(payTot,$A17,Emps!P$24:OFFSET(Emps!P$24,ROWS(payDet)-1,0))</f>
        <v>0</v>
      </c>
      <c r="Q17" s="78">
        <f ca="1">SUMIF(payTot,$A17,Emps!Q$24:OFFSET(Emps!Q$24,ROWS(payDet)-1,0))</f>
        <v>0</v>
      </c>
      <c r="R17" s="78">
        <f ca="1">SUMIF(payTot,$A17,Emps!R$24:OFFSET(Emps!R$24,ROWS(payDet)-1,0))</f>
        <v>0</v>
      </c>
      <c r="S17" s="78">
        <f ca="1">SUMIF(payTot,$A17,Emps!S$24:OFFSET(Emps!S$24,ROWS(payDet)-1,0))</f>
        <v>0</v>
      </c>
      <c r="T17" s="78">
        <f ca="1">SUMIF(payTot,$A17,Emps!T$24:OFFSET(Emps!T$24,ROWS(payDet)-1,0))</f>
        <v>0</v>
      </c>
    </row>
    <row r="18" spans="1:20" ht="12" customHeight="1" x14ac:dyDescent="0.25">
      <c r="A18" s="239"/>
      <c r="B18" s="190"/>
      <c r="C18" s="132" t="s">
        <v>26</v>
      </c>
      <c r="D18" s="236"/>
      <c r="E18" s="190">
        <f ca="1">SUBTOTAL(9,E15:E17)</f>
        <v>0</v>
      </c>
      <c r="F18" s="190">
        <f ca="1">SUBTOTAL(9,F15:F17)</f>
        <v>0</v>
      </c>
      <c r="G18" s="236"/>
      <c r="H18" s="190">
        <f t="shared" ref="H18:T18" ca="1" si="3">SUBTOTAL(9,H15:H17)</f>
        <v>0</v>
      </c>
      <c r="I18" s="190">
        <f t="shared" ca="1" si="3"/>
        <v>0</v>
      </c>
      <c r="J18" s="190">
        <f t="shared" ca="1" si="3"/>
        <v>0</v>
      </c>
      <c r="K18" s="190">
        <f t="shared" ca="1" si="3"/>
        <v>0</v>
      </c>
      <c r="L18" s="190">
        <f t="shared" ca="1" si="3"/>
        <v>0</v>
      </c>
      <c r="M18" s="190">
        <f t="shared" ca="1" si="3"/>
        <v>0</v>
      </c>
      <c r="N18" s="190">
        <f t="shared" ca="1" si="3"/>
        <v>0</v>
      </c>
      <c r="O18" s="190">
        <f t="shared" ca="1" si="3"/>
        <v>0</v>
      </c>
      <c r="P18" s="190">
        <f t="shared" ca="1" si="3"/>
        <v>0</v>
      </c>
      <c r="Q18" s="190">
        <f t="shared" ca="1" si="3"/>
        <v>0</v>
      </c>
      <c r="R18" s="190">
        <f t="shared" ca="1" si="3"/>
        <v>0</v>
      </c>
      <c r="S18" s="190">
        <f t="shared" ca="1" si="3"/>
        <v>0</v>
      </c>
      <c r="T18" s="237">
        <f t="shared" ca="1" si="3"/>
        <v>0</v>
      </c>
    </row>
    <row r="19" spans="1:20" ht="12" customHeight="1" x14ac:dyDescent="0.25">
      <c r="A19" s="240"/>
      <c r="B19" s="241"/>
      <c r="C19" s="241" t="s">
        <v>119</v>
      </c>
      <c r="D19" s="242"/>
      <c r="E19" s="241">
        <f ca="1">SUBTOTAL(9,E3:E18)</f>
        <v>352.5</v>
      </c>
      <c r="F19" s="241">
        <f ca="1">SUBTOTAL(9,F3:F18)</f>
        <v>0</v>
      </c>
      <c r="G19" s="242"/>
      <c r="H19" s="241">
        <f t="shared" ref="H19:T19" ca="1" si="4">SUBTOTAL(9,H3:H18)</f>
        <v>182360</v>
      </c>
      <c r="I19" s="241">
        <f t="shared" ca="1" si="4"/>
        <v>8740</v>
      </c>
      <c r="J19" s="241">
        <f t="shared" ca="1" si="4"/>
        <v>174288.81</v>
      </c>
      <c r="K19" s="241">
        <f t="shared" ca="1" si="4"/>
        <v>0</v>
      </c>
      <c r="L19" s="241">
        <f t="shared" ca="1" si="4"/>
        <v>8536.659999999998</v>
      </c>
      <c r="M19" s="241">
        <f t="shared" ca="1" si="4"/>
        <v>14380.31</v>
      </c>
      <c r="N19" s="241">
        <f t="shared" ca="1" si="4"/>
        <v>0</v>
      </c>
      <c r="O19" s="241">
        <f t="shared" ca="1" si="4"/>
        <v>1181.06</v>
      </c>
      <c r="P19" s="241">
        <f t="shared" ca="1" si="4"/>
        <v>0</v>
      </c>
      <c r="Q19" s="241">
        <f t="shared" ca="1" si="4"/>
        <v>150190.78</v>
      </c>
      <c r="R19" s="241">
        <f t="shared" ca="1" si="4"/>
        <v>42596</v>
      </c>
      <c r="S19" s="241">
        <f t="shared" ca="1" si="4"/>
        <v>107594.77999999998</v>
      </c>
      <c r="T19" s="243">
        <f t="shared" ca="1" si="4"/>
        <v>9390.2999999999993</v>
      </c>
    </row>
    <row r="20" spans="1:20" x14ac:dyDescent="0.25">
      <c r="A20" t="s">
        <v>461</v>
      </c>
    </row>
  </sheetData>
  <conditionalFormatting sqref="B10:C10 B18:C19 B14:C14 B6:C6 H6:T6 E14:F14 E10:F10 E6:F6 H10:T10 H14:T14 H18:T19 E18:F19">
    <cfRule type="cellIs" dxfId="82" priority="2" operator="greaterThanOrEqual">
      <formula>0</formula>
    </cfRule>
    <cfRule type="cellIs" dxfId="81" priority="3" operator="lessThan">
      <formula>0</formula>
    </cfRule>
  </conditionalFormatting>
  <pageMargins left="0.75" right="0.75" top="1" bottom="1" header="0.51180555555555496" footer="0.51180555555555496"/>
  <pageSetup paperSize="9" firstPageNumber="0" orientation="portrait" horizontalDpi="300" verticalDpi="300"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 filterMode="1"/>
  <dimension ref="A1:AJ678"/>
  <sheetViews>
    <sheetView showZeros="0" zoomScale="75" zoomScaleNormal="75" workbookViewId="0">
      <selection activeCell="I296" sqref="I296"/>
    </sheetView>
  </sheetViews>
  <sheetFormatPr defaultRowHeight="13.2" outlineLevelRow="1" x14ac:dyDescent="0.25"/>
  <cols>
    <col min="1" max="1" width="7"/>
    <col min="2" max="2" width="9.5546875"/>
    <col min="3" max="4" width="13.44140625"/>
    <col min="5" max="5" width="10.5546875"/>
    <col min="6" max="6" width="9.5546875" style="88"/>
    <col min="7" max="7" width="2"/>
    <col min="8" max="8" width="14.5546875"/>
    <col min="9" max="9" width="13.44140625"/>
    <col min="10" max="10" width="14.5546875"/>
    <col min="11" max="11" width="13.44140625"/>
    <col min="12" max="12" width="13.5546875" customWidth="1"/>
    <col min="13" max="17" width="13.44140625"/>
    <col min="18" max="18" width="9.44140625" bestFit="1" customWidth="1"/>
    <col min="19" max="19" width="10.44140625" bestFit="1" customWidth="1"/>
    <col min="20" max="22" width="9.109375" customWidth="1"/>
    <col min="23" max="23" width="13.44140625" customWidth="1"/>
    <col min="24" max="26" width="11"/>
    <col min="27" max="27" width="14.5546875"/>
    <col min="28" max="35" width="11"/>
    <col min="36" max="37" width="34.44140625"/>
    <col min="38" max="1025" width="11"/>
  </cols>
  <sheetData>
    <row r="1" spans="1:28" ht="22.8" x14ac:dyDescent="0.4">
      <c r="A1" s="221" t="s">
        <v>462</v>
      </c>
      <c r="B1" s="219"/>
      <c r="C1" s="244" t="s">
        <v>657</v>
      </c>
      <c r="D1" s="220"/>
      <c r="E1" s="245" t="str">
        <f>VLOOKUP($C$1,payEmpNames,2)</f>
        <v>Narasimha Vaka</v>
      </c>
      <c r="F1" s="381"/>
      <c r="G1" s="219"/>
      <c r="H1" s="221"/>
      <c r="I1" s="66"/>
      <c r="J1" s="221" t="s">
        <v>463</v>
      </c>
      <c r="K1" s="66"/>
      <c r="L1" s="66"/>
      <c r="M1" s="66"/>
      <c r="N1" s="66"/>
      <c r="O1" s="66"/>
      <c r="P1" s="66"/>
      <c r="Q1" s="66"/>
      <c r="R1" s="66"/>
      <c r="S1" s="66"/>
      <c r="T1" s="66"/>
      <c r="V1" s="66"/>
      <c r="Y1" s="246"/>
      <c r="Z1" s="219"/>
      <c r="AA1" s="219"/>
      <c r="AB1" s="219"/>
    </row>
    <row r="2" spans="1:28" s="224" customFormat="1" ht="13.8" thickBot="1" x14ac:dyDescent="0.3">
      <c r="A2" s="222" t="s">
        <v>444</v>
      </c>
      <c r="B2" s="156" t="s">
        <v>445</v>
      </c>
      <c r="C2" s="223" t="s">
        <v>464</v>
      </c>
      <c r="D2" s="156" t="s">
        <v>446</v>
      </c>
      <c r="E2" s="156" t="s">
        <v>126</v>
      </c>
      <c r="F2" s="380" t="s">
        <v>445</v>
      </c>
      <c r="G2" s="156"/>
      <c r="H2" s="156" t="s">
        <v>448</v>
      </c>
      <c r="I2" s="156" t="s">
        <v>449</v>
      </c>
      <c r="J2" s="156" t="s">
        <v>450</v>
      </c>
      <c r="K2" s="156" t="s">
        <v>451</v>
      </c>
      <c r="L2" s="156" t="s">
        <v>452</v>
      </c>
      <c r="M2" s="156" t="s">
        <v>453</v>
      </c>
      <c r="N2" s="156" t="s">
        <v>454</v>
      </c>
      <c r="O2" s="156" t="s">
        <v>455</v>
      </c>
      <c r="P2" s="156" t="s">
        <v>456</v>
      </c>
      <c r="Q2" s="156" t="s">
        <v>457</v>
      </c>
      <c r="R2" s="156" t="s">
        <v>458</v>
      </c>
      <c r="S2" s="156" t="s">
        <v>459</v>
      </c>
      <c r="T2" s="156" t="s">
        <v>460</v>
      </c>
      <c r="V2" s="222" t="s">
        <v>465</v>
      </c>
      <c r="Y2" s="246" t="s">
        <v>466</v>
      </c>
      <c r="Z2" s="219" t="s">
        <v>467</v>
      </c>
      <c r="AA2" s="219"/>
      <c r="AB2" s="219" t="s">
        <v>468</v>
      </c>
    </row>
    <row r="3" spans="1:28" x14ac:dyDescent="0.25">
      <c r="A3" s="225">
        <v>1</v>
      </c>
      <c r="B3" s="226"/>
      <c r="C3" s="227"/>
      <c r="D3" s="228"/>
      <c r="E3" s="228">
        <f ca="1">SUMIF(payDet,$V3,E$23:OFFSET(E$23,ROWS(payDet)-1,0))</f>
        <v>20.5</v>
      </c>
      <c r="F3" s="375"/>
      <c r="G3" s="228"/>
      <c r="H3" s="228">
        <f ca="1">SUMIF(payDet,$V3,H$23:OFFSET(H$23,ROWS(payDet)-1,0))</f>
        <v>12771.5</v>
      </c>
      <c r="I3" s="247">
        <f ca="1">SUMIF(payDet,$V3,I$23:OFFSET(I$23,ROWS(payDet)-1,0))</f>
        <v>638.57500000000005</v>
      </c>
      <c r="J3" s="248">
        <f ca="1">SUMIF(payDet,$V3,J$23:OFFSET(J$23,ROWS(payDet)-1,0))</f>
        <v>10746.31</v>
      </c>
      <c r="K3" s="228">
        <f ca="1">SUMIF(payDet,$V3,K$23:OFFSET(K$23,ROWS(payDet)-1,0))</f>
        <v>0</v>
      </c>
      <c r="L3" s="228">
        <f ca="1">SUMIF(payDet,$V3,L$23:OFFSET(L$23,ROWS(payDet)-1,0))</f>
        <v>215.27</v>
      </c>
      <c r="M3" s="228">
        <f ca="1">SUMIF(payDet,$V3,M$23:OFFSET(M$23,ROWS(payDet)-1,0))</f>
        <v>913.65</v>
      </c>
      <c r="N3" s="228">
        <f ca="1">SUMIF(payDet,$V3,N$23:OFFSET(N$23,ROWS(payDet)-1,0))</f>
        <v>0</v>
      </c>
      <c r="O3" s="228">
        <f ca="1">SUMIF(payDet,$V3,O$23:OFFSET(O$23,ROWS(payDet)-1,0))</f>
        <v>0</v>
      </c>
      <c r="P3" s="228">
        <f ca="1">SUMIF(payDet,$V3,P$23:OFFSET(P$23,ROWS(payDet)-1,0))</f>
        <v>0</v>
      </c>
      <c r="Q3" s="228">
        <f ca="1">SUMIF(payDet,$V3,Q$23:OFFSET(Q$23,ROWS(payDet)-1,0))</f>
        <v>9617.39</v>
      </c>
      <c r="R3" s="228">
        <f ca="1">SUMIF(payDet,$V3,R$23:OFFSET(R$23,ROWS(payDet)-1,0))</f>
        <v>2713</v>
      </c>
      <c r="S3" s="228">
        <f ca="1">SUMIF(payDet,$V3,S$23:OFFSET(S$23,ROWS(payDet)-1,0))</f>
        <v>6904.3899999999994</v>
      </c>
      <c r="T3" s="228">
        <f ca="1">SUMIF(payDet,$V3,T$23:OFFSET(T$23,ROWS(payDet)-1,0))</f>
        <v>236.8</v>
      </c>
      <c r="V3" s="225" t="str">
        <f>IF(ISBLANK(EmpID),A3,EmpID &amp;":"&amp; A3)</f>
        <v>VAK:1</v>
      </c>
      <c r="Y3" s="249" t="s">
        <v>469</v>
      </c>
      <c r="Z3" s="37" t="s">
        <v>470</v>
      </c>
      <c r="AA3" s="37"/>
      <c r="AB3" s="37"/>
    </row>
    <row r="4" spans="1:28" x14ac:dyDescent="0.25">
      <c r="A4" s="120">
        <v>2</v>
      </c>
      <c r="B4" s="231"/>
      <c r="C4" s="77"/>
      <c r="D4" s="76"/>
      <c r="E4" s="76">
        <f ca="1">SUMIF(payDet,$V4,E$23:OFFSET(E$23,ROWS(payDet)-1,0))</f>
        <v>25</v>
      </c>
      <c r="F4" s="336"/>
      <c r="G4" s="76"/>
      <c r="H4" s="76">
        <f ca="1">SUMIF(payDet,$V4,H$23:OFFSET(H$23,ROWS(payDet)-1,0))</f>
        <v>15575</v>
      </c>
      <c r="I4" s="232">
        <f ca="1">SUMIF(payDet,$V4,I$23:OFFSET(I$23,ROWS(payDet)-1,0))</f>
        <v>778.75</v>
      </c>
      <c r="J4" s="76">
        <f ca="1">SUMIF(payDet,$V4,J$23:OFFSET(J$23,ROWS(payDet)-1,0))</f>
        <v>13105.25</v>
      </c>
      <c r="K4" s="76">
        <f ca="1">SUMIF(payDet,$V4,K$23:OFFSET(K$23,ROWS(payDet)-1,0))</f>
        <v>0</v>
      </c>
      <c r="L4" s="76">
        <f ca="1">SUMIF(payDet,$V4,L$23:OFFSET(L$23,ROWS(payDet)-1,0))</f>
        <v>114.64</v>
      </c>
      <c r="M4" s="76">
        <f ca="1">SUMIF(payDet,$V4,M$23:OFFSET(M$23,ROWS(payDet)-1,0))</f>
        <v>1127.04</v>
      </c>
      <c r="N4" s="76">
        <f ca="1">SUMIF(payDet,$V4,N$23:OFFSET(N$23,ROWS(payDet)-1,0))</f>
        <v>0</v>
      </c>
      <c r="O4" s="76">
        <f ca="1">SUMIF(payDet,$V4,O$23:OFFSET(O$23,ROWS(payDet)-1,0))</f>
        <v>0</v>
      </c>
      <c r="P4" s="76">
        <f ca="1">SUMIF(payDet,$V4,P$23:OFFSET(P$23,ROWS(payDet)-1,0))</f>
        <v>0</v>
      </c>
      <c r="Q4" s="76">
        <f ca="1">SUMIF(payDet,$V4,Q$23:OFFSET(Q$23,ROWS(payDet)-1,0))</f>
        <v>11863.57</v>
      </c>
      <c r="R4" s="76">
        <f ca="1">SUMIF(payDet,$V4,R$23:OFFSET(R$23,ROWS(payDet)-1,0))</f>
        <v>3588</v>
      </c>
      <c r="S4" s="76">
        <f ca="1">SUMIF(payDet,$V4,S$23:OFFSET(S$23,ROWS(payDet)-1,0))</f>
        <v>8275.57</v>
      </c>
      <c r="T4" s="76">
        <f ca="1">SUMIF(payDet,$V4,T$23:OFFSET(T$23,ROWS(payDet)-1,0))</f>
        <v>126.1</v>
      </c>
      <c r="V4" s="120" t="str">
        <f>IF(ISBLANK(EmpID),A4,EmpID &amp;":"&amp; A4)</f>
        <v>VAK:2</v>
      </c>
      <c r="Y4" s="250" t="s">
        <v>678</v>
      </c>
      <c r="Z4" s="16" t="s">
        <v>679</v>
      </c>
      <c r="AA4" s="15"/>
      <c r="AB4" s="16">
        <v>21</v>
      </c>
    </row>
    <row r="5" spans="1:28" x14ac:dyDescent="0.25">
      <c r="A5" s="120">
        <v>3</v>
      </c>
      <c r="B5" s="231"/>
      <c r="C5" s="77"/>
      <c r="D5" s="78"/>
      <c r="E5" s="78">
        <f ca="1">SUMIF(payDet,$V5,E$23:OFFSET(E$23,ROWS(payDet)-1,0))</f>
        <v>0</v>
      </c>
      <c r="F5" s="340"/>
      <c r="G5" s="78"/>
      <c r="H5" s="78">
        <f ca="1">SUMIF(payDet,$V5,H$23:OFFSET(H$23,ROWS(payDet)-1,0))</f>
        <v>0</v>
      </c>
      <c r="I5" s="232">
        <f ca="1">SUMIF(payDet,$V5,I$23:OFFSET(I$23,ROWS(payDet)-1,0))</f>
        <v>0</v>
      </c>
      <c r="J5" s="78">
        <f ca="1">SUMIF(payDet,$V5,J$23:OFFSET(J$23,ROWS(payDet)-1,0))</f>
        <v>0</v>
      </c>
      <c r="K5" s="78">
        <f ca="1">SUMIF(payDet,$V5,K$23:OFFSET(K$23,ROWS(payDet)-1,0))</f>
        <v>0</v>
      </c>
      <c r="L5" s="78">
        <f ca="1">SUMIF(payDet,$V5,L$23:OFFSET(L$23,ROWS(payDet)-1,0))</f>
        <v>0</v>
      </c>
      <c r="M5" s="78">
        <f ca="1">SUMIF(payDet,$V5,M$23:OFFSET(M$23,ROWS(payDet)-1,0))</f>
        <v>0</v>
      </c>
      <c r="N5" s="78">
        <f ca="1">SUMIF(payDet,$V5,N$23:OFFSET(N$23,ROWS(payDet)-1,0))</f>
        <v>0</v>
      </c>
      <c r="O5" s="78">
        <f ca="1">SUMIF(payDet,$V5,O$23:OFFSET(O$23,ROWS(payDet)-1,0))</f>
        <v>0</v>
      </c>
      <c r="P5" s="78">
        <f ca="1">SUMIF(payDet,$V5,P$23:OFFSET(P$23,ROWS(payDet)-1,0))</f>
        <v>0</v>
      </c>
      <c r="Q5" s="78">
        <f ca="1">SUMIF(payDet,$V5,Q$23:OFFSET(Q$23,ROWS(payDet)-1,0))</f>
        <v>0</v>
      </c>
      <c r="R5" s="78">
        <f ca="1">SUMIF(payDet,$V5,R$23:OFFSET(R$23,ROWS(payDet)-1,0))</f>
        <v>0</v>
      </c>
      <c r="S5" s="78">
        <f ca="1">SUMIF(payDet,$V5,S$23:OFFSET(S$23,ROWS(payDet)-1,0))</f>
        <v>0</v>
      </c>
      <c r="T5" s="78">
        <f ca="1">SUMIF(payDet,$V5,T$23:OFFSET(T$23,ROWS(payDet)-1,0))</f>
        <v>0</v>
      </c>
      <c r="V5" s="123" t="str">
        <f>IF(ISBLANK(EmpID),A5,EmpID &amp;":"&amp; A5)</f>
        <v>VAK:3</v>
      </c>
      <c r="Y5" s="250" t="s">
        <v>658</v>
      </c>
      <c r="Z5" s="16" t="s">
        <v>656</v>
      </c>
      <c r="AA5" s="15"/>
      <c r="AB5" s="16">
        <v>21</v>
      </c>
    </row>
    <row r="6" spans="1:28" x14ac:dyDescent="0.25">
      <c r="A6" s="131"/>
      <c r="B6" s="132"/>
      <c r="C6" s="132" t="s">
        <v>14</v>
      </c>
      <c r="D6" s="235"/>
      <c r="E6" s="190">
        <f ca="1">SUBTOTAL(9,E3:E5)</f>
        <v>45.5</v>
      </c>
      <c r="F6" s="377"/>
      <c r="G6" s="236"/>
      <c r="H6" s="190">
        <f t="shared" ref="H6:T6" ca="1" si="0">SUBTOTAL(9,H3:H5)</f>
        <v>28346.5</v>
      </c>
      <c r="I6" s="190">
        <f t="shared" ca="1" si="0"/>
        <v>1417.325</v>
      </c>
      <c r="J6" s="190">
        <f t="shared" ca="1" si="0"/>
        <v>23851.559999999998</v>
      </c>
      <c r="K6" s="190">
        <f t="shared" ca="1" si="0"/>
        <v>0</v>
      </c>
      <c r="L6" s="190">
        <f t="shared" ca="1" si="0"/>
        <v>329.91</v>
      </c>
      <c r="M6" s="190">
        <f t="shared" ca="1" si="0"/>
        <v>2040.69</v>
      </c>
      <c r="N6" s="190">
        <f t="shared" ca="1" si="0"/>
        <v>0</v>
      </c>
      <c r="O6" s="190">
        <f t="shared" ca="1" si="0"/>
        <v>0</v>
      </c>
      <c r="P6" s="190">
        <f t="shared" ca="1" si="0"/>
        <v>0</v>
      </c>
      <c r="Q6" s="190">
        <f t="shared" ca="1" si="0"/>
        <v>21480.959999999999</v>
      </c>
      <c r="R6" s="190">
        <f t="shared" ca="1" si="0"/>
        <v>6301</v>
      </c>
      <c r="S6" s="190">
        <f t="shared" ca="1" si="0"/>
        <v>15179.96</v>
      </c>
      <c r="T6" s="237">
        <f t="shared" ca="1" si="0"/>
        <v>362.9</v>
      </c>
      <c r="V6" s="239"/>
      <c r="Y6" s="250" t="s">
        <v>57</v>
      </c>
      <c r="Z6" s="16" t="s">
        <v>471</v>
      </c>
      <c r="AA6" s="15"/>
      <c r="AB6" s="16">
        <v>21</v>
      </c>
    </row>
    <row r="7" spans="1:28" x14ac:dyDescent="0.25">
      <c r="A7" s="120">
        <v>4</v>
      </c>
      <c r="B7" s="231"/>
      <c r="C7" s="77"/>
      <c r="D7" s="238"/>
      <c r="E7" s="74">
        <f ca="1">SUMIF(payDet,$V7,E$23:OFFSET(E$23,ROWS(payDet)-1,0))</f>
        <v>0</v>
      </c>
      <c r="F7" s="378"/>
      <c r="G7" s="74"/>
      <c r="H7" s="74">
        <f ca="1">SUMIF(payDet,$V7,H$23:OFFSET(H$23,ROWS(payDet)-1,0))</f>
        <v>0</v>
      </c>
      <c r="I7" s="229">
        <f ca="1">SUMIF(payDet,$V7,I$23:OFFSET(I$23,ROWS(payDet)-1,0))</f>
        <v>0</v>
      </c>
      <c r="J7" s="230">
        <f ca="1">SUMIF(payDet,$V7,J$23:OFFSET(J$23,ROWS(payDet)-1,0))</f>
        <v>0</v>
      </c>
      <c r="K7" s="74">
        <f ca="1">SUMIF(payDet,$V7,K$23:OFFSET(K$23,ROWS(payDet)-1,0))</f>
        <v>0</v>
      </c>
      <c r="L7" s="74">
        <f ca="1">SUMIF(payDet,$V7,L$23:OFFSET(L$23,ROWS(payDet)-1,0))</f>
        <v>0</v>
      </c>
      <c r="M7" s="74">
        <f ca="1">SUMIF(payDet,$V7,M$23:OFFSET(M$23,ROWS(payDet)-1,0))</f>
        <v>0</v>
      </c>
      <c r="N7" s="74">
        <f ca="1">SUMIF(payDet,$V7,N$23:OFFSET(N$23,ROWS(payDet)-1,0))</f>
        <v>0</v>
      </c>
      <c r="O7" s="74">
        <f ca="1">SUMIF(payDet,$V7,O$23:OFFSET(O$23,ROWS(payDet)-1,0))</f>
        <v>0</v>
      </c>
      <c r="P7" s="74">
        <f ca="1">SUMIF(payDet,$V7,P$23:OFFSET(P$23,ROWS(payDet)-1,0))</f>
        <v>0</v>
      </c>
      <c r="Q7" s="74">
        <f ca="1">SUMIF(payDet,$V7,Q$23:OFFSET(Q$23,ROWS(payDet)-1,0))</f>
        <v>0</v>
      </c>
      <c r="R7" s="74">
        <f ca="1">SUMIF(payDet,$V7,R$23:OFFSET(R$23,ROWS(payDet)-1,0))</f>
        <v>0</v>
      </c>
      <c r="S7" s="74">
        <f ca="1">SUMIF(payDet,$V7,S$23:OFFSET(S$23,ROWS(payDet)-1,0))</f>
        <v>0</v>
      </c>
      <c r="T7" s="74">
        <f ca="1">SUMIF(payDet,$V7,T$23:OFFSET(T$23,ROWS(payDet)-1,0))</f>
        <v>0</v>
      </c>
      <c r="V7" s="267" t="str">
        <f>IF(ISBLANK(EmpID),A7,EmpID &amp;":"&amp; A7)</f>
        <v>VAK:4</v>
      </c>
      <c r="Y7" s="250" t="s">
        <v>669</v>
      </c>
      <c r="Z7" s="16" t="s">
        <v>670</v>
      </c>
      <c r="AA7" s="15"/>
      <c r="AB7" s="16">
        <v>21</v>
      </c>
    </row>
    <row r="8" spans="1:28" x14ac:dyDescent="0.25">
      <c r="A8" s="120">
        <v>5</v>
      </c>
      <c r="B8" s="231"/>
      <c r="C8" s="77"/>
      <c r="D8" s="238"/>
      <c r="E8" s="76">
        <f ca="1">SUMIF(payDet,$V8,E$23:OFFSET(E$23,ROWS(payDet)-1,0))</f>
        <v>0</v>
      </c>
      <c r="F8" s="336"/>
      <c r="G8" s="76"/>
      <c r="H8" s="76">
        <f ca="1">SUMIF(payDet,$V8,H$23:OFFSET(H$23,ROWS(payDet)-1,0))</f>
        <v>0</v>
      </c>
      <c r="I8" s="232">
        <f ca="1">SUMIF(payDet,$V8,I$23:OFFSET(I$23,ROWS(payDet)-1,0))</f>
        <v>0</v>
      </c>
      <c r="J8" s="76">
        <f ca="1">SUMIF(payDet,$V8,J$23:OFFSET(J$23,ROWS(payDet)-1,0))</f>
        <v>0</v>
      </c>
      <c r="K8" s="76">
        <f ca="1">SUMIF(payDet,$V8,K$23:OFFSET(K$23,ROWS(payDet)-1,0))</f>
        <v>0</v>
      </c>
      <c r="L8" s="76">
        <f ca="1">SUMIF(payDet,$V8,L$23:OFFSET(L$23,ROWS(payDet)-1,0))</f>
        <v>0</v>
      </c>
      <c r="M8" s="76">
        <f ca="1">SUMIF(payDet,$V8,M$23:OFFSET(M$23,ROWS(payDet)-1,0))</f>
        <v>0</v>
      </c>
      <c r="N8" s="76">
        <f ca="1">SUMIF(payDet,$V8,N$23:OFFSET(N$23,ROWS(payDet)-1,0))</f>
        <v>0</v>
      </c>
      <c r="O8" s="76">
        <f ca="1">SUMIF(payDet,$V8,O$23:OFFSET(O$23,ROWS(payDet)-1,0))</f>
        <v>0</v>
      </c>
      <c r="P8" s="76">
        <f ca="1">SUMIF(payDet,$V8,P$23:OFFSET(P$23,ROWS(payDet)-1,0))</f>
        <v>0</v>
      </c>
      <c r="Q8" s="76">
        <f ca="1">SUMIF(payDet,$V8,Q$23:OFFSET(Q$23,ROWS(payDet)-1,0))</f>
        <v>0</v>
      </c>
      <c r="R8" s="76">
        <f ca="1">SUMIF(payDet,$V8,R$23:OFFSET(R$23,ROWS(payDet)-1,0))</f>
        <v>0</v>
      </c>
      <c r="S8" s="76">
        <f ca="1">SUMIF(payDet,$V8,S$23:OFFSET(S$23,ROWS(payDet)-1,0))</f>
        <v>0</v>
      </c>
      <c r="T8" s="76">
        <f ca="1">SUMIF(payDet,$V8,T$23:OFFSET(T$23,ROWS(payDet)-1,0))</f>
        <v>0</v>
      </c>
      <c r="U8" s="251"/>
      <c r="V8" s="120" t="str">
        <f>IF(ISBLANK(EmpID),A8,EmpID &amp;":"&amp; A8)</f>
        <v>VAK:5</v>
      </c>
      <c r="Y8" s="250" t="s">
        <v>622</v>
      </c>
      <c r="Z8" s="16" t="s">
        <v>629</v>
      </c>
      <c r="AA8" s="15"/>
      <c r="AB8" s="16">
        <v>21</v>
      </c>
    </row>
    <row r="9" spans="1:28" x14ac:dyDescent="0.25">
      <c r="A9" s="120">
        <v>6</v>
      </c>
      <c r="B9" s="231"/>
      <c r="C9" s="77"/>
      <c r="D9" s="238"/>
      <c r="E9" s="78">
        <f ca="1">SUMIF(payDet,$V9,E$23:OFFSET(E$23,ROWS(payDet)-1,0))</f>
        <v>0</v>
      </c>
      <c r="F9" s="340"/>
      <c r="G9" s="78"/>
      <c r="H9" s="78">
        <f ca="1">SUMIF(payDet,$V9,H$23:OFFSET(H$23,ROWS(payDet)-1,0))</f>
        <v>0</v>
      </c>
      <c r="I9" s="234">
        <f ca="1">SUMIF(payDet,$V9,I$23:OFFSET(I$23,ROWS(payDet)-1,0))</f>
        <v>0</v>
      </c>
      <c r="J9" s="78">
        <f ca="1">SUMIF(payDet,$V9,J$23:OFFSET(J$23,ROWS(payDet)-1,0))</f>
        <v>0</v>
      </c>
      <c r="K9" s="78">
        <f ca="1">SUMIF(payDet,$V9,K$23:OFFSET(K$23,ROWS(payDet)-1,0))</f>
        <v>0</v>
      </c>
      <c r="L9" s="78">
        <f ca="1">SUMIF(payDet,$V9,L$23:OFFSET(L$23,ROWS(payDet)-1,0))</f>
        <v>0</v>
      </c>
      <c r="M9" s="78">
        <f ca="1">SUMIF(payDet,$V9,M$23:OFFSET(M$23,ROWS(payDet)-1,0))</f>
        <v>0</v>
      </c>
      <c r="N9" s="78">
        <f ca="1">SUMIF(payDet,$V9,N$23:OFFSET(N$23,ROWS(payDet)-1,0))</f>
        <v>0</v>
      </c>
      <c r="O9" s="78">
        <f ca="1">SUMIF(payDet,$V9,O$23:OFFSET(O$23,ROWS(payDet)-1,0))</f>
        <v>0</v>
      </c>
      <c r="P9" s="78">
        <f ca="1">SUMIF(payDet,$V9,P$23:OFFSET(P$23,ROWS(payDet)-1,0))</f>
        <v>0</v>
      </c>
      <c r="Q9" s="78">
        <f ca="1">SUMIF(payDet,$V9,Q$23:OFFSET(Q$23,ROWS(payDet)-1,0))</f>
        <v>0</v>
      </c>
      <c r="R9" s="78">
        <f ca="1">SUMIF(payDet,$V9,R$23:OFFSET(R$23,ROWS(payDet)-1,0))</f>
        <v>0</v>
      </c>
      <c r="S9" s="78">
        <f ca="1">SUMIF(payDet,$V9,S$23:OFFSET(S$23,ROWS(payDet)-1,0))</f>
        <v>0</v>
      </c>
      <c r="T9" s="78">
        <f ca="1">SUMIF(payDet,$V9,T$23:OFFSET(T$23,ROWS(payDet)-1,0))</f>
        <v>0</v>
      </c>
      <c r="V9" s="123" t="str">
        <f>IF(ISBLANK(EmpID),A9,EmpID &amp;":"&amp; A9)</f>
        <v>VAK:6</v>
      </c>
      <c r="Y9" s="250" t="s">
        <v>55</v>
      </c>
      <c r="Z9" s="16" t="s">
        <v>68</v>
      </c>
      <c r="AA9" s="15"/>
      <c r="AB9" s="16">
        <v>21</v>
      </c>
    </row>
    <row r="10" spans="1:28" x14ac:dyDescent="0.25">
      <c r="A10" s="131"/>
      <c r="B10" s="132"/>
      <c r="C10" s="132" t="s">
        <v>18</v>
      </c>
      <c r="D10" s="235"/>
      <c r="E10" s="190">
        <f ca="1">SUBTOTAL(9,E7:E9)</f>
        <v>0</v>
      </c>
      <c r="F10" s="377"/>
      <c r="G10" s="190"/>
      <c r="H10" s="190">
        <f t="shared" ref="H10:T10" ca="1" si="1">SUBTOTAL(9,H7:H9)</f>
        <v>0</v>
      </c>
      <c r="I10" s="190">
        <f t="shared" ca="1" si="1"/>
        <v>0</v>
      </c>
      <c r="J10" s="190">
        <f t="shared" ca="1" si="1"/>
        <v>0</v>
      </c>
      <c r="K10" s="190">
        <f t="shared" ca="1" si="1"/>
        <v>0</v>
      </c>
      <c r="L10" s="190">
        <f t="shared" ca="1" si="1"/>
        <v>0</v>
      </c>
      <c r="M10" s="190">
        <f t="shared" ca="1" si="1"/>
        <v>0</v>
      </c>
      <c r="N10" s="190">
        <f t="shared" ca="1" si="1"/>
        <v>0</v>
      </c>
      <c r="O10" s="190">
        <f t="shared" ca="1" si="1"/>
        <v>0</v>
      </c>
      <c r="P10" s="190">
        <f t="shared" ca="1" si="1"/>
        <v>0</v>
      </c>
      <c r="Q10" s="190">
        <f t="shared" ca="1" si="1"/>
        <v>0</v>
      </c>
      <c r="R10" s="190">
        <f t="shared" ca="1" si="1"/>
        <v>0</v>
      </c>
      <c r="S10" s="190">
        <f t="shared" ca="1" si="1"/>
        <v>0</v>
      </c>
      <c r="T10" s="237">
        <f t="shared" ca="1" si="1"/>
        <v>0</v>
      </c>
      <c r="V10" s="239"/>
      <c r="Y10" s="250" t="s">
        <v>58</v>
      </c>
      <c r="Z10" s="16" t="s">
        <v>473</v>
      </c>
      <c r="AA10" s="15"/>
      <c r="AB10" s="16">
        <v>21</v>
      </c>
    </row>
    <row r="11" spans="1:28" x14ac:dyDescent="0.25">
      <c r="A11" s="120">
        <v>7</v>
      </c>
      <c r="B11" s="231"/>
      <c r="C11" s="77"/>
      <c r="D11" s="238"/>
      <c r="E11" s="74">
        <f ca="1">SUMIF(payDet,$V11,E$23:OFFSET(E$23,ROWS(payDet)-1,0))</f>
        <v>0</v>
      </c>
      <c r="F11" s="378"/>
      <c r="G11" s="74"/>
      <c r="H11" s="74">
        <f ca="1">SUMIF(payDet,$V11,H$23:OFFSET(H$23,ROWS(payDet)-1,0))</f>
        <v>0</v>
      </c>
      <c r="I11" s="229">
        <f ca="1">SUMIF(payDet,$V11,I$23:OFFSET(I$23,ROWS(payDet)-1,0))</f>
        <v>0</v>
      </c>
      <c r="J11" s="230">
        <f ca="1">SUMIF(payDet,$V11,J$23:OFFSET(J$23,ROWS(payDet)-1,0))</f>
        <v>0</v>
      </c>
      <c r="K11" s="74">
        <f ca="1">SUMIF(payDet,$V11,K$23:OFFSET(K$23,ROWS(payDet)-1,0))</f>
        <v>0</v>
      </c>
      <c r="L11" s="74">
        <f ca="1">SUMIF(payDet,$V11,L$23:OFFSET(L$23,ROWS(payDet)-1,0))</f>
        <v>0</v>
      </c>
      <c r="M11" s="74">
        <f ca="1">SUMIF(payDet,$V11,M$23:OFFSET(M$23,ROWS(payDet)-1,0))</f>
        <v>0</v>
      </c>
      <c r="N11" s="74">
        <f ca="1">SUMIF(payDet,$V11,N$23:OFFSET(N$23,ROWS(payDet)-1,0))</f>
        <v>0</v>
      </c>
      <c r="O11" s="74">
        <f ca="1">SUMIF(payDet,$V11,O$23:OFFSET(O$23,ROWS(payDet)-1,0))</f>
        <v>0</v>
      </c>
      <c r="P11" s="74">
        <f ca="1">SUMIF(payDet,$V11,P$23:OFFSET(P$23,ROWS(payDet)-1,0))</f>
        <v>0</v>
      </c>
      <c r="Q11" s="74">
        <f ca="1">SUMIF(payDet,$V11,Q$23:OFFSET(Q$23,ROWS(payDet)-1,0))</f>
        <v>0</v>
      </c>
      <c r="R11" s="74">
        <f ca="1">SUMIF(payDet,$V11,R$23:OFFSET(R$23,ROWS(payDet)-1,0))</f>
        <v>0</v>
      </c>
      <c r="S11" s="74">
        <f ca="1">SUMIF(payDet,$V11,S$23:OFFSET(S$23,ROWS(payDet)-1,0))</f>
        <v>0</v>
      </c>
      <c r="T11" s="74">
        <f ca="1">SUMIF(payDet,$V11,T$23:OFFSET(T$23,ROWS(payDet)-1,0))</f>
        <v>0</v>
      </c>
      <c r="V11" s="267" t="str">
        <f>IF(ISBLANK(EmpID),A11,EmpID &amp;":"&amp; A11)</f>
        <v>VAK:7</v>
      </c>
      <c r="Y11" s="250" t="s">
        <v>657</v>
      </c>
      <c r="Z11" s="16" t="s">
        <v>655</v>
      </c>
      <c r="AA11" s="15"/>
      <c r="AB11" s="16">
        <v>21</v>
      </c>
    </row>
    <row r="12" spans="1:28" x14ac:dyDescent="0.25">
      <c r="A12" s="120">
        <v>8</v>
      </c>
      <c r="B12" s="231"/>
      <c r="C12" s="77"/>
      <c r="D12" s="238"/>
      <c r="E12" s="76">
        <f ca="1">SUMIF(payDet,$V12,E$23:OFFSET(E$23,ROWS(payDet)-1,0))</f>
        <v>0</v>
      </c>
      <c r="F12" s="336"/>
      <c r="G12" s="76"/>
      <c r="H12" s="76">
        <f ca="1">SUMIF(payDet,$V12,H$23:OFFSET(H$23,ROWS(payDet)-1,0))</f>
        <v>0</v>
      </c>
      <c r="I12" s="232">
        <f ca="1">SUMIF(payDet,$V12,I$23:OFFSET(I$23,ROWS(payDet)-1,0))</f>
        <v>0</v>
      </c>
      <c r="J12" s="76">
        <f ca="1">SUMIF(payDet,$V12,J$23:OFFSET(J$23,ROWS(payDet)-1,0))</f>
        <v>0</v>
      </c>
      <c r="K12" s="76">
        <f ca="1">SUMIF(payDet,$V12,K$23:OFFSET(K$23,ROWS(payDet)-1,0))</f>
        <v>0</v>
      </c>
      <c r="L12" s="76">
        <f ca="1">SUMIF(payDet,$V12,L$23:OFFSET(L$23,ROWS(payDet)-1,0))</f>
        <v>0</v>
      </c>
      <c r="M12" s="76">
        <f ca="1">SUMIF(payDet,$V12,M$23:OFFSET(M$23,ROWS(payDet)-1,0))</f>
        <v>0</v>
      </c>
      <c r="N12" s="76"/>
      <c r="O12" s="76">
        <f ca="1">SUMIF(payDet,$V12,O$23:OFFSET(O$23,ROWS(payDet)-1,0))</f>
        <v>0</v>
      </c>
      <c r="P12" s="76">
        <f ca="1">SUMIF(payDet,$V12,P$23:OFFSET(P$23,ROWS(payDet)-1,0))</f>
        <v>0</v>
      </c>
      <c r="Q12" s="76">
        <f ca="1">SUMIF(payDet,$V12,Q$23:OFFSET(Q$23,ROWS(payDet)-1,0))</f>
        <v>0</v>
      </c>
      <c r="R12" s="76">
        <f ca="1">SUMIF(payDet,$V12,R$23:OFFSET(R$23,ROWS(payDet)-1,0))</f>
        <v>0</v>
      </c>
      <c r="S12" s="76">
        <f ca="1">SUMIF(payDet,$V12,S$23:OFFSET(S$23,ROWS(payDet)-1,0))</f>
        <v>0</v>
      </c>
      <c r="T12" s="76">
        <f ca="1">SUMIF(payDet,$V12,T$23:OFFSET(T$23,ROWS(payDet)-1,0))</f>
        <v>0</v>
      </c>
      <c r="V12" s="120" t="str">
        <f>IF(ISBLANK(EmpID),A12,EmpID &amp;":"&amp; A12)</f>
        <v>VAK:8</v>
      </c>
      <c r="Y12" s="250"/>
      <c r="Z12" s="16"/>
      <c r="AA12" s="15"/>
      <c r="AB12" s="16"/>
    </row>
    <row r="13" spans="1:28" x14ac:dyDescent="0.25">
      <c r="A13" s="120">
        <v>9</v>
      </c>
      <c r="B13" s="231"/>
      <c r="C13" s="77"/>
      <c r="D13" s="238"/>
      <c r="E13" s="78">
        <f ca="1">SUMIF(payDet,$V13,E$23:OFFSET(E$23,ROWS(payDet)-1,0))</f>
        <v>0</v>
      </c>
      <c r="F13" s="340"/>
      <c r="G13" s="78"/>
      <c r="H13" s="78">
        <f ca="1">SUMIF(payDet,$V13,H$23:OFFSET(H$23,ROWS(payDet)-1,0))</f>
        <v>0</v>
      </c>
      <c r="I13" s="234">
        <f ca="1">SUMIF(payDet,$V13,I$23:OFFSET(I$23,ROWS(payDet)-1,0))</f>
        <v>0</v>
      </c>
      <c r="J13" s="78">
        <f ca="1">SUMIF(payDet,$V13,J$23:OFFSET(J$23,ROWS(payDet)-1,0))</f>
        <v>0</v>
      </c>
      <c r="K13" s="78">
        <f ca="1">SUMIF(payDet,$V13,K$23:OFFSET(K$23,ROWS(payDet)-1,0))</f>
        <v>0</v>
      </c>
      <c r="L13" s="78">
        <f ca="1">SUMIF(payDet,$V13,L$23:OFFSET(L$23,ROWS(payDet)-1,0))</f>
        <v>0</v>
      </c>
      <c r="M13" s="78">
        <f ca="1">SUMIF(payDet,$V13,M$23:OFFSET(M$23,ROWS(payDet)-1,0))</f>
        <v>0</v>
      </c>
      <c r="N13" s="78">
        <f ca="1">SUMIF(payDet,$V13,N$23:OFFSET(N$23,ROWS(payDet)-1,0))</f>
        <v>0</v>
      </c>
      <c r="O13" s="78">
        <f ca="1">SUMIF(payDet,$V13,O$23:OFFSET(O$23,ROWS(payDet)-1,0))</f>
        <v>0</v>
      </c>
      <c r="P13" s="78">
        <f ca="1">SUMIF(payDet,$V13,P$23:OFFSET(P$23,ROWS(payDet)-1,0))</f>
        <v>0</v>
      </c>
      <c r="Q13" s="78">
        <f ca="1">SUMIF(payDet,$V13,Q$23:OFFSET(Q$23,ROWS(payDet)-1,0))</f>
        <v>0</v>
      </c>
      <c r="R13" s="78">
        <f ca="1">SUMIF(payDet,$V13,R$23:OFFSET(R$23,ROWS(payDet)-1,0))</f>
        <v>0</v>
      </c>
      <c r="S13" s="78">
        <f ca="1">SUMIF(payDet,$V13,S$23:OFFSET(S$23,ROWS(payDet)-1,0))</f>
        <v>0</v>
      </c>
      <c r="T13" s="78">
        <f ca="1">SUMIF(payDet,$V13,T$23:OFFSET(T$23,ROWS(payDet)-1,0))</f>
        <v>0</v>
      </c>
      <c r="V13" s="123" t="str">
        <f>IF(ISBLANK(EmpID),A13,EmpID &amp;":"&amp; A13)</f>
        <v>VAK:9</v>
      </c>
      <c r="Y13" s="250"/>
      <c r="Z13" s="16"/>
      <c r="AA13" s="15"/>
      <c r="AB13" s="16"/>
    </row>
    <row r="14" spans="1:28" x14ac:dyDescent="0.25">
      <c r="A14" s="131"/>
      <c r="B14" s="132"/>
      <c r="C14" s="132" t="s">
        <v>22</v>
      </c>
      <c r="D14" s="235"/>
      <c r="E14" s="190">
        <f ca="1">SUBTOTAL(9,E11:E13)</f>
        <v>0</v>
      </c>
      <c r="F14" s="377"/>
      <c r="G14" s="236"/>
      <c r="H14" s="190">
        <f t="shared" ref="H14:T14" ca="1" si="2">SUBTOTAL(9,H11:H13)</f>
        <v>0</v>
      </c>
      <c r="I14" s="190">
        <f t="shared" ca="1" si="2"/>
        <v>0</v>
      </c>
      <c r="J14" s="190">
        <f t="shared" ca="1" si="2"/>
        <v>0</v>
      </c>
      <c r="K14" s="190">
        <f t="shared" ca="1" si="2"/>
        <v>0</v>
      </c>
      <c r="L14" s="190">
        <f t="shared" ca="1" si="2"/>
        <v>0</v>
      </c>
      <c r="M14" s="190">
        <f t="shared" ca="1" si="2"/>
        <v>0</v>
      </c>
      <c r="N14" s="190">
        <f t="shared" ca="1" si="2"/>
        <v>0</v>
      </c>
      <c r="O14" s="190">
        <f t="shared" ca="1" si="2"/>
        <v>0</v>
      </c>
      <c r="P14" s="190">
        <f t="shared" ca="1" si="2"/>
        <v>0</v>
      </c>
      <c r="Q14" s="190">
        <f t="shared" ca="1" si="2"/>
        <v>0</v>
      </c>
      <c r="R14" s="190">
        <f t="shared" ca="1" si="2"/>
        <v>0</v>
      </c>
      <c r="S14" s="190">
        <f t="shared" ca="1" si="2"/>
        <v>0</v>
      </c>
      <c r="T14" s="237">
        <f t="shared" ca="1" si="2"/>
        <v>0</v>
      </c>
      <c r="V14" s="239"/>
      <c r="Y14" s="250"/>
      <c r="Z14" s="16"/>
      <c r="AA14" s="15"/>
      <c r="AB14" s="15"/>
    </row>
    <row r="15" spans="1:28" x14ac:dyDescent="0.25">
      <c r="A15" s="120">
        <v>10</v>
      </c>
      <c r="B15" s="231"/>
      <c r="C15" s="77"/>
      <c r="D15" s="238"/>
      <c r="E15" s="74">
        <f ca="1">SUMIF(payDet,$V15,E$23:OFFSET(E$23,ROWS(payDet)-1,0))</f>
        <v>0</v>
      </c>
      <c r="F15" s="378"/>
      <c r="G15" s="74"/>
      <c r="H15" s="74">
        <f ca="1">SUMIF(payDet,$V15,H$23:OFFSET(H$23,ROWS(payDet)-1,0))</f>
        <v>0</v>
      </c>
      <c r="I15" s="229">
        <f ca="1">SUMIF(payDet,$V15,I$23:OFFSET(I$23,ROWS(payDet)-1,0))</f>
        <v>0</v>
      </c>
      <c r="J15" s="230">
        <f ca="1">SUMIF(payDet,$V15,J$23:OFFSET(J$23,ROWS(payDet)-1,0))</f>
        <v>0</v>
      </c>
      <c r="K15" s="74">
        <f ca="1">SUMIF(payDet,$V15,K$23:OFFSET(K$23,ROWS(payDet)-1,0))</f>
        <v>0</v>
      </c>
      <c r="L15" s="74">
        <f ca="1">SUMIF(payDet,$V15,L$23:OFFSET(L$23,ROWS(payDet)-1,0))</f>
        <v>0</v>
      </c>
      <c r="M15" s="74">
        <f ca="1">SUMIF(payDet,$V15,M$23:OFFSET(M$23,ROWS(payDet)-1,0))</f>
        <v>0</v>
      </c>
      <c r="N15" s="74">
        <f ca="1">SUMIF(payDet,$V15,N$23:OFFSET(N$23,ROWS(payDet)-1,0))</f>
        <v>0</v>
      </c>
      <c r="O15" s="74">
        <f ca="1">SUMIF(payDet,$V15,O$23:OFFSET(O$23,ROWS(payDet)-1,0))</f>
        <v>0</v>
      </c>
      <c r="P15" s="74">
        <f ca="1">SUMIF(payDet,$V15,P$23:OFFSET(P$23,ROWS(payDet)-1,0))</f>
        <v>0</v>
      </c>
      <c r="Q15" s="74">
        <f ca="1">SUMIF(payDet,$V15,Q$23:OFFSET(Q$23,ROWS(payDet)-1,0))</f>
        <v>0</v>
      </c>
      <c r="R15" s="74">
        <f ca="1">SUMIF(payDet,$V15,R$23:OFFSET(R$23,ROWS(payDet)-1,0))</f>
        <v>0</v>
      </c>
      <c r="S15" s="74">
        <f ca="1">SUMIF(payDet,$V15,S$23:OFFSET(S$23,ROWS(payDet)-1,0))</f>
        <v>0</v>
      </c>
      <c r="T15" s="74">
        <f ca="1">SUMIF(payDet,$V15,T$23:OFFSET(T$23,ROWS(payDet)-1,0))</f>
        <v>0</v>
      </c>
      <c r="V15" s="267" t="str">
        <f>IF(ISBLANK(EmpID),A15,EmpID &amp;":"&amp; A15)</f>
        <v>VAK:10</v>
      </c>
      <c r="Y15" s="250"/>
      <c r="Z15" s="16"/>
      <c r="AA15" s="15"/>
      <c r="AB15" s="15"/>
    </row>
    <row r="16" spans="1:28" x14ac:dyDescent="0.25">
      <c r="A16" s="120">
        <v>11</v>
      </c>
      <c r="B16" s="231"/>
      <c r="C16" s="77"/>
      <c r="D16" s="238"/>
      <c r="E16" s="76">
        <f ca="1">SUMIF(payDet,$V16,E$23:OFFSET(E$23,ROWS(payDet)-1,0))</f>
        <v>0</v>
      </c>
      <c r="F16" s="336"/>
      <c r="G16" s="76"/>
      <c r="H16" s="76">
        <f ca="1">SUMIF(payDet,$V16,H$23:OFFSET(H$23,ROWS(payDet)-1,0))</f>
        <v>0</v>
      </c>
      <c r="I16" s="232">
        <f ca="1">SUMIF(payDet,$V16,I$23:OFFSET(I$23,ROWS(payDet)-1,0))</f>
        <v>0</v>
      </c>
      <c r="J16" s="76">
        <f ca="1">SUMIF(payDet,$V16,J$23:OFFSET(J$23,ROWS(payDet)-1,0))</f>
        <v>0</v>
      </c>
      <c r="K16" s="76">
        <f ca="1">SUMIF(payDet,$V16,K$23:OFFSET(K$23,ROWS(payDet)-1,0))</f>
        <v>0</v>
      </c>
      <c r="L16" s="76">
        <f ca="1">SUMIF(payDet,$V16,L$23:OFFSET(L$23,ROWS(payDet)-1,0))</f>
        <v>0</v>
      </c>
      <c r="M16" s="76">
        <f ca="1">SUMIF(payDet,$V16,M$23:OFFSET(M$23,ROWS(payDet)-1,0))</f>
        <v>0</v>
      </c>
      <c r="N16" s="76">
        <f ca="1">SUMIF(payDet,$V16,N$23:OFFSET(N$23,ROWS(payDet)-1,0))</f>
        <v>0</v>
      </c>
      <c r="O16" s="76">
        <f ca="1">SUMIF(payDet,$V16,O$23:OFFSET(O$23,ROWS(payDet)-1,0))</f>
        <v>0</v>
      </c>
      <c r="P16" s="76">
        <f ca="1">SUMIF(payDet,$V16,P$23:OFFSET(P$23,ROWS(payDet)-1,0))</f>
        <v>0</v>
      </c>
      <c r="Q16" s="76">
        <f ca="1">SUMIF(payDet,$V16,Q$23:OFFSET(Q$23,ROWS(payDet)-1,0))</f>
        <v>0</v>
      </c>
      <c r="R16" s="76">
        <f ca="1">SUMIF(payDet,$V16,R$23:OFFSET(R$23,ROWS(payDet)-1,0))</f>
        <v>0</v>
      </c>
      <c r="S16" s="76">
        <f ca="1">SUMIF(payDet,$V16,S$23:OFFSET(S$23,ROWS(payDet)-1,0))</f>
        <v>0</v>
      </c>
      <c r="T16" s="76">
        <f ca="1">SUMIF(payDet,$V16,T$23:OFFSET(T$23,ROWS(payDet)-1,0))</f>
        <v>0</v>
      </c>
      <c r="U16" s="202"/>
      <c r="V16" s="120" t="str">
        <f>IF(ISBLANK(EmpID),A16,EmpID &amp;":"&amp; A16)</f>
        <v>VAK:11</v>
      </c>
    </row>
    <row r="17" spans="1:36" ht="12" customHeight="1" x14ac:dyDescent="0.25">
      <c r="A17" s="120">
        <v>12</v>
      </c>
      <c r="B17" s="231"/>
      <c r="C17" s="77"/>
      <c r="D17" s="238"/>
      <c r="E17" s="78">
        <f ca="1">SUMIF(payDet,$V17,E$23:OFFSET(E$23,ROWS(payDet)-1,0))</f>
        <v>0</v>
      </c>
      <c r="F17" s="340"/>
      <c r="G17" s="78"/>
      <c r="H17" s="78">
        <f ca="1">SUMIF(payDet,$V17,H$23:OFFSET(H$23,ROWS(payDet)-1,0))</f>
        <v>0</v>
      </c>
      <c r="I17" s="234">
        <f ca="1">SUMIF(payDet,$V17,I$23:OFFSET(I$23,ROWS(payDet)-1,0))</f>
        <v>0</v>
      </c>
      <c r="J17" s="78">
        <f ca="1">SUMIF(payDet,$V17,J$23:OFFSET(J$23,ROWS(payDet)-1,0))</f>
        <v>0</v>
      </c>
      <c r="K17" s="78">
        <f ca="1">SUMIF(payDet,$V17,K$23:OFFSET(K$23,ROWS(payDet)-1,0))</f>
        <v>0</v>
      </c>
      <c r="L17" s="78">
        <f ca="1">SUMIF(payDet,$V17,L$23:OFFSET(L$23,ROWS(payDet)-1,0))</f>
        <v>0</v>
      </c>
      <c r="M17" s="78">
        <f ca="1">SUMIF(payDet,$V17,M$23:OFFSET(M$23,ROWS(payDet)-1,0))</f>
        <v>0</v>
      </c>
      <c r="N17" s="78">
        <f ca="1">SUMIF(payDet,$V17,N$23:OFFSET(N$23,ROWS(payDet)-1,0))</f>
        <v>0</v>
      </c>
      <c r="O17" s="78">
        <f ca="1">SUMIF(payDet,$V17,O$23:OFFSET(O$23,ROWS(payDet)-1,0))</f>
        <v>0</v>
      </c>
      <c r="P17" s="78">
        <f ca="1">SUMIF(payDet,$V17,P$23:OFFSET(P$23,ROWS(payDet)-1,0))</f>
        <v>0</v>
      </c>
      <c r="Q17" s="78">
        <f ca="1">SUMIF(payDet,$V17,Q$23:OFFSET(Q$23,ROWS(payDet)-1,0))</f>
        <v>0</v>
      </c>
      <c r="R17" s="78">
        <f ca="1">SUMIF(payDet,$V17,R$23:OFFSET(R$23,ROWS(payDet)-1,0))</f>
        <v>0</v>
      </c>
      <c r="S17" s="78">
        <f ca="1">SUMIF(payDet,$V17,S$23:OFFSET(S$23,ROWS(payDet)-1,0))</f>
        <v>0</v>
      </c>
      <c r="T17" s="78">
        <f ca="1">SUMIF(payDet,$V17,T$23:OFFSET(T$23,ROWS(payDet)-1,0))</f>
        <v>0</v>
      </c>
      <c r="V17" s="123" t="str">
        <f>IF(ISBLANK(EmpID),A17,EmpID &amp;":"&amp; A17)</f>
        <v>VAK:12</v>
      </c>
    </row>
    <row r="18" spans="1:36" ht="12" customHeight="1" thickBot="1" x14ac:dyDescent="0.3">
      <c r="A18" s="239"/>
      <c r="B18" s="190"/>
      <c r="C18" s="132" t="s">
        <v>26</v>
      </c>
      <c r="D18" s="236"/>
      <c r="E18" s="190">
        <f ca="1">SUBTOTAL(9,E15:E17)</f>
        <v>0</v>
      </c>
      <c r="F18" s="377"/>
      <c r="G18" s="236"/>
      <c r="H18" s="190">
        <f t="shared" ref="H18:T18" ca="1" si="3">SUBTOTAL(9,H15:H17)</f>
        <v>0</v>
      </c>
      <c r="I18" s="190">
        <f t="shared" ca="1" si="3"/>
        <v>0</v>
      </c>
      <c r="J18" s="190">
        <f t="shared" ca="1" si="3"/>
        <v>0</v>
      </c>
      <c r="K18" s="190">
        <f t="shared" ca="1" si="3"/>
        <v>0</v>
      </c>
      <c r="L18" s="190">
        <f t="shared" ca="1" si="3"/>
        <v>0</v>
      </c>
      <c r="M18" s="190">
        <f t="shared" ca="1" si="3"/>
        <v>0</v>
      </c>
      <c r="N18" s="190">
        <f t="shared" ca="1" si="3"/>
        <v>0</v>
      </c>
      <c r="O18" s="190">
        <f t="shared" ca="1" si="3"/>
        <v>0</v>
      </c>
      <c r="P18" s="190">
        <f t="shared" ca="1" si="3"/>
        <v>0</v>
      </c>
      <c r="Q18" s="190">
        <f t="shared" ca="1" si="3"/>
        <v>0</v>
      </c>
      <c r="R18" s="190">
        <f t="shared" ca="1" si="3"/>
        <v>0</v>
      </c>
      <c r="S18" s="190">
        <f t="shared" ca="1" si="3"/>
        <v>0</v>
      </c>
      <c r="T18" s="237">
        <f t="shared" ca="1" si="3"/>
        <v>0</v>
      </c>
      <c r="V18" s="239"/>
    </row>
    <row r="19" spans="1:36" ht="12" customHeight="1" x14ac:dyDescent="0.25">
      <c r="A19" s="240"/>
      <c r="B19" s="241"/>
      <c r="C19" s="241" t="s">
        <v>119</v>
      </c>
      <c r="D19" s="242"/>
      <c r="E19" s="241">
        <f ca="1">SUBTOTAL(9,E3:E18)</f>
        <v>45.5</v>
      </c>
      <c r="F19" s="376"/>
      <c r="G19" s="242"/>
      <c r="H19" s="241">
        <f t="shared" ref="H19:T19" ca="1" si="4">SUBTOTAL(9,H3:H18)</f>
        <v>28346.5</v>
      </c>
      <c r="I19" s="241">
        <f t="shared" ca="1" si="4"/>
        <v>1417.325</v>
      </c>
      <c r="J19" s="241">
        <f t="shared" ca="1" si="4"/>
        <v>23851.559999999998</v>
      </c>
      <c r="K19" s="241">
        <f t="shared" ca="1" si="4"/>
        <v>0</v>
      </c>
      <c r="L19" s="241">
        <f t="shared" ca="1" si="4"/>
        <v>329.91</v>
      </c>
      <c r="M19" s="241">
        <f t="shared" ca="1" si="4"/>
        <v>2040.69</v>
      </c>
      <c r="N19" s="241">
        <f t="shared" ca="1" si="4"/>
        <v>0</v>
      </c>
      <c r="O19" s="241">
        <f t="shared" ca="1" si="4"/>
        <v>0</v>
      </c>
      <c r="P19" s="241">
        <f t="shared" ca="1" si="4"/>
        <v>0</v>
      </c>
      <c r="Q19" s="241">
        <f t="shared" ca="1" si="4"/>
        <v>21480.959999999999</v>
      </c>
      <c r="R19" s="241">
        <f t="shared" ca="1" si="4"/>
        <v>6301</v>
      </c>
      <c r="S19" s="241">
        <f t="shared" ca="1" si="4"/>
        <v>15179.96</v>
      </c>
      <c r="T19" s="243">
        <f t="shared" ca="1" si="4"/>
        <v>362.9</v>
      </c>
      <c r="V19" s="240"/>
    </row>
    <row r="20" spans="1:36" x14ac:dyDescent="0.25">
      <c r="B20" s="252"/>
      <c r="E20" s="253"/>
      <c r="U20" s="253"/>
    </row>
    <row r="21" spans="1:36" ht="23.25" customHeight="1" x14ac:dyDescent="0.4">
      <c r="A21" s="254"/>
      <c r="B21" s="255"/>
      <c r="C21" s="256" t="str">
        <f>EmpID</f>
        <v>VAK</v>
      </c>
      <c r="D21" s="255"/>
      <c r="E21" s="219"/>
      <c r="F21" s="145"/>
      <c r="G21" s="255"/>
      <c r="H21" s="219"/>
      <c r="I21" s="66"/>
      <c r="J21" s="221" t="s">
        <v>475</v>
      </c>
      <c r="K21" s="66"/>
      <c r="L21" s="66"/>
      <c r="M21" s="66"/>
      <c r="N21" s="66"/>
      <c r="O21" s="66"/>
      <c r="P21" s="66"/>
      <c r="Q21" s="66"/>
      <c r="R21" s="66"/>
      <c r="S21" s="66"/>
      <c r="T21" s="66"/>
      <c r="U21" s="253"/>
      <c r="V21" s="66" t="s">
        <v>465</v>
      </c>
      <c r="W21" s="66" t="s">
        <v>465</v>
      </c>
      <c r="X21" s="66" t="s">
        <v>465</v>
      </c>
      <c r="Y21" s="257" t="s">
        <v>476</v>
      </c>
      <c r="Z21" s="219"/>
      <c r="AA21" s="246"/>
      <c r="AB21" s="219"/>
      <c r="AC21" s="219" t="s">
        <v>138</v>
      </c>
      <c r="AD21" s="246" t="s">
        <v>138</v>
      </c>
      <c r="AE21" s="246" t="s">
        <v>477</v>
      </c>
      <c r="AF21" s="219" t="s">
        <v>477</v>
      </c>
      <c r="AG21" s="219"/>
      <c r="AH21" s="246"/>
      <c r="AI21" s="219" t="s">
        <v>478</v>
      </c>
      <c r="AJ21" s="219"/>
    </row>
    <row r="22" spans="1:36" s="224" customFormat="1" ht="12.75" customHeight="1" thickBot="1" x14ac:dyDescent="0.3">
      <c r="A22" s="222"/>
      <c r="B22" s="156"/>
      <c r="C22" s="263" t="str">
        <f>EmpID</f>
        <v>VAK</v>
      </c>
      <c r="D22" s="156"/>
      <c r="E22" s="156"/>
      <c r="F22" s="156"/>
      <c r="G22" s="156"/>
      <c r="H22" s="156"/>
      <c r="I22" s="156"/>
      <c r="J22" s="156" t="s">
        <v>479</v>
      </c>
      <c r="K22" s="156" t="s">
        <v>60</v>
      </c>
      <c r="L22" s="156" t="s">
        <v>61</v>
      </c>
      <c r="M22" s="156" t="s">
        <v>480</v>
      </c>
      <c r="N22" s="156" t="s">
        <v>481</v>
      </c>
      <c r="O22" s="156" t="s">
        <v>482</v>
      </c>
      <c r="P22" s="156" t="s">
        <v>483</v>
      </c>
      <c r="Q22" s="156" t="s">
        <v>101</v>
      </c>
      <c r="R22" s="156" t="s">
        <v>35</v>
      </c>
      <c r="S22" s="156" t="s">
        <v>484</v>
      </c>
      <c r="T22" s="156" t="s">
        <v>460</v>
      </c>
      <c r="U22" s="258"/>
      <c r="V22" s="222" t="s">
        <v>485</v>
      </c>
      <c r="W22" s="222" t="s">
        <v>486</v>
      </c>
      <c r="X22" s="222" t="s">
        <v>487</v>
      </c>
      <c r="Y22" s="222" t="s">
        <v>477</v>
      </c>
      <c r="Z22" s="156" t="s">
        <v>138</v>
      </c>
      <c r="AA22" s="156" t="s">
        <v>445</v>
      </c>
      <c r="AB22" s="67" t="s">
        <v>488</v>
      </c>
      <c r="AC22" s="67" t="s">
        <v>128</v>
      </c>
      <c r="AD22" s="67" t="s">
        <v>489</v>
      </c>
      <c r="AE22" s="67" t="s">
        <v>128</v>
      </c>
      <c r="AF22" s="67" t="s">
        <v>489</v>
      </c>
      <c r="AG22" s="67" t="s">
        <v>490</v>
      </c>
      <c r="AH22" s="67" t="s">
        <v>491</v>
      </c>
      <c r="AI22" s="67" t="s">
        <v>477</v>
      </c>
      <c r="AJ22" s="259" t="s">
        <v>492</v>
      </c>
    </row>
    <row r="23" spans="1:36" hidden="1" outlineLevel="1" x14ac:dyDescent="0.25">
      <c r="A23" s="120">
        <f>GETPAYMONTH(B23)</f>
        <v>0</v>
      </c>
      <c r="B23" s="226"/>
      <c r="C23" s="227"/>
      <c r="D23" s="260"/>
      <c r="E23" s="228">
        <f ca="1">SUMIF(payNonMonth,"="&amp;$X23,$E$362:OFFSET($E$362,ROWS(payNonMonth)-1,0))</f>
        <v>0</v>
      </c>
      <c r="F23" s="228"/>
      <c r="G23" s="77">
        <f ca="1">IF(AND($E23=0,$F23=0),0,1)</f>
        <v>0</v>
      </c>
      <c r="H23" s="76">
        <f ca="1">ROUND(SUM(E23:F23)*AC23,2)</f>
        <v>0</v>
      </c>
      <c r="I23" s="76">
        <f ca="1">H23*OFFSET(payMgmtRate,0,$AH23)</f>
        <v>0</v>
      </c>
      <c r="J23" s="233">
        <f t="shared" ref="J23:J54" ca="1" si="5">ROUND(IF(AI23,$E23,1)*AE23+$F23*AF23+SUMIF(payAllow,$W23,$J$269:$J$359),2)</f>
        <v>0</v>
      </c>
      <c r="K23" s="76">
        <f t="shared" ref="K23:K54" si="6">SUMIF(payAllow,$W23,K$269:K$359)+SUMIF(payAllow,$W23,O$269:O$359)</f>
        <v>0</v>
      </c>
      <c r="L23" s="76">
        <f t="shared" ref="L23:L56" ca="1" si="7">SUMIF(payAllow,$W23,L$269:L$359)*$G23</f>
        <v>0</v>
      </c>
      <c r="M23" s="76">
        <f ca="1">GETSUPER(J23-SUM(K23:L23))</f>
        <v>0</v>
      </c>
      <c r="N23" s="76">
        <f t="shared" ref="N23:N54" ca="1" si="8">SUMIF(payAllow,$W23,N$269:N$359)*G23</f>
        <v>0</v>
      </c>
      <c r="O23" s="76">
        <f t="shared" ref="O23:O58" ca="1" si="9">ROUND((J23-SUM(K23:N23))*InsureRate,2)</f>
        <v>0</v>
      </c>
      <c r="P23" s="76"/>
      <c r="Q23" s="76">
        <f ca="1">J23-SUM(K23:P23)</f>
        <v>0</v>
      </c>
      <c r="R23" s="76">
        <f ca="1">GETTAX(Q23,AA23)</f>
        <v>0</v>
      </c>
      <c r="S23" s="76">
        <f ca="1">Q23-R23</f>
        <v>0</v>
      </c>
      <c r="T23" s="232">
        <f t="shared" ref="T23:T54" ca="1" si="10">SUMIF(payAllow,W23,T$269:T$359)*G23</f>
        <v>0</v>
      </c>
      <c r="V23" s="120" t="str">
        <f>IF(EmpID="*","*",C23) &amp;":"&amp; $A23</f>
        <v>:0</v>
      </c>
      <c r="W23" s="120" t="str">
        <f>$C23 &amp;":"&amp; $B23</f>
        <v>:</v>
      </c>
      <c r="X23" s="120" t="str">
        <f>C23 &amp;":"&amp; A23</f>
        <v>:0</v>
      </c>
      <c r="Y23" s="250">
        <f t="array" aca="1" ref="Y23:AJ23" ca="1">VLOOKUP($D23&amp;":"&amp;$C23,tblPayRates,{3,4,5,6,7,8,9,10,11,12,13,14},0)</f>
        <v>0</v>
      </c>
      <c r="Z23" s="16" t="str">
        <f ca="1"/>
        <v>Nobody</v>
      </c>
      <c r="AA23" s="261" t="str">
        <f ca="1"/>
        <v>M</v>
      </c>
      <c r="AB23" s="77" t="str">
        <f ca="1"/>
        <v>Daily</v>
      </c>
      <c r="AC23" s="77">
        <f ca="1"/>
        <v>0</v>
      </c>
      <c r="AD23" s="77">
        <f ca="1"/>
        <v>0</v>
      </c>
      <c r="AE23" s="77">
        <f ca="1"/>
        <v>0</v>
      </c>
      <c r="AF23" s="77">
        <f ca="1"/>
        <v>0</v>
      </c>
      <c r="AG23" s="261" t="str">
        <f ca="1"/>
        <v>N</v>
      </c>
      <c r="AH23" s="261">
        <f ca="1"/>
        <v>1</v>
      </c>
      <c r="AI23" s="261">
        <f ca="1"/>
        <v>1</v>
      </c>
      <c r="AJ23" s="262">
        <f ca="1"/>
        <v>0</v>
      </c>
    </row>
    <row r="24" spans="1:36" hidden="1" outlineLevel="1" x14ac:dyDescent="0.25">
      <c r="A24" s="120">
        <f t="shared" ref="A24:A58" si="11">GETPAYMONTH(B24)</f>
        <v>1</v>
      </c>
      <c r="B24" s="231">
        <v>43646</v>
      </c>
      <c r="C24" s="77" t="s">
        <v>55</v>
      </c>
      <c r="D24" s="238" t="s">
        <v>659</v>
      </c>
      <c r="E24" s="76">
        <f ca="1">SUMIF(payNonMonth,"="&amp;$X24,$E$362:OFFSET($E$362,ROWS(payNonMonth)-1,0))</f>
        <v>19</v>
      </c>
      <c r="F24" s="76"/>
      <c r="G24" s="77">
        <f t="shared" ref="G24:G58" ca="1" si="12">IF(AND($E24=0,$F24=0),0,1)</f>
        <v>1</v>
      </c>
      <c r="H24" s="76">
        <f t="shared" ref="H24:H58" ca="1" si="13">ROUND(SUM(E24:F24)*AC24,2)</f>
        <v>18050</v>
      </c>
      <c r="I24" s="76">
        <f t="shared" ref="I24:I58" ca="1" si="14">H24*OFFSET(payMgmtRate,0,$AH24)</f>
        <v>902.5</v>
      </c>
      <c r="J24" s="233">
        <f t="shared" ca="1" si="5"/>
        <v>17100</v>
      </c>
      <c r="K24" s="76">
        <f t="shared" si="6"/>
        <v>0</v>
      </c>
      <c r="L24" s="76">
        <f t="shared" ca="1" si="7"/>
        <v>0</v>
      </c>
      <c r="M24" s="76">
        <f t="shared" ref="M24:M58" ca="1" si="15">GETSUPER(J24-SUM(K24:L24))</f>
        <v>1483.56</v>
      </c>
      <c r="N24" s="76">
        <f t="shared" ca="1" si="8"/>
        <v>0</v>
      </c>
      <c r="O24" s="76">
        <f t="shared" ca="1" si="9"/>
        <v>156.16</v>
      </c>
      <c r="P24" s="76"/>
      <c r="Q24" s="76">
        <f t="shared" ref="Q24:Q58" ca="1" si="16">J24-SUM(K24:P24)</f>
        <v>15460.28</v>
      </c>
      <c r="R24" s="76">
        <f ca="1">GETTAX(Q24,AA24)</f>
        <v>5027</v>
      </c>
      <c r="S24" s="76">
        <f t="shared" ref="S24:S58" ca="1" si="17">Q24-R24</f>
        <v>10433.280000000001</v>
      </c>
      <c r="T24" s="232">
        <f t="shared" ca="1" si="10"/>
        <v>0</v>
      </c>
      <c r="V24" s="120" t="str">
        <f t="shared" ref="V24:V58" si="18">IF(EmpID="*","*",C24) &amp;":"&amp; $A24</f>
        <v>MAM:1</v>
      </c>
      <c r="W24" s="120" t="str">
        <f t="shared" ref="W24:X58" si="19">$C24 &amp;":"&amp; $B24</f>
        <v>MAM:43646</v>
      </c>
      <c r="X24" s="120" t="str">
        <f t="shared" ref="X24:X40" si="20">C24 &amp;":"&amp; A24</f>
        <v>MAM:1</v>
      </c>
      <c r="Y24" s="250" t="str">
        <f t="array" ref="Y24:AJ24">VLOOKUP($D24&amp;":"&amp;$C24,tblPayRates,{3,4,5,6,7,8,9,10,11,12,13,14},0)</f>
        <v>MAM</v>
      </c>
      <c r="Z24" s="16" t="str">
        <v>Magma</v>
      </c>
      <c r="AA24" s="261" t="str">
        <v>M</v>
      </c>
      <c r="AB24" s="77" t="str">
        <v>Daily</v>
      </c>
      <c r="AC24" s="77">
        <v>950</v>
      </c>
      <c r="AD24" s="77">
        <v>950</v>
      </c>
      <c r="AE24" s="77">
        <v>900</v>
      </c>
      <c r="AF24" s="77">
        <v>0</v>
      </c>
      <c r="AG24" s="261" t="str">
        <v>N</v>
      </c>
      <c r="AH24" s="261">
        <v>1</v>
      </c>
      <c r="AI24" s="261">
        <v>1</v>
      </c>
      <c r="AJ24" s="262">
        <v>0</v>
      </c>
    </row>
    <row r="25" spans="1:36" hidden="1" outlineLevel="1" x14ac:dyDescent="0.25">
      <c r="A25" s="120">
        <f t="shared" ref="A25:A29" si="21">GETPAYMONTH(B25)</f>
        <v>1</v>
      </c>
      <c r="B25" s="231">
        <v>43646</v>
      </c>
      <c r="C25" s="77" t="s">
        <v>57</v>
      </c>
      <c r="D25" s="238" t="s">
        <v>668</v>
      </c>
      <c r="E25" s="76">
        <f ca="1">SUMIF(payNonMonth,"="&amp;$X25,$E$362:OFFSET($E$362,ROWS(payNonMonth)-1,0))</f>
        <v>21</v>
      </c>
      <c r="F25" s="76"/>
      <c r="G25" s="77">
        <f t="shared" ca="1" si="12"/>
        <v>1</v>
      </c>
      <c r="H25" s="76">
        <f t="shared" ref="H25:H29" ca="1" si="22">ROUND(SUM(E25:F25)*AC25,2)</f>
        <v>10500</v>
      </c>
      <c r="I25" s="76">
        <f t="shared" ref="I25:I29" ca="1" si="23">H25*OFFSET(payMgmtRate,0,$AH25)</f>
        <v>525</v>
      </c>
      <c r="J25" s="233">
        <f t="shared" ca="1" si="5"/>
        <v>10290</v>
      </c>
      <c r="K25" s="76">
        <f t="shared" si="6"/>
        <v>0</v>
      </c>
      <c r="L25" s="76">
        <f t="shared" ca="1" si="7"/>
        <v>2721.82</v>
      </c>
      <c r="M25" s="76">
        <f t="shared" ref="M25:M29" ca="1" si="24">GETSUPER(J25-SUM(K25:L25))</f>
        <v>656.6</v>
      </c>
      <c r="N25" s="76">
        <f t="shared" ca="1" si="8"/>
        <v>0</v>
      </c>
      <c r="O25" s="76">
        <f t="shared" ref="O25:O27" ca="1" si="25">ROUND((J25-SUM(K25:N25))*InsureRate,2)</f>
        <v>69.12</v>
      </c>
      <c r="P25" s="76"/>
      <c r="Q25" s="76">
        <f t="shared" ref="Q25:Q29" ca="1" si="26">J25-SUM(K25:P25)</f>
        <v>6842.46</v>
      </c>
      <c r="R25" s="76">
        <f ca="1">GETTAX(Q25,AA25)</f>
        <v>1660</v>
      </c>
      <c r="S25" s="76">
        <f t="shared" ref="S25:S29" ca="1" si="27">Q25-R25</f>
        <v>5182.46</v>
      </c>
      <c r="T25" s="232">
        <f t="shared" ca="1" si="10"/>
        <v>2994</v>
      </c>
      <c r="V25" s="120" t="str">
        <f t="shared" ref="V25:V29" si="28">IF(EmpID="*","*",C25) &amp;":"&amp; $A25</f>
        <v>CRP:1</v>
      </c>
      <c r="W25" s="120" t="str">
        <f t="shared" si="19"/>
        <v>CRP:43646</v>
      </c>
      <c r="X25" s="120" t="str">
        <f t="shared" ref="X25:X29" si="29">C25 &amp;":"&amp; A25</f>
        <v>CRP:1</v>
      </c>
      <c r="Y25" s="250" t="str">
        <f t="array" ref="Y25:AJ25">VLOOKUP($D25&amp;":"&amp;$C25,tblPayRates,{3,4,5,6,7,8,9,10,11,12,13,14},0)</f>
        <v>CRP</v>
      </c>
      <c r="Z25" s="16" t="str">
        <v>MTR</v>
      </c>
      <c r="AA25" s="261" t="str">
        <v>M</v>
      </c>
      <c r="AB25" s="77" t="str">
        <v>Daily</v>
      </c>
      <c r="AC25" s="77">
        <v>500</v>
      </c>
      <c r="AD25" s="77">
        <v>500</v>
      </c>
      <c r="AE25" s="77">
        <v>490</v>
      </c>
      <c r="AF25" s="77">
        <v>0</v>
      </c>
      <c r="AG25" s="261" t="str">
        <v>Q</v>
      </c>
      <c r="AH25" s="261">
        <v>1</v>
      </c>
      <c r="AI25" s="261">
        <v>1</v>
      </c>
      <c r="AJ25" s="262">
        <v>0</v>
      </c>
    </row>
    <row r="26" spans="1:36" hidden="1" outlineLevel="1" x14ac:dyDescent="0.25">
      <c r="A26" s="120">
        <f t="shared" si="21"/>
        <v>1</v>
      </c>
      <c r="B26" s="231">
        <v>43646</v>
      </c>
      <c r="C26" s="77" t="s">
        <v>58</v>
      </c>
      <c r="D26" s="238" t="s">
        <v>668</v>
      </c>
      <c r="E26" s="76">
        <f ca="1">SUMIF(payNonMonth,"="&amp;$X26,$E$362:OFFSET($E$362,ROWS(payNonMonth)-1,0))</f>
        <v>21</v>
      </c>
      <c r="F26" s="76"/>
      <c r="G26" s="77">
        <f t="shared" ca="1" si="12"/>
        <v>1</v>
      </c>
      <c r="H26" s="76">
        <f t="shared" ca="1" si="22"/>
        <v>10500</v>
      </c>
      <c r="I26" s="76">
        <f t="shared" ca="1" si="23"/>
        <v>525</v>
      </c>
      <c r="J26" s="233">
        <f t="shared" ca="1" si="5"/>
        <v>10290</v>
      </c>
      <c r="K26" s="76">
        <f t="shared" si="6"/>
        <v>0</v>
      </c>
      <c r="L26" s="76">
        <f t="shared" ca="1" si="7"/>
        <v>953.64</v>
      </c>
      <c r="M26" s="76">
        <f t="shared" ca="1" si="24"/>
        <v>810</v>
      </c>
      <c r="N26" s="76">
        <f t="shared" ca="1" si="8"/>
        <v>0</v>
      </c>
      <c r="O26" s="76">
        <f t="shared" ca="1" si="25"/>
        <v>85.26</v>
      </c>
      <c r="P26" s="76"/>
      <c r="Q26" s="76">
        <f t="shared" ca="1" si="26"/>
        <v>8441.1</v>
      </c>
      <c r="R26" s="76">
        <f t="shared" ref="R26:R29" ca="1" si="30">GETTAX(Q26,AA26)</f>
        <v>2253</v>
      </c>
      <c r="S26" s="76">
        <f t="shared" ca="1" si="27"/>
        <v>6188.1</v>
      </c>
      <c r="T26" s="232">
        <f t="shared" ca="1" si="10"/>
        <v>1049</v>
      </c>
      <c r="V26" s="120" t="str">
        <f t="shared" si="28"/>
        <v>SM:1</v>
      </c>
      <c r="W26" s="120" t="str">
        <f t="shared" si="19"/>
        <v>SM:43646</v>
      </c>
      <c r="X26" s="120" t="str">
        <f t="shared" si="29"/>
        <v>SM:1</v>
      </c>
      <c r="Y26" s="250" t="str">
        <f t="array" ref="Y26:AJ26">VLOOKUP($D26&amp;":"&amp;$C26,tblPayRates,{3,4,5,6,7,8,9,10,11,12,13,14},0)</f>
        <v>SM</v>
      </c>
      <c r="Z26" s="16" t="str">
        <v>MTR</v>
      </c>
      <c r="AA26" s="261" t="str">
        <v>M</v>
      </c>
      <c r="AB26" s="77" t="str">
        <v>Daily</v>
      </c>
      <c r="AC26" s="77">
        <v>500</v>
      </c>
      <c r="AD26" s="77">
        <v>500</v>
      </c>
      <c r="AE26" s="77">
        <v>490</v>
      </c>
      <c r="AF26" s="77">
        <v>0</v>
      </c>
      <c r="AG26" s="261" t="str">
        <v>Q</v>
      </c>
      <c r="AH26" s="261">
        <v>1</v>
      </c>
      <c r="AI26" s="261">
        <v>1</v>
      </c>
      <c r="AJ26" s="262">
        <v>0</v>
      </c>
    </row>
    <row r="27" spans="1:36" hidden="1" outlineLevel="1" x14ac:dyDescent="0.25">
      <c r="A27" s="120">
        <f t="shared" si="21"/>
        <v>1</v>
      </c>
      <c r="B27" s="231">
        <v>43646</v>
      </c>
      <c r="C27" s="77" t="s">
        <v>622</v>
      </c>
      <c r="D27" s="238" t="s">
        <v>499</v>
      </c>
      <c r="E27" s="76">
        <f ca="1">SUMIF(payNonMonth,"="&amp;$X27,$E$362:OFFSET($E$362,ROWS(payNonMonth)-1,0))</f>
        <v>16.5</v>
      </c>
      <c r="F27" s="76"/>
      <c r="G27" s="77">
        <f t="shared" ca="1" si="12"/>
        <v>1</v>
      </c>
      <c r="H27" s="76">
        <f t="shared" ca="1" si="22"/>
        <v>11550</v>
      </c>
      <c r="I27" s="76">
        <f t="shared" ca="1" si="23"/>
        <v>404.25000000000006</v>
      </c>
      <c r="J27" s="233">
        <f t="shared" ca="1" si="5"/>
        <v>10972.5</v>
      </c>
      <c r="K27" s="76">
        <f t="shared" si="6"/>
        <v>0</v>
      </c>
      <c r="L27" s="76">
        <f t="shared" ca="1" si="7"/>
        <v>162.63999999999999</v>
      </c>
      <c r="M27" s="76">
        <f t="shared" ca="1" si="24"/>
        <v>937.84</v>
      </c>
      <c r="N27" s="76">
        <f t="shared" ca="1" si="8"/>
        <v>0</v>
      </c>
      <c r="O27" s="76">
        <f t="shared" ca="1" si="25"/>
        <v>98.72</v>
      </c>
      <c r="P27" s="76"/>
      <c r="Q27" s="76">
        <f t="shared" ca="1" si="26"/>
        <v>9773.2999999999993</v>
      </c>
      <c r="R27" s="76">
        <f t="shared" ca="1" si="30"/>
        <v>2773</v>
      </c>
      <c r="S27" s="76">
        <f t="shared" ca="1" si="27"/>
        <v>7000.2999999999993</v>
      </c>
      <c r="T27" s="232">
        <f t="shared" ca="1" si="10"/>
        <v>178.9</v>
      </c>
      <c r="V27" s="120" t="str">
        <f t="shared" si="28"/>
        <v>GEO:1</v>
      </c>
      <c r="W27" s="120" t="str">
        <f t="shared" si="19"/>
        <v>GEO:43646</v>
      </c>
      <c r="X27" s="120" t="str">
        <f t="shared" si="29"/>
        <v>GEO:1</v>
      </c>
      <c r="Y27" s="250" t="str">
        <f t="array" ref="Y27:AJ27">VLOOKUP($D27&amp;":"&amp;$C27,tblPayRates,{3,4,5,6,7,8,9,10,11,12,13,14},0)</f>
        <v>GEO</v>
      </c>
      <c r="Z27" s="16" t="str">
        <v>Magma</v>
      </c>
      <c r="AA27" s="261" t="str">
        <v>M</v>
      </c>
      <c r="AB27" s="77" t="str">
        <v>Daily</v>
      </c>
      <c r="AC27" s="77">
        <v>700</v>
      </c>
      <c r="AD27" s="77">
        <v>700</v>
      </c>
      <c r="AE27" s="77">
        <v>665</v>
      </c>
      <c r="AF27" s="77">
        <v>0</v>
      </c>
      <c r="AG27" s="261" t="str">
        <v>N</v>
      </c>
      <c r="AH27" s="261">
        <v>2</v>
      </c>
      <c r="AI27" s="261">
        <v>1</v>
      </c>
      <c r="AJ27" s="262">
        <v>0</v>
      </c>
    </row>
    <row r="28" spans="1:36" outlineLevel="1" x14ac:dyDescent="0.25">
      <c r="A28" s="120">
        <f>GETPAYMONTH(B28)</f>
        <v>1</v>
      </c>
      <c r="B28" s="231">
        <v>43646</v>
      </c>
      <c r="C28" s="77" t="s">
        <v>657</v>
      </c>
      <c r="D28" s="238" t="s">
        <v>674</v>
      </c>
      <c r="E28" s="76">
        <f ca="1">SUMIF(payNonMonth,"="&amp;$X28,$E$362:OFFSET($E$362,ROWS(payNonMonth)-1,0))</f>
        <v>20.5</v>
      </c>
      <c r="F28" s="76"/>
      <c r="G28" s="77">
        <f ca="1">IF(AND($E28=0,$F28=0),0,1)</f>
        <v>1</v>
      </c>
      <c r="H28" s="76">
        <f ca="1">ROUND(SUM(E28:F28)*AC28,2)</f>
        <v>12771.5</v>
      </c>
      <c r="I28" s="76">
        <f ca="1">H28*OFFSET(payMgmtRate,0,$AH28)</f>
        <v>638.57500000000005</v>
      </c>
      <c r="J28" s="233">
        <f t="shared" ca="1" si="5"/>
        <v>10746.31</v>
      </c>
      <c r="K28" s="76">
        <f t="shared" si="6"/>
        <v>0</v>
      </c>
      <c r="L28" s="76">
        <f t="shared" ca="1" si="7"/>
        <v>215.27</v>
      </c>
      <c r="M28" s="76">
        <f ca="1">GETSUPER(J28-SUM(K28:L28))</f>
        <v>913.65</v>
      </c>
      <c r="N28" s="76">
        <f t="shared" ca="1" si="8"/>
        <v>0</v>
      </c>
      <c r="O28" s="76"/>
      <c r="P28" s="76"/>
      <c r="Q28" s="76">
        <f ca="1">J28-SUM(K28:P28)</f>
        <v>9617.39</v>
      </c>
      <c r="R28" s="76">
        <f ca="1">GETTAX(Q28,AA28)</f>
        <v>2713</v>
      </c>
      <c r="S28" s="76">
        <f ca="1">Q28-R28</f>
        <v>6904.3899999999994</v>
      </c>
      <c r="T28" s="232">
        <f t="shared" ca="1" si="10"/>
        <v>236.8</v>
      </c>
      <c r="V28" s="120" t="str">
        <f>IF(EmpID="*","*",C28) &amp;":"&amp; $A28</f>
        <v>VAK:1</v>
      </c>
      <c r="W28" s="120" t="str">
        <f>$C28 &amp;":"&amp; $B28</f>
        <v>VAK:43646</v>
      </c>
      <c r="X28" s="120" t="str">
        <f>C28 &amp;":"&amp; A28</f>
        <v>VAK:1</v>
      </c>
      <c r="Y28" s="250" t="str">
        <f t="array" ref="Y28:AJ28">VLOOKUP($D28&amp;":"&amp;$C28,tblPayRates,{3,4,5,6,7,8,9,10,11,12,13,14},0)</f>
        <v>VAK</v>
      </c>
      <c r="Z28" s="16" t="str">
        <v>Paxus</v>
      </c>
      <c r="AA28" s="261" t="str">
        <v>M</v>
      </c>
      <c r="AB28" s="77" t="str">
        <v>Daily</v>
      </c>
      <c r="AC28" s="77">
        <v>623</v>
      </c>
      <c r="AD28" s="77">
        <v>623</v>
      </c>
      <c r="AE28" s="77">
        <v>524.21</v>
      </c>
      <c r="AF28" s="77">
        <v>0</v>
      </c>
      <c r="AG28" s="261" t="str">
        <v>Q</v>
      </c>
      <c r="AH28" s="261">
        <v>1</v>
      </c>
      <c r="AI28" s="261">
        <v>1</v>
      </c>
      <c r="AJ28" s="262">
        <v>0</v>
      </c>
    </row>
    <row r="29" spans="1:36" hidden="1" outlineLevel="1" x14ac:dyDescent="0.25">
      <c r="A29" s="120">
        <f t="shared" si="21"/>
        <v>1</v>
      </c>
      <c r="B29" s="231">
        <v>43646</v>
      </c>
      <c r="C29" s="77" t="s">
        <v>658</v>
      </c>
      <c r="D29" s="238" t="s">
        <v>673</v>
      </c>
      <c r="E29" s="76">
        <f ca="1">SUMIF(payNonMonth,"="&amp;$X29,$E$362:OFFSET($E$362,ROWS(payNonMonth)-1,0))</f>
        <v>20.5</v>
      </c>
      <c r="F29" s="76"/>
      <c r="G29" s="77">
        <f t="shared" ca="1" si="12"/>
        <v>1</v>
      </c>
      <c r="H29" s="76">
        <f t="shared" ca="1" si="22"/>
        <v>5473.5</v>
      </c>
      <c r="I29" s="76">
        <f t="shared" ca="1" si="23"/>
        <v>273.67500000000001</v>
      </c>
      <c r="J29" s="233">
        <f t="shared" ca="1" si="5"/>
        <v>6586.45</v>
      </c>
      <c r="K29" s="76">
        <f t="shared" si="6"/>
        <v>0</v>
      </c>
      <c r="L29" s="76">
        <f t="shared" ca="1" si="7"/>
        <v>51.82</v>
      </c>
      <c r="M29" s="76">
        <f t="shared" ca="1" si="24"/>
        <v>566.92999999999995</v>
      </c>
      <c r="N29" s="76">
        <f t="shared" ca="1" si="8"/>
        <v>0</v>
      </c>
      <c r="O29" s="76"/>
      <c r="P29" s="76"/>
      <c r="Q29" s="76">
        <f t="shared" ca="1" si="26"/>
        <v>5967.7</v>
      </c>
      <c r="R29" s="76">
        <f t="shared" ca="1" si="30"/>
        <v>1356</v>
      </c>
      <c r="S29" s="76">
        <f t="shared" ca="1" si="27"/>
        <v>4611.7</v>
      </c>
      <c r="T29" s="232">
        <f t="shared" ca="1" si="10"/>
        <v>57</v>
      </c>
      <c r="V29" s="120" t="str">
        <f t="shared" si="28"/>
        <v>ASW:1</v>
      </c>
      <c r="W29" s="120" t="str">
        <f t="shared" si="19"/>
        <v>ASW:43646</v>
      </c>
      <c r="X29" s="120" t="str">
        <f t="shared" si="29"/>
        <v>ASW:1</v>
      </c>
      <c r="Y29" s="250" t="str">
        <f t="array" ref="Y29:AJ29">VLOOKUP($D29&amp;":"&amp;$C29,tblPayRates,{3,4,5,6,7,8,9,10,11,12,13,14},0)</f>
        <v>ASW</v>
      </c>
      <c r="Z29" s="16" t="str">
        <v>Paxus</v>
      </c>
      <c r="AA29" s="261" t="str">
        <v>M</v>
      </c>
      <c r="AB29" s="77" t="str">
        <v>Daily</v>
      </c>
      <c r="AC29" s="77">
        <v>267</v>
      </c>
      <c r="AD29" s="77">
        <v>267</v>
      </c>
      <c r="AE29" s="77">
        <v>321.29000000000002</v>
      </c>
      <c r="AF29" s="77">
        <v>0</v>
      </c>
      <c r="AG29" s="261" t="str">
        <v>Q</v>
      </c>
      <c r="AH29" s="261">
        <v>1</v>
      </c>
      <c r="AI29" s="261">
        <v>1</v>
      </c>
      <c r="AJ29" s="262">
        <v>0</v>
      </c>
    </row>
    <row r="30" spans="1:36" hidden="1" outlineLevel="1" x14ac:dyDescent="0.25">
      <c r="A30" s="120">
        <f t="shared" si="11"/>
        <v>1</v>
      </c>
      <c r="B30" s="231">
        <v>43653</v>
      </c>
      <c r="C30" s="77" t="s">
        <v>669</v>
      </c>
      <c r="D30" s="238" t="s">
        <v>668</v>
      </c>
      <c r="E30" s="76">
        <v>8</v>
      </c>
      <c r="F30" s="76"/>
      <c r="G30" s="77">
        <f t="shared" si="12"/>
        <v>1</v>
      </c>
      <c r="H30" s="76">
        <f t="shared" si="13"/>
        <v>3600</v>
      </c>
      <c r="I30" s="76">
        <f t="shared" ca="1" si="14"/>
        <v>180</v>
      </c>
      <c r="J30" s="233">
        <f t="shared" si="5"/>
        <v>3420</v>
      </c>
      <c r="K30" s="76">
        <f t="shared" si="6"/>
        <v>0</v>
      </c>
      <c r="L30" s="76">
        <f t="shared" si="7"/>
        <v>0</v>
      </c>
      <c r="M30" s="76">
        <f>GETSUPER(J30-SUM(K30:L30))</f>
        <v>296.70999999999998</v>
      </c>
      <c r="N30" s="76">
        <f t="shared" si="8"/>
        <v>0</v>
      </c>
      <c r="O30" s="76">
        <f>ROUND((J30-SUM(K30:N30))*InsureRate,2)</f>
        <v>31.23</v>
      </c>
      <c r="P30" s="76"/>
      <c r="Q30" s="76">
        <f t="shared" si="16"/>
        <v>3092.06</v>
      </c>
      <c r="R30" s="76">
        <f>GETTAX(Q30,AA30)</f>
        <v>744</v>
      </c>
      <c r="S30" s="76">
        <f t="shared" si="17"/>
        <v>2348.06</v>
      </c>
      <c r="T30" s="232">
        <f t="shared" si="10"/>
        <v>0</v>
      </c>
      <c r="V30" s="120" t="str">
        <f t="shared" si="18"/>
        <v>DP:1</v>
      </c>
      <c r="W30" s="120" t="str">
        <f t="shared" si="19"/>
        <v>DP:43653</v>
      </c>
      <c r="X30" s="120" t="str">
        <f>C30 &amp;":"&amp; $B30</f>
        <v>DP:43653</v>
      </c>
      <c r="Y30" s="250" t="str">
        <f t="array" ref="Y30:AJ30">VLOOKUP($D30&amp;":"&amp;$C30,tblPayRates,{3,4,5,6,7,8,9,10,11,12,13,14},0)</f>
        <v>DP</v>
      </c>
      <c r="Z30" s="16" t="str">
        <v>MTR</v>
      </c>
      <c r="AA30" s="261" t="str">
        <v>F</v>
      </c>
      <c r="AB30" s="77" t="str">
        <v>Daily</v>
      </c>
      <c r="AC30" s="77">
        <v>450</v>
      </c>
      <c r="AD30" s="77">
        <v>450</v>
      </c>
      <c r="AE30" s="77">
        <v>427.5</v>
      </c>
      <c r="AF30" s="77">
        <v>0</v>
      </c>
      <c r="AG30" s="261" t="str">
        <v>Q</v>
      </c>
      <c r="AH30" s="261">
        <v>1</v>
      </c>
      <c r="AI30" s="261">
        <v>1</v>
      </c>
      <c r="AJ30" s="262">
        <v>0</v>
      </c>
    </row>
    <row r="31" spans="1:36" hidden="1" outlineLevel="1" x14ac:dyDescent="0.25">
      <c r="A31" s="120">
        <f t="shared" si="11"/>
        <v>1</v>
      </c>
      <c r="B31" s="231">
        <v>43653</v>
      </c>
      <c r="C31" s="77" t="s">
        <v>678</v>
      </c>
      <c r="D31" s="238" t="s">
        <v>668</v>
      </c>
      <c r="E31" s="76">
        <f ca="1">SUMIF(payNonMonth,"="&amp;$X31,$E$362:OFFSET($E$362,ROWS(payNonMonth)-1,0))</f>
        <v>8</v>
      </c>
      <c r="F31" s="76"/>
      <c r="G31" s="77">
        <f t="shared" ca="1" si="12"/>
        <v>1</v>
      </c>
      <c r="H31" s="76">
        <f t="shared" ca="1" si="13"/>
        <v>3600</v>
      </c>
      <c r="I31" s="76">
        <f t="shared" ca="1" si="14"/>
        <v>180</v>
      </c>
      <c r="J31" s="233">
        <f t="shared" ca="1" si="5"/>
        <v>3420</v>
      </c>
      <c r="K31" s="76">
        <f t="shared" si="6"/>
        <v>0</v>
      </c>
      <c r="L31" s="76">
        <f t="shared" ca="1" si="7"/>
        <v>0</v>
      </c>
      <c r="M31" s="76">
        <f t="shared" ca="1" si="15"/>
        <v>296.70999999999998</v>
      </c>
      <c r="N31" s="76">
        <f t="shared" ca="1" si="8"/>
        <v>0</v>
      </c>
      <c r="O31" s="76">
        <f t="shared" ca="1" si="9"/>
        <v>31.23</v>
      </c>
      <c r="P31" s="76"/>
      <c r="Q31" s="76">
        <f t="shared" ca="1" si="16"/>
        <v>3092.06</v>
      </c>
      <c r="R31" s="76">
        <f t="shared" ref="R31:R96" ca="1" si="31">GETTAX(Q31,AA31)</f>
        <v>744</v>
      </c>
      <c r="S31" s="76">
        <f t="shared" ca="1" si="17"/>
        <v>2348.06</v>
      </c>
      <c r="T31" s="232">
        <f t="shared" ca="1" si="10"/>
        <v>0</v>
      </c>
      <c r="V31" s="120" t="str">
        <f t="shared" si="18"/>
        <v>ANK:1</v>
      </c>
      <c r="W31" s="120" t="str">
        <f t="shared" si="19"/>
        <v>ANK:43653</v>
      </c>
      <c r="X31" s="120" t="str">
        <f t="shared" si="19"/>
        <v>ANK:43653</v>
      </c>
      <c r="Y31" s="250" t="str">
        <f t="array" ref="Y31:AJ31">VLOOKUP($D31&amp;":"&amp;$C31,tblPayRates,{3,4,5,6,7,8,9,10,11,12,13,14},0)</f>
        <v>ANK</v>
      </c>
      <c r="Z31" s="16" t="str">
        <v>MTR</v>
      </c>
      <c r="AA31" s="261" t="str">
        <v>F</v>
      </c>
      <c r="AB31" s="77" t="str">
        <v>Daily</v>
      </c>
      <c r="AC31" s="77">
        <v>450</v>
      </c>
      <c r="AD31" s="77">
        <v>450</v>
      </c>
      <c r="AE31" s="77">
        <v>427.5</v>
      </c>
      <c r="AF31" s="77">
        <v>0</v>
      </c>
      <c r="AG31" s="261" t="str">
        <v>Q</v>
      </c>
      <c r="AH31" s="261">
        <v>1</v>
      </c>
      <c r="AI31" s="261">
        <v>1</v>
      </c>
      <c r="AJ31" s="262">
        <v>0</v>
      </c>
    </row>
    <row r="32" spans="1:36" hidden="1" outlineLevel="1" x14ac:dyDescent="0.25">
      <c r="A32" s="120">
        <f>GETPAYMONTH(B32)</f>
        <v>1</v>
      </c>
      <c r="B32" s="231">
        <v>43667</v>
      </c>
      <c r="C32" s="77" t="s">
        <v>669</v>
      </c>
      <c r="D32" s="238" t="s">
        <v>668</v>
      </c>
      <c r="E32" s="76">
        <f ca="1">SUMIF(payNonMonth,"="&amp;$X32,$E$362:OFFSET($E$362,ROWS(payNonMonth)-1,0))</f>
        <v>13</v>
      </c>
      <c r="F32" s="76"/>
      <c r="G32" s="77">
        <f ca="1">IF(AND($E32=0,$F32=0),0,1)</f>
        <v>1</v>
      </c>
      <c r="H32" s="76">
        <f ca="1">ROUND(SUM(E32:F32)*AC32,2)</f>
        <v>5850</v>
      </c>
      <c r="I32" s="76">
        <f ca="1">H32*OFFSET(payMgmtRate,0,$AH32)</f>
        <v>292.5</v>
      </c>
      <c r="J32" s="233">
        <f t="shared" ca="1" si="5"/>
        <v>5557.5</v>
      </c>
      <c r="K32" s="76">
        <f t="shared" si="6"/>
        <v>0</v>
      </c>
      <c r="L32" s="76">
        <f t="shared" ca="1" si="7"/>
        <v>0</v>
      </c>
      <c r="M32" s="76">
        <f ca="1">GETSUPER(J32-SUM(K32:L32))</f>
        <v>482.16</v>
      </c>
      <c r="N32" s="76">
        <f t="shared" ca="1" si="8"/>
        <v>0</v>
      </c>
      <c r="O32" s="76">
        <f ca="1">ROUND((J32-SUM(K32:N32))*InsureRate,2)</f>
        <v>50.75</v>
      </c>
      <c r="P32" s="76"/>
      <c r="Q32" s="76">
        <f ca="1">J32-SUM(K32:P32)</f>
        <v>5024.59</v>
      </c>
      <c r="R32" s="76">
        <f ca="1">GETTAX(Q32,AA32)</f>
        <v>1480</v>
      </c>
      <c r="S32" s="76">
        <f ca="1">Q32-R32</f>
        <v>3544.59</v>
      </c>
      <c r="T32" s="232">
        <f t="shared" ca="1" si="10"/>
        <v>0</v>
      </c>
      <c r="V32" s="120" t="str">
        <f>IF(EmpID="*","*",C32) &amp;":"&amp; $A32</f>
        <v>DP:1</v>
      </c>
      <c r="W32" s="120" t="str">
        <f>$C32 &amp;":"&amp; $B32</f>
        <v>DP:43667</v>
      </c>
      <c r="X32" s="120" t="str">
        <f>C32 &amp;":"&amp; $B32</f>
        <v>DP:43667</v>
      </c>
      <c r="Y32" s="250" t="str">
        <f t="array" ref="Y32:AJ32">VLOOKUP($D32&amp;":"&amp;$C32,tblPayRates,{3,4,5,6,7,8,9,10,11,12,13,14},0)</f>
        <v>DP</v>
      </c>
      <c r="Z32" s="16" t="str">
        <v>MTR</v>
      </c>
      <c r="AA32" s="261" t="str">
        <v>F</v>
      </c>
      <c r="AB32" s="77" t="str">
        <v>Daily</v>
      </c>
      <c r="AC32" s="77">
        <v>450</v>
      </c>
      <c r="AD32" s="77">
        <v>450</v>
      </c>
      <c r="AE32" s="77">
        <v>427.5</v>
      </c>
      <c r="AF32" s="77">
        <v>0</v>
      </c>
      <c r="AG32" s="261" t="str">
        <v>Q</v>
      </c>
      <c r="AH32" s="261">
        <v>1</v>
      </c>
      <c r="AI32" s="261">
        <v>1</v>
      </c>
      <c r="AJ32" s="262">
        <v>0</v>
      </c>
    </row>
    <row r="33" spans="1:36" hidden="1" outlineLevel="1" x14ac:dyDescent="0.25">
      <c r="A33" s="120">
        <f t="shared" si="11"/>
        <v>1</v>
      </c>
      <c r="B33" s="231">
        <v>43667</v>
      </c>
      <c r="C33" s="77" t="s">
        <v>678</v>
      </c>
      <c r="D33" s="238" t="s">
        <v>668</v>
      </c>
      <c r="E33" s="76">
        <f ca="1">SUMIF(payNonMonth,"="&amp;$X33,$E$362:OFFSET($E$362,ROWS(payNonMonth)-1,0))</f>
        <v>13</v>
      </c>
      <c r="F33" s="76"/>
      <c r="G33" s="77">
        <f t="shared" ca="1" si="12"/>
        <v>1</v>
      </c>
      <c r="H33" s="76">
        <f t="shared" ca="1" si="13"/>
        <v>5850</v>
      </c>
      <c r="I33" s="76">
        <f t="shared" ca="1" si="14"/>
        <v>292.5</v>
      </c>
      <c r="J33" s="233">
        <f t="shared" ca="1" si="5"/>
        <v>5557.5</v>
      </c>
      <c r="K33" s="76">
        <f t="shared" si="6"/>
        <v>0</v>
      </c>
      <c r="L33" s="76">
        <f t="shared" ca="1" si="7"/>
        <v>0</v>
      </c>
      <c r="M33" s="76">
        <f t="shared" ca="1" si="15"/>
        <v>482.16</v>
      </c>
      <c r="N33" s="76">
        <f t="shared" ca="1" si="8"/>
        <v>0</v>
      </c>
      <c r="O33" s="76">
        <f t="shared" ca="1" si="9"/>
        <v>50.75</v>
      </c>
      <c r="P33" s="76"/>
      <c r="Q33" s="76">
        <f t="shared" ca="1" si="16"/>
        <v>5024.59</v>
      </c>
      <c r="R33" s="76">
        <f t="shared" ca="1" si="31"/>
        <v>1480</v>
      </c>
      <c r="S33" s="76">
        <f t="shared" ca="1" si="17"/>
        <v>3544.59</v>
      </c>
      <c r="T33" s="232">
        <f t="shared" ca="1" si="10"/>
        <v>0</v>
      </c>
      <c r="V33" s="120" t="str">
        <f t="shared" si="18"/>
        <v>ANK:1</v>
      </c>
      <c r="W33" s="120" t="str">
        <f t="shared" si="19"/>
        <v>ANK:43667</v>
      </c>
      <c r="X33" s="120" t="str">
        <f t="shared" si="19"/>
        <v>ANK:43667</v>
      </c>
      <c r="Y33" s="250" t="str">
        <f t="array" ref="Y33:AJ33">VLOOKUP($D33&amp;":"&amp;$C33,tblPayRates,{3,4,5,6,7,8,9,10,11,12,13,14},0)</f>
        <v>ANK</v>
      </c>
      <c r="Z33" s="16" t="str">
        <v>MTR</v>
      </c>
      <c r="AA33" s="261" t="str">
        <v>F</v>
      </c>
      <c r="AB33" s="77" t="str">
        <v>Daily</v>
      </c>
      <c r="AC33" s="77">
        <v>450</v>
      </c>
      <c r="AD33" s="77">
        <v>450</v>
      </c>
      <c r="AE33" s="77">
        <v>427.5</v>
      </c>
      <c r="AF33" s="77">
        <v>0</v>
      </c>
      <c r="AG33" s="261" t="str">
        <v>Q</v>
      </c>
      <c r="AH33" s="261">
        <v>1</v>
      </c>
      <c r="AI33" s="261">
        <v>1</v>
      </c>
      <c r="AJ33" s="262">
        <v>0</v>
      </c>
    </row>
    <row r="34" spans="1:36" hidden="1" outlineLevel="1" x14ac:dyDescent="0.25">
      <c r="A34" s="120">
        <f t="shared" ref="A34" si="32">GETPAYMONTH(B34)</f>
        <v>2</v>
      </c>
      <c r="B34" s="231">
        <v>43677</v>
      </c>
      <c r="C34" s="77" t="s">
        <v>55</v>
      </c>
      <c r="D34" s="238" t="s">
        <v>659</v>
      </c>
      <c r="E34" s="76">
        <f ca="1">SUMIF(payNonMonth,"="&amp;$X34,$E$362:OFFSET($E$362,ROWS(payNonMonth)-1,0))</f>
        <v>0</v>
      </c>
      <c r="F34" s="76"/>
      <c r="G34" s="77">
        <f t="shared" ca="1" si="12"/>
        <v>0</v>
      </c>
      <c r="H34" s="76">
        <f t="shared" ref="H34" ca="1" si="33">ROUND(SUM(E34:F34)*AC34,2)</f>
        <v>0</v>
      </c>
      <c r="I34" s="76">
        <f t="shared" ref="I34" ca="1" si="34">H34*OFFSET(payMgmtRate,0,$AH34)</f>
        <v>0</v>
      </c>
      <c r="J34" s="233">
        <f t="shared" ca="1" si="5"/>
        <v>0</v>
      </c>
      <c r="K34" s="76">
        <f t="shared" si="6"/>
        <v>0</v>
      </c>
      <c r="L34" s="76">
        <f t="shared" ca="1" si="7"/>
        <v>0</v>
      </c>
      <c r="M34" s="76">
        <f t="shared" ref="M34" ca="1" si="35">GETSUPER(J34-SUM(K34:L34))</f>
        <v>0</v>
      </c>
      <c r="N34" s="76">
        <f t="shared" ca="1" si="8"/>
        <v>0</v>
      </c>
      <c r="O34" s="76">
        <f t="shared" ref="O34" ca="1" si="36">ROUND((J34-SUM(K34:N34))*InsureRate,2)</f>
        <v>0</v>
      </c>
      <c r="P34" s="76"/>
      <c r="Q34" s="76">
        <f t="shared" ref="Q34" ca="1" si="37">J34-SUM(K34:P34)</f>
        <v>0</v>
      </c>
      <c r="R34" s="76">
        <f t="shared" ref="R34" ca="1" si="38">GETTAX(Q34,AA34)</f>
        <v>0</v>
      </c>
      <c r="S34" s="76">
        <f t="shared" ref="S34" ca="1" si="39">Q34-R34</f>
        <v>0</v>
      </c>
      <c r="T34" s="232">
        <f t="shared" ca="1" si="10"/>
        <v>0</v>
      </c>
      <c r="V34" s="120" t="str">
        <f t="shared" ref="V34" si="40">IF(EmpID="*","*",C34) &amp;":"&amp; $A34</f>
        <v>MAM:2</v>
      </c>
      <c r="W34" s="120" t="str">
        <f t="shared" si="19"/>
        <v>MAM:43677</v>
      </c>
      <c r="X34" s="120" t="str">
        <f t="shared" si="19"/>
        <v>MAM:43677</v>
      </c>
      <c r="Y34" s="250" t="str">
        <f t="array" ref="Y34:AJ34">VLOOKUP($D34&amp;":"&amp;$C34,tblPayRates,{3,4,5,6,7,8,9,10,11,12,13,14},0)</f>
        <v>MAM</v>
      </c>
      <c r="Z34" s="16" t="str">
        <v>Magma</v>
      </c>
      <c r="AA34" s="261" t="str">
        <v>M</v>
      </c>
      <c r="AB34" s="77" t="str">
        <v>Daily</v>
      </c>
      <c r="AC34" s="77">
        <v>950</v>
      </c>
      <c r="AD34" s="77">
        <v>950</v>
      </c>
      <c r="AE34" s="77">
        <v>900</v>
      </c>
      <c r="AF34" s="77">
        <v>0</v>
      </c>
      <c r="AG34" s="261" t="str">
        <v>N</v>
      </c>
      <c r="AH34" s="261">
        <v>1</v>
      </c>
      <c r="AI34" s="261">
        <v>1</v>
      </c>
      <c r="AJ34" s="262">
        <v>0</v>
      </c>
    </row>
    <row r="35" spans="1:36" hidden="1" outlineLevel="1" x14ac:dyDescent="0.25">
      <c r="A35" s="120">
        <f t="shared" si="11"/>
        <v>2</v>
      </c>
      <c r="B35" s="231">
        <v>43676</v>
      </c>
      <c r="C35" s="77" t="s">
        <v>55</v>
      </c>
      <c r="D35" s="238" t="s">
        <v>504</v>
      </c>
      <c r="E35" s="76">
        <f ca="1">SUMIF(payNonMonth,"="&amp;$X35,$E$362:OFFSET($E$362,ROWS(payNonMonth)-1,0))</f>
        <v>0</v>
      </c>
      <c r="F35" s="76"/>
      <c r="G35" s="77">
        <f t="shared" ca="1" si="12"/>
        <v>0</v>
      </c>
      <c r="H35" s="76">
        <f t="shared" ca="1" si="13"/>
        <v>0</v>
      </c>
      <c r="I35" s="76">
        <f t="shared" ca="1" si="14"/>
        <v>0</v>
      </c>
      <c r="J35" s="233">
        <f t="shared" ca="1" si="5"/>
        <v>0</v>
      </c>
      <c r="K35" s="76">
        <f t="shared" si="6"/>
        <v>0</v>
      </c>
      <c r="L35" s="76">
        <f t="shared" ca="1" si="7"/>
        <v>0</v>
      </c>
      <c r="M35" s="76">
        <f t="shared" ca="1" si="15"/>
        <v>0</v>
      </c>
      <c r="N35" s="76">
        <f t="shared" ca="1" si="8"/>
        <v>0</v>
      </c>
      <c r="O35" s="76">
        <f t="shared" ca="1" si="9"/>
        <v>0</v>
      </c>
      <c r="P35" s="76"/>
      <c r="Q35" s="76">
        <f t="shared" ca="1" si="16"/>
        <v>0</v>
      </c>
      <c r="R35" s="76">
        <f t="shared" ca="1" si="31"/>
        <v>0</v>
      </c>
      <c r="S35" s="76">
        <f t="shared" ca="1" si="17"/>
        <v>0</v>
      </c>
      <c r="T35" s="232">
        <f t="shared" ca="1" si="10"/>
        <v>0</v>
      </c>
      <c r="V35" s="120" t="str">
        <f t="shared" si="18"/>
        <v>MAM:2</v>
      </c>
      <c r="W35" s="120" t="str">
        <f t="shared" si="19"/>
        <v>MAM:43676</v>
      </c>
      <c r="X35" s="120" t="str">
        <f t="shared" si="19"/>
        <v>MAM:43676</v>
      </c>
      <c r="Y35" s="250" t="str">
        <f t="array" ref="Y35:AJ35">VLOOKUP($D35&amp;":"&amp;$C35,tblPayRates,{3,4,5,6,7,8,9,10,11,12,13,14},0)</f>
        <v>MAM</v>
      </c>
      <c r="Z35" s="16" t="str">
        <v>DWS</v>
      </c>
      <c r="AA35" s="261" t="str">
        <v>M</v>
      </c>
      <c r="AB35" s="77" t="str">
        <v>Daily</v>
      </c>
      <c r="AC35" s="77">
        <v>950</v>
      </c>
      <c r="AD35" s="77">
        <v>950</v>
      </c>
      <c r="AE35" s="77">
        <v>900</v>
      </c>
      <c r="AF35" s="77">
        <v>0</v>
      </c>
      <c r="AG35" s="261" t="str">
        <v>N</v>
      </c>
      <c r="AH35" s="261">
        <v>1</v>
      </c>
      <c r="AI35" s="261">
        <v>1</v>
      </c>
      <c r="AJ35" s="262">
        <v>0</v>
      </c>
    </row>
    <row r="36" spans="1:36" hidden="1" outlineLevel="1" x14ac:dyDescent="0.25">
      <c r="A36" s="120">
        <f t="shared" si="11"/>
        <v>2</v>
      </c>
      <c r="B36" s="231">
        <v>43677</v>
      </c>
      <c r="C36" s="77" t="s">
        <v>57</v>
      </c>
      <c r="D36" s="238" t="s">
        <v>668</v>
      </c>
      <c r="E36" s="76">
        <f ca="1">SUMIF(payNonMonth,"="&amp;$X36,$E$362:OFFSET($E$362,ROWS(payNonMonth)-1,0))</f>
        <v>30</v>
      </c>
      <c r="F36" s="76"/>
      <c r="G36" s="77">
        <f t="shared" ca="1" si="12"/>
        <v>1</v>
      </c>
      <c r="H36" s="76">
        <f t="shared" ca="1" si="13"/>
        <v>15000</v>
      </c>
      <c r="I36" s="76">
        <f t="shared" ca="1" si="14"/>
        <v>750</v>
      </c>
      <c r="J36" s="233">
        <f t="shared" ca="1" si="5"/>
        <v>14700</v>
      </c>
      <c r="K36" s="76">
        <f t="shared" si="6"/>
        <v>0</v>
      </c>
      <c r="L36" s="76">
        <f t="shared" ca="1" si="7"/>
        <v>913.64</v>
      </c>
      <c r="M36" s="76">
        <f t="shared" ca="1" si="15"/>
        <v>1196.08</v>
      </c>
      <c r="N36" s="76">
        <f t="shared" ca="1" si="8"/>
        <v>0</v>
      </c>
      <c r="O36" s="76">
        <f t="shared" ca="1" si="9"/>
        <v>125.9</v>
      </c>
      <c r="P36" s="76"/>
      <c r="Q36" s="76">
        <f t="shared" ca="1" si="16"/>
        <v>12464.380000000001</v>
      </c>
      <c r="R36" s="76">
        <f t="shared" ca="1" si="31"/>
        <v>3822</v>
      </c>
      <c r="S36" s="76">
        <f t="shared" ca="1" si="17"/>
        <v>8642.380000000001</v>
      </c>
      <c r="T36" s="232">
        <f t="shared" ca="1" si="10"/>
        <v>1005</v>
      </c>
      <c r="V36" s="120" t="str">
        <f t="shared" si="18"/>
        <v>CRP:2</v>
      </c>
      <c r="W36" s="120" t="str">
        <f t="shared" si="19"/>
        <v>CRP:43677</v>
      </c>
      <c r="X36" s="120" t="str">
        <f t="shared" si="20"/>
        <v>CRP:2</v>
      </c>
      <c r="Y36" s="250" t="str">
        <f t="array" ref="Y36:AJ36">VLOOKUP($D36&amp;":"&amp;$C36,tblPayRates,{3,4,5,6,7,8,9,10,11,12,13,14},0)</f>
        <v>CRP</v>
      </c>
      <c r="Z36" s="16" t="str">
        <v>MTR</v>
      </c>
      <c r="AA36" s="261" t="str">
        <v>M</v>
      </c>
      <c r="AB36" s="77" t="str">
        <v>Daily</v>
      </c>
      <c r="AC36" s="77">
        <v>500</v>
      </c>
      <c r="AD36" s="77">
        <v>500</v>
      </c>
      <c r="AE36" s="77">
        <v>490</v>
      </c>
      <c r="AF36" s="77">
        <v>0</v>
      </c>
      <c r="AG36" s="261" t="str">
        <v>Q</v>
      </c>
      <c r="AH36" s="261">
        <v>1</v>
      </c>
      <c r="AI36" s="261">
        <v>1</v>
      </c>
      <c r="AJ36" s="262">
        <v>0</v>
      </c>
    </row>
    <row r="37" spans="1:36" hidden="1" outlineLevel="1" x14ac:dyDescent="0.25">
      <c r="A37" s="120">
        <f t="shared" si="11"/>
        <v>2</v>
      </c>
      <c r="B37" s="231">
        <v>43677</v>
      </c>
      <c r="C37" s="77" t="s">
        <v>58</v>
      </c>
      <c r="D37" s="238" t="s">
        <v>668</v>
      </c>
      <c r="E37" s="76">
        <f ca="1">SUMIF(payNonMonth,"="&amp;$X37,$E$362:OFFSET($E$362,ROWS(payNonMonth)-1,0))</f>
        <v>23.5</v>
      </c>
      <c r="F37" s="76"/>
      <c r="G37" s="77">
        <f t="shared" ca="1" si="12"/>
        <v>1</v>
      </c>
      <c r="H37" s="76">
        <f t="shared" ca="1" si="13"/>
        <v>11750</v>
      </c>
      <c r="I37" s="76">
        <f t="shared" ca="1" si="14"/>
        <v>587.5</v>
      </c>
      <c r="J37" s="233">
        <f t="shared" ca="1" si="5"/>
        <v>11515</v>
      </c>
      <c r="K37" s="76">
        <f t="shared" si="6"/>
        <v>0</v>
      </c>
      <c r="L37" s="76">
        <f t="shared" ca="1" si="7"/>
        <v>934.55</v>
      </c>
      <c r="M37" s="76">
        <f t="shared" ca="1" si="15"/>
        <v>917.94</v>
      </c>
      <c r="N37" s="76">
        <f t="shared" ca="1" si="8"/>
        <v>0</v>
      </c>
      <c r="O37" s="76">
        <f t="shared" ca="1" si="9"/>
        <v>96.63</v>
      </c>
      <c r="P37" s="76"/>
      <c r="Q37" s="76">
        <f t="shared" ca="1" si="16"/>
        <v>9565.880000000001</v>
      </c>
      <c r="R37" s="76">
        <f t="shared" ca="1" si="31"/>
        <v>2691</v>
      </c>
      <c r="S37" s="76">
        <f t="shared" ca="1" si="17"/>
        <v>6874.880000000001</v>
      </c>
      <c r="T37" s="232">
        <f t="shared" ca="1" si="10"/>
        <v>1028</v>
      </c>
      <c r="V37" s="120" t="str">
        <f t="shared" si="18"/>
        <v>SM:2</v>
      </c>
      <c r="W37" s="120" t="str">
        <f t="shared" si="19"/>
        <v>SM:43677</v>
      </c>
      <c r="X37" s="120" t="str">
        <f t="shared" si="20"/>
        <v>SM:2</v>
      </c>
      <c r="Y37" s="250" t="str">
        <f t="array" ref="Y37:AJ37">VLOOKUP($D37&amp;":"&amp;$C37,tblPayRates,{3,4,5,6,7,8,9,10,11,12,13,14},0)</f>
        <v>SM</v>
      </c>
      <c r="Z37" s="16" t="str">
        <v>MTR</v>
      </c>
      <c r="AA37" s="261" t="str">
        <v>M</v>
      </c>
      <c r="AB37" s="77" t="str">
        <v>Daily</v>
      </c>
      <c r="AC37" s="77">
        <v>500</v>
      </c>
      <c r="AD37" s="77">
        <v>500</v>
      </c>
      <c r="AE37" s="77">
        <v>490</v>
      </c>
      <c r="AF37" s="77">
        <v>0</v>
      </c>
      <c r="AG37" s="261" t="str">
        <v>Q</v>
      </c>
      <c r="AH37" s="261">
        <v>1</v>
      </c>
      <c r="AI37" s="261">
        <v>1</v>
      </c>
      <c r="AJ37" s="262">
        <v>0</v>
      </c>
    </row>
    <row r="38" spans="1:36" hidden="1" outlineLevel="1" x14ac:dyDescent="0.25">
      <c r="A38" s="120">
        <f t="shared" si="11"/>
        <v>2</v>
      </c>
      <c r="B38" s="231">
        <v>43677</v>
      </c>
      <c r="C38" s="77" t="s">
        <v>622</v>
      </c>
      <c r="D38" s="238" t="s">
        <v>499</v>
      </c>
      <c r="E38" s="76">
        <f ca="1">SUMIF(payNonMonth,"="&amp;$X38,$E$362:OFFSET($E$362,ROWS(payNonMonth)-1,0))</f>
        <v>19.5</v>
      </c>
      <c r="F38" s="76"/>
      <c r="G38" s="77">
        <f t="shared" ca="1" si="12"/>
        <v>1</v>
      </c>
      <c r="H38" s="76">
        <f t="shared" ca="1" si="13"/>
        <v>13650</v>
      </c>
      <c r="I38" s="76">
        <f t="shared" ca="1" si="14"/>
        <v>477.75000000000006</v>
      </c>
      <c r="J38" s="233">
        <f t="shared" ca="1" si="5"/>
        <v>12967.5</v>
      </c>
      <c r="K38" s="76">
        <f t="shared" si="6"/>
        <v>0</v>
      </c>
      <c r="L38" s="76">
        <f t="shared" ca="1" si="7"/>
        <v>162.63999999999999</v>
      </c>
      <c r="M38" s="76">
        <f t="shared" ca="1" si="15"/>
        <v>1110.92</v>
      </c>
      <c r="N38" s="76">
        <f t="shared" ca="1" si="8"/>
        <v>0</v>
      </c>
      <c r="O38" s="76">
        <f t="shared" ca="1" si="9"/>
        <v>116.94</v>
      </c>
      <c r="P38" s="76"/>
      <c r="Q38" s="76">
        <f t="shared" ca="1" si="16"/>
        <v>11577</v>
      </c>
      <c r="R38" s="76">
        <f t="shared" ca="1" si="31"/>
        <v>3475</v>
      </c>
      <c r="S38" s="76">
        <f t="shared" ca="1" si="17"/>
        <v>8102</v>
      </c>
      <c r="T38" s="232">
        <f t="shared" ca="1" si="10"/>
        <v>178.9</v>
      </c>
      <c r="V38" s="120" t="str">
        <f t="shared" si="18"/>
        <v>GEO:2</v>
      </c>
      <c r="W38" s="120" t="str">
        <f t="shared" si="19"/>
        <v>GEO:43677</v>
      </c>
      <c r="X38" s="120" t="str">
        <f t="shared" si="20"/>
        <v>GEO:2</v>
      </c>
      <c r="Y38" s="250" t="str">
        <f t="array" ref="Y38:AJ38">VLOOKUP($D38&amp;":"&amp;$C38,tblPayRates,{3,4,5,6,7,8,9,10,11,12,13,14},0)</f>
        <v>GEO</v>
      </c>
      <c r="Z38" s="16" t="str">
        <v>Magma</v>
      </c>
      <c r="AA38" s="261" t="str">
        <v>M</v>
      </c>
      <c r="AB38" s="77" t="str">
        <v>Daily</v>
      </c>
      <c r="AC38" s="77">
        <v>700</v>
      </c>
      <c r="AD38" s="77">
        <v>700</v>
      </c>
      <c r="AE38" s="77">
        <v>665</v>
      </c>
      <c r="AF38" s="77">
        <v>0</v>
      </c>
      <c r="AG38" s="261" t="str">
        <v>N</v>
      </c>
      <c r="AH38" s="261">
        <v>2</v>
      </c>
      <c r="AI38" s="261">
        <v>1</v>
      </c>
      <c r="AJ38" s="262">
        <v>0</v>
      </c>
    </row>
    <row r="39" spans="1:36" outlineLevel="1" x14ac:dyDescent="0.25">
      <c r="A39" s="120">
        <f t="shared" si="11"/>
        <v>2</v>
      </c>
      <c r="B39" s="231">
        <v>43677</v>
      </c>
      <c r="C39" s="77" t="s">
        <v>657</v>
      </c>
      <c r="D39" s="238" t="s">
        <v>674</v>
      </c>
      <c r="E39" s="76">
        <f ca="1">SUMIF(payNonMonth,"="&amp;$X39,$E$362:OFFSET($E$362,ROWS(payNonMonth)-1,0))</f>
        <v>25</v>
      </c>
      <c r="F39" s="76"/>
      <c r="G39" s="77">
        <f t="shared" ca="1" si="12"/>
        <v>1</v>
      </c>
      <c r="H39" s="76">
        <f t="shared" ca="1" si="13"/>
        <v>15575</v>
      </c>
      <c r="I39" s="76">
        <f t="shared" ca="1" si="14"/>
        <v>778.75</v>
      </c>
      <c r="J39" s="233">
        <f t="shared" ca="1" si="5"/>
        <v>13105.25</v>
      </c>
      <c r="K39" s="76">
        <f t="shared" si="6"/>
        <v>0</v>
      </c>
      <c r="L39" s="76">
        <f t="shared" ca="1" si="7"/>
        <v>114.64</v>
      </c>
      <c r="M39" s="76">
        <f t="shared" ca="1" si="15"/>
        <v>1127.04</v>
      </c>
      <c r="N39" s="76">
        <f t="shared" ca="1" si="8"/>
        <v>0</v>
      </c>
      <c r="O39" s="76"/>
      <c r="P39" s="76"/>
      <c r="Q39" s="76">
        <f t="shared" ca="1" si="16"/>
        <v>11863.57</v>
      </c>
      <c r="R39" s="76">
        <f t="shared" ca="1" si="31"/>
        <v>3588</v>
      </c>
      <c r="S39" s="76">
        <f t="shared" ca="1" si="17"/>
        <v>8275.57</v>
      </c>
      <c r="T39" s="232">
        <f t="shared" ca="1" si="10"/>
        <v>126.1</v>
      </c>
      <c r="V39" s="120" t="str">
        <f t="shared" si="18"/>
        <v>VAK:2</v>
      </c>
      <c r="W39" s="120" t="str">
        <f t="shared" si="19"/>
        <v>VAK:43677</v>
      </c>
      <c r="X39" s="120" t="str">
        <f t="shared" si="20"/>
        <v>VAK:2</v>
      </c>
      <c r="Y39" s="250" t="str">
        <f t="array" ref="Y39:AJ39">VLOOKUP($D39&amp;":"&amp;$C39,tblPayRates,{3,4,5,6,7,8,9,10,11,12,13,14},0)</f>
        <v>VAK</v>
      </c>
      <c r="Z39" s="16" t="str">
        <v>Paxus</v>
      </c>
      <c r="AA39" s="261" t="str">
        <v>M</v>
      </c>
      <c r="AB39" s="77" t="str">
        <v>Daily</v>
      </c>
      <c r="AC39" s="77">
        <v>623</v>
      </c>
      <c r="AD39" s="77">
        <v>623</v>
      </c>
      <c r="AE39" s="77">
        <v>524.21</v>
      </c>
      <c r="AF39" s="77">
        <v>0</v>
      </c>
      <c r="AG39" s="261" t="str">
        <v>Q</v>
      </c>
      <c r="AH39" s="261">
        <v>1</v>
      </c>
      <c r="AI39" s="261">
        <v>1</v>
      </c>
      <c r="AJ39" s="262">
        <v>0</v>
      </c>
    </row>
    <row r="40" spans="1:36" hidden="1" outlineLevel="1" x14ac:dyDescent="0.25">
      <c r="A40" s="120">
        <f t="shared" si="11"/>
        <v>2</v>
      </c>
      <c r="B40" s="231">
        <v>43677</v>
      </c>
      <c r="C40" s="77" t="s">
        <v>658</v>
      </c>
      <c r="D40" s="238" t="s">
        <v>673</v>
      </c>
      <c r="E40" s="76">
        <f ca="1">SUMIF(payNonMonth,"="&amp;$X40,$E$362:OFFSET($E$362,ROWS(payNonMonth)-1,0))</f>
        <v>20</v>
      </c>
      <c r="F40" s="76"/>
      <c r="G40" s="77">
        <f t="shared" ca="1" si="12"/>
        <v>1</v>
      </c>
      <c r="H40" s="76">
        <f t="shared" ca="1" si="13"/>
        <v>5340</v>
      </c>
      <c r="I40" s="76">
        <f t="shared" ca="1" si="14"/>
        <v>267</v>
      </c>
      <c r="J40" s="233">
        <f t="shared" ca="1" si="5"/>
        <v>6425.8</v>
      </c>
      <c r="K40" s="76">
        <f t="shared" si="6"/>
        <v>0</v>
      </c>
      <c r="L40" s="76">
        <f t="shared" ca="1" si="7"/>
        <v>56</v>
      </c>
      <c r="M40" s="76">
        <f t="shared" ca="1" si="15"/>
        <v>552.63</v>
      </c>
      <c r="N40" s="76">
        <f t="shared" ca="1" si="8"/>
        <v>0</v>
      </c>
      <c r="O40" s="76"/>
      <c r="P40" s="76"/>
      <c r="Q40" s="76">
        <f t="shared" ca="1" si="16"/>
        <v>5817.17</v>
      </c>
      <c r="R40" s="76">
        <f t="shared" ca="1" si="31"/>
        <v>1304</v>
      </c>
      <c r="S40" s="76">
        <f t="shared" ca="1" si="17"/>
        <v>4513.17</v>
      </c>
      <c r="T40" s="232">
        <f t="shared" ca="1" si="10"/>
        <v>61.6</v>
      </c>
      <c r="V40" s="120" t="str">
        <f t="shared" si="18"/>
        <v>ASW:2</v>
      </c>
      <c r="W40" s="120" t="str">
        <f t="shared" si="19"/>
        <v>ASW:43677</v>
      </c>
      <c r="X40" s="120" t="str">
        <f t="shared" si="20"/>
        <v>ASW:2</v>
      </c>
      <c r="Y40" s="250" t="str">
        <f t="array" ref="Y40:AJ40">VLOOKUP($D40&amp;":"&amp;$C40,tblPayRates,{3,4,5,6,7,8,9,10,11,12,13,14},0)</f>
        <v>ASW</v>
      </c>
      <c r="Z40" s="16" t="str">
        <v>Paxus</v>
      </c>
      <c r="AA40" s="261" t="str">
        <v>M</v>
      </c>
      <c r="AB40" s="77" t="str">
        <v>Daily</v>
      </c>
      <c r="AC40" s="77">
        <v>267</v>
      </c>
      <c r="AD40" s="77">
        <v>267</v>
      </c>
      <c r="AE40" s="77">
        <v>321.29000000000002</v>
      </c>
      <c r="AF40" s="77">
        <v>0</v>
      </c>
      <c r="AG40" s="261" t="str">
        <v>Q</v>
      </c>
      <c r="AH40" s="261">
        <v>1</v>
      </c>
      <c r="AI40" s="261">
        <v>1</v>
      </c>
      <c r="AJ40" s="262">
        <v>0</v>
      </c>
    </row>
    <row r="41" spans="1:36" hidden="1" outlineLevel="1" x14ac:dyDescent="0.25">
      <c r="A41" s="120">
        <f>GETPAYMONTH(B41)</f>
        <v>2</v>
      </c>
      <c r="B41" s="231">
        <v>43681</v>
      </c>
      <c r="C41" s="77" t="s">
        <v>669</v>
      </c>
      <c r="D41" s="238" t="s">
        <v>668</v>
      </c>
      <c r="E41" s="76">
        <f ca="1">SUMIF(payNonMonth,"="&amp;$X41,$E$362:OFFSET($E$362,ROWS(payNonMonth)-1,0))</f>
        <v>12.5</v>
      </c>
      <c r="F41" s="76"/>
      <c r="G41" s="77">
        <f ca="1">IF(AND($E41=0,$F41=0),0,1)</f>
        <v>1</v>
      </c>
      <c r="H41" s="76">
        <f ca="1">ROUND(SUM(E41:F41)*AC41,2)</f>
        <v>5625</v>
      </c>
      <c r="I41" s="76">
        <f ca="1">H41*OFFSET(payMgmtRate,0,$AH41)</f>
        <v>281.25</v>
      </c>
      <c r="J41" s="233">
        <f t="shared" ca="1" si="5"/>
        <v>5343.75</v>
      </c>
      <c r="K41" s="76">
        <f t="shared" si="6"/>
        <v>0</v>
      </c>
      <c r="L41" s="76">
        <f t="shared" ca="1" si="7"/>
        <v>608.17999999999995</v>
      </c>
      <c r="M41" s="76">
        <f ca="1">GETSUPER(J41-SUM(K41:L41))</f>
        <v>410.85</v>
      </c>
      <c r="N41" s="76">
        <f t="shared" ca="1" si="8"/>
        <v>0</v>
      </c>
      <c r="O41" s="76">
        <f ca="1">ROUND((J41-SUM(K41:N41))*InsureRate,2)</f>
        <v>43.25</v>
      </c>
      <c r="P41" s="76"/>
      <c r="Q41" s="76">
        <f ca="1">J41-SUM(K41:P41)</f>
        <v>4281.47</v>
      </c>
      <c r="R41" s="76">
        <f ca="1">GETTAX(Q41,AA41)</f>
        <v>1190</v>
      </c>
      <c r="S41" s="76">
        <f ca="1">Q41-R41</f>
        <v>3091.4700000000003</v>
      </c>
      <c r="T41" s="232">
        <f t="shared" ca="1" si="10"/>
        <v>669</v>
      </c>
      <c r="V41" s="120" t="str">
        <f>IF(EmpID="*","*",C41) &amp;":"&amp; $A41</f>
        <v>DP:2</v>
      </c>
      <c r="W41" s="120" t="str">
        <f>$C41 &amp;":"&amp; $B41</f>
        <v>DP:43681</v>
      </c>
      <c r="X41" s="120" t="str">
        <f>C41 &amp;":"&amp; $B41</f>
        <v>DP:43681</v>
      </c>
      <c r="Y41" s="250" t="str">
        <f t="array" ref="Y41:AJ41">VLOOKUP($D41&amp;":"&amp;$C41,tblPayRates,{3,4,5,6,7,8,9,10,11,12,13,14},0)</f>
        <v>DP</v>
      </c>
      <c r="Z41" s="16" t="str">
        <v>MTR</v>
      </c>
      <c r="AA41" s="261" t="str">
        <v>F</v>
      </c>
      <c r="AB41" s="77" t="str">
        <v>Daily</v>
      </c>
      <c r="AC41" s="77">
        <v>450</v>
      </c>
      <c r="AD41" s="77">
        <v>450</v>
      </c>
      <c r="AE41" s="77">
        <v>427.5</v>
      </c>
      <c r="AF41" s="77">
        <v>0</v>
      </c>
      <c r="AG41" s="261" t="str">
        <v>Q</v>
      </c>
      <c r="AH41" s="261">
        <v>1</v>
      </c>
      <c r="AI41" s="261">
        <v>1</v>
      </c>
      <c r="AJ41" s="262">
        <v>0</v>
      </c>
    </row>
    <row r="42" spans="1:36" hidden="1" outlineLevel="1" x14ac:dyDescent="0.25">
      <c r="A42" s="120">
        <f>GETPAYMONTH(B42)</f>
        <v>2</v>
      </c>
      <c r="B42" s="231">
        <v>43681</v>
      </c>
      <c r="C42" s="77" t="s">
        <v>678</v>
      </c>
      <c r="D42" s="238" t="s">
        <v>668</v>
      </c>
      <c r="E42" s="76">
        <f ca="1">SUMIF(payNonMonth,"="&amp;$X42,$E$362:OFFSET($E$362,ROWS(payNonMonth)-1,0))</f>
        <v>12.5</v>
      </c>
      <c r="F42" s="76"/>
      <c r="G42" s="77">
        <f ca="1">IF(AND($E42=0,$F42=0),0,1)</f>
        <v>1</v>
      </c>
      <c r="H42" s="76">
        <f ca="1">ROUND(SUM(E42:F42)*AC42,2)</f>
        <v>5625</v>
      </c>
      <c r="I42" s="76">
        <f ca="1">H42*OFFSET(payMgmtRate,0,$AH42)</f>
        <v>281.25</v>
      </c>
      <c r="J42" s="233">
        <f t="shared" ca="1" si="5"/>
        <v>5343.75</v>
      </c>
      <c r="K42" s="76">
        <f t="shared" si="6"/>
        <v>0</v>
      </c>
      <c r="L42" s="76">
        <f t="shared" ca="1" si="7"/>
        <v>618.17999999999995</v>
      </c>
      <c r="M42" s="76">
        <f ca="1">GETSUPER(J42-SUM(K42:L42))</f>
        <v>409.98</v>
      </c>
      <c r="N42" s="76">
        <f t="shared" ca="1" si="8"/>
        <v>0</v>
      </c>
      <c r="O42" s="76">
        <f t="shared" ca="1" si="9"/>
        <v>43.16</v>
      </c>
      <c r="P42" s="76"/>
      <c r="Q42" s="76">
        <f ca="1">J42-SUM(K42:P42)</f>
        <v>4272.43</v>
      </c>
      <c r="R42" s="76">
        <f ca="1">GETTAX(Q42,AA42)</f>
        <v>1188</v>
      </c>
      <c r="S42" s="76">
        <f ca="1">Q42-R42</f>
        <v>3084.4300000000003</v>
      </c>
      <c r="T42" s="232">
        <f t="shared" ca="1" si="10"/>
        <v>680</v>
      </c>
      <c r="V42" s="120" t="str">
        <f>IF(EmpID="*","*",C42) &amp;":"&amp; $A42</f>
        <v>ANK:2</v>
      </c>
      <c r="W42" s="120" t="str">
        <f>$C42 &amp;":"&amp; $B42</f>
        <v>ANK:43681</v>
      </c>
      <c r="X42" s="120" t="str">
        <f>$C42 &amp;":"&amp; $B42</f>
        <v>ANK:43681</v>
      </c>
      <c r="Y42" s="250" t="str">
        <f t="array" ref="Y42:AJ42">VLOOKUP($D42&amp;":"&amp;$C42,tblPayRates,{3,4,5,6,7,8,9,10,11,12,13,14},0)</f>
        <v>ANK</v>
      </c>
      <c r="Z42" s="16" t="str">
        <v>MTR</v>
      </c>
      <c r="AA42" s="261" t="str">
        <v>F</v>
      </c>
      <c r="AB42" s="77" t="str">
        <v>Daily</v>
      </c>
      <c r="AC42" s="77">
        <v>450</v>
      </c>
      <c r="AD42" s="77">
        <v>450</v>
      </c>
      <c r="AE42" s="77">
        <v>427.5</v>
      </c>
      <c r="AF42" s="77">
        <v>0</v>
      </c>
      <c r="AG42" s="261" t="str">
        <v>Q</v>
      </c>
      <c r="AH42" s="261">
        <v>1</v>
      </c>
      <c r="AI42" s="261">
        <v>1</v>
      </c>
      <c r="AJ42" s="262">
        <v>0</v>
      </c>
    </row>
    <row r="43" spans="1:36" hidden="1" outlineLevel="1" x14ac:dyDescent="0.25">
      <c r="A43" s="120">
        <f>GETPAYMONTH(B43)</f>
        <v>2</v>
      </c>
      <c r="B43" s="231">
        <v>43695</v>
      </c>
      <c r="C43" s="77" t="s">
        <v>669</v>
      </c>
      <c r="D43" s="238" t="s">
        <v>668</v>
      </c>
      <c r="E43" s="76">
        <f ca="1">SUMIF(payNonMonth,"="&amp;$X43,$E$362:OFFSET($E$362,ROWS(payNonMonth)-1,0))</f>
        <v>11</v>
      </c>
      <c r="F43" s="76"/>
      <c r="G43" s="77">
        <f ca="1">IF(AND($E43=0,$F43=0),0,1)</f>
        <v>1</v>
      </c>
      <c r="H43" s="76">
        <f ca="1">ROUND(SUM(E43:F43)*AC43,2)</f>
        <v>4950</v>
      </c>
      <c r="I43" s="76">
        <f ca="1">H43*OFFSET(payMgmtRate,0,$AH43)</f>
        <v>247.5</v>
      </c>
      <c r="J43" s="233">
        <f t="shared" ca="1" si="5"/>
        <v>4702.5</v>
      </c>
      <c r="K43" s="76">
        <f t="shared" si="6"/>
        <v>0</v>
      </c>
      <c r="L43" s="76">
        <f t="shared" ca="1" si="7"/>
        <v>0</v>
      </c>
      <c r="M43" s="76">
        <f ca="1">GETSUPER(J43-SUM(K43:L43))</f>
        <v>407.98</v>
      </c>
      <c r="N43" s="76">
        <f t="shared" ca="1" si="8"/>
        <v>0</v>
      </c>
      <c r="O43" s="76">
        <f t="shared" ca="1" si="9"/>
        <v>42.95</v>
      </c>
      <c r="P43" s="76"/>
      <c r="Q43" s="76">
        <f ca="1">J43-SUM(K43:P43)</f>
        <v>4251.57</v>
      </c>
      <c r="R43" s="76">
        <f ca="1">GETTAX(Q43,AA43)</f>
        <v>1178</v>
      </c>
      <c r="S43" s="76">
        <f ca="1">Q43-R43</f>
        <v>3073.5699999999997</v>
      </c>
      <c r="T43" s="232">
        <f t="shared" ca="1" si="10"/>
        <v>0</v>
      </c>
      <c r="V43" s="120" t="str">
        <f>IF(EmpID="*","*",C43) &amp;":"&amp; $A43</f>
        <v>DP:2</v>
      </c>
      <c r="W43" s="120" t="str">
        <f>$C43 &amp;":"&amp; $B43</f>
        <v>DP:43695</v>
      </c>
      <c r="X43" s="120" t="str">
        <f>C43 &amp;":"&amp; $B43</f>
        <v>DP:43695</v>
      </c>
      <c r="Y43" s="250" t="str">
        <f t="array" ref="Y43:AJ43">VLOOKUP($D43&amp;":"&amp;$C43,tblPayRates,{3,4,5,6,7,8,9,10,11,12,13,14},0)</f>
        <v>DP</v>
      </c>
      <c r="Z43" s="16" t="str">
        <v>MTR</v>
      </c>
      <c r="AA43" s="261" t="str">
        <v>F</v>
      </c>
      <c r="AB43" s="77" t="str">
        <v>Daily</v>
      </c>
      <c r="AC43" s="77">
        <v>450</v>
      </c>
      <c r="AD43" s="77">
        <v>450</v>
      </c>
      <c r="AE43" s="77">
        <v>427.5</v>
      </c>
      <c r="AF43" s="77">
        <v>0</v>
      </c>
      <c r="AG43" s="261" t="str">
        <v>Q</v>
      </c>
      <c r="AH43" s="261">
        <v>1</v>
      </c>
      <c r="AI43" s="261">
        <v>1</v>
      </c>
      <c r="AJ43" s="262">
        <v>0</v>
      </c>
    </row>
    <row r="44" spans="1:36" hidden="1" outlineLevel="1" x14ac:dyDescent="0.25">
      <c r="A44" s="120">
        <f>GETPAYMONTH(B44)</f>
        <v>2</v>
      </c>
      <c r="B44" s="231">
        <v>43695</v>
      </c>
      <c r="C44" s="77" t="s">
        <v>678</v>
      </c>
      <c r="D44" s="238" t="s">
        <v>668</v>
      </c>
      <c r="E44" s="76">
        <f ca="1">SUMIF(payNonMonth,"="&amp;$X44,$E$362:OFFSET($E$362,ROWS(payNonMonth)-1,0))</f>
        <v>11</v>
      </c>
      <c r="F44" s="76"/>
      <c r="G44" s="77">
        <f ca="1">IF(AND($E44=0,$F44=0),0,1)</f>
        <v>1</v>
      </c>
      <c r="H44" s="76">
        <f ca="1">ROUND(SUM(E44:F44)*AC44,2)</f>
        <v>4950</v>
      </c>
      <c r="I44" s="76">
        <f ca="1">H44*OFFSET(payMgmtRate,0,$AH44)</f>
        <v>247.5</v>
      </c>
      <c r="J44" s="233">
        <f t="shared" ca="1" si="5"/>
        <v>4702.5</v>
      </c>
      <c r="K44" s="76">
        <f t="shared" si="6"/>
        <v>0</v>
      </c>
      <c r="L44" s="76">
        <f t="shared" ca="1" si="7"/>
        <v>0</v>
      </c>
      <c r="M44" s="76">
        <f ca="1">GETSUPER(J44-SUM(K44:L44))</f>
        <v>407.98</v>
      </c>
      <c r="N44" s="76">
        <f t="shared" ca="1" si="8"/>
        <v>0</v>
      </c>
      <c r="O44" s="76">
        <f t="shared" ca="1" si="9"/>
        <v>42.95</v>
      </c>
      <c r="P44" s="76"/>
      <c r="Q44" s="76">
        <f ca="1">J44-SUM(K44:P44)</f>
        <v>4251.57</v>
      </c>
      <c r="R44" s="76">
        <f ca="1">GETTAX(Q44,AA44)</f>
        <v>1178</v>
      </c>
      <c r="S44" s="76">
        <f ca="1">Q44-R44</f>
        <v>3073.5699999999997</v>
      </c>
      <c r="T44" s="232">
        <f t="shared" ca="1" si="10"/>
        <v>0</v>
      </c>
      <c r="V44" s="120" t="str">
        <f>IF(EmpID="*","*",C44) &amp;":"&amp; $A44</f>
        <v>ANK:2</v>
      </c>
      <c r="W44" s="120" t="str">
        <f>$C44 &amp;":"&amp; $B44</f>
        <v>ANK:43695</v>
      </c>
      <c r="X44" s="120" t="str">
        <f>$C44 &amp;":"&amp; $B44</f>
        <v>ANK:43695</v>
      </c>
      <c r="Y44" s="250" t="str">
        <f t="array" ref="Y44:AJ44">VLOOKUP($D44&amp;":"&amp;$C44,tblPayRates,{3,4,5,6,7,8,9,10,11,12,13,14},0)</f>
        <v>ANK</v>
      </c>
      <c r="Z44" s="16" t="str">
        <v>MTR</v>
      </c>
      <c r="AA44" s="261" t="str">
        <v>F</v>
      </c>
      <c r="AB44" s="77" t="str">
        <v>Daily</v>
      </c>
      <c r="AC44" s="77">
        <v>450</v>
      </c>
      <c r="AD44" s="77">
        <v>450</v>
      </c>
      <c r="AE44" s="77">
        <v>427.5</v>
      </c>
      <c r="AF44" s="77">
        <v>0</v>
      </c>
      <c r="AG44" s="261" t="str">
        <v>Q</v>
      </c>
      <c r="AH44" s="261">
        <v>1</v>
      </c>
      <c r="AI44" s="261">
        <v>1</v>
      </c>
      <c r="AJ44" s="262">
        <v>0</v>
      </c>
    </row>
    <row r="45" spans="1:36" hidden="1" outlineLevel="1" x14ac:dyDescent="0.25">
      <c r="A45" s="120">
        <f t="shared" si="11"/>
        <v>3</v>
      </c>
      <c r="B45" s="231">
        <v>43709</v>
      </c>
      <c r="C45" s="77" t="s">
        <v>669</v>
      </c>
      <c r="D45" s="238" t="s">
        <v>668</v>
      </c>
      <c r="E45" s="76">
        <f ca="1">SUMIF(payNonMonth,"="&amp;$X45,$E$362:OFFSET($E$362,ROWS(payNonMonth)-1,0))</f>
        <v>13.5</v>
      </c>
      <c r="F45" s="76"/>
      <c r="G45" s="77">
        <f t="shared" ca="1" si="12"/>
        <v>1</v>
      </c>
      <c r="H45" s="76">
        <f t="shared" ca="1" si="13"/>
        <v>6075</v>
      </c>
      <c r="I45" s="76">
        <f t="shared" ca="1" si="14"/>
        <v>303.75</v>
      </c>
      <c r="J45" s="233">
        <f t="shared" ca="1" si="5"/>
        <v>5771.25</v>
      </c>
      <c r="K45" s="76">
        <f t="shared" si="6"/>
        <v>0</v>
      </c>
      <c r="L45" s="76">
        <f t="shared" ca="1" si="7"/>
        <v>522.73</v>
      </c>
      <c r="M45" s="76">
        <f t="shared" ca="1" si="15"/>
        <v>455.35</v>
      </c>
      <c r="N45" s="76">
        <f t="shared" ca="1" si="8"/>
        <v>0</v>
      </c>
      <c r="O45" s="76">
        <f t="shared" ca="1" si="9"/>
        <v>47.93</v>
      </c>
      <c r="P45" s="76"/>
      <c r="Q45" s="76">
        <f t="shared" ca="1" si="16"/>
        <v>4745.24</v>
      </c>
      <c r="R45" s="76">
        <f t="shared" ca="1" si="31"/>
        <v>1372</v>
      </c>
      <c r="S45" s="76">
        <f t="shared" ca="1" si="17"/>
        <v>3373.24</v>
      </c>
      <c r="T45" s="232">
        <f t="shared" ca="1" si="10"/>
        <v>575</v>
      </c>
      <c r="V45" s="120" t="str">
        <f t="shared" si="18"/>
        <v>DP:3</v>
      </c>
      <c r="W45" s="120" t="str">
        <f t="shared" si="19"/>
        <v>DP:43709</v>
      </c>
      <c r="X45" s="120" t="str">
        <f>C45 &amp;":"&amp; $B45</f>
        <v>DP:43709</v>
      </c>
      <c r="Y45" s="250" t="str">
        <f t="array" ref="Y45:AJ45">VLOOKUP($D45&amp;":"&amp;$C45,tblPayRates,{3,4,5,6,7,8,9,10,11,12,13,14},0)</f>
        <v>DP</v>
      </c>
      <c r="Z45" s="16" t="str">
        <v>MTR</v>
      </c>
      <c r="AA45" s="261" t="str">
        <v>F</v>
      </c>
      <c r="AB45" s="77" t="str">
        <v>Daily</v>
      </c>
      <c r="AC45" s="77">
        <v>450</v>
      </c>
      <c r="AD45" s="77">
        <v>450</v>
      </c>
      <c r="AE45" s="77">
        <v>427.5</v>
      </c>
      <c r="AF45" s="77">
        <v>0</v>
      </c>
      <c r="AG45" s="261" t="str">
        <v>Q</v>
      </c>
      <c r="AH45" s="261">
        <v>1</v>
      </c>
      <c r="AI45" s="261">
        <v>1</v>
      </c>
      <c r="AJ45" s="262">
        <v>0</v>
      </c>
    </row>
    <row r="46" spans="1:36" hidden="1" outlineLevel="1" x14ac:dyDescent="0.25">
      <c r="A46" s="120">
        <f t="shared" si="11"/>
        <v>3</v>
      </c>
      <c r="B46" s="231">
        <v>43709</v>
      </c>
      <c r="C46" s="77" t="s">
        <v>678</v>
      </c>
      <c r="D46" s="238" t="s">
        <v>668</v>
      </c>
      <c r="E46" s="76">
        <f ca="1">SUMIF(payNonMonth,"="&amp;$X46,$E$362:OFFSET($E$362,ROWS(payNonMonth)-1,0))</f>
        <v>13.5</v>
      </c>
      <c r="F46" s="76"/>
      <c r="G46" s="77">
        <f t="shared" ca="1" si="12"/>
        <v>1</v>
      </c>
      <c r="H46" s="76">
        <f t="shared" ca="1" si="13"/>
        <v>6075</v>
      </c>
      <c r="I46" s="76">
        <f t="shared" ca="1" si="14"/>
        <v>303.75</v>
      </c>
      <c r="J46" s="233">
        <f t="shared" ca="1" si="5"/>
        <v>5771.25</v>
      </c>
      <c r="K46" s="76">
        <f t="shared" si="6"/>
        <v>0</v>
      </c>
      <c r="L46" s="76">
        <f t="shared" ca="1" si="7"/>
        <v>500.91</v>
      </c>
      <c r="M46" s="76">
        <f t="shared" ca="1" si="15"/>
        <v>457.24</v>
      </c>
      <c r="N46" s="76">
        <f t="shared" ca="1" si="8"/>
        <v>0</v>
      </c>
      <c r="O46" s="76">
        <f t="shared" ca="1" si="9"/>
        <v>48.13</v>
      </c>
      <c r="P46" s="76"/>
      <c r="Q46" s="76">
        <f t="shared" ca="1" si="16"/>
        <v>4764.97</v>
      </c>
      <c r="R46" s="76">
        <f t="shared" ca="1" si="31"/>
        <v>1380</v>
      </c>
      <c r="S46" s="76">
        <f t="shared" ca="1" si="17"/>
        <v>3384.9700000000003</v>
      </c>
      <c r="T46" s="232">
        <f t="shared" ca="1" si="10"/>
        <v>551</v>
      </c>
      <c r="V46" s="120" t="str">
        <f t="shared" si="18"/>
        <v>ANK:3</v>
      </c>
      <c r="W46" s="120" t="str">
        <f t="shared" si="19"/>
        <v>ANK:43709</v>
      </c>
      <c r="X46" s="120" t="str">
        <f t="shared" si="19"/>
        <v>ANK:43709</v>
      </c>
      <c r="Y46" s="250" t="str">
        <f t="array" ref="Y46:AJ46">VLOOKUP($D46&amp;":"&amp;$C46,tblPayRates,{3,4,5,6,7,8,9,10,11,12,13,14},0)</f>
        <v>ANK</v>
      </c>
      <c r="Z46" s="16" t="str">
        <v>MTR</v>
      </c>
      <c r="AA46" s="261" t="str">
        <v>F</v>
      </c>
      <c r="AB46" s="77" t="str">
        <v>Daily</v>
      </c>
      <c r="AC46" s="77">
        <v>450</v>
      </c>
      <c r="AD46" s="77">
        <v>450</v>
      </c>
      <c r="AE46" s="77">
        <v>427.5</v>
      </c>
      <c r="AF46" s="77">
        <v>0</v>
      </c>
      <c r="AG46" s="261" t="str">
        <v>Q</v>
      </c>
      <c r="AH46" s="261">
        <v>1</v>
      </c>
      <c r="AI46" s="261">
        <v>1</v>
      </c>
      <c r="AJ46" s="262">
        <v>0</v>
      </c>
    </row>
    <row r="47" spans="1:36" hidden="1" outlineLevel="1" x14ac:dyDescent="0.25">
      <c r="A47" s="120">
        <f t="shared" si="11"/>
        <v>0</v>
      </c>
      <c r="B47" s="231"/>
      <c r="C47" s="77"/>
      <c r="D47" s="238"/>
      <c r="E47" s="76">
        <f ca="1">SUMIF(payNonMonth,"="&amp;$X47,$E$362:OFFSET($E$362,ROWS(payNonMonth)-1,0))</f>
        <v>0</v>
      </c>
      <c r="F47" s="76"/>
      <c r="G47" s="77">
        <f t="shared" ca="1" si="12"/>
        <v>0</v>
      </c>
      <c r="H47" s="76">
        <f t="shared" ca="1" si="13"/>
        <v>0</v>
      </c>
      <c r="I47" s="76">
        <f t="shared" ca="1" si="14"/>
        <v>0</v>
      </c>
      <c r="J47" s="233">
        <f t="shared" ca="1" si="5"/>
        <v>0</v>
      </c>
      <c r="K47" s="76">
        <f t="shared" si="6"/>
        <v>0</v>
      </c>
      <c r="L47" s="76">
        <f t="shared" ca="1" si="7"/>
        <v>0</v>
      </c>
      <c r="M47" s="76">
        <f t="shared" ca="1" si="15"/>
        <v>0</v>
      </c>
      <c r="N47" s="76">
        <f t="shared" ca="1" si="8"/>
        <v>0</v>
      </c>
      <c r="O47" s="76">
        <f t="shared" ca="1" si="9"/>
        <v>0</v>
      </c>
      <c r="P47" s="76"/>
      <c r="Q47" s="76">
        <f t="shared" ca="1" si="16"/>
        <v>0</v>
      </c>
      <c r="R47" s="76">
        <f t="shared" ca="1" si="31"/>
        <v>0</v>
      </c>
      <c r="S47" s="76">
        <f t="shared" ca="1" si="17"/>
        <v>0</v>
      </c>
      <c r="T47" s="232">
        <f t="shared" ca="1" si="10"/>
        <v>0</v>
      </c>
      <c r="V47" s="120" t="str">
        <f t="shared" si="18"/>
        <v>:0</v>
      </c>
      <c r="W47" s="120" t="str">
        <f t="shared" si="19"/>
        <v>:</v>
      </c>
      <c r="X47" s="120" t="str">
        <f>C47 &amp;":"&amp; A47</f>
        <v>:0</v>
      </c>
      <c r="Y47" s="250">
        <f t="array" aca="1" ref="Y47:AJ47" ca="1">VLOOKUP($D47&amp;":"&amp;$C47,tblPayRates,{3,4,5,6,7,8,9,10,11,12,13,14},0)</f>
        <v>0</v>
      </c>
      <c r="Z47" s="16" t="str">
        <f ca="1"/>
        <v>Nobody</v>
      </c>
      <c r="AA47" s="261" t="str">
        <f ca="1"/>
        <v>M</v>
      </c>
      <c r="AB47" s="77" t="str">
        <f ca="1"/>
        <v>Daily</v>
      </c>
      <c r="AC47" s="77">
        <f ca="1"/>
        <v>0</v>
      </c>
      <c r="AD47" s="77">
        <f ca="1"/>
        <v>0</v>
      </c>
      <c r="AE47" s="77">
        <f ca="1"/>
        <v>0</v>
      </c>
      <c r="AF47" s="77">
        <f ca="1"/>
        <v>0</v>
      </c>
      <c r="AG47" s="261" t="str">
        <f ca="1"/>
        <v>N</v>
      </c>
      <c r="AH47" s="261">
        <f ca="1"/>
        <v>1</v>
      </c>
      <c r="AI47" s="261">
        <f ca="1"/>
        <v>1</v>
      </c>
      <c r="AJ47" s="262">
        <f ca="1"/>
        <v>0</v>
      </c>
    </row>
    <row r="48" spans="1:36" hidden="1" outlineLevel="1" x14ac:dyDescent="0.25">
      <c r="A48" s="120">
        <f t="shared" si="11"/>
        <v>0</v>
      </c>
      <c r="B48" s="231"/>
      <c r="C48" s="77"/>
      <c r="D48" s="238"/>
      <c r="E48" s="76">
        <f ca="1">SUMIF(payNonMonth,"="&amp;$X48,$E$362:OFFSET($E$362,ROWS(payNonMonth)-1,0))</f>
        <v>0</v>
      </c>
      <c r="F48" s="76"/>
      <c r="G48" s="77">
        <f t="shared" ca="1" si="12"/>
        <v>0</v>
      </c>
      <c r="H48" s="76">
        <f t="shared" ca="1" si="13"/>
        <v>0</v>
      </c>
      <c r="I48" s="76">
        <f t="shared" ca="1" si="14"/>
        <v>0</v>
      </c>
      <c r="J48" s="233">
        <f t="shared" ca="1" si="5"/>
        <v>0</v>
      </c>
      <c r="K48" s="76">
        <f t="shared" si="6"/>
        <v>0</v>
      </c>
      <c r="L48" s="76">
        <f t="shared" ca="1" si="7"/>
        <v>0</v>
      </c>
      <c r="M48" s="76">
        <f t="shared" ca="1" si="15"/>
        <v>0</v>
      </c>
      <c r="N48" s="76">
        <f t="shared" ca="1" si="8"/>
        <v>0</v>
      </c>
      <c r="O48" s="76">
        <f t="shared" ca="1" si="9"/>
        <v>0</v>
      </c>
      <c r="P48" s="76"/>
      <c r="Q48" s="76">
        <f t="shared" ca="1" si="16"/>
        <v>0</v>
      </c>
      <c r="R48" s="76">
        <f t="shared" ca="1" si="31"/>
        <v>0</v>
      </c>
      <c r="S48" s="76">
        <f t="shared" ca="1" si="17"/>
        <v>0</v>
      </c>
      <c r="T48" s="232">
        <f t="shared" ca="1" si="10"/>
        <v>0</v>
      </c>
      <c r="V48" s="120" t="str">
        <f t="shared" si="18"/>
        <v>:0</v>
      </c>
      <c r="W48" s="120" t="str">
        <f t="shared" si="19"/>
        <v>:</v>
      </c>
      <c r="X48" s="120" t="str">
        <f t="shared" ref="X48:X90" si="41">C48 &amp;":"&amp; A48</f>
        <v>:0</v>
      </c>
      <c r="Y48" s="250">
        <f t="array" aca="1" ref="Y48:AJ48" ca="1">VLOOKUP($D48&amp;":"&amp;$C48,tblPayRates,{3,4,5,6,7,8,9,10,11,12,13,14},0)</f>
        <v>0</v>
      </c>
      <c r="Z48" s="16" t="str">
        <f ca="1"/>
        <v>Nobody</v>
      </c>
      <c r="AA48" s="261" t="str">
        <f ca="1"/>
        <v>M</v>
      </c>
      <c r="AB48" s="77" t="str">
        <f ca="1"/>
        <v>Daily</v>
      </c>
      <c r="AC48" s="77">
        <f ca="1"/>
        <v>0</v>
      </c>
      <c r="AD48" s="77">
        <f ca="1"/>
        <v>0</v>
      </c>
      <c r="AE48" s="77">
        <f ca="1"/>
        <v>0</v>
      </c>
      <c r="AF48" s="77">
        <f ca="1"/>
        <v>0</v>
      </c>
      <c r="AG48" s="261" t="str">
        <f ca="1"/>
        <v>N</v>
      </c>
      <c r="AH48" s="261">
        <f ca="1"/>
        <v>1</v>
      </c>
      <c r="AI48" s="261">
        <f ca="1"/>
        <v>1</v>
      </c>
      <c r="AJ48" s="262">
        <f ca="1"/>
        <v>0</v>
      </c>
    </row>
    <row r="49" spans="1:36" hidden="1" outlineLevel="1" x14ac:dyDescent="0.25">
      <c r="A49" s="120">
        <f t="shared" si="11"/>
        <v>0</v>
      </c>
      <c r="B49" s="231"/>
      <c r="C49" s="77"/>
      <c r="D49" s="238"/>
      <c r="E49" s="76">
        <f ca="1">SUMIF(payNonMonth,"="&amp;$X49,$E$362:OFFSET($E$362,ROWS(payNonMonth)-1,0))</f>
        <v>0</v>
      </c>
      <c r="F49" s="336"/>
      <c r="G49" s="77">
        <f t="shared" ca="1" si="12"/>
        <v>0</v>
      </c>
      <c r="H49" s="76">
        <f t="shared" ca="1" si="13"/>
        <v>0</v>
      </c>
      <c r="I49" s="76">
        <f t="shared" ca="1" si="14"/>
        <v>0</v>
      </c>
      <c r="J49" s="233">
        <f t="shared" ca="1" si="5"/>
        <v>0</v>
      </c>
      <c r="K49" s="76">
        <f t="shared" si="6"/>
        <v>0</v>
      </c>
      <c r="L49" s="76">
        <f t="shared" ca="1" si="7"/>
        <v>0</v>
      </c>
      <c r="M49" s="76">
        <f t="shared" ca="1" si="15"/>
        <v>0</v>
      </c>
      <c r="N49" s="76">
        <f t="shared" ca="1" si="8"/>
        <v>0</v>
      </c>
      <c r="O49" s="76">
        <f t="shared" ca="1" si="9"/>
        <v>0</v>
      </c>
      <c r="P49" s="76"/>
      <c r="Q49" s="76">
        <f t="shared" ca="1" si="16"/>
        <v>0</v>
      </c>
      <c r="R49" s="76">
        <f t="shared" ca="1" si="31"/>
        <v>0</v>
      </c>
      <c r="S49" s="76">
        <f t="shared" ca="1" si="17"/>
        <v>0</v>
      </c>
      <c r="T49" s="232">
        <f t="shared" ca="1" si="10"/>
        <v>0</v>
      </c>
      <c r="V49" s="120" t="str">
        <f>IF(EmpID="*","*",C49) &amp;":"&amp; $A49</f>
        <v>:0</v>
      </c>
      <c r="W49" s="120" t="str">
        <f t="shared" si="19"/>
        <v>:</v>
      </c>
      <c r="X49" s="120" t="str">
        <f t="shared" ref="X49:X54" si="42">C49 &amp;":"&amp; B49</f>
        <v>:</v>
      </c>
      <c r="Y49" s="250">
        <f t="array" aca="1" ref="Y49:AJ49" ca="1">VLOOKUP($D49&amp;":"&amp;$C49,tblPayRates,{3,4,5,6,7,8,9,10,11,12,13,14},0)</f>
        <v>0</v>
      </c>
      <c r="Z49" s="16" t="str">
        <f ca="1"/>
        <v>Nobody</v>
      </c>
      <c r="AA49" s="261" t="str">
        <f ca="1"/>
        <v>M</v>
      </c>
      <c r="AB49" s="77" t="str">
        <f ca="1"/>
        <v>Daily</v>
      </c>
      <c r="AC49" s="77">
        <f ca="1"/>
        <v>0</v>
      </c>
      <c r="AD49" s="77">
        <f ca="1"/>
        <v>0</v>
      </c>
      <c r="AE49" s="77">
        <f ca="1"/>
        <v>0</v>
      </c>
      <c r="AF49" s="77">
        <f ca="1"/>
        <v>0</v>
      </c>
      <c r="AG49" s="261" t="str">
        <f ca="1"/>
        <v>N</v>
      </c>
      <c r="AH49" s="261">
        <f ca="1"/>
        <v>1</v>
      </c>
      <c r="AI49" s="261">
        <f ca="1"/>
        <v>1</v>
      </c>
      <c r="AJ49" s="262">
        <f ca="1"/>
        <v>0</v>
      </c>
    </row>
    <row r="50" spans="1:36" hidden="1" outlineLevel="1" x14ac:dyDescent="0.25">
      <c r="A50" s="120">
        <f t="shared" si="11"/>
        <v>0</v>
      </c>
      <c r="B50" s="231"/>
      <c r="C50" s="77"/>
      <c r="D50" s="238"/>
      <c r="E50" s="76">
        <f ca="1">SUMIF(payNonMonth,"="&amp;$X50,$E$362:OFFSET($E$362,ROWS(payNonMonth)-1,0))</f>
        <v>0</v>
      </c>
      <c r="F50" s="76"/>
      <c r="G50" s="77">
        <f t="shared" ca="1" si="12"/>
        <v>0</v>
      </c>
      <c r="H50" s="76">
        <f t="shared" ca="1" si="13"/>
        <v>0</v>
      </c>
      <c r="I50" s="76">
        <f t="shared" ca="1" si="14"/>
        <v>0</v>
      </c>
      <c r="J50" s="233">
        <f t="shared" ca="1" si="5"/>
        <v>0</v>
      </c>
      <c r="K50" s="76">
        <f t="shared" si="6"/>
        <v>0</v>
      </c>
      <c r="L50" s="76">
        <f t="shared" ca="1" si="7"/>
        <v>0</v>
      </c>
      <c r="M50" s="76">
        <f t="shared" ca="1" si="15"/>
        <v>0</v>
      </c>
      <c r="N50" s="76">
        <f t="shared" ca="1" si="8"/>
        <v>0</v>
      </c>
      <c r="O50" s="76">
        <f t="shared" ca="1" si="9"/>
        <v>0</v>
      </c>
      <c r="P50" s="76"/>
      <c r="Q50" s="76">
        <f t="shared" ca="1" si="16"/>
        <v>0</v>
      </c>
      <c r="R50" s="76">
        <f t="shared" ca="1" si="31"/>
        <v>0</v>
      </c>
      <c r="S50" s="76">
        <f t="shared" ca="1" si="17"/>
        <v>0</v>
      </c>
      <c r="T50" s="232">
        <f t="shared" ca="1" si="10"/>
        <v>0</v>
      </c>
      <c r="V50" s="120" t="str">
        <f t="shared" si="18"/>
        <v>:0</v>
      </c>
      <c r="W50" s="120" t="str">
        <f t="shared" si="19"/>
        <v>:</v>
      </c>
      <c r="X50" s="120" t="str">
        <f t="shared" si="42"/>
        <v>:</v>
      </c>
      <c r="Y50" s="250">
        <f t="array" aca="1" ref="Y50:AJ50" ca="1">VLOOKUP($D50&amp;":"&amp;$C50,tblPayRates,{3,4,5,6,7,8,9,10,11,12,13,14},0)</f>
        <v>0</v>
      </c>
      <c r="Z50" s="16" t="str">
        <f ca="1"/>
        <v>Nobody</v>
      </c>
      <c r="AA50" s="261" t="str">
        <f ca="1"/>
        <v>M</v>
      </c>
      <c r="AB50" s="77" t="str">
        <f ca="1"/>
        <v>Daily</v>
      </c>
      <c r="AC50" s="77">
        <f ca="1"/>
        <v>0</v>
      </c>
      <c r="AD50" s="77">
        <f ca="1"/>
        <v>0</v>
      </c>
      <c r="AE50" s="77">
        <f ca="1"/>
        <v>0</v>
      </c>
      <c r="AF50" s="77">
        <f ca="1"/>
        <v>0</v>
      </c>
      <c r="AG50" s="261" t="str">
        <f ca="1"/>
        <v>N</v>
      </c>
      <c r="AH50" s="261">
        <f ca="1"/>
        <v>1</v>
      </c>
      <c r="AI50" s="261">
        <f ca="1"/>
        <v>1</v>
      </c>
      <c r="AJ50" s="262">
        <f ca="1"/>
        <v>0</v>
      </c>
    </row>
    <row r="51" spans="1:36" hidden="1" outlineLevel="1" x14ac:dyDescent="0.25">
      <c r="A51" s="120">
        <f t="shared" si="11"/>
        <v>0</v>
      </c>
      <c r="B51" s="231"/>
      <c r="C51" s="77"/>
      <c r="D51" s="238"/>
      <c r="E51" s="76">
        <f ca="1">SUMIF(payNonMonth,"="&amp;$X51,$E$362:OFFSET($E$362,ROWS(payNonMonth)-1,0))</f>
        <v>0</v>
      </c>
      <c r="F51" s="336"/>
      <c r="G51" s="77">
        <f t="shared" ca="1" si="12"/>
        <v>0</v>
      </c>
      <c r="H51" s="76">
        <f t="shared" ca="1" si="13"/>
        <v>0</v>
      </c>
      <c r="I51" s="76">
        <f t="shared" ca="1" si="14"/>
        <v>0</v>
      </c>
      <c r="J51" s="233">
        <f t="shared" ca="1" si="5"/>
        <v>0</v>
      </c>
      <c r="K51" s="76">
        <f t="shared" si="6"/>
        <v>0</v>
      </c>
      <c r="L51" s="76">
        <f t="shared" ca="1" si="7"/>
        <v>0</v>
      </c>
      <c r="M51" s="76">
        <f t="shared" ca="1" si="15"/>
        <v>0</v>
      </c>
      <c r="N51" s="76">
        <f t="shared" ca="1" si="8"/>
        <v>0</v>
      </c>
      <c r="O51" s="76">
        <f t="shared" ca="1" si="9"/>
        <v>0</v>
      </c>
      <c r="P51" s="76"/>
      <c r="Q51" s="76">
        <f t="shared" ca="1" si="16"/>
        <v>0</v>
      </c>
      <c r="R51" s="76">
        <f t="shared" ca="1" si="31"/>
        <v>0</v>
      </c>
      <c r="S51" s="76">
        <f t="shared" ca="1" si="17"/>
        <v>0</v>
      </c>
      <c r="T51" s="232">
        <f t="shared" ca="1" si="10"/>
        <v>0</v>
      </c>
      <c r="V51" s="120" t="str">
        <f>IF(EmpID="*","*",C51) &amp;":"&amp; $A51</f>
        <v>:0</v>
      </c>
      <c r="W51" s="120" t="str">
        <f t="shared" si="19"/>
        <v>:</v>
      </c>
      <c r="X51" s="120" t="str">
        <f t="shared" si="42"/>
        <v>:</v>
      </c>
      <c r="Y51" s="250">
        <f t="array" aca="1" ref="Y51:AJ51" ca="1">VLOOKUP($D51&amp;":"&amp;$C51,tblPayRates,{3,4,5,6,7,8,9,10,11,12,13,14},0)</f>
        <v>0</v>
      </c>
      <c r="Z51" s="16" t="str">
        <f ca="1"/>
        <v>Nobody</v>
      </c>
      <c r="AA51" s="261" t="str">
        <f ca="1"/>
        <v>M</v>
      </c>
      <c r="AB51" s="77" t="str">
        <f ca="1"/>
        <v>Daily</v>
      </c>
      <c r="AC51" s="77">
        <f ca="1"/>
        <v>0</v>
      </c>
      <c r="AD51" s="77">
        <f ca="1"/>
        <v>0</v>
      </c>
      <c r="AE51" s="77">
        <f ca="1"/>
        <v>0</v>
      </c>
      <c r="AF51" s="77">
        <f ca="1"/>
        <v>0</v>
      </c>
      <c r="AG51" s="261" t="str">
        <f ca="1"/>
        <v>N</v>
      </c>
      <c r="AH51" s="261">
        <f ca="1"/>
        <v>1</v>
      </c>
      <c r="AI51" s="261">
        <f ca="1"/>
        <v>1</v>
      </c>
      <c r="AJ51" s="262">
        <f ca="1"/>
        <v>0</v>
      </c>
    </row>
    <row r="52" spans="1:36" hidden="1" outlineLevel="1" x14ac:dyDescent="0.25">
      <c r="A52" s="120">
        <f t="shared" si="11"/>
        <v>0</v>
      </c>
      <c r="B52" s="231"/>
      <c r="C52" s="77"/>
      <c r="D52" s="238"/>
      <c r="E52" s="76">
        <f ca="1">SUMIF(payNonMonth,"="&amp;$X52,$E$362:OFFSET($E$362,ROWS(payNonMonth)-1,0))</f>
        <v>0</v>
      </c>
      <c r="F52" s="76"/>
      <c r="G52" s="77">
        <f t="shared" ca="1" si="12"/>
        <v>0</v>
      </c>
      <c r="H52" s="76">
        <f t="shared" ca="1" si="13"/>
        <v>0</v>
      </c>
      <c r="I52" s="76">
        <f t="shared" ca="1" si="14"/>
        <v>0</v>
      </c>
      <c r="J52" s="233">
        <f t="shared" ca="1" si="5"/>
        <v>0</v>
      </c>
      <c r="K52" s="76">
        <f t="shared" si="6"/>
        <v>0</v>
      </c>
      <c r="L52" s="76">
        <f t="shared" ca="1" si="7"/>
        <v>0</v>
      </c>
      <c r="M52" s="76">
        <f t="shared" ca="1" si="15"/>
        <v>0</v>
      </c>
      <c r="N52" s="76">
        <f t="shared" ca="1" si="8"/>
        <v>0</v>
      </c>
      <c r="O52" s="76">
        <f t="shared" ca="1" si="9"/>
        <v>0</v>
      </c>
      <c r="P52" s="76"/>
      <c r="Q52" s="76">
        <f t="shared" ca="1" si="16"/>
        <v>0</v>
      </c>
      <c r="R52" s="76">
        <f t="shared" ca="1" si="31"/>
        <v>0</v>
      </c>
      <c r="S52" s="76">
        <f t="shared" ca="1" si="17"/>
        <v>0</v>
      </c>
      <c r="T52" s="232">
        <f t="shared" ca="1" si="10"/>
        <v>0</v>
      </c>
      <c r="V52" s="120" t="str">
        <f t="shared" si="18"/>
        <v>:0</v>
      </c>
      <c r="W52" s="120" t="str">
        <f t="shared" si="19"/>
        <v>:</v>
      </c>
      <c r="X52" s="120" t="str">
        <f t="shared" si="42"/>
        <v>:</v>
      </c>
      <c r="Y52" s="250">
        <f t="array" aca="1" ref="Y52:AJ52" ca="1">VLOOKUP($D52&amp;":"&amp;$C52,tblPayRates,{3,4,5,6,7,8,9,10,11,12,13,14},0)</f>
        <v>0</v>
      </c>
      <c r="Z52" s="16" t="str">
        <f ca="1"/>
        <v>Nobody</v>
      </c>
      <c r="AA52" s="261" t="str">
        <f ca="1"/>
        <v>M</v>
      </c>
      <c r="AB52" s="77" t="str">
        <f ca="1"/>
        <v>Daily</v>
      </c>
      <c r="AC52" s="77">
        <f ca="1"/>
        <v>0</v>
      </c>
      <c r="AD52" s="77">
        <f ca="1"/>
        <v>0</v>
      </c>
      <c r="AE52" s="77">
        <f ca="1"/>
        <v>0</v>
      </c>
      <c r="AF52" s="77">
        <f ca="1"/>
        <v>0</v>
      </c>
      <c r="AG52" s="261" t="str">
        <f ca="1"/>
        <v>N</v>
      </c>
      <c r="AH52" s="261">
        <f ca="1"/>
        <v>1</v>
      </c>
      <c r="AI52" s="261">
        <f ca="1"/>
        <v>1</v>
      </c>
      <c r="AJ52" s="262">
        <f ca="1"/>
        <v>0</v>
      </c>
    </row>
    <row r="53" spans="1:36" hidden="1" outlineLevel="1" x14ac:dyDescent="0.25">
      <c r="A53" s="120">
        <f t="shared" si="11"/>
        <v>0</v>
      </c>
      <c r="B53" s="231"/>
      <c r="C53" s="77"/>
      <c r="D53" s="238"/>
      <c r="E53" s="76">
        <f ca="1">SUMIF(payNonMonth,"="&amp;$X53,$E$362:OFFSET($E$362,ROWS(payNonMonth)-1,0))</f>
        <v>0</v>
      </c>
      <c r="F53" s="76"/>
      <c r="G53" s="77">
        <f t="shared" ca="1" si="12"/>
        <v>0</v>
      </c>
      <c r="H53" s="76">
        <f t="shared" ca="1" si="13"/>
        <v>0</v>
      </c>
      <c r="I53" s="76">
        <f t="shared" ca="1" si="14"/>
        <v>0</v>
      </c>
      <c r="J53" s="233">
        <f t="shared" ca="1" si="5"/>
        <v>0</v>
      </c>
      <c r="K53" s="76">
        <f t="shared" si="6"/>
        <v>0</v>
      </c>
      <c r="L53" s="76">
        <f t="shared" ca="1" si="7"/>
        <v>0</v>
      </c>
      <c r="M53" s="76">
        <f t="shared" ca="1" si="15"/>
        <v>0</v>
      </c>
      <c r="N53" s="76">
        <f t="shared" ca="1" si="8"/>
        <v>0</v>
      </c>
      <c r="O53" s="76">
        <f t="shared" ca="1" si="9"/>
        <v>0</v>
      </c>
      <c r="P53" s="76"/>
      <c r="Q53" s="76">
        <f t="shared" ca="1" si="16"/>
        <v>0</v>
      </c>
      <c r="R53" s="76">
        <f t="shared" ca="1" si="31"/>
        <v>0</v>
      </c>
      <c r="S53" s="76">
        <f t="shared" ca="1" si="17"/>
        <v>0</v>
      </c>
      <c r="T53" s="232">
        <f t="shared" ca="1" si="10"/>
        <v>0</v>
      </c>
      <c r="V53" s="120" t="str">
        <f t="shared" si="18"/>
        <v>:0</v>
      </c>
      <c r="W53" s="120" t="str">
        <f t="shared" si="19"/>
        <v>:</v>
      </c>
      <c r="X53" s="120" t="str">
        <f t="shared" si="42"/>
        <v>:</v>
      </c>
      <c r="Y53" s="250">
        <f t="array" aca="1" ref="Y53:AJ53" ca="1">VLOOKUP($D53&amp;":"&amp;$C53,tblPayRates,{3,4,5,6,7,8,9,10,11,12,13,14},0)</f>
        <v>0</v>
      </c>
      <c r="Z53" s="16" t="str">
        <f ca="1"/>
        <v>Nobody</v>
      </c>
      <c r="AA53" s="261" t="str">
        <f ca="1"/>
        <v>M</v>
      </c>
      <c r="AB53" s="77" t="str">
        <f ca="1"/>
        <v>Daily</v>
      </c>
      <c r="AC53" s="77">
        <f ca="1"/>
        <v>0</v>
      </c>
      <c r="AD53" s="77">
        <f ca="1"/>
        <v>0</v>
      </c>
      <c r="AE53" s="77">
        <f ca="1"/>
        <v>0</v>
      </c>
      <c r="AF53" s="77">
        <f ca="1"/>
        <v>0</v>
      </c>
      <c r="AG53" s="261" t="str">
        <f ca="1"/>
        <v>N</v>
      </c>
      <c r="AH53" s="261">
        <f ca="1"/>
        <v>1</v>
      </c>
      <c r="AI53" s="261">
        <f ca="1"/>
        <v>1</v>
      </c>
      <c r="AJ53" s="262">
        <f ca="1"/>
        <v>0</v>
      </c>
    </row>
    <row r="54" spans="1:36" hidden="1" outlineLevel="1" x14ac:dyDescent="0.25">
      <c r="A54" s="120">
        <f t="shared" si="11"/>
        <v>0</v>
      </c>
      <c r="B54" s="231"/>
      <c r="C54" s="77"/>
      <c r="D54" s="238"/>
      <c r="E54" s="76">
        <f ca="1">SUMIF(payNonMonth,"="&amp;$X54,$E$362:OFFSET($E$362,ROWS(payNonMonth)-1,0))</f>
        <v>0</v>
      </c>
      <c r="F54" s="76"/>
      <c r="G54" s="77">
        <f t="shared" ca="1" si="12"/>
        <v>0</v>
      </c>
      <c r="H54" s="76">
        <f t="shared" ca="1" si="13"/>
        <v>0</v>
      </c>
      <c r="I54" s="76">
        <f t="shared" ca="1" si="14"/>
        <v>0</v>
      </c>
      <c r="J54" s="233">
        <f t="shared" ca="1" si="5"/>
        <v>0</v>
      </c>
      <c r="K54" s="76">
        <f t="shared" si="6"/>
        <v>0</v>
      </c>
      <c r="L54" s="76">
        <f t="shared" ca="1" si="7"/>
        <v>0</v>
      </c>
      <c r="M54" s="76">
        <f t="shared" ca="1" si="15"/>
        <v>0</v>
      </c>
      <c r="N54" s="76">
        <f t="shared" ca="1" si="8"/>
        <v>0</v>
      </c>
      <c r="O54" s="76">
        <f t="shared" ca="1" si="9"/>
        <v>0</v>
      </c>
      <c r="P54" s="76"/>
      <c r="Q54" s="76">
        <f t="shared" ca="1" si="16"/>
        <v>0</v>
      </c>
      <c r="R54" s="76">
        <f t="shared" ca="1" si="31"/>
        <v>0</v>
      </c>
      <c r="S54" s="76">
        <f t="shared" ca="1" si="17"/>
        <v>0</v>
      </c>
      <c r="T54" s="232">
        <f t="shared" ca="1" si="10"/>
        <v>0</v>
      </c>
      <c r="V54" s="120" t="str">
        <f t="shared" si="18"/>
        <v>:0</v>
      </c>
      <c r="W54" s="120" t="str">
        <f t="shared" si="19"/>
        <v>:</v>
      </c>
      <c r="X54" s="120" t="str">
        <f t="shared" si="42"/>
        <v>:</v>
      </c>
      <c r="Y54" s="250">
        <f t="array" aca="1" ref="Y54:AJ54" ca="1">VLOOKUP($D54&amp;":"&amp;$C54,tblPayRates,{3,4,5,6,7,8,9,10,11,12,13,14},0)</f>
        <v>0</v>
      </c>
      <c r="Z54" s="16" t="str">
        <f ca="1"/>
        <v>Nobody</v>
      </c>
      <c r="AA54" s="261" t="str">
        <f ca="1"/>
        <v>M</v>
      </c>
      <c r="AB54" s="77" t="str">
        <f ca="1"/>
        <v>Daily</v>
      </c>
      <c r="AC54" s="77">
        <f ca="1"/>
        <v>0</v>
      </c>
      <c r="AD54" s="77">
        <f ca="1"/>
        <v>0</v>
      </c>
      <c r="AE54" s="77">
        <f ca="1"/>
        <v>0</v>
      </c>
      <c r="AF54" s="77">
        <f ca="1"/>
        <v>0</v>
      </c>
      <c r="AG54" s="261" t="str">
        <f ca="1"/>
        <v>N</v>
      </c>
      <c r="AH54" s="261">
        <f ca="1"/>
        <v>1</v>
      </c>
      <c r="AI54" s="261">
        <f ca="1"/>
        <v>1</v>
      </c>
      <c r="AJ54" s="262">
        <f ca="1"/>
        <v>0</v>
      </c>
    </row>
    <row r="55" spans="1:36" hidden="1" outlineLevel="1" x14ac:dyDescent="0.25">
      <c r="A55" s="120">
        <f>GETPAYMONTH(B55)</f>
        <v>0</v>
      </c>
      <c r="B55" s="231"/>
      <c r="C55" s="77"/>
      <c r="D55" s="238"/>
      <c r="E55" s="76">
        <f ca="1">SUMIF(payNonMonth,"="&amp;$X55,$E$362:OFFSET($E$362,ROWS(payNonMonth)-1,0))</f>
        <v>0</v>
      </c>
      <c r="F55" s="76"/>
      <c r="G55" s="77">
        <f ca="1">IF(AND($E55=0,$F55=0),0,1)</f>
        <v>0</v>
      </c>
      <c r="H55" s="76">
        <f ca="1">ROUND(SUM(E55:F55)*AC55,2)</f>
        <v>0</v>
      </c>
      <c r="I55" s="76">
        <f ca="1">H55*OFFSET(payMgmtRate,0,$AH55)</f>
        <v>0</v>
      </c>
      <c r="J55" s="233">
        <f t="shared" ref="J55:J86" ca="1" si="43">ROUND(IF(AI55,$E55,1)*AE55+$F55*AF55+SUMIF(payAllow,$W55,$J$269:$J$359),2)</f>
        <v>0</v>
      </c>
      <c r="K55" s="76">
        <f t="shared" ref="K55:K86" si="44">SUMIF(payAllow,$W55,K$269:K$359)+SUMIF(payAllow,$W55,O$269:O$359)</f>
        <v>0</v>
      </c>
      <c r="L55" s="76">
        <f t="shared" ca="1" si="7"/>
        <v>0</v>
      </c>
      <c r="M55" s="76">
        <f ca="1">GETSUPER(J55-SUM(K55:L55))</f>
        <v>0</v>
      </c>
      <c r="N55" s="76">
        <f t="shared" ref="N55:N86" ca="1" si="45">SUMIF(payAllow,$W55,N$269:N$359)*G55</f>
        <v>0</v>
      </c>
      <c r="O55" s="76">
        <f ca="1">ROUND((J55-SUM(K55:N55))*InsureRate,2)</f>
        <v>0</v>
      </c>
      <c r="P55" s="76"/>
      <c r="Q55" s="76">
        <f ca="1">J55-SUM(K55:P55)</f>
        <v>0</v>
      </c>
      <c r="R55" s="76">
        <f ca="1">GETTAX(Q55,AA55)</f>
        <v>0</v>
      </c>
      <c r="S55" s="76">
        <f ca="1">Q55-R55</f>
        <v>0</v>
      </c>
      <c r="T55" s="232">
        <f t="shared" ref="T55:T86" ca="1" si="46">SUMIF(payAllow,W55,T$269:T$359)*G55</f>
        <v>0</v>
      </c>
      <c r="V55" s="120" t="str">
        <f>IF(EmpID="*","*",C55) &amp;":"&amp; $A55</f>
        <v>:0</v>
      </c>
      <c r="W55" s="120" t="str">
        <f>$C55 &amp;":"&amp; $B55</f>
        <v>:</v>
      </c>
      <c r="X55" s="120" t="str">
        <f>C55 &amp;":"&amp; A55</f>
        <v>:0</v>
      </c>
      <c r="Y55" s="250">
        <f t="array" aca="1" ref="Y55:AJ55" ca="1">VLOOKUP($D55&amp;":"&amp;$C55,tblPayRates,{3,4,5,6,7,8,9,10,11,12,13,14},0)</f>
        <v>0</v>
      </c>
      <c r="Z55" s="16" t="str">
        <f ca="1"/>
        <v>Nobody</v>
      </c>
      <c r="AA55" s="261" t="str">
        <f ca="1"/>
        <v>M</v>
      </c>
      <c r="AB55" s="77" t="str">
        <f ca="1"/>
        <v>Daily</v>
      </c>
      <c r="AC55" s="77">
        <f ca="1"/>
        <v>0</v>
      </c>
      <c r="AD55" s="77">
        <f ca="1"/>
        <v>0</v>
      </c>
      <c r="AE55" s="77">
        <f ca="1"/>
        <v>0</v>
      </c>
      <c r="AF55" s="77">
        <f ca="1"/>
        <v>0</v>
      </c>
      <c r="AG55" s="261" t="str">
        <f ca="1"/>
        <v>N</v>
      </c>
      <c r="AH55" s="261">
        <f ca="1"/>
        <v>1</v>
      </c>
      <c r="AI55" s="261">
        <f ca="1"/>
        <v>1</v>
      </c>
      <c r="AJ55" s="262">
        <f ca="1"/>
        <v>0</v>
      </c>
    </row>
    <row r="56" spans="1:36" hidden="1" outlineLevel="1" x14ac:dyDescent="0.25">
      <c r="A56" s="120">
        <f t="shared" si="11"/>
        <v>0</v>
      </c>
      <c r="B56" s="231"/>
      <c r="C56" s="77"/>
      <c r="D56" s="238"/>
      <c r="E56" s="76">
        <f ca="1">SUMIF(payNonMonth,"="&amp;$X56,$E$362:OFFSET($E$362,ROWS(payNonMonth)-1,0))</f>
        <v>0</v>
      </c>
      <c r="F56" s="76"/>
      <c r="G56" s="77">
        <f t="shared" ca="1" si="12"/>
        <v>0</v>
      </c>
      <c r="H56" s="76">
        <f t="shared" ca="1" si="13"/>
        <v>0</v>
      </c>
      <c r="I56" s="76">
        <f t="shared" ca="1" si="14"/>
        <v>0</v>
      </c>
      <c r="J56" s="233">
        <f t="shared" ca="1" si="43"/>
        <v>0</v>
      </c>
      <c r="K56" s="76">
        <f t="shared" si="44"/>
        <v>0</v>
      </c>
      <c r="L56" s="76">
        <f t="shared" ca="1" si="7"/>
        <v>0</v>
      </c>
      <c r="M56" s="76">
        <f t="shared" ca="1" si="15"/>
        <v>0</v>
      </c>
      <c r="N56" s="76">
        <f t="shared" ca="1" si="45"/>
        <v>0</v>
      </c>
      <c r="O56" s="76">
        <f t="shared" ca="1" si="9"/>
        <v>0</v>
      </c>
      <c r="P56" s="76"/>
      <c r="Q56" s="76">
        <f t="shared" ca="1" si="16"/>
        <v>0</v>
      </c>
      <c r="R56" s="76">
        <f t="shared" ca="1" si="31"/>
        <v>0</v>
      </c>
      <c r="S56" s="76">
        <f t="shared" ca="1" si="17"/>
        <v>0</v>
      </c>
      <c r="T56" s="232">
        <f t="shared" ca="1" si="46"/>
        <v>0</v>
      </c>
      <c r="V56" s="120" t="str">
        <f t="shared" si="18"/>
        <v>:0</v>
      </c>
      <c r="W56" s="120" t="str">
        <f t="shared" si="19"/>
        <v>:</v>
      </c>
      <c r="X56" s="120" t="str">
        <f t="shared" si="41"/>
        <v>:0</v>
      </c>
      <c r="Y56" s="250">
        <f t="array" aca="1" ref="Y56:AJ56" ca="1">VLOOKUP($D56&amp;":"&amp;$C56,tblPayRates,{3,4,5,6,7,8,9,10,11,12,13,14},0)</f>
        <v>0</v>
      </c>
      <c r="Z56" s="16" t="str">
        <f ca="1"/>
        <v>Nobody</v>
      </c>
      <c r="AA56" s="261" t="str">
        <f ca="1"/>
        <v>M</v>
      </c>
      <c r="AB56" s="77" t="str">
        <f ca="1"/>
        <v>Daily</v>
      </c>
      <c r="AC56" s="77">
        <f ca="1"/>
        <v>0</v>
      </c>
      <c r="AD56" s="77">
        <f ca="1"/>
        <v>0</v>
      </c>
      <c r="AE56" s="77">
        <f ca="1"/>
        <v>0</v>
      </c>
      <c r="AF56" s="77">
        <f ca="1"/>
        <v>0</v>
      </c>
      <c r="AG56" s="261" t="str">
        <f ca="1"/>
        <v>N</v>
      </c>
      <c r="AH56" s="261">
        <f ca="1"/>
        <v>1</v>
      </c>
      <c r="AI56" s="261">
        <f ca="1"/>
        <v>1</v>
      </c>
      <c r="AJ56" s="262">
        <f ca="1"/>
        <v>0</v>
      </c>
    </row>
    <row r="57" spans="1:36" hidden="1" outlineLevel="1" x14ac:dyDescent="0.25">
      <c r="A57" s="120">
        <f t="shared" si="11"/>
        <v>0</v>
      </c>
      <c r="B57" s="231"/>
      <c r="C57" s="77"/>
      <c r="D57" s="238"/>
      <c r="E57" s="76">
        <f ca="1">SUMIF(payNonMonth,"="&amp;$X57,$E$362:OFFSET($E$362,ROWS(payNonMonth)-1,0))</f>
        <v>0</v>
      </c>
      <c r="F57" s="76"/>
      <c r="G57" s="77">
        <f t="shared" ca="1" si="12"/>
        <v>0</v>
      </c>
      <c r="H57" s="76">
        <f t="shared" ca="1" si="13"/>
        <v>0</v>
      </c>
      <c r="I57" s="76">
        <f t="shared" ca="1" si="14"/>
        <v>0</v>
      </c>
      <c r="J57" s="233">
        <f t="shared" ca="1" si="43"/>
        <v>0</v>
      </c>
      <c r="K57" s="76">
        <f t="shared" si="44"/>
        <v>0</v>
      </c>
      <c r="L57" s="76">
        <f t="shared" ref="L57:L93" ca="1" si="47">SUMIF(payAllow,$W57,L$269:L$359)*$G57</f>
        <v>0</v>
      </c>
      <c r="M57" s="76">
        <f t="shared" ca="1" si="15"/>
        <v>0</v>
      </c>
      <c r="N57" s="76">
        <f t="shared" ca="1" si="45"/>
        <v>0</v>
      </c>
      <c r="O57" s="76">
        <f t="shared" ca="1" si="9"/>
        <v>0</v>
      </c>
      <c r="P57" s="76"/>
      <c r="Q57" s="76">
        <f t="shared" ca="1" si="16"/>
        <v>0</v>
      </c>
      <c r="R57" s="76">
        <f t="shared" ca="1" si="31"/>
        <v>0</v>
      </c>
      <c r="S57" s="76">
        <f t="shared" ca="1" si="17"/>
        <v>0</v>
      </c>
      <c r="T57" s="232">
        <f t="shared" ca="1" si="46"/>
        <v>0</v>
      </c>
      <c r="V57" s="120" t="str">
        <f t="shared" si="18"/>
        <v>:0</v>
      </c>
      <c r="W57" s="120" t="str">
        <f t="shared" si="19"/>
        <v>:</v>
      </c>
      <c r="X57" s="120" t="str">
        <f t="shared" si="41"/>
        <v>:0</v>
      </c>
      <c r="Y57" s="250">
        <f t="array" aca="1" ref="Y57:AJ57" ca="1">VLOOKUP($D57&amp;":"&amp;$C57,tblPayRates,{3,4,5,6,7,8,9,10,11,12,13,14},0)</f>
        <v>0</v>
      </c>
      <c r="Z57" s="16" t="str">
        <f ca="1"/>
        <v>Nobody</v>
      </c>
      <c r="AA57" s="261" t="str">
        <f ca="1"/>
        <v>M</v>
      </c>
      <c r="AB57" s="77" t="str">
        <f ca="1"/>
        <v>Daily</v>
      </c>
      <c r="AC57" s="77">
        <f ca="1"/>
        <v>0</v>
      </c>
      <c r="AD57" s="77">
        <f ca="1"/>
        <v>0</v>
      </c>
      <c r="AE57" s="77">
        <f ca="1"/>
        <v>0</v>
      </c>
      <c r="AF57" s="77">
        <f ca="1"/>
        <v>0</v>
      </c>
      <c r="AG57" s="261" t="str">
        <f ca="1"/>
        <v>N</v>
      </c>
      <c r="AH57" s="261">
        <f ca="1"/>
        <v>1</v>
      </c>
      <c r="AI57" s="261">
        <f ca="1"/>
        <v>1</v>
      </c>
      <c r="AJ57" s="262">
        <f ca="1"/>
        <v>0</v>
      </c>
    </row>
    <row r="58" spans="1:36" hidden="1" outlineLevel="1" x14ac:dyDescent="0.25">
      <c r="A58" s="120">
        <f t="shared" si="11"/>
        <v>0</v>
      </c>
      <c r="B58" s="231"/>
      <c r="C58" s="77"/>
      <c r="D58" s="238"/>
      <c r="E58" s="76">
        <f ca="1">SUMIF(payNonMonth,"="&amp;$X58,$E$362:OFFSET($E$362,ROWS(payNonMonth)-1,0))</f>
        <v>0</v>
      </c>
      <c r="F58" s="76"/>
      <c r="G58" s="77">
        <f t="shared" ca="1" si="12"/>
        <v>0</v>
      </c>
      <c r="H58" s="76">
        <f t="shared" ca="1" si="13"/>
        <v>0</v>
      </c>
      <c r="I58" s="76">
        <f t="shared" ca="1" si="14"/>
        <v>0</v>
      </c>
      <c r="J58" s="233">
        <f t="shared" ca="1" si="43"/>
        <v>0</v>
      </c>
      <c r="K58" s="76">
        <f t="shared" si="44"/>
        <v>0</v>
      </c>
      <c r="L58" s="76">
        <f t="shared" ca="1" si="47"/>
        <v>0</v>
      </c>
      <c r="M58" s="76">
        <f t="shared" ca="1" si="15"/>
        <v>0</v>
      </c>
      <c r="N58" s="76">
        <f t="shared" ca="1" si="45"/>
        <v>0</v>
      </c>
      <c r="O58" s="76">
        <f t="shared" ca="1" si="9"/>
        <v>0</v>
      </c>
      <c r="P58" s="76"/>
      <c r="Q58" s="76">
        <f t="shared" ca="1" si="16"/>
        <v>0</v>
      </c>
      <c r="R58" s="76">
        <f t="shared" ca="1" si="31"/>
        <v>0</v>
      </c>
      <c r="S58" s="76">
        <f t="shared" ca="1" si="17"/>
        <v>0</v>
      </c>
      <c r="T58" s="232">
        <f t="shared" ca="1" si="46"/>
        <v>0</v>
      </c>
      <c r="V58" s="120" t="str">
        <f t="shared" si="18"/>
        <v>:0</v>
      </c>
      <c r="W58" s="120" t="str">
        <f t="shared" si="19"/>
        <v>:</v>
      </c>
      <c r="X58" s="120" t="str">
        <f t="shared" si="41"/>
        <v>:0</v>
      </c>
      <c r="Y58" s="250">
        <f t="array" aca="1" ref="Y58:AJ58" ca="1">VLOOKUP($D58&amp;":"&amp;$C58,tblPayRates,{3,4,5,6,7,8,9,10,11,12,13,14},0)</f>
        <v>0</v>
      </c>
      <c r="Z58" s="16" t="str">
        <f ca="1"/>
        <v>Nobody</v>
      </c>
      <c r="AA58" s="261" t="str">
        <f ca="1"/>
        <v>M</v>
      </c>
      <c r="AB58" s="77" t="str">
        <f ca="1"/>
        <v>Daily</v>
      </c>
      <c r="AC58" s="77">
        <f ca="1"/>
        <v>0</v>
      </c>
      <c r="AD58" s="77">
        <f ca="1"/>
        <v>0</v>
      </c>
      <c r="AE58" s="77">
        <f ca="1"/>
        <v>0</v>
      </c>
      <c r="AF58" s="77">
        <f ca="1"/>
        <v>0</v>
      </c>
      <c r="AG58" s="261" t="str">
        <f ca="1"/>
        <v>N</v>
      </c>
      <c r="AH58" s="261">
        <f ca="1"/>
        <v>1</v>
      </c>
      <c r="AI58" s="261">
        <f ca="1"/>
        <v>1</v>
      </c>
      <c r="AJ58" s="262">
        <f ca="1"/>
        <v>0</v>
      </c>
    </row>
    <row r="59" spans="1:36" hidden="1" outlineLevel="1" x14ac:dyDescent="0.25">
      <c r="A59" s="120">
        <f t="shared" ref="A59:A92" si="48">GETPAYMONTH(B59)</f>
        <v>0</v>
      </c>
      <c r="B59" s="231"/>
      <c r="C59" s="77"/>
      <c r="D59" s="238"/>
      <c r="E59" s="76">
        <f ca="1">SUMIF(payNonMonth,"="&amp;$X59,$E$362:OFFSET($E$362,ROWS(payNonMonth)-1,0))</f>
        <v>0</v>
      </c>
      <c r="F59" s="76"/>
      <c r="G59" s="77">
        <f t="shared" ref="G59:G92" ca="1" si="49">IF(AND($E59=0,$F59=0),0,1)</f>
        <v>0</v>
      </c>
      <c r="H59" s="76">
        <f t="shared" ref="H59:H92" ca="1" si="50">ROUND(SUM(E59:F59)*AC59,2)</f>
        <v>0</v>
      </c>
      <c r="I59" s="76">
        <f t="shared" ref="I59:I92" ca="1" si="51">H59*OFFSET(payMgmtRate,0,$AH59)</f>
        <v>0</v>
      </c>
      <c r="J59" s="233">
        <f t="shared" ca="1" si="43"/>
        <v>0</v>
      </c>
      <c r="K59" s="76">
        <f t="shared" si="44"/>
        <v>0</v>
      </c>
      <c r="L59" s="76">
        <f t="shared" ca="1" si="47"/>
        <v>0</v>
      </c>
      <c r="M59" s="76">
        <f t="shared" ref="M59:M92" ca="1" si="52">GETSUPER(J59-SUM(K59:L59))</f>
        <v>0</v>
      </c>
      <c r="N59" s="76">
        <f t="shared" ca="1" si="45"/>
        <v>0</v>
      </c>
      <c r="O59" s="76"/>
      <c r="P59" s="76"/>
      <c r="Q59" s="76">
        <f t="shared" ref="Q59:Q92" ca="1" si="53">J59-SUM(K59:P59)</f>
        <v>0</v>
      </c>
      <c r="R59" s="76">
        <f t="shared" ca="1" si="31"/>
        <v>0</v>
      </c>
      <c r="S59" s="76">
        <f t="shared" ref="S59:S92" ca="1" si="54">Q59-R59</f>
        <v>0</v>
      </c>
      <c r="T59" s="232">
        <f t="shared" ca="1" si="46"/>
        <v>0</v>
      </c>
      <c r="V59" s="120" t="str">
        <f t="shared" ref="V59:V92" si="55">IF(EmpID="*","*",C59) &amp;":"&amp; $A59</f>
        <v>:0</v>
      </c>
      <c r="W59" s="120" t="str">
        <f t="shared" ref="W59:W92" si="56">$C59 &amp;":"&amp; $B59</f>
        <v>:</v>
      </c>
      <c r="X59" s="120" t="str">
        <f t="shared" si="41"/>
        <v>:0</v>
      </c>
      <c r="Y59" s="250">
        <f t="array" aca="1" ref="Y59:AJ59" ca="1">VLOOKUP($D59&amp;":"&amp;$C59,tblPayRates,{3,4,5,6,7,8,9,10,11,12,13,14},0)</f>
        <v>0</v>
      </c>
      <c r="Z59" s="16" t="str">
        <f ca="1"/>
        <v>Nobody</v>
      </c>
      <c r="AA59" s="261" t="str">
        <f ca="1"/>
        <v>M</v>
      </c>
      <c r="AB59" s="77" t="str">
        <f ca="1"/>
        <v>Daily</v>
      </c>
      <c r="AC59" s="77">
        <f ca="1"/>
        <v>0</v>
      </c>
      <c r="AD59" s="77">
        <f ca="1"/>
        <v>0</v>
      </c>
      <c r="AE59" s="77">
        <f ca="1"/>
        <v>0</v>
      </c>
      <c r="AF59" s="77">
        <f ca="1"/>
        <v>0</v>
      </c>
      <c r="AG59" s="261" t="str">
        <f ca="1"/>
        <v>N</v>
      </c>
      <c r="AH59" s="261">
        <f ca="1"/>
        <v>1</v>
      </c>
      <c r="AI59" s="261">
        <f ca="1"/>
        <v>1</v>
      </c>
      <c r="AJ59" s="262">
        <f ca="1"/>
        <v>0</v>
      </c>
    </row>
    <row r="60" spans="1:36" hidden="1" outlineLevel="1" x14ac:dyDescent="0.25">
      <c r="A60" s="120">
        <f t="shared" si="48"/>
        <v>0</v>
      </c>
      <c r="B60" s="231"/>
      <c r="C60" s="77"/>
      <c r="D60" s="238"/>
      <c r="E60" s="76">
        <f ca="1">SUMIF(payNonMonth,"="&amp;$X60,$E$362:OFFSET($E$362,ROWS(payNonMonth)-1,0))</f>
        <v>0</v>
      </c>
      <c r="F60" s="76"/>
      <c r="G60" s="77">
        <f t="shared" ca="1" si="49"/>
        <v>0</v>
      </c>
      <c r="H60" s="76">
        <f t="shared" ca="1" si="50"/>
        <v>0</v>
      </c>
      <c r="I60" s="76">
        <f t="shared" ca="1" si="51"/>
        <v>0</v>
      </c>
      <c r="J60" s="233">
        <f t="shared" ca="1" si="43"/>
        <v>0</v>
      </c>
      <c r="K60" s="76">
        <f t="shared" si="44"/>
        <v>0</v>
      </c>
      <c r="L60" s="76">
        <f t="shared" ca="1" si="47"/>
        <v>0</v>
      </c>
      <c r="M60" s="76">
        <f t="shared" ca="1" si="52"/>
        <v>0</v>
      </c>
      <c r="N60" s="76">
        <f t="shared" ca="1" si="45"/>
        <v>0</v>
      </c>
      <c r="O60" s="76"/>
      <c r="P60" s="76"/>
      <c r="Q60" s="76">
        <f t="shared" ca="1" si="53"/>
        <v>0</v>
      </c>
      <c r="R60" s="76">
        <f t="shared" ca="1" si="31"/>
        <v>0</v>
      </c>
      <c r="S60" s="76">
        <f t="shared" ca="1" si="54"/>
        <v>0</v>
      </c>
      <c r="T60" s="232">
        <f t="shared" ca="1" si="46"/>
        <v>0</v>
      </c>
      <c r="V60" s="120" t="str">
        <f t="shared" si="55"/>
        <v>:0</v>
      </c>
      <c r="W60" s="120" t="str">
        <f t="shared" si="56"/>
        <v>:</v>
      </c>
      <c r="X60" s="120" t="str">
        <f t="shared" si="41"/>
        <v>:0</v>
      </c>
      <c r="Y60" s="250">
        <f t="array" aca="1" ref="Y60:AJ60" ca="1">VLOOKUP($D60&amp;":"&amp;$C60,tblPayRates,{3,4,5,6,7,8,9,10,11,12,13,14},0)</f>
        <v>0</v>
      </c>
      <c r="Z60" s="16" t="str">
        <f ca="1"/>
        <v>Nobody</v>
      </c>
      <c r="AA60" s="261" t="str">
        <f ca="1"/>
        <v>M</v>
      </c>
      <c r="AB60" s="77" t="str">
        <f ca="1"/>
        <v>Daily</v>
      </c>
      <c r="AC60" s="77">
        <f ca="1"/>
        <v>0</v>
      </c>
      <c r="AD60" s="77">
        <f ca="1"/>
        <v>0</v>
      </c>
      <c r="AE60" s="77">
        <f ca="1"/>
        <v>0</v>
      </c>
      <c r="AF60" s="77">
        <f ca="1"/>
        <v>0</v>
      </c>
      <c r="AG60" s="261" t="str">
        <f ca="1"/>
        <v>N</v>
      </c>
      <c r="AH60" s="261">
        <f ca="1"/>
        <v>1</v>
      </c>
      <c r="AI60" s="261">
        <f ca="1"/>
        <v>1</v>
      </c>
      <c r="AJ60" s="262">
        <f ca="1"/>
        <v>0</v>
      </c>
    </row>
    <row r="61" spans="1:36" hidden="1" outlineLevel="1" x14ac:dyDescent="0.25">
      <c r="A61" s="120">
        <f t="shared" si="48"/>
        <v>0</v>
      </c>
      <c r="B61" s="231"/>
      <c r="C61" s="77"/>
      <c r="D61" s="238"/>
      <c r="E61" s="76">
        <f ca="1">SUMIF(payNonMonth,"="&amp;$X61,$E$362:OFFSET($E$362,ROWS(payNonMonth)-1,0))</f>
        <v>0</v>
      </c>
      <c r="F61" s="76"/>
      <c r="G61" s="77">
        <f t="shared" ca="1" si="49"/>
        <v>0</v>
      </c>
      <c r="H61" s="76">
        <f t="shared" ca="1" si="50"/>
        <v>0</v>
      </c>
      <c r="I61" s="76">
        <f t="shared" ca="1" si="51"/>
        <v>0</v>
      </c>
      <c r="J61" s="233">
        <f t="shared" ca="1" si="43"/>
        <v>0</v>
      </c>
      <c r="K61" s="76">
        <f t="shared" si="44"/>
        <v>0</v>
      </c>
      <c r="L61" s="76">
        <f t="shared" ca="1" si="47"/>
        <v>0</v>
      </c>
      <c r="M61" s="76">
        <f t="shared" ca="1" si="52"/>
        <v>0</v>
      </c>
      <c r="N61" s="76">
        <f t="shared" ca="1" si="45"/>
        <v>0</v>
      </c>
      <c r="O61" s="76">
        <f t="shared" ref="O61:O93" ca="1" si="57">ROUND((J61-SUM(K61:N61))*InsureRate,2)</f>
        <v>0</v>
      </c>
      <c r="P61" s="76"/>
      <c r="Q61" s="76">
        <f t="shared" ca="1" si="53"/>
        <v>0</v>
      </c>
      <c r="R61" s="76">
        <f t="shared" ca="1" si="31"/>
        <v>0</v>
      </c>
      <c r="S61" s="76">
        <f t="shared" ca="1" si="54"/>
        <v>0</v>
      </c>
      <c r="T61" s="232">
        <f t="shared" ca="1" si="46"/>
        <v>0</v>
      </c>
      <c r="V61" s="120" t="str">
        <f t="shared" si="55"/>
        <v>:0</v>
      </c>
      <c r="W61" s="120" t="str">
        <f t="shared" si="56"/>
        <v>:</v>
      </c>
      <c r="X61" s="120" t="str">
        <f t="shared" ref="X61:X64" si="58">C61 &amp;":"&amp; B61</f>
        <v>:</v>
      </c>
      <c r="Y61" s="250">
        <f t="array" aca="1" ref="Y61:AJ61" ca="1">VLOOKUP($D61&amp;":"&amp;$C61,tblPayRates,{3,4,5,6,7,8,9,10,11,12,13,14},0)</f>
        <v>0</v>
      </c>
      <c r="Z61" s="16" t="str">
        <f ca="1"/>
        <v>Nobody</v>
      </c>
      <c r="AA61" s="261" t="str">
        <f ca="1"/>
        <v>M</v>
      </c>
      <c r="AB61" s="77" t="str">
        <f ca="1"/>
        <v>Daily</v>
      </c>
      <c r="AC61" s="77">
        <f ca="1"/>
        <v>0</v>
      </c>
      <c r="AD61" s="77">
        <f ca="1"/>
        <v>0</v>
      </c>
      <c r="AE61" s="77">
        <f ca="1"/>
        <v>0</v>
      </c>
      <c r="AF61" s="77">
        <f ca="1"/>
        <v>0</v>
      </c>
      <c r="AG61" s="261" t="str">
        <f ca="1"/>
        <v>N</v>
      </c>
      <c r="AH61" s="261">
        <f ca="1"/>
        <v>1</v>
      </c>
      <c r="AI61" s="261">
        <f ca="1"/>
        <v>1</v>
      </c>
      <c r="AJ61" s="262">
        <f ca="1"/>
        <v>0</v>
      </c>
    </row>
    <row r="62" spans="1:36" hidden="1" outlineLevel="1" x14ac:dyDescent="0.25">
      <c r="A62" s="120">
        <f t="shared" si="48"/>
        <v>0</v>
      </c>
      <c r="B62" s="231"/>
      <c r="C62" s="77"/>
      <c r="D62" s="238"/>
      <c r="E62" s="76">
        <f ca="1">SUMIF(payNonMonth,"="&amp;$X62,$E$362:OFFSET($E$362,ROWS(payNonMonth)-1,0))</f>
        <v>0</v>
      </c>
      <c r="F62" s="76"/>
      <c r="G62" s="77">
        <f t="shared" ca="1" si="49"/>
        <v>0</v>
      </c>
      <c r="H62" s="76">
        <f t="shared" ca="1" si="50"/>
        <v>0</v>
      </c>
      <c r="I62" s="76">
        <f t="shared" ca="1" si="51"/>
        <v>0</v>
      </c>
      <c r="J62" s="233">
        <f t="shared" ca="1" si="43"/>
        <v>0</v>
      </c>
      <c r="K62" s="76">
        <f t="shared" si="44"/>
        <v>0</v>
      </c>
      <c r="L62" s="76">
        <f t="shared" ca="1" si="47"/>
        <v>0</v>
      </c>
      <c r="M62" s="76">
        <f t="shared" ca="1" si="52"/>
        <v>0</v>
      </c>
      <c r="N62" s="76">
        <f t="shared" ca="1" si="45"/>
        <v>0</v>
      </c>
      <c r="O62" s="76">
        <f t="shared" ca="1" si="57"/>
        <v>0</v>
      </c>
      <c r="P62" s="76"/>
      <c r="Q62" s="76">
        <f t="shared" ca="1" si="53"/>
        <v>0</v>
      </c>
      <c r="R62" s="76">
        <f t="shared" ca="1" si="31"/>
        <v>0</v>
      </c>
      <c r="S62" s="76">
        <f t="shared" ca="1" si="54"/>
        <v>0</v>
      </c>
      <c r="T62" s="232">
        <f t="shared" ca="1" si="46"/>
        <v>0</v>
      </c>
      <c r="V62" s="120" t="str">
        <f t="shared" si="55"/>
        <v>:0</v>
      </c>
      <c r="W62" s="120" t="str">
        <f t="shared" si="56"/>
        <v>:</v>
      </c>
      <c r="X62" s="120" t="str">
        <f t="shared" si="58"/>
        <v>:</v>
      </c>
      <c r="Y62" s="250">
        <f t="array" aca="1" ref="Y62:AJ62" ca="1">VLOOKUP($D62&amp;":"&amp;$C62,tblPayRates,{3,4,5,6,7,8,9,10,11,12,13,14},0)</f>
        <v>0</v>
      </c>
      <c r="Z62" s="16" t="str">
        <f ca="1"/>
        <v>Nobody</v>
      </c>
      <c r="AA62" s="261" t="str">
        <f ca="1"/>
        <v>M</v>
      </c>
      <c r="AB62" s="77" t="str">
        <f ca="1"/>
        <v>Daily</v>
      </c>
      <c r="AC62" s="77">
        <f ca="1"/>
        <v>0</v>
      </c>
      <c r="AD62" s="77">
        <f ca="1"/>
        <v>0</v>
      </c>
      <c r="AE62" s="77">
        <f ca="1"/>
        <v>0</v>
      </c>
      <c r="AF62" s="77">
        <f ca="1"/>
        <v>0</v>
      </c>
      <c r="AG62" s="261" t="str">
        <f ca="1"/>
        <v>N</v>
      </c>
      <c r="AH62" s="261">
        <f ca="1"/>
        <v>1</v>
      </c>
      <c r="AI62" s="261">
        <f ca="1"/>
        <v>1</v>
      </c>
      <c r="AJ62" s="262">
        <f ca="1"/>
        <v>0</v>
      </c>
    </row>
    <row r="63" spans="1:36" hidden="1" outlineLevel="1" x14ac:dyDescent="0.25">
      <c r="A63" s="120">
        <f t="shared" si="48"/>
        <v>0</v>
      </c>
      <c r="B63" s="231"/>
      <c r="C63" s="77"/>
      <c r="D63" s="238"/>
      <c r="E63" s="76">
        <f ca="1">SUMIF(payNonMonth,"="&amp;$X63,$E$362:OFFSET($E$362,ROWS(payNonMonth)-1,0))</f>
        <v>0</v>
      </c>
      <c r="F63" s="76"/>
      <c r="G63" s="77">
        <f t="shared" ca="1" si="49"/>
        <v>0</v>
      </c>
      <c r="H63" s="76">
        <f t="shared" ca="1" si="50"/>
        <v>0</v>
      </c>
      <c r="I63" s="76">
        <f t="shared" ca="1" si="51"/>
        <v>0</v>
      </c>
      <c r="J63" s="233">
        <f t="shared" ca="1" si="43"/>
        <v>0</v>
      </c>
      <c r="K63" s="76">
        <f t="shared" si="44"/>
        <v>0</v>
      </c>
      <c r="L63" s="76">
        <f t="shared" ca="1" si="47"/>
        <v>0</v>
      </c>
      <c r="M63" s="76">
        <f t="shared" ca="1" si="52"/>
        <v>0</v>
      </c>
      <c r="N63" s="76">
        <f t="shared" ca="1" si="45"/>
        <v>0</v>
      </c>
      <c r="O63" s="76">
        <f t="shared" ca="1" si="57"/>
        <v>0</v>
      </c>
      <c r="P63" s="76"/>
      <c r="Q63" s="76">
        <f t="shared" ca="1" si="53"/>
        <v>0</v>
      </c>
      <c r="R63" s="76">
        <f t="shared" ca="1" si="31"/>
        <v>0</v>
      </c>
      <c r="S63" s="76">
        <f t="shared" ca="1" si="54"/>
        <v>0</v>
      </c>
      <c r="T63" s="232">
        <f t="shared" ca="1" si="46"/>
        <v>0</v>
      </c>
      <c r="V63" s="120" t="str">
        <f t="shared" si="55"/>
        <v>:0</v>
      </c>
      <c r="W63" s="120" t="str">
        <f t="shared" si="56"/>
        <v>:</v>
      </c>
      <c r="X63" s="120" t="str">
        <f t="shared" si="58"/>
        <v>:</v>
      </c>
      <c r="Y63" s="250">
        <f t="array" aca="1" ref="Y63:AJ63" ca="1">VLOOKUP($D63&amp;":"&amp;$C63,tblPayRates,{3,4,5,6,7,8,9,10,11,12,13,14},0)</f>
        <v>0</v>
      </c>
      <c r="Z63" s="16" t="str">
        <f ca="1"/>
        <v>Nobody</v>
      </c>
      <c r="AA63" s="261" t="str">
        <f ca="1"/>
        <v>M</v>
      </c>
      <c r="AB63" s="77" t="str">
        <f ca="1"/>
        <v>Daily</v>
      </c>
      <c r="AC63" s="77">
        <f ca="1"/>
        <v>0</v>
      </c>
      <c r="AD63" s="77">
        <f ca="1"/>
        <v>0</v>
      </c>
      <c r="AE63" s="77">
        <f ca="1"/>
        <v>0</v>
      </c>
      <c r="AF63" s="77">
        <f ca="1"/>
        <v>0</v>
      </c>
      <c r="AG63" s="261" t="str">
        <f ca="1"/>
        <v>N</v>
      </c>
      <c r="AH63" s="261">
        <f ca="1"/>
        <v>1</v>
      </c>
      <c r="AI63" s="261">
        <f ca="1"/>
        <v>1</v>
      </c>
      <c r="AJ63" s="262">
        <f ca="1"/>
        <v>0</v>
      </c>
    </row>
    <row r="64" spans="1:36" hidden="1" outlineLevel="1" x14ac:dyDescent="0.25">
      <c r="A64" s="120">
        <f t="shared" si="48"/>
        <v>0</v>
      </c>
      <c r="B64" s="231"/>
      <c r="C64" s="77"/>
      <c r="D64" s="238"/>
      <c r="E64" s="76">
        <f ca="1">SUMIF(payNonMonth,"="&amp;$X64,$E$362:OFFSET($E$362,ROWS(payNonMonth)-1,0))</f>
        <v>0</v>
      </c>
      <c r="F64" s="76"/>
      <c r="G64" s="77">
        <f t="shared" ca="1" si="49"/>
        <v>0</v>
      </c>
      <c r="H64" s="76">
        <f t="shared" ca="1" si="50"/>
        <v>0</v>
      </c>
      <c r="I64" s="76">
        <f t="shared" ca="1" si="51"/>
        <v>0</v>
      </c>
      <c r="J64" s="233">
        <f t="shared" ca="1" si="43"/>
        <v>0</v>
      </c>
      <c r="K64" s="76">
        <f t="shared" si="44"/>
        <v>0</v>
      </c>
      <c r="L64" s="76">
        <f t="shared" ca="1" si="47"/>
        <v>0</v>
      </c>
      <c r="M64" s="76">
        <f t="shared" ca="1" si="52"/>
        <v>0</v>
      </c>
      <c r="N64" s="76">
        <f t="shared" ca="1" si="45"/>
        <v>0</v>
      </c>
      <c r="O64" s="76">
        <f t="shared" ca="1" si="57"/>
        <v>0</v>
      </c>
      <c r="P64" s="76"/>
      <c r="Q64" s="76">
        <f t="shared" ca="1" si="53"/>
        <v>0</v>
      </c>
      <c r="R64" s="76">
        <f t="shared" ca="1" si="31"/>
        <v>0</v>
      </c>
      <c r="S64" s="76">
        <f t="shared" ca="1" si="54"/>
        <v>0</v>
      </c>
      <c r="T64" s="232">
        <f t="shared" ca="1" si="46"/>
        <v>0</v>
      </c>
      <c r="V64" s="120" t="str">
        <f t="shared" si="55"/>
        <v>:0</v>
      </c>
      <c r="W64" s="120" t="str">
        <f t="shared" si="56"/>
        <v>:</v>
      </c>
      <c r="X64" s="120" t="str">
        <f t="shared" si="58"/>
        <v>:</v>
      </c>
      <c r="Y64" s="250">
        <f t="array" aca="1" ref="Y64:AJ64" ca="1">VLOOKUP($D64&amp;":"&amp;$C64,tblPayRates,{3,4,5,6,7,8,9,10,11,12,13,14},0)</f>
        <v>0</v>
      </c>
      <c r="Z64" s="16" t="str">
        <f ca="1"/>
        <v>Nobody</v>
      </c>
      <c r="AA64" s="261" t="str">
        <f ca="1"/>
        <v>M</v>
      </c>
      <c r="AB64" s="77" t="str">
        <f ca="1"/>
        <v>Daily</v>
      </c>
      <c r="AC64" s="77">
        <f ca="1"/>
        <v>0</v>
      </c>
      <c r="AD64" s="77">
        <f ca="1"/>
        <v>0</v>
      </c>
      <c r="AE64" s="77">
        <f ca="1"/>
        <v>0</v>
      </c>
      <c r="AF64" s="77">
        <f ca="1"/>
        <v>0</v>
      </c>
      <c r="AG64" s="261" t="str">
        <f ca="1"/>
        <v>N</v>
      </c>
      <c r="AH64" s="261">
        <f ca="1"/>
        <v>1</v>
      </c>
      <c r="AI64" s="261">
        <f ca="1"/>
        <v>1</v>
      </c>
      <c r="AJ64" s="262">
        <f ca="1"/>
        <v>0</v>
      </c>
    </row>
    <row r="65" spans="1:36" hidden="1" outlineLevel="1" x14ac:dyDescent="0.25">
      <c r="A65" s="120">
        <f t="shared" si="48"/>
        <v>0</v>
      </c>
      <c r="B65" s="231"/>
      <c r="C65" s="77"/>
      <c r="D65" s="238"/>
      <c r="E65" s="76">
        <f ca="1">SUMIF(payNonMonth,"="&amp;$X65,$E$362:OFFSET($E$362,ROWS(payNonMonth)-1,0))</f>
        <v>0</v>
      </c>
      <c r="F65" s="76"/>
      <c r="G65" s="77">
        <f t="shared" ca="1" si="49"/>
        <v>0</v>
      </c>
      <c r="H65" s="76">
        <f t="shared" ca="1" si="50"/>
        <v>0</v>
      </c>
      <c r="I65" s="76">
        <f t="shared" ca="1" si="51"/>
        <v>0</v>
      </c>
      <c r="J65" s="233">
        <f t="shared" ca="1" si="43"/>
        <v>0</v>
      </c>
      <c r="K65" s="76">
        <f t="shared" si="44"/>
        <v>0</v>
      </c>
      <c r="L65" s="76">
        <f t="shared" ca="1" si="47"/>
        <v>0</v>
      </c>
      <c r="M65" s="76">
        <f t="shared" ca="1" si="52"/>
        <v>0</v>
      </c>
      <c r="N65" s="76">
        <f t="shared" ca="1" si="45"/>
        <v>0</v>
      </c>
      <c r="O65" s="76">
        <f t="shared" ca="1" si="57"/>
        <v>0</v>
      </c>
      <c r="P65" s="76"/>
      <c r="Q65" s="76">
        <f t="shared" ca="1" si="53"/>
        <v>0</v>
      </c>
      <c r="R65" s="76">
        <f t="shared" ca="1" si="31"/>
        <v>0</v>
      </c>
      <c r="S65" s="76">
        <f t="shared" ca="1" si="54"/>
        <v>0</v>
      </c>
      <c r="T65" s="232">
        <f t="shared" ca="1" si="46"/>
        <v>0</v>
      </c>
      <c r="V65" s="120" t="str">
        <f t="shared" si="55"/>
        <v>:0</v>
      </c>
      <c r="W65" s="120" t="str">
        <f t="shared" si="56"/>
        <v>:</v>
      </c>
      <c r="X65" s="120" t="str">
        <f t="shared" si="41"/>
        <v>:0</v>
      </c>
      <c r="Y65" s="250">
        <f t="array" aca="1" ref="Y65:AJ65" ca="1">VLOOKUP($D65&amp;":"&amp;$C65,tblPayRates,{3,4,5,6,7,8,9,10,11,12,13,14},0)</f>
        <v>0</v>
      </c>
      <c r="Z65" s="16" t="str">
        <f ca="1"/>
        <v>Nobody</v>
      </c>
      <c r="AA65" s="261" t="str">
        <f ca="1"/>
        <v>M</v>
      </c>
      <c r="AB65" s="77" t="str">
        <f ca="1"/>
        <v>Daily</v>
      </c>
      <c r="AC65" s="77">
        <f ca="1"/>
        <v>0</v>
      </c>
      <c r="AD65" s="77">
        <f ca="1"/>
        <v>0</v>
      </c>
      <c r="AE65" s="77">
        <f ca="1"/>
        <v>0</v>
      </c>
      <c r="AF65" s="77">
        <f ca="1"/>
        <v>0</v>
      </c>
      <c r="AG65" s="261" t="str">
        <f ca="1"/>
        <v>N</v>
      </c>
      <c r="AH65" s="261">
        <f ca="1"/>
        <v>1</v>
      </c>
      <c r="AI65" s="261">
        <f ca="1"/>
        <v>1</v>
      </c>
      <c r="AJ65" s="262">
        <f ca="1"/>
        <v>0</v>
      </c>
    </row>
    <row r="66" spans="1:36" hidden="1" outlineLevel="1" x14ac:dyDescent="0.25">
      <c r="A66" s="120">
        <f t="shared" si="48"/>
        <v>0</v>
      </c>
      <c r="B66" s="231"/>
      <c r="C66" s="77"/>
      <c r="D66" s="238"/>
      <c r="E66" s="76">
        <f ca="1">SUMIF(payNonMonth,"="&amp;$X66,$E$362:OFFSET($E$362,ROWS(payNonMonth)-1,0))</f>
        <v>0</v>
      </c>
      <c r="F66" s="76"/>
      <c r="G66" s="77">
        <f t="shared" ca="1" si="49"/>
        <v>0</v>
      </c>
      <c r="H66" s="76">
        <f t="shared" ca="1" si="50"/>
        <v>0</v>
      </c>
      <c r="I66" s="76">
        <f t="shared" ca="1" si="51"/>
        <v>0</v>
      </c>
      <c r="J66" s="233">
        <f t="shared" ca="1" si="43"/>
        <v>0</v>
      </c>
      <c r="K66" s="76">
        <f t="shared" si="44"/>
        <v>0</v>
      </c>
      <c r="L66" s="76">
        <f t="shared" ca="1" si="47"/>
        <v>0</v>
      </c>
      <c r="M66" s="76">
        <f t="shared" ca="1" si="52"/>
        <v>0</v>
      </c>
      <c r="N66" s="76">
        <f t="shared" ca="1" si="45"/>
        <v>0</v>
      </c>
      <c r="O66" s="76">
        <f t="shared" ca="1" si="57"/>
        <v>0</v>
      </c>
      <c r="P66" s="76"/>
      <c r="Q66" s="76">
        <f t="shared" ca="1" si="53"/>
        <v>0</v>
      </c>
      <c r="R66" s="76">
        <f t="shared" ca="1" si="31"/>
        <v>0</v>
      </c>
      <c r="S66" s="76">
        <f t="shared" ca="1" si="54"/>
        <v>0</v>
      </c>
      <c r="T66" s="232">
        <f t="shared" ca="1" si="46"/>
        <v>0</v>
      </c>
      <c r="V66" s="120" t="str">
        <f t="shared" si="55"/>
        <v>:0</v>
      </c>
      <c r="W66" s="120" t="str">
        <f t="shared" si="56"/>
        <v>:</v>
      </c>
      <c r="X66" s="120" t="str">
        <f t="shared" si="41"/>
        <v>:0</v>
      </c>
      <c r="Y66" s="250">
        <f t="array" aca="1" ref="Y66:AJ66" ca="1">VLOOKUP($D66&amp;":"&amp;$C66,tblPayRates,{3,4,5,6,7,8,9,10,11,12,13,14},0)</f>
        <v>0</v>
      </c>
      <c r="Z66" s="16" t="str">
        <f ca="1"/>
        <v>Nobody</v>
      </c>
      <c r="AA66" s="261" t="str">
        <f ca="1"/>
        <v>M</v>
      </c>
      <c r="AB66" s="77" t="str">
        <f ca="1"/>
        <v>Daily</v>
      </c>
      <c r="AC66" s="77">
        <f ca="1"/>
        <v>0</v>
      </c>
      <c r="AD66" s="77">
        <f ca="1"/>
        <v>0</v>
      </c>
      <c r="AE66" s="77">
        <f ca="1"/>
        <v>0</v>
      </c>
      <c r="AF66" s="77">
        <f ca="1"/>
        <v>0</v>
      </c>
      <c r="AG66" s="261" t="str">
        <f ca="1"/>
        <v>N</v>
      </c>
      <c r="AH66" s="261">
        <f ca="1"/>
        <v>1</v>
      </c>
      <c r="AI66" s="261">
        <f ca="1"/>
        <v>1</v>
      </c>
      <c r="AJ66" s="262">
        <f ca="1"/>
        <v>0</v>
      </c>
    </row>
    <row r="67" spans="1:36" hidden="1" outlineLevel="1" x14ac:dyDescent="0.25">
      <c r="A67" s="120">
        <f t="shared" si="48"/>
        <v>0</v>
      </c>
      <c r="B67" s="231"/>
      <c r="C67" s="77"/>
      <c r="D67" s="238"/>
      <c r="E67" s="76">
        <f ca="1">SUMIF(payNonMonth,"="&amp;$X67,$E$362:OFFSET($E$362,ROWS(payNonMonth)-1,0))</f>
        <v>0</v>
      </c>
      <c r="F67" s="76"/>
      <c r="G67" s="77">
        <f t="shared" ca="1" si="49"/>
        <v>0</v>
      </c>
      <c r="H67" s="76">
        <f t="shared" ca="1" si="50"/>
        <v>0</v>
      </c>
      <c r="I67" s="76">
        <f t="shared" ca="1" si="51"/>
        <v>0</v>
      </c>
      <c r="J67" s="233">
        <f t="shared" ca="1" si="43"/>
        <v>0</v>
      </c>
      <c r="K67" s="76">
        <f t="shared" si="44"/>
        <v>0</v>
      </c>
      <c r="L67" s="76">
        <f t="shared" ca="1" si="47"/>
        <v>0</v>
      </c>
      <c r="M67" s="76">
        <f t="shared" ca="1" si="52"/>
        <v>0</v>
      </c>
      <c r="N67" s="76">
        <f t="shared" ca="1" si="45"/>
        <v>0</v>
      </c>
      <c r="O67" s="76">
        <f t="shared" ca="1" si="57"/>
        <v>0</v>
      </c>
      <c r="P67" s="76"/>
      <c r="Q67" s="76">
        <f t="shared" ca="1" si="53"/>
        <v>0</v>
      </c>
      <c r="R67" s="76">
        <f t="shared" ca="1" si="31"/>
        <v>0</v>
      </c>
      <c r="S67" s="76">
        <f t="shared" ca="1" si="54"/>
        <v>0</v>
      </c>
      <c r="T67" s="232">
        <f t="shared" ca="1" si="46"/>
        <v>0</v>
      </c>
      <c r="V67" s="120" t="str">
        <f t="shared" si="55"/>
        <v>:0</v>
      </c>
      <c r="W67" s="120" t="str">
        <f t="shared" si="56"/>
        <v>:</v>
      </c>
      <c r="X67" s="120" t="str">
        <f t="shared" si="41"/>
        <v>:0</v>
      </c>
      <c r="Y67" s="250">
        <f t="array" aca="1" ref="Y67:AJ67" ca="1">VLOOKUP($D67&amp;":"&amp;$C67,tblPayRates,{3,4,5,6,7,8,9,10,11,12,13,14},0)</f>
        <v>0</v>
      </c>
      <c r="Z67" s="16" t="str">
        <f ca="1"/>
        <v>Nobody</v>
      </c>
      <c r="AA67" s="261" t="str">
        <f ca="1"/>
        <v>M</v>
      </c>
      <c r="AB67" s="77" t="str">
        <f ca="1"/>
        <v>Daily</v>
      </c>
      <c r="AC67" s="77">
        <f ca="1"/>
        <v>0</v>
      </c>
      <c r="AD67" s="77">
        <f ca="1"/>
        <v>0</v>
      </c>
      <c r="AE67" s="77">
        <f ca="1"/>
        <v>0</v>
      </c>
      <c r="AF67" s="77">
        <f ca="1"/>
        <v>0</v>
      </c>
      <c r="AG67" s="261" t="str">
        <f ca="1"/>
        <v>N</v>
      </c>
      <c r="AH67" s="261">
        <f ca="1"/>
        <v>1</v>
      </c>
      <c r="AI67" s="261">
        <f ca="1"/>
        <v>1</v>
      </c>
      <c r="AJ67" s="262">
        <f ca="1"/>
        <v>0</v>
      </c>
    </row>
    <row r="68" spans="1:36" hidden="1" outlineLevel="1" x14ac:dyDescent="0.25">
      <c r="A68" s="120">
        <f t="shared" si="48"/>
        <v>0</v>
      </c>
      <c r="B68" s="231"/>
      <c r="C68" s="77"/>
      <c r="D68" s="238"/>
      <c r="E68" s="76">
        <f ca="1">SUMIF(payNonMonth,"="&amp;$X68,$E$362:OFFSET($E$362,ROWS(payNonMonth)-1,0))</f>
        <v>0</v>
      </c>
      <c r="F68" s="76"/>
      <c r="G68" s="77">
        <f t="shared" ca="1" si="49"/>
        <v>0</v>
      </c>
      <c r="H68" s="76">
        <f t="shared" ca="1" si="50"/>
        <v>0</v>
      </c>
      <c r="I68" s="76">
        <f t="shared" ca="1" si="51"/>
        <v>0</v>
      </c>
      <c r="J68" s="233">
        <f t="shared" ca="1" si="43"/>
        <v>0</v>
      </c>
      <c r="K68" s="76">
        <f t="shared" si="44"/>
        <v>0</v>
      </c>
      <c r="L68" s="76">
        <f t="shared" ca="1" si="47"/>
        <v>0</v>
      </c>
      <c r="M68" s="76">
        <f t="shared" ca="1" si="52"/>
        <v>0</v>
      </c>
      <c r="N68" s="76">
        <f t="shared" ca="1" si="45"/>
        <v>0</v>
      </c>
      <c r="O68" s="76"/>
      <c r="P68" s="76"/>
      <c r="Q68" s="76">
        <f t="shared" ca="1" si="53"/>
        <v>0</v>
      </c>
      <c r="R68" s="76">
        <f t="shared" ca="1" si="31"/>
        <v>0</v>
      </c>
      <c r="S68" s="76">
        <f t="shared" ca="1" si="54"/>
        <v>0</v>
      </c>
      <c r="T68" s="232">
        <f t="shared" ca="1" si="46"/>
        <v>0</v>
      </c>
      <c r="V68" s="120" t="str">
        <f t="shared" si="55"/>
        <v>:0</v>
      </c>
      <c r="W68" s="120" t="str">
        <f t="shared" si="56"/>
        <v>:</v>
      </c>
      <c r="X68" s="120" t="str">
        <f t="shared" si="41"/>
        <v>:0</v>
      </c>
      <c r="Y68" s="250">
        <f t="array" aca="1" ref="Y68:AJ68" ca="1">VLOOKUP($D68&amp;":"&amp;$C68,tblPayRates,{3,4,5,6,7,8,9,10,11,12,13,14},0)</f>
        <v>0</v>
      </c>
      <c r="Z68" s="16" t="str">
        <f ca="1"/>
        <v>Nobody</v>
      </c>
      <c r="AA68" s="261" t="str">
        <f ca="1"/>
        <v>M</v>
      </c>
      <c r="AB68" s="77" t="str">
        <f ca="1"/>
        <v>Daily</v>
      </c>
      <c r="AC68" s="77">
        <f ca="1"/>
        <v>0</v>
      </c>
      <c r="AD68" s="77">
        <f ca="1"/>
        <v>0</v>
      </c>
      <c r="AE68" s="77">
        <f ca="1"/>
        <v>0</v>
      </c>
      <c r="AF68" s="77">
        <f ca="1"/>
        <v>0</v>
      </c>
      <c r="AG68" s="261" t="str">
        <f ca="1"/>
        <v>N</v>
      </c>
      <c r="AH68" s="261">
        <f ca="1"/>
        <v>1</v>
      </c>
      <c r="AI68" s="261">
        <f ca="1"/>
        <v>1</v>
      </c>
      <c r="AJ68" s="262">
        <f ca="1"/>
        <v>0</v>
      </c>
    </row>
    <row r="69" spans="1:36" hidden="1" outlineLevel="1" x14ac:dyDescent="0.25">
      <c r="A69" s="120">
        <f t="shared" si="48"/>
        <v>0</v>
      </c>
      <c r="B69" s="231"/>
      <c r="C69" s="77"/>
      <c r="D69" s="238"/>
      <c r="E69" s="76">
        <f ca="1">SUMIF(payNonMonth,"="&amp;$X69,$E$362:OFFSET($E$362,ROWS(payNonMonth)-1,0))</f>
        <v>0</v>
      </c>
      <c r="F69" s="76"/>
      <c r="G69" s="77">
        <f t="shared" ca="1" si="49"/>
        <v>0</v>
      </c>
      <c r="H69" s="76">
        <f t="shared" ca="1" si="50"/>
        <v>0</v>
      </c>
      <c r="I69" s="76">
        <f t="shared" ca="1" si="51"/>
        <v>0</v>
      </c>
      <c r="J69" s="233">
        <f t="shared" ca="1" si="43"/>
        <v>0</v>
      </c>
      <c r="K69" s="76">
        <f t="shared" si="44"/>
        <v>0</v>
      </c>
      <c r="L69" s="76">
        <f t="shared" ca="1" si="47"/>
        <v>0</v>
      </c>
      <c r="M69" s="76">
        <f t="shared" ca="1" si="52"/>
        <v>0</v>
      </c>
      <c r="N69" s="76">
        <f t="shared" ca="1" si="45"/>
        <v>0</v>
      </c>
      <c r="O69" s="76"/>
      <c r="P69" s="76"/>
      <c r="Q69" s="76">
        <f t="shared" ca="1" si="53"/>
        <v>0</v>
      </c>
      <c r="R69" s="76">
        <f t="shared" ca="1" si="31"/>
        <v>0</v>
      </c>
      <c r="S69" s="76">
        <f t="shared" ca="1" si="54"/>
        <v>0</v>
      </c>
      <c r="T69" s="232">
        <f t="shared" ca="1" si="46"/>
        <v>0</v>
      </c>
      <c r="V69" s="120" t="str">
        <f t="shared" si="55"/>
        <v>:0</v>
      </c>
      <c r="W69" s="120" t="str">
        <f t="shared" si="56"/>
        <v>:</v>
      </c>
      <c r="X69" s="120" t="str">
        <f t="shared" si="41"/>
        <v>:0</v>
      </c>
      <c r="Y69" s="250">
        <f t="array" aca="1" ref="Y69:AJ69" ca="1">VLOOKUP($D69&amp;":"&amp;$C69,tblPayRates,{3,4,5,6,7,8,9,10,11,12,13,14},0)</f>
        <v>0</v>
      </c>
      <c r="Z69" s="16" t="str">
        <f ca="1"/>
        <v>Nobody</v>
      </c>
      <c r="AA69" s="261" t="str">
        <f ca="1"/>
        <v>M</v>
      </c>
      <c r="AB69" s="77" t="str">
        <f ca="1"/>
        <v>Daily</v>
      </c>
      <c r="AC69" s="77">
        <f ca="1"/>
        <v>0</v>
      </c>
      <c r="AD69" s="77">
        <f ca="1"/>
        <v>0</v>
      </c>
      <c r="AE69" s="77">
        <f ca="1"/>
        <v>0</v>
      </c>
      <c r="AF69" s="77">
        <f ca="1"/>
        <v>0</v>
      </c>
      <c r="AG69" s="261" t="str">
        <f ca="1"/>
        <v>N</v>
      </c>
      <c r="AH69" s="261">
        <f ca="1"/>
        <v>1</v>
      </c>
      <c r="AI69" s="261">
        <f ca="1"/>
        <v>1</v>
      </c>
      <c r="AJ69" s="262">
        <f ca="1"/>
        <v>0</v>
      </c>
    </row>
    <row r="70" spans="1:36" hidden="1" outlineLevel="1" x14ac:dyDescent="0.25">
      <c r="A70" s="120">
        <f t="shared" si="48"/>
        <v>0</v>
      </c>
      <c r="B70" s="231"/>
      <c r="C70" s="77"/>
      <c r="D70" s="238"/>
      <c r="E70" s="76">
        <f ca="1">SUMIF(payNonMonth,"="&amp;$X70,$E$362:OFFSET($E$362,ROWS(payNonMonth)-1,0))</f>
        <v>0</v>
      </c>
      <c r="F70" s="76"/>
      <c r="G70" s="77">
        <f ca="1">IF(AND($E70=0,$F70=0),0,1)</f>
        <v>0</v>
      </c>
      <c r="H70" s="76">
        <f ca="1">ROUND(SUM(E70:F70)*AC70,2)</f>
        <v>0</v>
      </c>
      <c r="I70" s="76">
        <f ca="1">H70*OFFSET(payMgmtRate,0,$AH70)</f>
        <v>0</v>
      </c>
      <c r="J70" s="233">
        <f t="shared" ca="1" si="43"/>
        <v>0</v>
      </c>
      <c r="K70" s="76">
        <f t="shared" si="44"/>
        <v>0</v>
      </c>
      <c r="L70" s="76">
        <f t="shared" ca="1" si="47"/>
        <v>0</v>
      </c>
      <c r="M70" s="76">
        <f ca="1">GETSUPER(J70-SUM(K70:L70))</f>
        <v>0</v>
      </c>
      <c r="N70" s="76">
        <f t="shared" ca="1" si="45"/>
        <v>0</v>
      </c>
      <c r="O70" s="76">
        <f ca="1">ROUND((J70-SUM(K70:N70))*InsureRate,2)</f>
        <v>0</v>
      </c>
      <c r="P70" s="76"/>
      <c r="Q70" s="76">
        <f ca="1">J70-SUM(K70:P70)</f>
        <v>0</v>
      </c>
      <c r="R70" s="76">
        <f ca="1">GETTAX(Q70,AA70)</f>
        <v>0</v>
      </c>
      <c r="S70" s="76">
        <f ca="1">Q70-R70</f>
        <v>0</v>
      </c>
      <c r="T70" s="232">
        <f t="shared" ca="1" si="46"/>
        <v>0</v>
      </c>
      <c r="V70" s="120" t="str">
        <f>IF(EmpID="*","*",C70) &amp;":"&amp; $A70</f>
        <v>:0</v>
      </c>
      <c r="W70" s="120" t="str">
        <f>$C70 &amp;":"&amp; $B70</f>
        <v>:</v>
      </c>
      <c r="X70" s="120" t="str">
        <f t="shared" ref="X70:X75" si="59">C70 &amp;":"&amp; B70</f>
        <v>:</v>
      </c>
      <c r="Y70" s="250">
        <f t="array" aca="1" ref="Y70:AJ70" ca="1">VLOOKUP($D70&amp;":"&amp;$C70,tblPayRates,{3,4,5,6,7,8,9,10,11,12,13,14},0)</f>
        <v>0</v>
      </c>
      <c r="Z70" s="16" t="str">
        <f ca="1"/>
        <v>Nobody</v>
      </c>
      <c r="AA70" s="261" t="str">
        <f ca="1"/>
        <v>M</v>
      </c>
      <c r="AB70" s="77" t="str">
        <f ca="1"/>
        <v>Daily</v>
      </c>
      <c r="AC70" s="77">
        <f ca="1"/>
        <v>0</v>
      </c>
      <c r="AD70" s="77">
        <f ca="1"/>
        <v>0</v>
      </c>
      <c r="AE70" s="77">
        <f ca="1"/>
        <v>0</v>
      </c>
      <c r="AF70" s="77">
        <f ca="1"/>
        <v>0</v>
      </c>
      <c r="AG70" s="261" t="str">
        <f ca="1"/>
        <v>N</v>
      </c>
      <c r="AH70" s="261">
        <f ca="1"/>
        <v>1</v>
      </c>
      <c r="AI70" s="261">
        <f ca="1"/>
        <v>1</v>
      </c>
      <c r="AJ70" s="262">
        <f ca="1"/>
        <v>0</v>
      </c>
    </row>
    <row r="71" spans="1:36" hidden="1" outlineLevel="1" x14ac:dyDescent="0.25">
      <c r="A71" s="120">
        <f t="shared" si="48"/>
        <v>0</v>
      </c>
      <c r="B71" s="231"/>
      <c r="C71" s="77"/>
      <c r="D71" s="238"/>
      <c r="E71" s="76">
        <f ca="1">SUMIF(payNonMonth,"="&amp;$X71,$E$362:OFFSET($E$362,ROWS(payNonMonth)-1,0))</f>
        <v>0</v>
      </c>
      <c r="F71" s="76"/>
      <c r="G71" s="77">
        <f ca="1">IF(AND($E71=0,$F71=0),0,1)</f>
        <v>0</v>
      </c>
      <c r="H71" s="76">
        <f ca="1">ROUND(SUM(E71:F71)*AC71,2)</f>
        <v>0</v>
      </c>
      <c r="I71" s="76">
        <f ca="1">H71*OFFSET(payMgmtRate,0,$AH71)</f>
        <v>0</v>
      </c>
      <c r="J71" s="233">
        <f t="shared" ca="1" si="43"/>
        <v>0</v>
      </c>
      <c r="K71" s="76">
        <f t="shared" si="44"/>
        <v>0</v>
      </c>
      <c r="L71" s="76">
        <f t="shared" ca="1" si="47"/>
        <v>0</v>
      </c>
      <c r="M71" s="76">
        <f ca="1">GETSUPER(J71-SUM(K71:L71))</f>
        <v>0</v>
      </c>
      <c r="N71" s="76">
        <f t="shared" ca="1" si="45"/>
        <v>0</v>
      </c>
      <c r="O71" s="76">
        <f ca="1">ROUND((J71-SUM(K71:N71))*InsureRate,2)</f>
        <v>0</v>
      </c>
      <c r="P71" s="76"/>
      <c r="Q71" s="76">
        <f ca="1">J71-SUM(K71:P71)</f>
        <v>0</v>
      </c>
      <c r="R71" s="76">
        <f ca="1">GETTAX(Q71,AA71)</f>
        <v>0</v>
      </c>
      <c r="S71" s="76">
        <f ca="1">Q71-R71</f>
        <v>0</v>
      </c>
      <c r="T71" s="232">
        <f t="shared" ca="1" si="46"/>
        <v>0</v>
      </c>
      <c r="V71" s="120" t="str">
        <f>IF(EmpID="*","*",C71) &amp;":"&amp; $A71</f>
        <v>:0</v>
      </c>
      <c r="W71" s="120" t="str">
        <f>$C71 &amp;":"&amp; $B71</f>
        <v>:</v>
      </c>
      <c r="X71" s="120" t="str">
        <f t="shared" si="59"/>
        <v>:</v>
      </c>
      <c r="Y71" s="250">
        <f t="array" aca="1" ref="Y71:AJ71" ca="1">VLOOKUP($D71&amp;":"&amp;$C71,tblPayRates,{3,4,5,6,7,8,9,10,11,12,13,14},0)</f>
        <v>0</v>
      </c>
      <c r="Z71" s="16" t="str">
        <f ca="1"/>
        <v>Nobody</v>
      </c>
      <c r="AA71" s="261" t="str">
        <f ca="1"/>
        <v>M</v>
      </c>
      <c r="AB71" s="77" t="str">
        <f ca="1"/>
        <v>Daily</v>
      </c>
      <c r="AC71" s="77">
        <f ca="1"/>
        <v>0</v>
      </c>
      <c r="AD71" s="77">
        <f ca="1"/>
        <v>0</v>
      </c>
      <c r="AE71" s="77">
        <f ca="1"/>
        <v>0</v>
      </c>
      <c r="AF71" s="77">
        <f ca="1"/>
        <v>0</v>
      </c>
      <c r="AG71" s="261" t="str">
        <f ca="1"/>
        <v>N</v>
      </c>
      <c r="AH71" s="261">
        <f ca="1"/>
        <v>1</v>
      </c>
      <c r="AI71" s="261">
        <f ca="1"/>
        <v>1</v>
      </c>
      <c r="AJ71" s="262">
        <f ca="1"/>
        <v>0</v>
      </c>
    </row>
    <row r="72" spans="1:36" hidden="1" outlineLevel="1" x14ac:dyDescent="0.25">
      <c r="A72" s="120">
        <f t="shared" si="48"/>
        <v>0</v>
      </c>
      <c r="B72" s="231"/>
      <c r="C72" s="77"/>
      <c r="D72" s="238"/>
      <c r="E72" s="76">
        <f ca="1">SUMIF(payNonMonth,"="&amp;$X72,$E$362:OFFSET($E$362,ROWS(payNonMonth)-1,0))</f>
        <v>0</v>
      </c>
      <c r="F72" s="76"/>
      <c r="G72" s="77">
        <f t="shared" ca="1" si="49"/>
        <v>0</v>
      </c>
      <c r="H72" s="76">
        <f t="shared" ca="1" si="50"/>
        <v>0</v>
      </c>
      <c r="I72" s="76">
        <f t="shared" ca="1" si="51"/>
        <v>0</v>
      </c>
      <c r="J72" s="233">
        <f t="shared" ca="1" si="43"/>
        <v>0</v>
      </c>
      <c r="K72" s="76">
        <f t="shared" si="44"/>
        <v>0</v>
      </c>
      <c r="L72" s="76">
        <f t="shared" ca="1" si="47"/>
        <v>0</v>
      </c>
      <c r="M72" s="76">
        <f t="shared" ca="1" si="52"/>
        <v>0</v>
      </c>
      <c r="N72" s="76">
        <f t="shared" ca="1" si="45"/>
        <v>0</v>
      </c>
      <c r="O72" s="76">
        <f t="shared" ca="1" si="57"/>
        <v>0</v>
      </c>
      <c r="P72" s="76"/>
      <c r="Q72" s="76">
        <f t="shared" ca="1" si="53"/>
        <v>0</v>
      </c>
      <c r="R72" s="76"/>
      <c r="S72" s="76">
        <f ca="1">Q72-R72</f>
        <v>0</v>
      </c>
      <c r="T72" s="232">
        <f t="shared" ca="1" si="46"/>
        <v>0</v>
      </c>
      <c r="V72" s="120" t="str">
        <f t="shared" si="55"/>
        <v>:0</v>
      </c>
      <c r="W72" s="120" t="str">
        <f t="shared" si="56"/>
        <v>:</v>
      </c>
      <c r="X72" s="120" t="str">
        <f t="shared" si="59"/>
        <v>:</v>
      </c>
      <c r="Y72" s="250">
        <f t="array" aca="1" ref="Y72:AJ72" ca="1">VLOOKUP($D72&amp;":"&amp;$C72,tblPayRates,{3,4,5,6,7,8,9,10,11,12,13,14},0)</f>
        <v>0</v>
      </c>
      <c r="Z72" s="16" t="str">
        <f ca="1"/>
        <v>Nobody</v>
      </c>
      <c r="AA72" s="261" t="str">
        <f ca="1"/>
        <v>M</v>
      </c>
      <c r="AB72" s="77" t="str">
        <f ca="1"/>
        <v>Daily</v>
      </c>
      <c r="AC72" s="77">
        <f ca="1"/>
        <v>0</v>
      </c>
      <c r="AD72" s="77">
        <f ca="1"/>
        <v>0</v>
      </c>
      <c r="AE72" s="77">
        <f ca="1"/>
        <v>0</v>
      </c>
      <c r="AF72" s="77">
        <f ca="1"/>
        <v>0</v>
      </c>
      <c r="AG72" s="261" t="str">
        <f ca="1"/>
        <v>N</v>
      </c>
      <c r="AH72" s="261">
        <f ca="1"/>
        <v>1</v>
      </c>
      <c r="AI72" s="261">
        <f ca="1"/>
        <v>1</v>
      </c>
      <c r="AJ72" s="262">
        <f ca="1"/>
        <v>0</v>
      </c>
    </row>
    <row r="73" spans="1:36" hidden="1" outlineLevel="1" x14ac:dyDescent="0.25">
      <c r="A73" s="120">
        <f t="shared" si="48"/>
        <v>0</v>
      </c>
      <c r="B73" s="231"/>
      <c r="C73" s="77"/>
      <c r="D73" s="238"/>
      <c r="E73" s="76">
        <f ca="1">SUMIF(payNonMonth,"="&amp;$X73,$E$362:OFFSET($E$362,ROWS(payNonMonth)-1,0))</f>
        <v>0</v>
      </c>
      <c r="F73" s="76"/>
      <c r="G73" s="77">
        <f t="shared" ca="1" si="49"/>
        <v>0</v>
      </c>
      <c r="H73" s="76">
        <f t="shared" ref="H73" ca="1" si="60">ROUND(SUM(E73:F73)*AC73,2)</f>
        <v>0</v>
      </c>
      <c r="I73" s="76">
        <f t="shared" ref="I73" ca="1" si="61">H73*OFFSET(payMgmtRate,0,$AH73)</f>
        <v>0</v>
      </c>
      <c r="J73" s="233">
        <f t="shared" ca="1" si="43"/>
        <v>0</v>
      </c>
      <c r="K73" s="76">
        <f t="shared" si="44"/>
        <v>0</v>
      </c>
      <c r="L73" s="76">
        <f t="shared" ca="1" si="47"/>
        <v>0</v>
      </c>
      <c r="M73" s="76">
        <f t="shared" ref="M73" ca="1" si="62">GETSUPER(J73-SUM(K73:L73))</f>
        <v>0</v>
      </c>
      <c r="N73" s="76">
        <f t="shared" ca="1" si="45"/>
        <v>0</v>
      </c>
      <c r="O73" s="76">
        <f t="shared" ref="O73" ca="1" si="63">ROUND((J73-SUM(K73:N73))*InsureRate,2)</f>
        <v>0</v>
      </c>
      <c r="P73" s="76"/>
      <c r="Q73" s="76">
        <f t="shared" ref="Q73" ca="1" si="64">J73-SUM(K73:P73)</f>
        <v>0</v>
      </c>
      <c r="R73" s="76">
        <f ca="1">GETTAX(SUM(Q72:Q73),AA73)</f>
        <v>0</v>
      </c>
      <c r="S73" s="76">
        <f t="shared" ref="S73" ca="1" si="65">Q73-R73</f>
        <v>0</v>
      </c>
      <c r="T73" s="232">
        <f t="shared" ca="1" si="46"/>
        <v>0</v>
      </c>
      <c r="V73" s="120" t="str">
        <f t="shared" ref="V73" si="66">IF(EmpID="*","*",C73) &amp;":"&amp; $A73</f>
        <v>:0</v>
      </c>
      <c r="W73" s="120" t="str">
        <f t="shared" si="56"/>
        <v>:</v>
      </c>
      <c r="X73" s="120" t="str">
        <f t="shared" si="59"/>
        <v>:</v>
      </c>
      <c r="Y73" s="250">
        <f t="array" aca="1" ref="Y73:AJ73" ca="1">VLOOKUP($D73&amp;":"&amp;$C73,tblPayRates,{3,4,5,6,7,8,9,10,11,12,13,14},0)</f>
        <v>0</v>
      </c>
      <c r="Z73" s="16" t="str">
        <f ca="1"/>
        <v>Nobody</v>
      </c>
      <c r="AA73" s="261" t="str">
        <f ca="1"/>
        <v>M</v>
      </c>
      <c r="AB73" s="77" t="str">
        <f ca="1"/>
        <v>Daily</v>
      </c>
      <c r="AC73" s="77">
        <f ca="1"/>
        <v>0</v>
      </c>
      <c r="AD73" s="77">
        <f ca="1"/>
        <v>0</v>
      </c>
      <c r="AE73" s="77">
        <f ca="1"/>
        <v>0</v>
      </c>
      <c r="AF73" s="77">
        <f ca="1"/>
        <v>0</v>
      </c>
      <c r="AG73" s="261" t="str">
        <f ca="1"/>
        <v>N</v>
      </c>
      <c r="AH73" s="261">
        <f ca="1"/>
        <v>1</v>
      </c>
      <c r="AI73" s="261">
        <f ca="1"/>
        <v>1</v>
      </c>
      <c r="AJ73" s="262">
        <f ca="1"/>
        <v>0</v>
      </c>
    </row>
    <row r="74" spans="1:36" hidden="1" outlineLevel="1" x14ac:dyDescent="0.25">
      <c r="A74" s="120">
        <f t="shared" si="48"/>
        <v>0</v>
      </c>
      <c r="B74" s="231"/>
      <c r="C74" s="77"/>
      <c r="D74" s="238"/>
      <c r="E74" s="76">
        <f ca="1">SUMIF(payNonMonth,"="&amp;$X74,$E$362:OFFSET($E$362,ROWS(payNonMonth)-1,0))</f>
        <v>0</v>
      </c>
      <c r="F74" s="76"/>
      <c r="G74" s="77">
        <f t="shared" ca="1" si="49"/>
        <v>0</v>
      </c>
      <c r="H74" s="76">
        <f t="shared" ca="1" si="50"/>
        <v>0</v>
      </c>
      <c r="I74" s="76">
        <f t="shared" ca="1" si="51"/>
        <v>0</v>
      </c>
      <c r="J74" s="233">
        <f t="shared" ca="1" si="43"/>
        <v>0</v>
      </c>
      <c r="K74" s="76">
        <f t="shared" si="44"/>
        <v>0</v>
      </c>
      <c r="L74" s="76">
        <f t="shared" ca="1" si="47"/>
        <v>0</v>
      </c>
      <c r="M74" s="76">
        <f t="shared" ca="1" si="52"/>
        <v>0</v>
      </c>
      <c r="N74" s="76">
        <f t="shared" ca="1" si="45"/>
        <v>0</v>
      </c>
      <c r="O74" s="76">
        <f t="shared" ca="1" si="57"/>
        <v>0</v>
      </c>
      <c r="P74" s="76"/>
      <c r="Q74" s="76">
        <f t="shared" ca="1" si="53"/>
        <v>0</v>
      </c>
      <c r="R74" s="76"/>
      <c r="S74" s="76">
        <f ca="1">Q74-R74</f>
        <v>0</v>
      </c>
      <c r="T74" s="232">
        <f t="shared" ca="1" si="46"/>
        <v>0</v>
      </c>
      <c r="V74" s="120" t="str">
        <f t="shared" si="55"/>
        <v>:0</v>
      </c>
      <c r="W74" s="120" t="str">
        <f t="shared" si="56"/>
        <v>:</v>
      </c>
      <c r="X74" s="120" t="str">
        <f t="shared" si="59"/>
        <v>:</v>
      </c>
      <c r="Y74" s="250">
        <f t="array" aca="1" ref="Y74:AJ74" ca="1">VLOOKUP($D74&amp;":"&amp;$C74,tblPayRates,{3,4,5,6,7,8,9,10,11,12,13,14},0)</f>
        <v>0</v>
      </c>
      <c r="Z74" s="16" t="str">
        <f ca="1"/>
        <v>Nobody</v>
      </c>
      <c r="AA74" s="261" t="str">
        <f ca="1"/>
        <v>M</v>
      </c>
      <c r="AB74" s="77" t="str">
        <f ca="1"/>
        <v>Daily</v>
      </c>
      <c r="AC74" s="77">
        <f ca="1"/>
        <v>0</v>
      </c>
      <c r="AD74" s="77">
        <f ca="1"/>
        <v>0</v>
      </c>
      <c r="AE74" s="77">
        <f ca="1"/>
        <v>0</v>
      </c>
      <c r="AF74" s="77">
        <f ca="1"/>
        <v>0</v>
      </c>
      <c r="AG74" s="261" t="str">
        <f ca="1"/>
        <v>N</v>
      </c>
      <c r="AH74" s="261">
        <f ca="1"/>
        <v>1</v>
      </c>
      <c r="AI74" s="261">
        <f ca="1"/>
        <v>1</v>
      </c>
      <c r="AJ74" s="262">
        <f ca="1"/>
        <v>0</v>
      </c>
    </row>
    <row r="75" spans="1:36" hidden="1" outlineLevel="1" x14ac:dyDescent="0.25">
      <c r="A75" s="120">
        <f t="shared" si="48"/>
        <v>0</v>
      </c>
      <c r="B75" s="231"/>
      <c r="C75" s="77"/>
      <c r="D75" s="238"/>
      <c r="E75" s="76">
        <f ca="1">SUMIF(payNonMonth,"="&amp;$X75,$E$362:OFFSET($E$362,ROWS(payNonMonth)-1,0))</f>
        <v>0</v>
      </c>
      <c r="F75" s="76"/>
      <c r="G75" s="77">
        <f t="shared" ca="1" si="49"/>
        <v>0</v>
      </c>
      <c r="H75" s="76">
        <f t="shared" ref="H75" ca="1" si="67">ROUND(SUM(E75:F75)*AC75,2)</f>
        <v>0</v>
      </c>
      <c r="I75" s="76">
        <f t="shared" ref="I75" ca="1" si="68">H75*OFFSET(payMgmtRate,0,$AH75)</f>
        <v>0</v>
      </c>
      <c r="J75" s="233">
        <f t="shared" ca="1" si="43"/>
        <v>0</v>
      </c>
      <c r="K75" s="76">
        <f t="shared" si="44"/>
        <v>0</v>
      </c>
      <c r="L75" s="76">
        <f t="shared" ca="1" si="47"/>
        <v>0</v>
      </c>
      <c r="M75" s="76">
        <f t="shared" ref="M75" ca="1" si="69">GETSUPER(J75-SUM(K75:L75))</f>
        <v>0</v>
      </c>
      <c r="N75" s="76">
        <f t="shared" ca="1" si="45"/>
        <v>0</v>
      </c>
      <c r="O75" s="76">
        <f t="shared" ref="O75" ca="1" si="70">ROUND((J75-SUM(K75:N75))*InsureRate,2)</f>
        <v>0</v>
      </c>
      <c r="P75" s="76"/>
      <c r="Q75" s="76">
        <f t="shared" ref="Q75" ca="1" si="71">J75-SUM(K75:P75)</f>
        <v>0</v>
      </c>
      <c r="R75" s="76">
        <f ca="1">GETTAX(SUM(Q74:Q75),AA75)</f>
        <v>0</v>
      </c>
      <c r="S75" s="76">
        <f t="shared" ref="S75" ca="1" si="72">Q75-R75</f>
        <v>0</v>
      </c>
      <c r="T75" s="232">
        <f t="shared" ca="1" si="46"/>
        <v>0</v>
      </c>
      <c r="V75" s="120" t="str">
        <f t="shared" ref="V75" si="73">IF(EmpID="*","*",C75) &amp;":"&amp; $A75</f>
        <v>:0</v>
      </c>
      <c r="W75" s="120" t="str">
        <f t="shared" si="56"/>
        <v>:</v>
      </c>
      <c r="X75" s="120" t="str">
        <f t="shared" si="59"/>
        <v>:</v>
      </c>
      <c r="Y75" s="250">
        <f t="array" aca="1" ref="Y75:AJ75" ca="1">VLOOKUP($D75&amp;":"&amp;$C75,tblPayRates,{3,4,5,6,7,8,9,10,11,12,13,14},0)</f>
        <v>0</v>
      </c>
      <c r="Z75" s="16" t="str">
        <f ca="1"/>
        <v>Nobody</v>
      </c>
      <c r="AA75" s="261" t="str">
        <f ca="1"/>
        <v>M</v>
      </c>
      <c r="AB75" s="77" t="str">
        <f ca="1"/>
        <v>Daily</v>
      </c>
      <c r="AC75" s="77">
        <f ca="1"/>
        <v>0</v>
      </c>
      <c r="AD75" s="77">
        <f ca="1"/>
        <v>0</v>
      </c>
      <c r="AE75" s="77">
        <f ca="1"/>
        <v>0</v>
      </c>
      <c r="AF75" s="77">
        <f ca="1"/>
        <v>0</v>
      </c>
      <c r="AG75" s="261" t="str">
        <f ca="1"/>
        <v>N</v>
      </c>
      <c r="AH75" s="261">
        <f ca="1"/>
        <v>1</v>
      </c>
      <c r="AI75" s="261">
        <f ca="1"/>
        <v>1</v>
      </c>
      <c r="AJ75" s="262">
        <f ca="1"/>
        <v>0</v>
      </c>
    </row>
    <row r="76" spans="1:36" hidden="1" outlineLevel="1" x14ac:dyDescent="0.25">
      <c r="A76" s="120">
        <f t="shared" si="48"/>
        <v>0</v>
      </c>
      <c r="B76" s="231"/>
      <c r="C76" s="77"/>
      <c r="D76" s="238"/>
      <c r="E76" s="76">
        <f ca="1">SUMIF(payNonMonth,"="&amp;$X76,$E$362:OFFSET($E$362,ROWS(payNonMonth)-1,0))</f>
        <v>0</v>
      </c>
      <c r="F76" s="76"/>
      <c r="G76" s="77">
        <f t="shared" ca="1" si="49"/>
        <v>0</v>
      </c>
      <c r="H76" s="76">
        <f t="shared" ca="1" si="50"/>
        <v>0</v>
      </c>
      <c r="I76" s="76">
        <f t="shared" ca="1" si="51"/>
        <v>0</v>
      </c>
      <c r="J76" s="233">
        <f t="shared" ca="1" si="43"/>
        <v>0</v>
      </c>
      <c r="K76" s="76">
        <f t="shared" si="44"/>
        <v>0</v>
      </c>
      <c r="L76" s="76">
        <f t="shared" ca="1" si="47"/>
        <v>0</v>
      </c>
      <c r="M76" s="76">
        <f t="shared" ca="1" si="52"/>
        <v>0</v>
      </c>
      <c r="N76" s="76">
        <f t="shared" ca="1" si="45"/>
        <v>0</v>
      </c>
      <c r="O76" s="76">
        <f t="shared" ca="1" si="57"/>
        <v>0</v>
      </c>
      <c r="P76" s="76"/>
      <c r="Q76" s="76">
        <f t="shared" ca="1" si="53"/>
        <v>0</v>
      </c>
      <c r="R76" s="76">
        <f t="shared" ca="1" si="31"/>
        <v>0</v>
      </c>
      <c r="S76" s="76">
        <f t="shared" ca="1" si="54"/>
        <v>0</v>
      </c>
      <c r="T76" s="232">
        <f t="shared" ca="1" si="46"/>
        <v>0</v>
      </c>
      <c r="V76" s="120" t="str">
        <f t="shared" si="55"/>
        <v>:0</v>
      </c>
      <c r="W76" s="120" t="str">
        <f t="shared" si="56"/>
        <v>:</v>
      </c>
      <c r="X76" s="120" t="str">
        <f t="shared" si="41"/>
        <v>:0</v>
      </c>
      <c r="Y76" s="250">
        <f t="array" aca="1" ref="Y76:AJ76" ca="1">VLOOKUP($D76&amp;":"&amp;$C76,tblPayRates,{3,4,5,6,7,8,9,10,11,12,13,14},0)</f>
        <v>0</v>
      </c>
      <c r="Z76" s="16" t="str">
        <f ca="1"/>
        <v>Nobody</v>
      </c>
      <c r="AA76" s="261" t="str">
        <f ca="1"/>
        <v>M</v>
      </c>
      <c r="AB76" s="77" t="str">
        <f ca="1"/>
        <v>Daily</v>
      </c>
      <c r="AC76" s="77">
        <f ca="1"/>
        <v>0</v>
      </c>
      <c r="AD76" s="77">
        <f ca="1"/>
        <v>0</v>
      </c>
      <c r="AE76" s="77">
        <f ca="1"/>
        <v>0</v>
      </c>
      <c r="AF76" s="77">
        <f ca="1"/>
        <v>0</v>
      </c>
      <c r="AG76" s="261" t="str">
        <f ca="1"/>
        <v>N</v>
      </c>
      <c r="AH76" s="261">
        <f ca="1"/>
        <v>1</v>
      </c>
      <c r="AI76" s="261">
        <f ca="1"/>
        <v>1</v>
      </c>
      <c r="AJ76" s="262">
        <f ca="1"/>
        <v>0</v>
      </c>
    </row>
    <row r="77" spans="1:36" hidden="1" outlineLevel="1" x14ac:dyDescent="0.25">
      <c r="A77" s="120">
        <f t="shared" si="48"/>
        <v>0</v>
      </c>
      <c r="B77" s="231"/>
      <c r="C77" s="77"/>
      <c r="D77" s="238"/>
      <c r="E77" s="76">
        <f ca="1">SUMIF(payNonMonth,"="&amp;$X77,$E$362:OFFSET($E$362,ROWS(payNonMonth)-1,0))</f>
        <v>0</v>
      </c>
      <c r="F77" s="76"/>
      <c r="G77" s="77">
        <f t="shared" ca="1" si="49"/>
        <v>0</v>
      </c>
      <c r="H77" s="76">
        <f t="shared" ca="1" si="50"/>
        <v>0</v>
      </c>
      <c r="I77" s="76">
        <f t="shared" ca="1" si="51"/>
        <v>0</v>
      </c>
      <c r="J77" s="233">
        <f t="shared" ca="1" si="43"/>
        <v>0</v>
      </c>
      <c r="K77" s="76">
        <f t="shared" si="44"/>
        <v>0</v>
      </c>
      <c r="L77" s="76">
        <f t="shared" ca="1" si="47"/>
        <v>0</v>
      </c>
      <c r="M77" s="76">
        <f t="shared" ca="1" si="52"/>
        <v>0</v>
      </c>
      <c r="N77" s="76">
        <f t="shared" ca="1" si="45"/>
        <v>0</v>
      </c>
      <c r="O77" s="76">
        <f t="shared" ca="1" si="57"/>
        <v>0</v>
      </c>
      <c r="P77" s="76"/>
      <c r="Q77" s="76">
        <f t="shared" ca="1" si="53"/>
        <v>0</v>
      </c>
      <c r="R77" s="76">
        <f t="shared" ca="1" si="31"/>
        <v>0</v>
      </c>
      <c r="S77" s="76">
        <f t="shared" ca="1" si="54"/>
        <v>0</v>
      </c>
      <c r="T77" s="232">
        <f t="shared" ca="1" si="46"/>
        <v>0</v>
      </c>
      <c r="V77" s="120" t="str">
        <f t="shared" si="55"/>
        <v>:0</v>
      </c>
      <c r="W77" s="120" t="str">
        <f t="shared" si="56"/>
        <v>:</v>
      </c>
      <c r="X77" s="120" t="str">
        <f t="shared" si="41"/>
        <v>:0</v>
      </c>
      <c r="Y77" s="250">
        <f t="array" aca="1" ref="Y77:AJ77" ca="1">VLOOKUP($D77&amp;":"&amp;$C77,tblPayRates,{3,4,5,6,7,8,9,10,11,12,13,14},0)</f>
        <v>0</v>
      </c>
      <c r="Z77" s="16" t="str">
        <f ca="1"/>
        <v>Nobody</v>
      </c>
      <c r="AA77" s="261" t="str">
        <f ca="1"/>
        <v>M</v>
      </c>
      <c r="AB77" s="77" t="str">
        <f ca="1"/>
        <v>Daily</v>
      </c>
      <c r="AC77" s="77">
        <f ca="1"/>
        <v>0</v>
      </c>
      <c r="AD77" s="77">
        <f ca="1"/>
        <v>0</v>
      </c>
      <c r="AE77" s="77">
        <f ca="1"/>
        <v>0</v>
      </c>
      <c r="AF77" s="77">
        <f ca="1"/>
        <v>0</v>
      </c>
      <c r="AG77" s="261" t="str">
        <f ca="1"/>
        <v>N</v>
      </c>
      <c r="AH77" s="261">
        <f ca="1"/>
        <v>1</v>
      </c>
      <c r="AI77" s="261">
        <f ca="1"/>
        <v>1</v>
      </c>
      <c r="AJ77" s="262">
        <f ca="1"/>
        <v>0</v>
      </c>
    </row>
    <row r="78" spans="1:36" hidden="1" outlineLevel="1" x14ac:dyDescent="0.25">
      <c r="A78" s="120">
        <f t="shared" si="48"/>
        <v>0</v>
      </c>
      <c r="B78" s="231"/>
      <c r="C78" s="77"/>
      <c r="D78" s="238"/>
      <c r="E78" s="76">
        <f ca="1">SUMIF(payNonMonth,"="&amp;$X78,$E$362:OFFSET($E$362,ROWS(payNonMonth)-1,0))</f>
        <v>0</v>
      </c>
      <c r="F78" s="76"/>
      <c r="G78" s="77">
        <f t="shared" ca="1" si="49"/>
        <v>0</v>
      </c>
      <c r="H78" s="76">
        <f t="shared" ca="1" si="50"/>
        <v>0</v>
      </c>
      <c r="I78" s="76">
        <f t="shared" ca="1" si="51"/>
        <v>0</v>
      </c>
      <c r="J78" s="233">
        <f t="shared" ca="1" si="43"/>
        <v>0</v>
      </c>
      <c r="K78" s="76">
        <f t="shared" si="44"/>
        <v>0</v>
      </c>
      <c r="L78" s="76">
        <f t="shared" ca="1" si="47"/>
        <v>0</v>
      </c>
      <c r="M78" s="76">
        <f t="shared" ca="1" si="52"/>
        <v>0</v>
      </c>
      <c r="N78" s="76">
        <f t="shared" ca="1" si="45"/>
        <v>0</v>
      </c>
      <c r="O78" s="76">
        <f t="shared" ca="1" si="57"/>
        <v>0</v>
      </c>
      <c r="P78" s="76"/>
      <c r="Q78" s="76">
        <f t="shared" ca="1" si="53"/>
        <v>0</v>
      </c>
      <c r="R78" s="76">
        <f t="shared" ca="1" si="31"/>
        <v>0</v>
      </c>
      <c r="S78" s="76">
        <f t="shared" ca="1" si="54"/>
        <v>0</v>
      </c>
      <c r="T78" s="232">
        <f t="shared" ca="1" si="46"/>
        <v>0</v>
      </c>
      <c r="V78" s="120" t="str">
        <f t="shared" si="55"/>
        <v>:0</v>
      </c>
      <c r="W78" s="120" t="str">
        <f t="shared" si="56"/>
        <v>:</v>
      </c>
      <c r="X78" s="120" t="str">
        <f t="shared" si="41"/>
        <v>:0</v>
      </c>
      <c r="Y78" s="250">
        <f t="array" aca="1" ref="Y78:AJ78" ca="1">VLOOKUP($D78&amp;":"&amp;$C78,tblPayRates,{3,4,5,6,7,8,9,10,11,12,13,14},0)</f>
        <v>0</v>
      </c>
      <c r="Z78" s="16" t="str">
        <f ca="1"/>
        <v>Nobody</v>
      </c>
      <c r="AA78" s="261" t="str">
        <f ca="1"/>
        <v>M</v>
      </c>
      <c r="AB78" s="77" t="str">
        <f ca="1"/>
        <v>Daily</v>
      </c>
      <c r="AC78" s="77">
        <f ca="1"/>
        <v>0</v>
      </c>
      <c r="AD78" s="77">
        <f ca="1"/>
        <v>0</v>
      </c>
      <c r="AE78" s="77">
        <f ca="1"/>
        <v>0</v>
      </c>
      <c r="AF78" s="77">
        <f ca="1"/>
        <v>0</v>
      </c>
      <c r="AG78" s="261" t="str">
        <f ca="1"/>
        <v>N</v>
      </c>
      <c r="AH78" s="261">
        <f ca="1"/>
        <v>1</v>
      </c>
      <c r="AI78" s="261">
        <f ca="1"/>
        <v>1</v>
      </c>
      <c r="AJ78" s="262">
        <f ca="1"/>
        <v>0</v>
      </c>
    </row>
    <row r="79" spans="1:36" hidden="1" outlineLevel="1" x14ac:dyDescent="0.25">
      <c r="A79" s="120">
        <f t="shared" si="48"/>
        <v>0</v>
      </c>
      <c r="B79" s="231"/>
      <c r="C79" s="77"/>
      <c r="D79" s="238"/>
      <c r="E79" s="76">
        <f ca="1">SUMIF(payNonMonth,"="&amp;$X79,$E$362:OFFSET($E$362,ROWS(payNonMonth)-1,0))</f>
        <v>0</v>
      </c>
      <c r="F79" s="76"/>
      <c r="G79" s="77">
        <f t="shared" ca="1" si="49"/>
        <v>0</v>
      </c>
      <c r="H79" s="76">
        <f t="shared" ca="1" si="50"/>
        <v>0</v>
      </c>
      <c r="I79" s="76">
        <f t="shared" ca="1" si="51"/>
        <v>0</v>
      </c>
      <c r="J79" s="233">
        <f t="shared" ca="1" si="43"/>
        <v>0</v>
      </c>
      <c r="K79" s="76">
        <f t="shared" si="44"/>
        <v>0</v>
      </c>
      <c r="L79" s="76">
        <f t="shared" ca="1" si="47"/>
        <v>0</v>
      </c>
      <c r="M79" s="76">
        <f t="shared" ca="1" si="52"/>
        <v>0</v>
      </c>
      <c r="N79" s="76">
        <f t="shared" ca="1" si="45"/>
        <v>0</v>
      </c>
      <c r="O79" s="76"/>
      <c r="P79" s="76"/>
      <c r="Q79" s="76">
        <f t="shared" ca="1" si="53"/>
        <v>0</v>
      </c>
      <c r="R79" s="76">
        <f t="shared" ca="1" si="31"/>
        <v>0</v>
      </c>
      <c r="S79" s="76">
        <f t="shared" ca="1" si="54"/>
        <v>0</v>
      </c>
      <c r="T79" s="232">
        <f t="shared" ca="1" si="46"/>
        <v>0</v>
      </c>
      <c r="V79" s="120" t="str">
        <f t="shared" si="55"/>
        <v>:0</v>
      </c>
      <c r="W79" s="120" t="str">
        <f t="shared" si="56"/>
        <v>:</v>
      </c>
      <c r="X79" s="120" t="str">
        <f t="shared" si="41"/>
        <v>:0</v>
      </c>
      <c r="Y79" s="250">
        <f t="array" aca="1" ref="Y79:AJ79" ca="1">VLOOKUP($D79&amp;":"&amp;$C79,tblPayRates,{3,4,5,6,7,8,9,10,11,12,13,14},0)</f>
        <v>0</v>
      </c>
      <c r="Z79" s="16" t="str">
        <f ca="1"/>
        <v>Nobody</v>
      </c>
      <c r="AA79" s="261" t="str">
        <f ca="1"/>
        <v>M</v>
      </c>
      <c r="AB79" s="77" t="str">
        <f ca="1"/>
        <v>Daily</v>
      </c>
      <c r="AC79" s="77">
        <f ca="1"/>
        <v>0</v>
      </c>
      <c r="AD79" s="77">
        <f ca="1"/>
        <v>0</v>
      </c>
      <c r="AE79" s="77">
        <f ca="1"/>
        <v>0</v>
      </c>
      <c r="AF79" s="77">
        <f ca="1"/>
        <v>0</v>
      </c>
      <c r="AG79" s="261" t="str">
        <f ca="1"/>
        <v>N</v>
      </c>
      <c r="AH79" s="261">
        <f ca="1"/>
        <v>1</v>
      </c>
      <c r="AI79" s="261">
        <f ca="1"/>
        <v>1</v>
      </c>
      <c r="AJ79" s="262">
        <f ca="1"/>
        <v>0</v>
      </c>
    </row>
    <row r="80" spans="1:36" hidden="1" outlineLevel="1" x14ac:dyDescent="0.25">
      <c r="A80" s="120">
        <f t="shared" si="48"/>
        <v>0</v>
      </c>
      <c r="B80" s="231"/>
      <c r="C80" s="77"/>
      <c r="D80" s="238"/>
      <c r="E80" s="76">
        <f ca="1">SUMIF(payNonMonth,"="&amp;$X80,$E$362:OFFSET($E$362,ROWS(payNonMonth)-1,0))</f>
        <v>0</v>
      </c>
      <c r="F80" s="76"/>
      <c r="G80" s="77">
        <f t="shared" ca="1" si="49"/>
        <v>0</v>
      </c>
      <c r="H80" s="76">
        <f t="shared" ca="1" si="50"/>
        <v>0</v>
      </c>
      <c r="I80" s="76">
        <f t="shared" ca="1" si="51"/>
        <v>0</v>
      </c>
      <c r="J80" s="233">
        <f t="shared" ca="1" si="43"/>
        <v>0</v>
      </c>
      <c r="K80" s="76">
        <f t="shared" si="44"/>
        <v>0</v>
      </c>
      <c r="L80" s="76">
        <f t="shared" ca="1" si="47"/>
        <v>0</v>
      </c>
      <c r="M80" s="76">
        <f t="shared" ca="1" si="52"/>
        <v>0</v>
      </c>
      <c r="N80" s="76">
        <f t="shared" ca="1" si="45"/>
        <v>0</v>
      </c>
      <c r="O80" s="76"/>
      <c r="P80" s="76"/>
      <c r="Q80" s="76">
        <f t="shared" ca="1" si="53"/>
        <v>0</v>
      </c>
      <c r="R80" s="76">
        <f t="shared" ca="1" si="31"/>
        <v>0</v>
      </c>
      <c r="S80" s="76">
        <f t="shared" ca="1" si="54"/>
        <v>0</v>
      </c>
      <c r="T80" s="232">
        <f t="shared" ca="1" si="46"/>
        <v>0</v>
      </c>
      <c r="V80" s="120" t="str">
        <f t="shared" si="55"/>
        <v>:0</v>
      </c>
      <c r="W80" s="120" t="str">
        <f t="shared" si="56"/>
        <v>:</v>
      </c>
      <c r="X80" s="120" t="str">
        <f t="shared" si="41"/>
        <v>:0</v>
      </c>
      <c r="Y80" s="250">
        <f t="array" aca="1" ref="Y80:AJ80" ca="1">VLOOKUP($D80&amp;":"&amp;$C80,tblPayRates,{3,4,5,6,7,8,9,10,11,12,13,14},0)</f>
        <v>0</v>
      </c>
      <c r="Z80" s="16" t="str">
        <f ca="1"/>
        <v>Nobody</v>
      </c>
      <c r="AA80" s="261" t="str">
        <f ca="1"/>
        <v>M</v>
      </c>
      <c r="AB80" s="77" t="str">
        <f ca="1"/>
        <v>Daily</v>
      </c>
      <c r="AC80" s="77">
        <f ca="1"/>
        <v>0</v>
      </c>
      <c r="AD80" s="77">
        <f ca="1"/>
        <v>0</v>
      </c>
      <c r="AE80" s="77">
        <f ca="1"/>
        <v>0</v>
      </c>
      <c r="AF80" s="77">
        <f ca="1"/>
        <v>0</v>
      </c>
      <c r="AG80" s="261" t="str">
        <f ca="1"/>
        <v>N</v>
      </c>
      <c r="AH80" s="261">
        <f ca="1"/>
        <v>1</v>
      </c>
      <c r="AI80" s="261">
        <f ca="1"/>
        <v>1</v>
      </c>
      <c r="AJ80" s="262">
        <f ca="1"/>
        <v>0</v>
      </c>
    </row>
    <row r="81" spans="1:36" hidden="1" outlineLevel="1" x14ac:dyDescent="0.25">
      <c r="A81" s="120">
        <f t="shared" si="48"/>
        <v>0</v>
      </c>
      <c r="B81" s="231"/>
      <c r="C81" s="77"/>
      <c r="D81" s="238"/>
      <c r="E81" s="76">
        <f ca="1">SUMIF(payNonMonth,"="&amp;$X81,$E$362:OFFSET($E$362,ROWS(payNonMonth)-1,0))</f>
        <v>0</v>
      </c>
      <c r="F81" s="76"/>
      <c r="G81" s="77">
        <f t="shared" ca="1" si="49"/>
        <v>0</v>
      </c>
      <c r="H81" s="76">
        <f t="shared" ca="1" si="50"/>
        <v>0</v>
      </c>
      <c r="I81" s="76">
        <f t="shared" ca="1" si="51"/>
        <v>0</v>
      </c>
      <c r="J81" s="233">
        <f t="shared" ca="1" si="43"/>
        <v>0</v>
      </c>
      <c r="K81" s="76">
        <f t="shared" si="44"/>
        <v>0</v>
      </c>
      <c r="L81" s="76">
        <f t="shared" ca="1" si="47"/>
        <v>0</v>
      </c>
      <c r="M81" s="76">
        <f t="shared" ca="1" si="52"/>
        <v>0</v>
      </c>
      <c r="N81" s="76">
        <f t="shared" ca="1" si="45"/>
        <v>0</v>
      </c>
      <c r="O81" s="76">
        <f t="shared" ca="1" si="57"/>
        <v>0</v>
      </c>
      <c r="P81" s="76"/>
      <c r="Q81" s="76">
        <f t="shared" ca="1" si="53"/>
        <v>0</v>
      </c>
      <c r="R81" s="76">
        <f t="shared" ca="1" si="31"/>
        <v>0</v>
      </c>
      <c r="S81" s="76">
        <f t="shared" ca="1" si="54"/>
        <v>0</v>
      </c>
      <c r="T81" s="232">
        <f t="shared" ca="1" si="46"/>
        <v>0</v>
      </c>
      <c r="V81" s="120" t="str">
        <f t="shared" si="55"/>
        <v>:0</v>
      </c>
      <c r="W81" s="120" t="str">
        <f t="shared" si="56"/>
        <v>:</v>
      </c>
      <c r="X81" s="120" t="str">
        <f t="shared" si="41"/>
        <v>:0</v>
      </c>
      <c r="Y81" s="250">
        <f t="array" aca="1" ref="Y81:AJ81" ca="1">VLOOKUP($D81&amp;":"&amp;$C81,tblPayRates,{3,4,5,6,7,8,9,10,11,12,13,14},0)</f>
        <v>0</v>
      </c>
      <c r="Z81" s="16" t="str">
        <f ca="1"/>
        <v>Nobody</v>
      </c>
      <c r="AA81" s="261" t="str">
        <f ca="1"/>
        <v>M</v>
      </c>
      <c r="AB81" s="77" t="str">
        <f ca="1"/>
        <v>Daily</v>
      </c>
      <c r="AC81" s="77">
        <f ca="1"/>
        <v>0</v>
      </c>
      <c r="AD81" s="77">
        <f ca="1"/>
        <v>0</v>
      </c>
      <c r="AE81" s="77">
        <f ca="1"/>
        <v>0</v>
      </c>
      <c r="AF81" s="77">
        <f ca="1"/>
        <v>0</v>
      </c>
      <c r="AG81" s="261" t="str">
        <f ca="1"/>
        <v>N</v>
      </c>
      <c r="AH81" s="261">
        <f ca="1"/>
        <v>1</v>
      </c>
      <c r="AI81" s="261">
        <f ca="1"/>
        <v>1</v>
      </c>
      <c r="AJ81" s="262">
        <f ca="1"/>
        <v>0</v>
      </c>
    </row>
    <row r="82" spans="1:36" hidden="1" outlineLevel="1" x14ac:dyDescent="0.25">
      <c r="A82" s="120">
        <f t="shared" si="48"/>
        <v>0</v>
      </c>
      <c r="B82" s="231"/>
      <c r="C82" s="77"/>
      <c r="D82" s="238"/>
      <c r="E82" s="76">
        <f ca="1">SUMIF(payNonMonth,"="&amp;$X82,$E$362:OFFSET($E$362,ROWS(payNonMonth)-1,0))</f>
        <v>0</v>
      </c>
      <c r="F82" s="76"/>
      <c r="G82" s="77">
        <f t="shared" ca="1" si="49"/>
        <v>0</v>
      </c>
      <c r="H82" s="76">
        <f t="shared" ca="1" si="50"/>
        <v>0</v>
      </c>
      <c r="I82" s="76">
        <f t="shared" ca="1" si="51"/>
        <v>0</v>
      </c>
      <c r="J82" s="233">
        <f t="shared" ca="1" si="43"/>
        <v>0</v>
      </c>
      <c r="K82" s="76">
        <f t="shared" si="44"/>
        <v>0</v>
      </c>
      <c r="L82" s="76">
        <f t="shared" ca="1" si="47"/>
        <v>0</v>
      </c>
      <c r="M82" s="76">
        <f t="shared" ca="1" si="52"/>
        <v>0</v>
      </c>
      <c r="N82" s="76">
        <f t="shared" ca="1" si="45"/>
        <v>0</v>
      </c>
      <c r="O82" s="76">
        <f t="shared" ca="1" si="57"/>
        <v>0</v>
      </c>
      <c r="P82" s="76"/>
      <c r="Q82" s="76">
        <f t="shared" ca="1" si="53"/>
        <v>0</v>
      </c>
      <c r="R82" s="76">
        <f t="shared" ca="1" si="31"/>
        <v>0</v>
      </c>
      <c r="S82" s="76">
        <f t="shared" ca="1" si="54"/>
        <v>0</v>
      </c>
      <c r="T82" s="232">
        <f t="shared" ca="1" si="46"/>
        <v>0</v>
      </c>
      <c r="V82" s="120" t="str">
        <f t="shared" si="55"/>
        <v>:0</v>
      </c>
      <c r="W82" s="120" t="str">
        <f t="shared" si="56"/>
        <v>:</v>
      </c>
      <c r="X82" s="120" t="str">
        <f t="shared" ref="X82:X97" si="74">C82 &amp;":"&amp; B82</f>
        <v>:</v>
      </c>
      <c r="Y82" s="250">
        <f t="array" aca="1" ref="Y82:AJ82" ca="1">VLOOKUP($D82&amp;":"&amp;$C82,tblPayRates,{3,4,5,6,7,8,9,10,11,12,13,14},0)</f>
        <v>0</v>
      </c>
      <c r="Z82" s="16" t="str">
        <f ca="1"/>
        <v>Nobody</v>
      </c>
      <c r="AA82" s="261" t="str">
        <f ca="1"/>
        <v>M</v>
      </c>
      <c r="AB82" s="77" t="str">
        <f ca="1"/>
        <v>Daily</v>
      </c>
      <c r="AC82" s="77">
        <f ca="1"/>
        <v>0</v>
      </c>
      <c r="AD82" s="77">
        <f ca="1"/>
        <v>0</v>
      </c>
      <c r="AE82" s="77">
        <f ca="1"/>
        <v>0</v>
      </c>
      <c r="AF82" s="77">
        <f ca="1"/>
        <v>0</v>
      </c>
      <c r="AG82" s="261" t="str">
        <f ca="1"/>
        <v>N</v>
      </c>
      <c r="AH82" s="261">
        <f ca="1"/>
        <v>1</v>
      </c>
      <c r="AI82" s="261">
        <f ca="1"/>
        <v>1</v>
      </c>
      <c r="AJ82" s="262">
        <f ca="1"/>
        <v>0</v>
      </c>
    </row>
    <row r="83" spans="1:36" hidden="1" outlineLevel="1" x14ac:dyDescent="0.25">
      <c r="A83" s="120">
        <f>GETPAYMONTH(B83)</f>
        <v>0</v>
      </c>
      <c r="B83" s="231"/>
      <c r="C83" s="77"/>
      <c r="D83" s="238"/>
      <c r="E83" s="76">
        <f ca="1">SUMIF(payNonMonth,"="&amp;$X83,$E$362:OFFSET($E$362,ROWS(payNonMonth)-1,0))</f>
        <v>0</v>
      </c>
      <c r="F83" s="76"/>
      <c r="G83" s="77">
        <f ca="1">IF(AND($E83=0,$F83=0),0,1)</f>
        <v>0</v>
      </c>
      <c r="H83" s="76">
        <f ca="1">ROUND(SUM(E83:F83)*AC83,2)</f>
        <v>0</v>
      </c>
      <c r="I83" s="76">
        <f ca="1">H83*OFFSET(payMgmtRate,0,$AH83)</f>
        <v>0</v>
      </c>
      <c r="J83" s="233">
        <f t="shared" ca="1" si="43"/>
        <v>0</v>
      </c>
      <c r="K83" s="76">
        <f t="shared" si="44"/>
        <v>0</v>
      </c>
      <c r="L83" s="76">
        <f t="shared" ca="1" si="47"/>
        <v>0</v>
      </c>
      <c r="M83" s="76">
        <f ca="1">GETSUPER(J83-SUM(K83:L83))</f>
        <v>0</v>
      </c>
      <c r="N83" s="76">
        <f t="shared" ca="1" si="45"/>
        <v>0</v>
      </c>
      <c r="O83" s="76">
        <f ca="1">ROUND((J83-SUM(K83:N83))*InsureRate,2)</f>
        <v>0</v>
      </c>
      <c r="P83" s="76"/>
      <c r="Q83" s="76">
        <f ca="1">J83-SUM(K83:P83)</f>
        <v>0</v>
      </c>
      <c r="R83" s="76">
        <f ca="1">GETTAX(Q83,AA83)</f>
        <v>0</v>
      </c>
      <c r="S83" s="76">
        <f ca="1">Q83-R83</f>
        <v>0</v>
      </c>
      <c r="T83" s="232">
        <f t="shared" ca="1" si="46"/>
        <v>0</v>
      </c>
      <c r="V83" s="120" t="str">
        <f>IF(EmpID="*","*",C83) &amp;":"&amp; $A83</f>
        <v>:0</v>
      </c>
      <c r="W83" s="120" t="str">
        <f>$C83 &amp;":"&amp; $B83</f>
        <v>:</v>
      </c>
      <c r="X83" s="120" t="str">
        <f t="shared" si="74"/>
        <v>:</v>
      </c>
      <c r="Y83" s="250">
        <f t="array" aca="1" ref="Y83:AJ83" ca="1">VLOOKUP($D83&amp;":"&amp;$C83,tblPayRates,{3,4,5,6,7,8,9,10,11,12,13,14},0)</f>
        <v>0</v>
      </c>
      <c r="Z83" s="16" t="str">
        <f ca="1"/>
        <v>Nobody</v>
      </c>
      <c r="AA83" s="261" t="str">
        <f ca="1"/>
        <v>M</v>
      </c>
      <c r="AB83" s="77" t="str">
        <f ca="1"/>
        <v>Daily</v>
      </c>
      <c r="AC83" s="77">
        <f ca="1"/>
        <v>0</v>
      </c>
      <c r="AD83" s="77">
        <f ca="1"/>
        <v>0</v>
      </c>
      <c r="AE83" s="77">
        <f ca="1"/>
        <v>0</v>
      </c>
      <c r="AF83" s="77">
        <f ca="1"/>
        <v>0</v>
      </c>
      <c r="AG83" s="261" t="str">
        <f ca="1"/>
        <v>N</v>
      </c>
      <c r="AH83" s="261">
        <f ca="1"/>
        <v>1</v>
      </c>
      <c r="AI83" s="261">
        <f ca="1"/>
        <v>1</v>
      </c>
      <c r="AJ83" s="262">
        <f ca="1"/>
        <v>0</v>
      </c>
    </row>
    <row r="84" spans="1:36" hidden="1" outlineLevel="1" x14ac:dyDescent="0.25">
      <c r="A84" s="120">
        <f t="shared" si="48"/>
        <v>0</v>
      </c>
      <c r="B84" s="231"/>
      <c r="C84" s="77"/>
      <c r="D84" s="238"/>
      <c r="E84" s="76">
        <f ca="1">SUMIF(payNonMonth,"="&amp;$X84,$E$362:OFFSET($E$362,ROWS(payNonMonth)-1,0))</f>
        <v>0</v>
      </c>
      <c r="F84" s="76"/>
      <c r="G84" s="77">
        <f t="shared" ca="1" si="49"/>
        <v>0</v>
      </c>
      <c r="H84" s="76">
        <f t="shared" ca="1" si="50"/>
        <v>0</v>
      </c>
      <c r="I84" s="76">
        <f t="shared" ca="1" si="51"/>
        <v>0</v>
      </c>
      <c r="J84" s="233">
        <f t="shared" ca="1" si="43"/>
        <v>0</v>
      </c>
      <c r="K84" s="76">
        <f t="shared" si="44"/>
        <v>0</v>
      </c>
      <c r="L84" s="76">
        <f t="shared" ca="1" si="47"/>
        <v>0</v>
      </c>
      <c r="M84" s="76">
        <f t="shared" ca="1" si="52"/>
        <v>0</v>
      </c>
      <c r="N84" s="76">
        <f t="shared" ca="1" si="45"/>
        <v>0</v>
      </c>
      <c r="O84" s="76">
        <f t="shared" ca="1" si="57"/>
        <v>0</v>
      </c>
      <c r="P84" s="76"/>
      <c r="Q84" s="76">
        <f t="shared" ca="1" si="53"/>
        <v>0</v>
      </c>
      <c r="R84" s="76">
        <f t="shared" ca="1" si="31"/>
        <v>0</v>
      </c>
      <c r="S84" s="76">
        <f t="shared" ca="1" si="54"/>
        <v>0</v>
      </c>
      <c r="T84" s="232">
        <f t="shared" ca="1" si="46"/>
        <v>0</v>
      </c>
      <c r="V84" s="120" t="str">
        <f t="shared" si="55"/>
        <v>:0</v>
      </c>
      <c r="W84" s="120" t="str">
        <f t="shared" si="56"/>
        <v>:</v>
      </c>
      <c r="X84" s="120" t="str">
        <f t="shared" si="74"/>
        <v>:</v>
      </c>
      <c r="Y84" s="250">
        <f t="array" aca="1" ref="Y84:AJ84" ca="1">VLOOKUP($D84&amp;":"&amp;$C84,tblPayRates,{3,4,5,6,7,8,9,10,11,12,13,14},0)</f>
        <v>0</v>
      </c>
      <c r="Z84" s="16" t="str">
        <f ca="1"/>
        <v>Nobody</v>
      </c>
      <c r="AA84" s="261" t="str">
        <f ca="1"/>
        <v>M</v>
      </c>
      <c r="AB84" s="77" t="str">
        <f ca="1"/>
        <v>Daily</v>
      </c>
      <c r="AC84" s="77">
        <f ca="1"/>
        <v>0</v>
      </c>
      <c r="AD84" s="77">
        <f ca="1"/>
        <v>0</v>
      </c>
      <c r="AE84" s="77">
        <f ca="1"/>
        <v>0</v>
      </c>
      <c r="AF84" s="77">
        <f ca="1"/>
        <v>0</v>
      </c>
      <c r="AG84" s="261" t="str">
        <f ca="1"/>
        <v>N</v>
      </c>
      <c r="AH84" s="261">
        <f ca="1"/>
        <v>1</v>
      </c>
      <c r="AI84" s="261">
        <f ca="1"/>
        <v>1</v>
      </c>
      <c r="AJ84" s="262">
        <f ca="1"/>
        <v>0</v>
      </c>
    </row>
    <row r="85" spans="1:36" hidden="1" outlineLevel="1" x14ac:dyDescent="0.25">
      <c r="A85" s="120">
        <f t="shared" si="48"/>
        <v>0</v>
      </c>
      <c r="B85" s="231"/>
      <c r="C85" s="77"/>
      <c r="D85" s="238"/>
      <c r="E85" s="76">
        <f ca="1">SUMIF(payNonMonth,"="&amp;$X85,$E$362:OFFSET($E$362,ROWS(payNonMonth)-1,0))</f>
        <v>0</v>
      </c>
      <c r="F85" s="76"/>
      <c r="G85" s="77">
        <f t="shared" ca="1" si="49"/>
        <v>0</v>
      </c>
      <c r="H85" s="76">
        <f t="shared" ca="1" si="50"/>
        <v>0</v>
      </c>
      <c r="I85" s="76">
        <f t="shared" ca="1" si="51"/>
        <v>0</v>
      </c>
      <c r="J85" s="233">
        <f t="shared" ca="1" si="43"/>
        <v>0</v>
      </c>
      <c r="K85" s="76">
        <f t="shared" si="44"/>
        <v>0</v>
      </c>
      <c r="L85" s="76">
        <f t="shared" ca="1" si="47"/>
        <v>0</v>
      </c>
      <c r="M85" s="76">
        <f t="shared" ca="1" si="52"/>
        <v>0</v>
      </c>
      <c r="N85" s="76">
        <f t="shared" ca="1" si="45"/>
        <v>0</v>
      </c>
      <c r="O85" s="76">
        <f t="shared" ca="1" si="57"/>
        <v>0</v>
      </c>
      <c r="P85" s="76"/>
      <c r="Q85" s="76">
        <f t="shared" ca="1" si="53"/>
        <v>0</v>
      </c>
      <c r="R85" s="76">
        <f t="shared" ca="1" si="31"/>
        <v>0</v>
      </c>
      <c r="S85" s="76">
        <f t="shared" ca="1" si="54"/>
        <v>0</v>
      </c>
      <c r="T85" s="232">
        <f t="shared" ca="1" si="46"/>
        <v>0</v>
      </c>
      <c r="V85" s="120" t="str">
        <f t="shared" si="55"/>
        <v>:0</v>
      </c>
      <c r="W85" s="120" t="str">
        <f t="shared" si="56"/>
        <v>:</v>
      </c>
      <c r="X85" s="120" t="str">
        <f t="shared" si="74"/>
        <v>:</v>
      </c>
      <c r="Y85" s="250">
        <f t="array" aca="1" ref="Y85:AJ85" ca="1">VLOOKUP($D85&amp;":"&amp;$C85,tblPayRates,{3,4,5,6,7,8,9,10,11,12,13,14},0)</f>
        <v>0</v>
      </c>
      <c r="Z85" s="16" t="str">
        <f ca="1"/>
        <v>Nobody</v>
      </c>
      <c r="AA85" s="261" t="str">
        <f ca="1"/>
        <v>M</v>
      </c>
      <c r="AB85" s="77" t="str">
        <f ca="1"/>
        <v>Daily</v>
      </c>
      <c r="AC85" s="77">
        <f ca="1"/>
        <v>0</v>
      </c>
      <c r="AD85" s="77">
        <f ca="1"/>
        <v>0</v>
      </c>
      <c r="AE85" s="77">
        <f ca="1"/>
        <v>0</v>
      </c>
      <c r="AF85" s="77">
        <f ca="1"/>
        <v>0</v>
      </c>
      <c r="AG85" s="261" t="str">
        <f ca="1"/>
        <v>N</v>
      </c>
      <c r="AH85" s="261">
        <f ca="1"/>
        <v>1</v>
      </c>
      <c r="AI85" s="261">
        <f ca="1"/>
        <v>1</v>
      </c>
      <c r="AJ85" s="262">
        <f ca="1"/>
        <v>0</v>
      </c>
    </row>
    <row r="86" spans="1:36" hidden="1" outlineLevel="1" x14ac:dyDescent="0.25">
      <c r="A86" s="120">
        <f t="shared" si="48"/>
        <v>0</v>
      </c>
      <c r="B86" s="231"/>
      <c r="C86" s="77"/>
      <c r="D86" s="238"/>
      <c r="E86" s="76">
        <f ca="1">SUMIF(payNonMonth,"="&amp;$X86,$E$362:OFFSET($E$362,ROWS(payNonMonth)-1,0))</f>
        <v>0</v>
      </c>
      <c r="F86" s="76"/>
      <c r="G86" s="77">
        <f t="shared" ca="1" si="49"/>
        <v>0</v>
      </c>
      <c r="H86" s="76">
        <f t="shared" ca="1" si="50"/>
        <v>0</v>
      </c>
      <c r="I86" s="76">
        <f t="shared" ca="1" si="51"/>
        <v>0</v>
      </c>
      <c r="J86" s="233">
        <f t="shared" ca="1" si="43"/>
        <v>0</v>
      </c>
      <c r="K86" s="76">
        <f t="shared" si="44"/>
        <v>0</v>
      </c>
      <c r="L86" s="76">
        <f t="shared" ca="1" si="47"/>
        <v>0</v>
      </c>
      <c r="M86" s="76">
        <f t="shared" ca="1" si="52"/>
        <v>0</v>
      </c>
      <c r="N86" s="76">
        <f t="shared" ca="1" si="45"/>
        <v>0</v>
      </c>
      <c r="O86" s="76">
        <f t="shared" ca="1" si="57"/>
        <v>0</v>
      </c>
      <c r="P86" s="76"/>
      <c r="Q86" s="76">
        <f t="shared" ca="1" si="53"/>
        <v>0</v>
      </c>
      <c r="R86" s="76">
        <f t="shared" ca="1" si="31"/>
        <v>0</v>
      </c>
      <c r="S86" s="76">
        <f t="shared" ca="1" si="54"/>
        <v>0</v>
      </c>
      <c r="T86" s="232">
        <f t="shared" ca="1" si="46"/>
        <v>0</v>
      </c>
      <c r="V86" s="120" t="str">
        <f t="shared" si="55"/>
        <v>:0</v>
      </c>
      <c r="W86" s="120" t="str">
        <f t="shared" si="56"/>
        <v>:</v>
      </c>
      <c r="X86" s="120" t="str">
        <f t="shared" si="41"/>
        <v>:0</v>
      </c>
      <c r="Y86" s="250">
        <f t="array" aca="1" ref="Y86:AJ86" ca="1">VLOOKUP($D86&amp;":"&amp;$C86,tblPayRates,{3,4,5,6,7,8,9,10,11,12,13,14},0)</f>
        <v>0</v>
      </c>
      <c r="Z86" s="16" t="str">
        <f ca="1"/>
        <v>Nobody</v>
      </c>
      <c r="AA86" s="261" t="str">
        <f ca="1"/>
        <v>M</v>
      </c>
      <c r="AB86" s="77" t="str">
        <f ca="1"/>
        <v>Daily</v>
      </c>
      <c r="AC86" s="77">
        <f ca="1"/>
        <v>0</v>
      </c>
      <c r="AD86" s="77">
        <f ca="1"/>
        <v>0</v>
      </c>
      <c r="AE86" s="77">
        <f ca="1"/>
        <v>0</v>
      </c>
      <c r="AF86" s="77">
        <f ca="1"/>
        <v>0</v>
      </c>
      <c r="AG86" s="261" t="str">
        <f ca="1"/>
        <v>N</v>
      </c>
      <c r="AH86" s="261">
        <f ca="1"/>
        <v>1</v>
      </c>
      <c r="AI86" s="261">
        <f ca="1"/>
        <v>1</v>
      </c>
      <c r="AJ86" s="262">
        <f ca="1"/>
        <v>0</v>
      </c>
    </row>
    <row r="87" spans="1:36" hidden="1" outlineLevel="1" x14ac:dyDescent="0.25">
      <c r="A87" s="120">
        <f t="shared" si="48"/>
        <v>0</v>
      </c>
      <c r="B87" s="231"/>
      <c r="C87" s="77"/>
      <c r="D87" s="238"/>
      <c r="E87" s="76">
        <f ca="1">SUMIF(payNonMonth,"="&amp;$X87,$E$362:OFFSET($E$362,ROWS(payNonMonth)-1,0))</f>
        <v>0</v>
      </c>
      <c r="F87" s="76"/>
      <c r="G87" s="77">
        <f t="shared" ca="1" si="49"/>
        <v>0</v>
      </c>
      <c r="H87" s="76">
        <f t="shared" ca="1" si="50"/>
        <v>0</v>
      </c>
      <c r="I87" s="76">
        <f t="shared" ca="1" si="51"/>
        <v>0</v>
      </c>
      <c r="J87" s="233">
        <f t="shared" ref="J87:J113" ca="1" si="75">ROUND(IF(AI87,$E87,1)*AE87+$F87*AF87+SUMIF(payAllow,$W87,$J$269:$J$359),2)</f>
        <v>0</v>
      </c>
      <c r="K87" s="76">
        <f t="shared" ref="K87:K93" si="76">SUMIF(payAllow,$W87,K$269:K$359)+SUMIF(payAllow,$W87,O$269:O$359)</f>
        <v>0</v>
      </c>
      <c r="L87" s="76">
        <f t="shared" ca="1" si="47"/>
        <v>0</v>
      </c>
      <c r="M87" s="76">
        <f t="shared" ca="1" si="52"/>
        <v>0</v>
      </c>
      <c r="N87" s="76">
        <f t="shared" ref="N87:N112" ca="1" si="77">SUMIF(payAllow,$W87,N$269:N$359)*G87</f>
        <v>0</v>
      </c>
      <c r="O87" s="76">
        <f t="shared" ca="1" si="57"/>
        <v>0</v>
      </c>
      <c r="P87" s="76"/>
      <c r="Q87" s="76">
        <f t="shared" ca="1" si="53"/>
        <v>0</v>
      </c>
      <c r="R87" s="76">
        <f t="shared" ca="1" si="31"/>
        <v>0</v>
      </c>
      <c r="S87" s="76">
        <f t="shared" ca="1" si="54"/>
        <v>0</v>
      </c>
      <c r="T87" s="232">
        <f t="shared" ref="T87:T93" ca="1" si="78">SUMIF(payAllow,W87,T$269:T$359)*G87</f>
        <v>0</v>
      </c>
      <c r="V87" s="120" t="str">
        <f t="shared" si="55"/>
        <v>:0</v>
      </c>
      <c r="W87" s="120" t="str">
        <f t="shared" si="56"/>
        <v>:</v>
      </c>
      <c r="X87" s="120" t="str">
        <f t="shared" si="41"/>
        <v>:0</v>
      </c>
      <c r="Y87" s="250">
        <f t="array" aca="1" ref="Y87:AJ87" ca="1">VLOOKUP($D87&amp;":"&amp;$C87,tblPayRates,{3,4,5,6,7,8,9,10,11,12,13,14},0)</f>
        <v>0</v>
      </c>
      <c r="Z87" s="16" t="str">
        <f ca="1"/>
        <v>Nobody</v>
      </c>
      <c r="AA87" s="261" t="str">
        <f ca="1"/>
        <v>M</v>
      </c>
      <c r="AB87" s="77" t="str">
        <f ca="1"/>
        <v>Daily</v>
      </c>
      <c r="AC87" s="77">
        <f ca="1"/>
        <v>0</v>
      </c>
      <c r="AD87" s="77">
        <f ca="1"/>
        <v>0</v>
      </c>
      <c r="AE87" s="77">
        <f ca="1"/>
        <v>0</v>
      </c>
      <c r="AF87" s="77">
        <f ca="1"/>
        <v>0</v>
      </c>
      <c r="AG87" s="261" t="str">
        <f ca="1"/>
        <v>N</v>
      </c>
      <c r="AH87" s="261">
        <f ca="1"/>
        <v>1</v>
      </c>
      <c r="AI87" s="261">
        <f ca="1"/>
        <v>1</v>
      </c>
      <c r="AJ87" s="262">
        <f ca="1"/>
        <v>0</v>
      </c>
    </row>
    <row r="88" spans="1:36" hidden="1" outlineLevel="1" x14ac:dyDescent="0.25">
      <c r="A88" s="120">
        <f t="shared" si="48"/>
        <v>0</v>
      </c>
      <c r="B88" s="231"/>
      <c r="C88" s="77"/>
      <c r="D88" s="238"/>
      <c r="E88" s="76">
        <f ca="1">SUMIF(payNonMonth,"="&amp;$X88,$E$362:OFFSET($E$362,ROWS(payNonMonth)-1,0))</f>
        <v>0</v>
      </c>
      <c r="F88" s="76"/>
      <c r="G88" s="77">
        <f t="shared" ca="1" si="49"/>
        <v>0</v>
      </c>
      <c r="H88" s="76">
        <f t="shared" ca="1" si="50"/>
        <v>0</v>
      </c>
      <c r="I88" s="76">
        <f t="shared" ca="1" si="51"/>
        <v>0</v>
      </c>
      <c r="J88" s="233">
        <f t="shared" ca="1" si="75"/>
        <v>0</v>
      </c>
      <c r="K88" s="76">
        <f t="shared" si="76"/>
        <v>0</v>
      </c>
      <c r="L88" s="76">
        <f t="shared" ca="1" si="47"/>
        <v>0</v>
      </c>
      <c r="M88" s="76">
        <f t="shared" ca="1" si="52"/>
        <v>0</v>
      </c>
      <c r="N88" s="76">
        <f t="shared" ca="1" si="77"/>
        <v>0</v>
      </c>
      <c r="O88" s="76">
        <f t="shared" ca="1" si="57"/>
        <v>0</v>
      </c>
      <c r="P88" s="76"/>
      <c r="Q88" s="76">
        <f t="shared" ca="1" si="53"/>
        <v>0</v>
      </c>
      <c r="R88" s="76">
        <f t="shared" ca="1" si="31"/>
        <v>0</v>
      </c>
      <c r="S88" s="76">
        <f t="shared" ca="1" si="54"/>
        <v>0</v>
      </c>
      <c r="T88" s="232">
        <f t="shared" ca="1" si="78"/>
        <v>0</v>
      </c>
      <c r="V88" s="120" t="str">
        <f t="shared" si="55"/>
        <v>:0</v>
      </c>
      <c r="W88" s="120" t="str">
        <f t="shared" si="56"/>
        <v>:</v>
      </c>
      <c r="X88" s="120" t="str">
        <f t="shared" si="41"/>
        <v>:0</v>
      </c>
      <c r="Y88" s="250">
        <f t="array" aca="1" ref="Y88:AJ88" ca="1">VLOOKUP($D88&amp;":"&amp;$C88,tblPayRates,{3,4,5,6,7,8,9,10,11,12,13,14},0)</f>
        <v>0</v>
      </c>
      <c r="Z88" s="16" t="str">
        <f ca="1"/>
        <v>Nobody</v>
      </c>
      <c r="AA88" s="261" t="str">
        <f ca="1"/>
        <v>M</v>
      </c>
      <c r="AB88" s="77" t="str">
        <f ca="1"/>
        <v>Daily</v>
      </c>
      <c r="AC88" s="77">
        <f ca="1"/>
        <v>0</v>
      </c>
      <c r="AD88" s="77">
        <f ca="1"/>
        <v>0</v>
      </c>
      <c r="AE88" s="77">
        <f ca="1"/>
        <v>0</v>
      </c>
      <c r="AF88" s="77">
        <f ca="1"/>
        <v>0</v>
      </c>
      <c r="AG88" s="261" t="str">
        <f ca="1"/>
        <v>N</v>
      </c>
      <c r="AH88" s="261">
        <f ca="1"/>
        <v>1</v>
      </c>
      <c r="AI88" s="261">
        <f ca="1"/>
        <v>1</v>
      </c>
      <c r="AJ88" s="262">
        <f ca="1"/>
        <v>0</v>
      </c>
    </row>
    <row r="89" spans="1:36" hidden="1" outlineLevel="1" x14ac:dyDescent="0.25">
      <c r="A89" s="120">
        <f t="shared" si="48"/>
        <v>0</v>
      </c>
      <c r="B89" s="231"/>
      <c r="C89" s="77"/>
      <c r="D89" s="238"/>
      <c r="E89" s="76">
        <f ca="1">SUMIF(payNonMonth,"="&amp;$X89,$E$362:OFFSET($E$362,ROWS(payNonMonth)-1,0))</f>
        <v>0</v>
      </c>
      <c r="F89" s="76"/>
      <c r="G89" s="77">
        <f t="shared" ca="1" si="49"/>
        <v>0</v>
      </c>
      <c r="H89" s="76">
        <f t="shared" ca="1" si="50"/>
        <v>0</v>
      </c>
      <c r="I89" s="76">
        <f t="shared" ca="1" si="51"/>
        <v>0</v>
      </c>
      <c r="J89" s="233">
        <f t="shared" ca="1" si="75"/>
        <v>0</v>
      </c>
      <c r="K89" s="76">
        <f t="shared" si="76"/>
        <v>0</v>
      </c>
      <c r="L89" s="76">
        <f t="shared" ca="1" si="47"/>
        <v>0</v>
      </c>
      <c r="M89" s="76">
        <f t="shared" ca="1" si="52"/>
        <v>0</v>
      </c>
      <c r="N89" s="76">
        <f t="shared" ca="1" si="77"/>
        <v>0</v>
      </c>
      <c r="O89" s="76"/>
      <c r="P89" s="76"/>
      <c r="Q89" s="76">
        <f t="shared" ca="1" si="53"/>
        <v>0</v>
      </c>
      <c r="R89" s="76">
        <f t="shared" ca="1" si="31"/>
        <v>0</v>
      </c>
      <c r="S89" s="76">
        <f t="shared" ca="1" si="54"/>
        <v>0</v>
      </c>
      <c r="T89" s="232">
        <f t="shared" ca="1" si="78"/>
        <v>0</v>
      </c>
      <c r="V89" s="120" t="str">
        <f t="shared" si="55"/>
        <v>:0</v>
      </c>
      <c r="W89" s="120" t="str">
        <f t="shared" si="56"/>
        <v>:</v>
      </c>
      <c r="X89" s="120" t="str">
        <f t="shared" si="41"/>
        <v>:0</v>
      </c>
      <c r="Y89" s="250">
        <f t="array" aca="1" ref="Y89:AJ89" ca="1">VLOOKUP($D89&amp;":"&amp;$C89,tblPayRates,{3,4,5,6,7,8,9,10,11,12,13,14},0)</f>
        <v>0</v>
      </c>
      <c r="Z89" s="16" t="str">
        <f ca="1"/>
        <v>Nobody</v>
      </c>
      <c r="AA89" s="261" t="str">
        <f ca="1"/>
        <v>M</v>
      </c>
      <c r="AB89" s="77" t="str">
        <f ca="1"/>
        <v>Daily</v>
      </c>
      <c r="AC89" s="77">
        <f ca="1"/>
        <v>0</v>
      </c>
      <c r="AD89" s="77">
        <f ca="1"/>
        <v>0</v>
      </c>
      <c r="AE89" s="77">
        <f ca="1"/>
        <v>0</v>
      </c>
      <c r="AF89" s="77">
        <f ca="1"/>
        <v>0</v>
      </c>
      <c r="AG89" s="261" t="str">
        <f ca="1"/>
        <v>N</v>
      </c>
      <c r="AH89" s="261">
        <f ca="1"/>
        <v>1</v>
      </c>
      <c r="AI89" s="261">
        <f ca="1"/>
        <v>1</v>
      </c>
      <c r="AJ89" s="262">
        <f ca="1"/>
        <v>0</v>
      </c>
    </row>
    <row r="90" spans="1:36" hidden="1" outlineLevel="1" x14ac:dyDescent="0.25">
      <c r="A90" s="120">
        <f t="shared" si="48"/>
        <v>0</v>
      </c>
      <c r="B90" s="231"/>
      <c r="C90" s="77"/>
      <c r="D90" s="238"/>
      <c r="E90" s="76">
        <f ca="1">SUMIF(payNonMonth,"="&amp;$X90,$E$362:OFFSET($E$362,ROWS(payNonMonth)-1,0))</f>
        <v>0</v>
      </c>
      <c r="F90" s="76"/>
      <c r="G90" s="77">
        <f t="shared" ca="1" si="49"/>
        <v>0</v>
      </c>
      <c r="H90" s="76">
        <f t="shared" ca="1" si="50"/>
        <v>0</v>
      </c>
      <c r="I90" s="76">
        <f t="shared" ca="1" si="51"/>
        <v>0</v>
      </c>
      <c r="J90" s="233">
        <f t="shared" ca="1" si="75"/>
        <v>0</v>
      </c>
      <c r="K90" s="76">
        <f t="shared" si="76"/>
        <v>0</v>
      </c>
      <c r="L90" s="76">
        <f t="shared" ca="1" si="47"/>
        <v>0</v>
      </c>
      <c r="M90" s="76">
        <f t="shared" ca="1" si="52"/>
        <v>0</v>
      </c>
      <c r="N90" s="76">
        <f t="shared" ca="1" si="77"/>
        <v>0</v>
      </c>
      <c r="O90" s="76"/>
      <c r="P90" s="76"/>
      <c r="Q90" s="76">
        <f t="shared" ca="1" si="53"/>
        <v>0</v>
      </c>
      <c r="R90" s="76">
        <f t="shared" ca="1" si="31"/>
        <v>0</v>
      </c>
      <c r="S90" s="76">
        <f t="shared" ca="1" si="54"/>
        <v>0</v>
      </c>
      <c r="T90" s="232">
        <f t="shared" ca="1" si="78"/>
        <v>0</v>
      </c>
      <c r="V90" s="120" t="str">
        <f t="shared" si="55"/>
        <v>:0</v>
      </c>
      <c r="W90" s="120" t="str">
        <f t="shared" si="56"/>
        <v>:</v>
      </c>
      <c r="X90" s="120" t="str">
        <f t="shared" si="41"/>
        <v>:0</v>
      </c>
      <c r="Y90" s="250">
        <f t="array" aca="1" ref="Y90:AJ90" ca="1">VLOOKUP($D90&amp;":"&amp;$C90,tblPayRates,{3,4,5,6,7,8,9,10,11,12,13,14},0)</f>
        <v>0</v>
      </c>
      <c r="Z90" s="16" t="str">
        <f ca="1"/>
        <v>Nobody</v>
      </c>
      <c r="AA90" s="261" t="str">
        <f ca="1"/>
        <v>M</v>
      </c>
      <c r="AB90" s="77" t="str">
        <f ca="1"/>
        <v>Daily</v>
      </c>
      <c r="AC90" s="77">
        <f ca="1"/>
        <v>0</v>
      </c>
      <c r="AD90" s="77">
        <f ca="1"/>
        <v>0</v>
      </c>
      <c r="AE90" s="77">
        <f ca="1"/>
        <v>0</v>
      </c>
      <c r="AF90" s="77">
        <f ca="1"/>
        <v>0</v>
      </c>
      <c r="AG90" s="261" t="str">
        <f ca="1"/>
        <v>N</v>
      </c>
      <c r="AH90" s="261">
        <f ca="1"/>
        <v>1</v>
      </c>
      <c r="AI90" s="261">
        <f ca="1"/>
        <v>1</v>
      </c>
      <c r="AJ90" s="262">
        <f ca="1"/>
        <v>0</v>
      </c>
    </row>
    <row r="91" spans="1:36" hidden="1" outlineLevel="1" x14ac:dyDescent="0.25">
      <c r="A91" s="120">
        <f>GETPAYMONTH(B91)</f>
        <v>0</v>
      </c>
      <c r="B91" s="231"/>
      <c r="C91" s="77"/>
      <c r="D91" s="238"/>
      <c r="E91" s="76">
        <f ca="1">SUMIF(payNonMonth,"="&amp;$X91,$E$362:OFFSET($E$362,ROWS(payNonMonth)-1,0))</f>
        <v>0</v>
      </c>
      <c r="F91" s="76"/>
      <c r="G91" s="77">
        <f ca="1">IF(AND($E91=0,$F91=0),0,1)</f>
        <v>0</v>
      </c>
      <c r="H91" s="76">
        <f ca="1">ROUND(SUM(E91:F91)*AC91,2)</f>
        <v>0</v>
      </c>
      <c r="I91" s="76">
        <f ca="1">H91*OFFSET(payMgmtRate,0,$AH91)</f>
        <v>0</v>
      </c>
      <c r="J91" s="233">
        <f t="shared" ca="1" si="75"/>
        <v>0</v>
      </c>
      <c r="K91" s="76">
        <f t="shared" si="76"/>
        <v>0</v>
      </c>
      <c r="L91" s="76">
        <f t="shared" ca="1" si="47"/>
        <v>0</v>
      </c>
      <c r="M91" s="76">
        <f ca="1">GETSUPER(J91-SUM(K91:L91))</f>
        <v>0</v>
      </c>
      <c r="N91" s="76">
        <f t="shared" ca="1" si="77"/>
        <v>0</v>
      </c>
      <c r="O91" s="76">
        <f ca="1">ROUND((J91-SUM(K91:N91))*InsureRate,2)</f>
        <v>0</v>
      </c>
      <c r="P91" s="76"/>
      <c r="Q91" s="76">
        <f ca="1">J91-SUM(K91:P91)</f>
        <v>0</v>
      </c>
      <c r="R91" s="76">
        <f ca="1">GETTAX(Q91,AA91)</f>
        <v>0</v>
      </c>
      <c r="S91" s="76">
        <f ca="1">Q91-R91</f>
        <v>0</v>
      </c>
      <c r="T91" s="232">
        <f t="shared" ca="1" si="78"/>
        <v>0</v>
      </c>
      <c r="V91" s="120" t="str">
        <f>IF(EmpID="*","*",C91) &amp;":"&amp; $A91</f>
        <v>:0</v>
      </c>
      <c r="W91" s="120" t="str">
        <f>$C91 &amp;":"&amp; $B91</f>
        <v>:</v>
      </c>
      <c r="X91" s="120" t="str">
        <f>C91 &amp;":"&amp; A91</f>
        <v>:0</v>
      </c>
      <c r="Y91" s="250">
        <f t="array" aca="1" ref="Y91:AJ91" ca="1">VLOOKUP($D91&amp;":"&amp;$C91,tblPayRates,{3,4,5,6,7,8,9,10,11,12,13,14},0)</f>
        <v>0</v>
      </c>
      <c r="Z91" s="16" t="str">
        <f ca="1"/>
        <v>Nobody</v>
      </c>
      <c r="AA91" s="261" t="str">
        <f ca="1"/>
        <v>M</v>
      </c>
      <c r="AB91" s="77" t="str">
        <f ca="1"/>
        <v>Daily</v>
      </c>
      <c r="AC91" s="77">
        <f ca="1"/>
        <v>0</v>
      </c>
      <c r="AD91" s="77">
        <f ca="1"/>
        <v>0</v>
      </c>
      <c r="AE91" s="77">
        <f ca="1"/>
        <v>0</v>
      </c>
      <c r="AF91" s="77">
        <f ca="1"/>
        <v>0</v>
      </c>
      <c r="AG91" s="261" t="str">
        <f ca="1"/>
        <v>N</v>
      </c>
      <c r="AH91" s="261">
        <f ca="1"/>
        <v>1</v>
      </c>
      <c r="AI91" s="261">
        <f ca="1"/>
        <v>1</v>
      </c>
      <c r="AJ91" s="262">
        <f ca="1"/>
        <v>0</v>
      </c>
    </row>
    <row r="92" spans="1:36" hidden="1" outlineLevel="1" x14ac:dyDescent="0.25">
      <c r="A92" s="120">
        <f t="shared" si="48"/>
        <v>0</v>
      </c>
      <c r="B92" s="231"/>
      <c r="C92" s="77"/>
      <c r="D92" s="238"/>
      <c r="E92" s="76">
        <f ca="1">SUMIF(payNonMonth,"="&amp;$X92,$E$362:OFFSET($E$362,ROWS(payNonMonth)-1,0))</f>
        <v>0</v>
      </c>
      <c r="F92" s="76"/>
      <c r="G92" s="77">
        <f t="shared" ca="1" si="49"/>
        <v>0</v>
      </c>
      <c r="H92" s="76">
        <f t="shared" ca="1" si="50"/>
        <v>0</v>
      </c>
      <c r="I92" s="76">
        <f t="shared" ca="1" si="51"/>
        <v>0</v>
      </c>
      <c r="J92" s="233">
        <f t="shared" ca="1" si="75"/>
        <v>0</v>
      </c>
      <c r="K92" s="76">
        <f t="shared" si="76"/>
        <v>0</v>
      </c>
      <c r="L92" s="76">
        <f t="shared" ca="1" si="47"/>
        <v>0</v>
      </c>
      <c r="M92" s="76">
        <f t="shared" ca="1" si="52"/>
        <v>0</v>
      </c>
      <c r="N92" s="76">
        <f t="shared" ca="1" si="77"/>
        <v>0</v>
      </c>
      <c r="O92" s="76">
        <f t="shared" ca="1" si="57"/>
        <v>0</v>
      </c>
      <c r="P92" s="76"/>
      <c r="Q92" s="76">
        <f t="shared" ca="1" si="53"/>
        <v>0</v>
      </c>
      <c r="R92" s="76">
        <f t="shared" ca="1" si="31"/>
        <v>0</v>
      </c>
      <c r="S92" s="76">
        <f t="shared" ca="1" si="54"/>
        <v>0</v>
      </c>
      <c r="T92" s="232">
        <f t="shared" ca="1" si="78"/>
        <v>0</v>
      </c>
      <c r="V92" s="120" t="str">
        <f t="shared" si="55"/>
        <v>:0</v>
      </c>
      <c r="W92" s="120" t="str">
        <f t="shared" si="56"/>
        <v>:</v>
      </c>
      <c r="X92" s="120" t="str">
        <f t="shared" si="74"/>
        <v>:</v>
      </c>
      <c r="Y92" s="250">
        <f t="array" aca="1" ref="Y92:AJ92" ca="1">VLOOKUP($D92&amp;":"&amp;$C92,tblPayRates,{3,4,5,6,7,8,9,10,11,12,13,14},0)</f>
        <v>0</v>
      </c>
      <c r="Z92" s="16" t="str">
        <f ca="1"/>
        <v>Nobody</v>
      </c>
      <c r="AA92" s="261" t="str">
        <f ca="1"/>
        <v>M</v>
      </c>
      <c r="AB92" s="77" t="str">
        <f ca="1"/>
        <v>Daily</v>
      </c>
      <c r="AC92" s="77">
        <f ca="1"/>
        <v>0</v>
      </c>
      <c r="AD92" s="77">
        <f ca="1"/>
        <v>0</v>
      </c>
      <c r="AE92" s="77">
        <f ca="1"/>
        <v>0</v>
      </c>
      <c r="AF92" s="77">
        <f ca="1"/>
        <v>0</v>
      </c>
      <c r="AG92" s="261" t="str">
        <f ca="1"/>
        <v>N</v>
      </c>
      <c r="AH92" s="261">
        <f ca="1"/>
        <v>1</v>
      </c>
      <c r="AI92" s="261">
        <f ca="1"/>
        <v>1</v>
      </c>
      <c r="AJ92" s="262">
        <f ca="1"/>
        <v>0</v>
      </c>
    </row>
    <row r="93" spans="1:36" hidden="1" outlineLevel="1" x14ac:dyDescent="0.25">
      <c r="A93" s="120">
        <f t="shared" ref="A93:A122" si="79">GETPAYMONTH(B93)</f>
        <v>0</v>
      </c>
      <c r="B93" s="231"/>
      <c r="C93" s="77"/>
      <c r="D93" s="238"/>
      <c r="E93" s="76">
        <f ca="1">SUMIF(payNonMonth,"="&amp;$X93,$E$362:OFFSET($E$362,ROWS(payNonMonth)-1,0))</f>
        <v>0</v>
      </c>
      <c r="F93" s="76"/>
      <c r="G93" s="77">
        <f t="shared" ref="G93:G122" ca="1" si="80">IF(AND($E93=0,$F93=0),0,1)</f>
        <v>0</v>
      </c>
      <c r="H93" s="76">
        <f t="shared" ref="H93:H122" ca="1" si="81">ROUND(SUM(E93:F93)*AC93,2)</f>
        <v>0</v>
      </c>
      <c r="I93" s="76">
        <f t="shared" ref="I93:I122" ca="1" si="82">H93*OFFSET(payMgmtRate,0,$AH93)</f>
        <v>0</v>
      </c>
      <c r="J93" s="233">
        <f t="shared" ca="1" si="75"/>
        <v>0</v>
      </c>
      <c r="K93" s="76">
        <f t="shared" si="76"/>
        <v>0</v>
      </c>
      <c r="L93" s="76">
        <f t="shared" ca="1" si="47"/>
        <v>0</v>
      </c>
      <c r="M93" s="76">
        <f t="shared" ref="M93:M122" ca="1" si="83">GETSUPER(J93-SUM(K93:L93))</f>
        <v>0</v>
      </c>
      <c r="N93" s="76">
        <f t="shared" ca="1" si="77"/>
        <v>0</v>
      </c>
      <c r="O93" s="76">
        <f t="shared" ca="1" si="57"/>
        <v>0</v>
      </c>
      <c r="P93" s="76"/>
      <c r="Q93" s="76">
        <f t="shared" ref="Q93:Q122" ca="1" si="84">J93-SUM(K93:P93)</f>
        <v>0</v>
      </c>
      <c r="R93" s="76">
        <f t="shared" ca="1" si="31"/>
        <v>0</v>
      </c>
      <c r="S93" s="76">
        <f t="shared" ref="S93:S122" ca="1" si="85">Q93-R93</f>
        <v>0</v>
      </c>
      <c r="T93" s="232">
        <f t="shared" ca="1" si="78"/>
        <v>0</v>
      </c>
      <c r="V93" s="120" t="str">
        <f t="shared" ref="V93:V122" si="86">IF(EmpID="*","*",C93) &amp;":"&amp; $A93</f>
        <v>:0</v>
      </c>
      <c r="W93" s="120" t="str">
        <f t="shared" ref="W93:W122" si="87">$C93 &amp;":"&amp; $B93</f>
        <v>:</v>
      </c>
      <c r="X93" s="120" t="str">
        <f t="shared" si="74"/>
        <v>:</v>
      </c>
      <c r="Y93" s="250">
        <f t="array" aca="1" ref="Y93:AJ93" ca="1">VLOOKUP($D93&amp;":"&amp;$C93,tblPayRates,{3,4,5,6,7,8,9,10,11,12,13,14},0)</f>
        <v>0</v>
      </c>
      <c r="Z93" s="16" t="str">
        <f ca="1"/>
        <v>Nobody</v>
      </c>
      <c r="AA93" s="261" t="str">
        <f ca="1"/>
        <v>M</v>
      </c>
      <c r="AB93" s="77" t="str">
        <f ca="1"/>
        <v>Daily</v>
      </c>
      <c r="AC93" s="77">
        <f ca="1"/>
        <v>0</v>
      </c>
      <c r="AD93" s="77">
        <f ca="1"/>
        <v>0</v>
      </c>
      <c r="AE93" s="77">
        <f ca="1"/>
        <v>0</v>
      </c>
      <c r="AF93" s="77">
        <f ca="1"/>
        <v>0</v>
      </c>
      <c r="AG93" s="261" t="str">
        <f ca="1"/>
        <v>N</v>
      </c>
      <c r="AH93" s="261">
        <f ca="1"/>
        <v>1</v>
      </c>
      <c r="AI93" s="261">
        <f ca="1"/>
        <v>1</v>
      </c>
      <c r="AJ93" s="262">
        <f ca="1"/>
        <v>0</v>
      </c>
    </row>
    <row r="94" spans="1:36" hidden="1" outlineLevel="1" x14ac:dyDescent="0.25">
      <c r="A94" s="120">
        <f t="shared" si="79"/>
        <v>0</v>
      </c>
      <c r="B94" s="231"/>
      <c r="C94" s="77"/>
      <c r="D94" s="238"/>
      <c r="E94" s="76">
        <f ca="1">SUMIF(payNonMonth,"="&amp;$X94,$E$362:OFFSET($E$362,ROWS(payNonMonth)-1,0))</f>
        <v>0</v>
      </c>
      <c r="F94" s="76"/>
      <c r="G94" s="77">
        <f t="shared" ca="1" si="80"/>
        <v>0</v>
      </c>
      <c r="H94" s="76">
        <f t="shared" ca="1" si="81"/>
        <v>0</v>
      </c>
      <c r="I94" s="76">
        <f t="shared" ca="1" si="82"/>
        <v>0</v>
      </c>
      <c r="J94" s="233">
        <f t="shared" ca="1" si="75"/>
        <v>0</v>
      </c>
      <c r="K94" s="76">
        <f t="shared" ref="K94:K112" si="88">SUMIF(payAllow,$W94,K$269:K$359)+SUMIF(payAllow,$W94,O$269:O$359)</f>
        <v>0</v>
      </c>
      <c r="L94" s="76">
        <f t="shared" ref="L94:L113" ca="1" si="89">SUMIF(payAllow,$W94,L$269:L$359)*$G94</f>
        <v>0</v>
      </c>
      <c r="M94" s="76">
        <f t="shared" ca="1" si="83"/>
        <v>0</v>
      </c>
      <c r="N94" s="76">
        <f t="shared" ca="1" si="77"/>
        <v>0</v>
      </c>
      <c r="O94" s="76">
        <f t="shared" ref="O94:O124" ca="1" si="90">ROUND((J94-SUM(K94:N94))*InsureRate,2)</f>
        <v>0</v>
      </c>
      <c r="P94" s="76"/>
      <c r="Q94" s="76">
        <f t="shared" ca="1" si="84"/>
        <v>0</v>
      </c>
      <c r="R94" s="76">
        <f t="shared" ca="1" si="31"/>
        <v>0</v>
      </c>
      <c r="S94" s="76">
        <f t="shared" ca="1" si="85"/>
        <v>0</v>
      </c>
      <c r="T94" s="232">
        <f t="shared" ref="T94:T112" ca="1" si="91">SUMIF(payAllow,W94,T$269:T$359)*G94</f>
        <v>0</v>
      </c>
      <c r="V94" s="120" t="str">
        <f t="shared" si="86"/>
        <v>:0</v>
      </c>
      <c r="W94" s="120" t="str">
        <f t="shared" si="87"/>
        <v>:</v>
      </c>
      <c r="X94" s="120" t="str">
        <f t="shared" si="74"/>
        <v>:</v>
      </c>
      <c r="Y94" s="250">
        <f t="array" aca="1" ref="Y94:AJ94" ca="1">VLOOKUP($D94&amp;":"&amp;$C94,tblPayRates,{3,4,5,6,7,8,9,10,11,12,13,14},0)</f>
        <v>0</v>
      </c>
      <c r="Z94" s="16" t="str">
        <f ca="1"/>
        <v>Nobody</v>
      </c>
      <c r="AA94" s="261" t="str">
        <f ca="1"/>
        <v>M</v>
      </c>
      <c r="AB94" s="77" t="str">
        <f ca="1"/>
        <v>Daily</v>
      </c>
      <c r="AC94" s="77">
        <f ca="1"/>
        <v>0</v>
      </c>
      <c r="AD94" s="77">
        <f ca="1"/>
        <v>0</v>
      </c>
      <c r="AE94" s="77">
        <f ca="1"/>
        <v>0</v>
      </c>
      <c r="AF94" s="77">
        <f ca="1"/>
        <v>0</v>
      </c>
      <c r="AG94" s="261" t="str">
        <f ca="1"/>
        <v>N</v>
      </c>
      <c r="AH94" s="261">
        <f ca="1"/>
        <v>1</v>
      </c>
      <c r="AI94" s="261">
        <f ca="1"/>
        <v>1</v>
      </c>
      <c r="AJ94" s="262">
        <f ca="1"/>
        <v>0</v>
      </c>
    </row>
    <row r="95" spans="1:36" hidden="1" outlineLevel="1" x14ac:dyDescent="0.25">
      <c r="A95" s="120">
        <f t="shared" si="79"/>
        <v>0</v>
      </c>
      <c r="B95" s="231"/>
      <c r="C95" s="77"/>
      <c r="D95" s="238"/>
      <c r="E95" s="76">
        <f ca="1">SUMIF(payNonMonth,"="&amp;$X95,$E$362:OFFSET($E$362,ROWS(payNonMonth)-1,0))</f>
        <v>0</v>
      </c>
      <c r="F95" s="76"/>
      <c r="G95" s="77">
        <f t="shared" ca="1" si="80"/>
        <v>0</v>
      </c>
      <c r="H95" s="76">
        <f t="shared" ca="1" si="81"/>
        <v>0</v>
      </c>
      <c r="I95" s="76">
        <f t="shared" ca="1" si="82"/>
        <v>0</v>
      </c>
      <c r="J95" s="233">
        <f t="shared" ca="1" si="75"/>
        <v>0</v>
      </c>
      <c r="K95" s="76">
        <f t="shared" si="88"/>
        <v>0</v>
      </c>
      <c r="L95" s="76">
        <f t="shared" ca="1" si="89"/>
        <v>0</v>
      </c>
      <c r="M95" s="76">
        <f t="shared" ca="1" si="83"/>
        <v>0</v>
      </c>
      <c r="N95" s="76">
        <f t="shared" ca="1" si="77"/>
        <v>0</v>
      </c>
      <c r="O95" s="76">
        <f t="shared" ca="1" si="90"/>
        <v>0</v>
      </c>
      <c r="P95" s="76"/>
      <c r="Q95" s="76">
        <f t="shared" ca="1" si="84"/>
        <v>0</v>
      </c>
      <c r="R95" s="76">
        <f t="shared" ca="1" si="31"/>
        <v>0</v>
      </c>
      <c r="S95" s="76">
        <f t="shared" ca="1" si="85"/>
        <v>0</v>
      </c>
      <c r="T95" s="232">
        <f t="shared" ca="1" si="91"/>
        <v>0</v>
      </c>
      <c r="V95" s="120" t="str">
        <f t="shared" si="86"/>
        <v>:0</v>
      </c>
      <c r="W95" s="120" t="str">
        <f t="shared" si="87"/>
        <v>:</v>
      </c>
      <c r="X95" s="120" t="str">
        <f t="shared" si="74"/>
        <v>:</v>
      </c>
      <c r="Y95" s="250">
        <f t="array" aca="1" ref="Y95:AJ95" ca="1">VLOOKUP($D95&amp;":"&amp;$C95,tblPayRates,{3,4,5,6,7,8,9,10,11,12,13,14},0)</f>
        <v>0</v>
      </c>
      <c r="Z95" s="16" t="str">
        <f ca="1"/>
        <v>Nobody</v>
      </c>
      <c r="AA95" s="261" t="str">
        <f ca="1"/>
        <v>M</v>
      </c>
      <c r="AB95" s="77" t="str">
        <f ca="1"/>
        <v>Daily</v>
      </c>
      <c r="AC95" s="77">
        <f ca="1"/>
        <v>0</v>
      </c>
      <c r="AD95" s="77">
        <f ca="1"/>
        <v>0</v>
      </c>
      <c r="AE95" s="77">
        <f ca="1"/>
        <v>0</v>
      </c>
      <c r="AF95" s="77">
        <f ca="1"/>
        <v>0</v>
      </c>
      <c r="AG95" s="261" t="str">
        <f ca="1"/>
        <v>N</v>
      </c>
      <c r="AH95" s="261">
        <f ca="1"/>
        <v>1</v>
      </c>
      <c r="AI95" s="261">
        <f ca="1"/>
        <v>1</v>
      </c>
      <c r="AJ95" s="262">
        <f ca="1"/>
        <v>0</v>
      </c>
    </row>
    <row r="96" spans="1:36" hidden="1" outlineLevel="1" x14ac:dyDescent="0.25">
      <c r="A96" s="120">
        <f t="shared" si="79"/>
        <v>0</v>
      </c>
      <c r="B96" s="231"/>
      <c r="C96" s="77"/>
      <c r="D96" s="238"/>
      <c r="E96" s="76">
        <f ca="1">SUMIF(payNonMonth,"="&amp;$X96,$E$362:OFFSET($E$362,ROWS(payNonMonth)-1,0))</f>
        <v>0</v>
      </c>
      <c r="F96" s="76"/>
      <c r="G96" s="77">
        <f t="shared" ca="1" si="80"/>
        <v>0</v>
      </c>
      <c r="H96" s="76">
        <f t="shared" ca="1" si="81"/>
        <v>0</v>
      </c>
      <c r="I96" s="76">
        <f t="shared" ca="1" si="82"/>
        <v>0</v>
      </c>
      <c r="J96" s="233">
        <f t="shared" ca="1" si="75"/>
        <v>0</v>
      </c>
      <c r="K96" s="76">
        <f t="shared" si="88"/>
        <v>0</v>
      </c>
      <c r="L96" s="76">
        <f t="shared" ca="1" si="89"/>
        <v>0</v>
      </c>
      <c r="M96" s="76">
        <f t="shared" ca="1" si="83"/>
        <v>0</v>
      </c>
      <c r="N96" s="76">
        <f t="shared" ca="1" si="77"/>
        <v>0</v>
      </c>
      <c r="O96" s="76">
        <f t="shared" ca="1" si="90"/>
        <v>0</v>
      </c>
      <c r="P96" s="76"/>
      <c r="Q96" s="76">
        <f t="shared" ca="1" si="84"/>
        <v>0</v>
      </c>
      <c r="R96" s="76">
        <f t="shared" ca="1" si="31"/>
        <v>0</v>
      </c>
      <c r="S96" s="76">
        <f t="shared" ca="1" si="85"/>
        <v>0</v>
      </c>
      <c r="T96" s="232">
        <f t="shared" ca="1" si="91"/>
        <v>0</v>
      </c>
      <c r="V96" s="120" t="str">
        <f t="shared" si="86"/>
        <v>:0</v>
      </c>
      <c r="W96" s="120" t="str">
        <f t="shared" si="87"/>
        <v>:</v>
      </c>
      <c r="X96" s="120" t="str">
        <f t="shared" si="74"/>
        <v>:</v>
      </c>
      <c r="Y96" s="250">
        <f t="array" aca="1" ref="Y96:AJ96" ca="1">VLOOKUP($D96&amp;":"&amp;$C96,tblPayRates,{3,4,5,6,7,8,9,10,11,12,13,14},0)</f>
        <v>0</v>
      </c>
      <c r="Z96" s="16" t="str">
        <f ca="1"/>
        <v>Nobody</v>
      </c>
      <c r="AA96" s="261" t="str">
        <f ca="1"/>
        <v>M</v>
      </c>
      <c r="AB96" s="77" t="str">
        <f ca="1"/>
        <v>Daily</v>
      </c>
      <c r="AC96" s="77">
        <f ca="1"/>
        <v>0</v>
      </c>
      <c r="AD96" s="77">
        <f ca="1"/>
        <v>0</v>
      </c>
      <c r="AE96" s="77">
        <f ca="1"/>
        <v>0</v>
      </c>
      <c r="AF96" s="77">
        <f ca="1"/>
        <v>0</v>
      </c>
      <c r="AG96" s="261" t="str">
        <f ca="1"/>
        <v>N</v>
      </c>
      <c r="AH96" s="261">
        <f ca="1"/>
        <v>1</v>
      </c>
      <c r="AI96" s="261">
        <f ca="1"/>
        <v>1</v>
      </c>
      <c r="AJ96" s="262">
        <f ca="1"/>
        <v>0</v>
      </c>
    </row>
    <row r="97" spans="1:36" hidden="1" outlineLevel="1" x14ac:dyDescent="0.25">
      <c r="A97" s="120">
        <f t="shared" si="79"/>
        <v>0</v>
      </c>
      <c r="B97" s="231"/>
      <c r="C97" s="77"/>
      <c r="D97" s="238"/>
      <c r="E97" s="76">
        <f ca="1">SUMIF(payNonMonth,"="&amp;$X97,$E$362:OFFSET($E$362,ROWS(payNonMonth)-1,0))</f>
        <v>0</v>
      </c>
      <c r="F97" s="76"/>
      <c r="G97" s="77">
        <f t="shared" ca="1" si="80"/>
        <v>0</v>
      </c>
      <c r="H97" s="76">
        <f t="shared" ca="1" si="81"/>
        <v>0</v>
      </c>
      <c r="I97" s="76">
        <f t="shared" ca="1" si="82"/>
        <v>0</v>
      </c>
      <c r="J97" s="233">
        <f t="shared" ca="1" si="75"/>
        <v>0</v>
      </c>
      <c r="K97" s="76">
        <f t="shared" si="88"/>
        <v>0</v>
      </c>
      <c r="L97" s="76">
        <f t="shared" ca="1" si="89"/>
        <v>0</v>
      </c>
      <c r="M97" s="76">
        <f t="shared" ca="1" si="83"/>
        <v>0</v>
      </c>
      <c r="N97" s="76">
        <f t="shared" ca="1" si="77"/>
        <v>0</v>
      </c>
      <c r="O97" s="76">
        <f t="shared" ca="1" si="90"/>
        <v>0</v>
      </c>
      <c r="P97" s="76"/>
      <c r="Q97" s="76">
        <f t="shared" ca="1" si="84"/>
        <v>0</v>
      </c>
      <c r="R97" s="76">
        <f t="shared" ref="R97:R150" ca="1" si="92">GETTAX(Q97,AA97)</f>
        <v>0</v>
      </c>
      <c r="S97" s="76">
        <f t="shared" ca="1" si="85"/>
        <v>0</v>
      </c>
      <c r="T97" s="232">
        <f t="shared" ca="1" si="91"/>
        <v>0</v>
      </c>
      <c r="V97" s="120" t="str">
        <f t="shared" si="86"/>
        <v>:0</v>
      </c>
      <c r="W97" s="120" t="str">
        <f t="shared" si="87"/>
        <v>:</v>
      </c>
      <c r="X97" s="120" t="str">
        <f t="shared" si="74"/>
        <v>:</v>
      </c>
      <c r="Y97" s="250">
        <f t="array" aca="1" ref="Y97:AJ97" ca="1">VLOOKUP($D97&amp;":"&amp;$C97,tblPayRates,{3,4,5,6,7,8,9,10,11,12,13,14},0)</f>
        <v>0</v>
      </c>
      <c r="Z97" s="16" t="str">
        <f ca="1"/>
        <v>Nobody</v>
      </c>
      <c r="AA97" s="261" t="str">
        <f ca="1"/>
        <v>M</v>
      </c>
      <c r="AB97" s="77" t="str">
        <f ca="1"/>
        <v>Daily</v>
      </c>
      <c r="AC97" s="77">
        <f ca="1"/>
        <v>0</v>
      </c>
      <c r="AD97" s="77">
        <f ca="1"/>
        <v>0</v>
      </c>
      <c r="AE97" s="77">
        <f ca="1"/>
        <v>0</v>
      </c>
      <c r="AF97" s="77">
        <f ca="1"/>
        <v>0</v>
      </c>
      <c r="AG97" s="261" t="str">
        <f ca="1"/>
        <v>N</v>
      </c>
      <c r="AH97" s="261">
        <f ca="1"/>
        <v>1</v>
      </c>
      <c r="AI97" s="261">
        <f ca="1"/>
        <v>1</v>
      </c>
      <c r="AJ97" s="262">
        <f ca="1"/>
        <v>0</v>
      </c>
    </row>
    <row r="98" spans="1:36" hidden="1" outlineLevel="1" x14ac:dyDescent="0.25">
      <c r="A98" s="120">
        <f t="shared" si="79"/>
        <v>0</v>
      </c>
      <c r="B98" s="231"/>
      <c r="C98" s="77"/>
      <c r="D98" s="238"/>
      <c r="E98" s="76">
        <f ca="1">SUMIF(payNonMonth,"="&amp;$X98,$E$362:OFFSET($E$362,ROWS(payNonMonth)-1,0))</f>
        <v>0</v>
      </c>
      <c r="F98" s="76"/>
      <c r="G98" s="77">
        <f t="shared" ca="1" si="80"/>
        <v>0</v>
      </c>
      <c r="H98" s="76">
        <f t="shared" ca="1" si="81"/>
        <v>0</v>
      </c>
      <c r="I98" s="76">
        <f t="shared" ca="1" si="82"/>
        <v>0</v>
      </c>
      <c r="J98" s="233">
        <f t="shared" ca="1" si="75"/>
        <v>0</v>
      </c>
      <c r="K98" s="76">
        <f t="shared" si="88"/>
        <v>0</v>
      </c>
      <c r="L98" s="76">
        <f t="shared" ca="1" si="89"/>
        <v>0</v>
      </c>
      <c r="M98" s="76">
        <f t="shared" ca="1" si="83"/>
        <v>0</v>
      </c>
      <c r="N98" s="76">
        <f t="shared" ca="1" si="77"/>
        <v>0</v>
      </c>
      <c r="O98" s="76">
        <f t="shared" ca="1" si="90"/>
        <v>0</v>
      </c>
      <c r="P98" s="76"/>
      <c r="Q98" s="76">
        <f t="shared" ca="1" si="84"/>
        <v>0</v>
      </c>
      <c r="R98" s="76">
        <f t="shared" ca="1" si="92"/>
        <v>0</v>
      </c>
      <c r="S98" s="76">
        <f t="shared" ca="1" si="85"/>
        <v>0</v>
      </c>
      <c r="T98" s="232">
        <f t="shared" ca="1" si="91"/>
        <v>0</v>
      </c>
      <c r="V98" s="120" t="str">
        <f t="shared" si="86"/>
        <v>:0</v>
      </c>
      <c r="W98" s="120" t="str">
        <f t="shared" si="87"/>
        <v>:</v>
      </c>
      <c r="X98" s="120" t="str">
        <f t="shared" ref="X98:X124" si="93">C98 &amp;":"&amp; A98</f>
        <v>:0</v>
      </c>
      <c r="Y98" s="250">
        <f t="array" aca="1" ref="Y98:AJ98" ca="1">VLOOKUP($D98&amp;":"&amp;$C98,tblPayRates,{3,4,5,6,7,8,9,10,11,12,13,14},0)</f>
        <v>0</v>
      </c>
      <c r="Z98" s="16" t="str">
        <f ca="1"/>
        <v>Nobody</v>
      </c>
      <c r="AA98" s="261" t="str">
        <f ca="1"/>
        <v>M</v>
      </c>
      <c r="AB98" s="77" t="str">
        <f ca="1"/>
        <v>Daily</v>
      </c>
      <c r="AC98" s="77">
        <f ca="1"/>
        <v>0</v>
      </c>
      <c r="AD98" s="77">
        <f ca="1"/>
        <v>0</v>
      </c>
      <c r="AE98" s="77">
        <f ca="1"/>
        <v>0</v>
      </c>
      <c r="AF98" s="77">
        <f ca="1"/>
        <v>0</v>
      </c>
      <c r="AG98" s="261" t="str">
        <f ca="1"/>
        <v>N</v>
      </c>
      <c r="AH98" s="261">
        <f ca="1"/>
        <v>1</v>
      </c>
      <c r="AI98" s="261">
        <f ca="1"/>
        <v>1</v>
      </c>
      <c r="AJ98" s="262">
        <f ca="1"/>
        <v>0</v>
      </c>
    </row>
    <row r="99" spans="1:36" hidden="1" outlineLevel="1" x14ac:dyDescent="0.25">
      <c r="A99" s="120">
        <f t="shared" si="79"/>
        <v>0</v>
      </c>
      <c r="B99" s="231"/>
      <c r="C99" s="77"/>
      <c r="D99" s="238"/>
      <c r="E99" s="76">
        <f ca="1">SUMIF(payNonMonth,"="&amp;$X99,$E$362:OFFSET($E$362,ROWS(payNonMonth)-1,0))</f>
        <v>0</v>
      </c>
      <c r="F99" s="76"/>
      <c r="G99" s="77">
        <f t="shared" ca="1" si="80"/>
        <v>0</v>
      </c>
      <c r="H99" s="76">
        <f t="shared" ca="1" si="81"/>
        <v>0</v>
      </c>
      <c r="I99" s="76">
        <f t="shared" ca="1" si="82"/>
        <v>0</v>
      </c>
      <c r="J99" s="233">
        <f t="shared" ca="1" si="75"/>
        <v>0</v>
      </c>
      <c r="K99" s="76">
        <f t="shared" si="88"/>
        <v>0</v>
      </c>
      <c r="L99" s="76">
        <f t="shared" ca="1" si="89"/>
        <v>0</v>
      </c>
      <c r="M99" s="76">
        <f t="shared" ca="1" si="83"/>
        <v>0</v>
      </c>
      <c r="N99" s="76">
        <f t="shared" ca="1" si="77"/>
        <v>0</v>
      </c>
      <c r="O99" s="76">
        <f t="shared" ca="1" si="90"/>
        <v>0</v>
      </c>
      <c r="P99" s="76"/>
      <c r="Q99" s="76">
        <f t="shared" ca="1" si="84"/>
        <v>0</v>
      </c>
      <c r="R99" s="76">
        <f t="shared" ca="1" si="92"/>
        <v>0</v>
      </c>
      <c r="S99" s="76">
        <f t="shared" ca="1" si="85"/>
        <v>0</v>
      </c>
      <c r="T99" s="232">
        <f t="shared" ca="1" si="91"/>
        <v>0</v>
      </c>
      <c r="V99" s="120" t="str">
        <f t="shared" si="86"/>
        <v>:0</v>
      </c>
      <c r="W99" s="120" t="str">
        <f t="shared" si="87"/>
        <v>:</v>
      </c>
      <c r="X99" s="120" t="str">
        <f t="shared" si="93"/>
        <v>:0</v>
      </c>
      <c r="Y99" s="250">
        <f t="array" aca="1" ref="Y99:AJ99" ca="1">VLOOKUP($D99&amp;":"&amp;$C99,tblPayRates,{3,4,5,6,7,8,9,10,11,12,13,14},0)</f>
        <v>0</v>
      </c>
      <c r="Z99" s="16" t="str">
        <f ca="1"/>
        <v>Nobody</v>
      </c>
      <c r="AA99" s="261" t="str">
        <f ca="1"/>
        <v>M</v>
      </c>
      <c r="AB99" s="77" t="str">
        <f ca="1"/>
        <v>Daily</v>
      </c>
      <c r="AC99" s="77">
        <f ca="1"/>
        <v>0</v>
      </c>
      <c r="AD99" s="77">
        <f ca="1"/>
        <v>0</v>
      </c>
      <c r="AE99" s="77">
        <f ca="1"/>
        <v>0</v>
      </c>
      <c r="AF99" s="77">
        <f ca="1"/>
        <v>0</v>
      </c>
      <c r="AG99" s="261" t="str">
        <f ca="1"/>
        <v>N</v>
      </c>
      <c r="AH99" s="261">
        <f ca="1"/>
        <v>1</v>
      </c>
      <c r="AI99" s="261">
        <f ca="1"/>
        <v>1</v>
      </c>
      <c r="AJ99" s="262">
        <f ca="1"/>
        <v>0</v>
      </c>
    </row>
    <row r="100" spans="1:36" hidden="1" outlineLevel="1" x14ac:dyDescent="0.25">
      <c r="A100" s="120">
        <f t="shared" si="79"/>
        <v>0</v>
      </c>
      <c r="B100" s="231"/>
      <c r="C100" s="77"/>
      <c r="D100" s="238"/>
      <c r="E100" s="76">
        <f ca="1">SUMIF(payNonMonth,"="&amp;$X100,$E$362:OFFSET($E$362,ROWS(payNonMonth)-1,0))</f>
        <v>0</v>
      </c>
      <c r="F100" s="76"/>
      <c r="G100" s="77">
        <f t="shared" ca="1" si="80"/>
        <v>0</v>
      </c>
      <c r="H100" s="76">
        <f t="shared" ca="1" si="81"/>
        <v>0</v>
      </c>
      <c r="I100" s="76">
        <f t="shared" ca="1" si="82"/>
        <v>0</v>
      </c>
      <c r="J100" s="233">
        <f t="shared" ca="1" si="75"/>
        <v>0</v>
      </c>
      <c r="K100" s="76">
        <f t="shared" si="88"/>
        <v>0</v>
      </c>
      <c r="L100" s="76">
        <f t="shared" ca="1" si="89"/>
        <v>0</v>
      </c>
      <c r="M100" s="76">
        <f t="shared" ca="1" si="83"/>
        <v>0</v>
      </c>
      <c r="N100" s="76">
        <f t="shared" ca="1" si="77"/>
        <v>0</v>
      </c>
      <c r="O100" s="76">
        <f t="shared" ca="1" si="90"/>
        <v>0</v>
      </c>
      <c r="P100" s="76"/>
      <c r="Q100" s="76">
        <f t="shared" ca="1" si="84"/>
        <v>0</v>
      </c>
      <c r="R100" s="76">
        <f t="shared" ca="1" si="92"/>
        <v>0</v>
      </c>
      <c r="S100" s="76">
        <f t="shared" ca="1" si="85"/>
        <v>0</v>
      </c>
      <c r="T100" s="232">
        <f t="shared" ca="1" si="91"/>
        <v>0</v>
      </c>
      <c r="V100" s="120" t="str">
        <f t="shared" si="86"/>
        <v>:0</v>
      </c>
      <c r="W100" s="120" t="str">
        <f t="shared" si="87"/>
        <v>:</v>
      </c>
      <c r="X100" s="120" t="str">
        <f t="shared" si="93"/>
        <v>:0</v>
      </c>
      <c r="Y100" s="250">
        <f t="array" aca="1" ref="Y100:AJ100" ca="1">VLOOKUP($D100&amp;":"&amp;$C100,tblPayRates,{3,4,5,6,7,8,9,10,11,12,13,14},0)</f>
        <v>0</v>
      </c>
      <c r="Z100" s="16" t="str">
        <f ca="1"/>
        <v>Nobody</v>
      </c>
      <c r="AA100" s="261" t="str">
        <f ca="1"/>
        <v>M</v>
      </c>
      <c r="AB100" s="77" t="str">
        <f ca="1"/>
        <v>Daily</v>
      </c>
      <c r="AC100" s="77">
        <f ca="1"/>
        <v>0</v>
      </c>
      <c r="AD100" s="77">
        <f ca="1"/>
        <v>0</v>
      </c>
      <c r="AE100" s="77">
        <f ca="1"/>
        <v>0</v>
      </c>
      <c r="AF100" s="77">
        <f ca="1"/>
        <v>0</v>
      </c>
      <c r="AG100" s="261" t="str">
        <f ca="1"/>
        <v>N</v>
      </c>
      <c r="AH100" s="261">
        <f ca="1"/>
        <v>1</v>
      </c>
      <c r="AI100" s="261">
        <f ca="1"/>
        <v>1</v>
      </c>
      <c r="AJ100" s="262">
        <f ca="1"/>
        <v>0</v>
      </c>
    </row>
    <row r="101" spans="1:36" hidden="1" outlineLevel="1" x14ac:dyDescent="0.25">
      <c r="A101" s="120">
        <f t="shared" si="79"/>
        <v>0</v>
      </c>
      <c r="B101" s="231"/>
      <c r="C101" s="77"/>
      <c r="D101" s="238"/>
      <c r="E101" s="76">
        <f ca="1">SUMIF(payNonMonth,"="&amp;$X101,$E$362:OFFSET($E$362,ROWS(payNonMonth)-1,0))</f>
        <v>0</v>
      </c>
      <c r="F101" s="76"/>
      <c r="G101" s="77">
        <f t="shared" ca="1" si="80"/>
        <v>0</v>
      </c>
      <c r="H101" s="76">
        <f t="shared" ca="1" si="81"/>
        <v>0</v>
      </c>
      <c r="I101" s="76">
        <f t="shared" ca="1" si="82"/>
        <v>0</v>
      </c>
      <c r="J101" s="233">
        <f t="shared" ca="1" si="75"/>
        <v>0</v>
      </c>
      <c r="K101" s="76">
        <f t="shared" si="88"/>
        <v>0</v>
      </c>
      <c r="L101" s="76">
        <f t="shared" ca="1" si="89"/>
        <v>0</v>
      </c>
      <c r="M101" s="76">
        <f t="shared" ca="1" si="83"/>
        <v>0</v>
      </c>
      <c r="N101" s="76">
        <f t="shared" ca="1" si="77"/>
        <v>0</v>
      </c>
      <c r="O101" s="76"/>
      <c r="P101" s="76"/>
      <c r="Q101" s="76">
        <f t="shared" ca="1" si="84"/>
        <v>0</v>
      </c>
      <c r="R101" s="76">
        <f t="shared" ca="1" si="92"/>
        <v>0</v>
      </c>
      <c r="S101" s="76">
        <f t="shared" ca="1" si="85"/>
        <v>0</v>
      </c>
      <c r="T101" s="232">
        <f t="shared" ca="1" si="91"/>
        <v>0</v>
      </c>
      <c r="V101" s="120" t="str">
        <f t="shared" si="86"/>
        <v>:0</v>
      </c>
      <c r="W101" s="120" t="str">
        <f t="shared" si="87"/>
        <v>:</v>
      </c>
      <c r="X101" s="120" t="str">
        <f t="shared" si="93"/>
        <v>:0</v>
      </c>
      <c r="Y101" s="250">
        <f t="array" aca="1" ref="Y101:AJ101" ca="1">VLOOKUP($D101&amp;":"&amp;$C101,tblPayRates,{3,4,5,6,7,8,9,10,11,12,13,14},0)</f>
        <v>0</v>
      </c>
      <c r="Z101" s="16" t="str">
        <f ca="1"/>
        <v>Nobody</v>
      </c>
      <c r="AA101" s="261" t="str">
        <f ca="1"/>
        <v>M</v>
      </c>
      <c r="AB101" s="77" t="str">
        <f ca="1"/>
        <v>Daily</v>
      </c>
      <c r="AC101" s="77">
        <f ca="1"/>
        <v>0</v>
      </c>
      <c r="AD101" s="77">
        <f ca="1"/>
        <v>0</v>
      </c>
      <c r="AE101" s="77">
        <f ca="1"/>
        <v>0</v>
      </c>
      <c r="AF101" s="77">
        <f ca="1"/>
        <v>0</v>
      </c>
      <c r="AG101" s="261" t="str">
        <f ca="1"/>
        <v>N</v>
      </c>
      <c r="AH101" s="261">
        <f ca="1"/>
        <v>1</v>
      </c>
      <c r="AI101" s="261">
        <f ca="1"/>
        <v>1</v>
      </c>
      <c r="AJ101" s="262">
        <f ca="1"/>
        <v>0</v>
      </c>
    </row>
    <row r="102" spans="1:36" hidden="1" outlineLevel="1" x14ac:dyDescent="0.25">
      <c r="A102" s="120">
        <f t="shared" si="79"/>
        <v>0</v>
      </c>
      <c r="B102" s="231"/>
      <c r="C102" s="77"/>
      <c r="D102" s="238"/>
      <c r="E102" s="76">
        <f ca="1">SUMIF(payNonMonth,"="&amp;$X102,$E$362:OFFSET($E$362,ROWS(payNonMonth)-1,0))</f>
        <v>0</v>
      </c>
      <c r="F102" s="76"/>
      <c r="G102" s="77">
        <f t="shared" ca="1" si="80"/>
        <v>0</v>
      </c>
      <c r="H102" s="76">
        <f t="shared" ca="1" si="81"/>
        <v>0</v>
      </c>
      <c r="I102" s="76">
        <f t="shared" ca="1" si="82"/>
        <v>0</v>
      </c>
      <c r="J102" s="233">
        <f t="shared" ca="1" si="75"/>
        <v>0</v>
      </c>
      <c r="K102" s="76">
        <f t="shared" si="88"/>
        <v>0</v>
      </c>
      <c r="L102" s="76">
        <f t="shared" ca="1" si="89"/>
        <v>0</v>
      </c>
      <c r="M102" s="76">
        <f t="shared" ca="1" si="83"/>
        <v>0</v>
      </c>
      <c r="N102" s="76">
        <f t="shared" ca="1" si="77"/>
        <v>0</v>
      </c>
      <c r="O102" s="76"/>
      <c r="P102" s="76"/>
      <c r="Q102" s="76">
        <f t="shared" ca="1" si="84"/>
        <v>0</v>
      </c>
      <c r="R102" s="76">
        <f t="shared" ca="1" si="92"/>
        <v>0</v>
      </c>
      <c r="S102" s="76">
        <f t="shared" ca="1" si="85"/>
        <v>0</v>
      </c>
      <c r="T102" s="232">
        <f t="shared" ca="1" si="91"/>
        <v>0</v>
      </c>
      <c r="V102" s="120" t="str">
        <f t="shared" si="86"/>
        <v>:0</v>
      </c>
      <c r="W102" s="120" t="str">
        <f t="shared" si="87"/>
        <v>:</v>
      </c>
      <c r="X102" s="120" t="str">
        <f t="shared" si="93"/>
        <v>:0</v>
      </c>
      <c r="Y102" s="250">
        <f t="array" aca="1" ref="Y102:AJ102" ca="1">VLOOKUP($D102&amp;":"&amp;$C102,tblPayRates,{3,4,5,6,7,8,9,10,11,12,13,14},0)</f>
        <v>0</v>
      </c>
      <c r="Z102" s="16" t="str">
        <f ca="1"/>
        <v>Nobody</v>
      </c>
      <c r="AA102" s="261" t="str">
        <f ca="1"/>
        <v>M</v>
      </c>
      <c r="AB102" s="77" t="str">
        <f ca="1"/>
        <v>Daily</v>
      </c>
      <c r="AC102" s="77">
        <f ca="1"/>
        <v>0</v>
      </c>
      <c r="AD102" s="77">
        <f ca="1"/>
        <v>0</v>
      </c>
      <c r="AE102" s="77">
        <f ca="1"/>
        <v>0</v>
      </c>
      <c r="AF102" s="77">
        <f ca="1"/>
        <v>0</v>
      </c>
      <c r="AG102" s="261" t="str">
        <f ca="1"/>
        <v>N</v>
      </c>
      <c r="AH102" s="261">
        <f ca="1"/>
        <v>1</v>
      </c>
      <c r="AI102" s="261">
        <f ca="1"/>
        <v>1</v>
      </c>
      <c r="AJ102" s="262">
        <f ca="1"/>
        <v>0</v>
      </c>
    </row>
    <row r="103" spans="1:36" hidden="1" outlineLevel="1" x14ac:dyDescent="0.25">
      <c r="A103" s="120">
        <f t="shared" si="79"/>
        <v>0</v>
      </c>
      <c r="B103" s="231"/>
      <c r="C103" s="77"/>
      <c r="D103" s="238"/>
      <c r="E103" s="76">
        <f ca="1">SUMIF(payNonMonth,"="&amp;$X103,$E$362:OFFSET($E$362,ROWS(payNonMonth)-1,0))</f>
        <v>0</v>
      </c>
      <c r="F103" s="76"/>
      <c r="G103" s="77">
        <f t="shared" ca="1" si="80"/>
        <v>0</v>
      </c>
      <c r="H103" s="76">
        <f t="shared" ca="1" si="81"/>
        <v>0</v>
      </c>
      <c r="I103" s="76">
        <f t="shared" ca="1" si="82"/>
        <v>0</v>
      </c>
      <c r="J103" s="233">
        <f t="shared" ca="1" si="75"/>
        <v>0</v>
      </c>
      <c r="K103" s="76">
        <f t="shared" si="88"/>
        <v>0</v>
      </c>
      <c r="L103" s="76">
        <f t="shared" ca="1" si="89"/>
        <v>0</v>
      </c>
      <c r="M103" s="76">
        <f t="shared" ca="1" si="83"/>
        <v>0</v>
      </c>
      <c r="N103" s="76">
        <f t="shared" ca="1" si="77"/>
        <v>0</v>
      </c>
      <c r="O103" s="76">
        <f t="shared" ca="1" si="90"/>
        <v>0</v>
      </c>
      <c r="P103" s="76"/>
      <c r="Q103" s="76">
        <f t="shared" ca="1" si="84"/>
        <v>0</v>
      </c>
      <c r="R103" s="76">
        <f t="shared" ca="1" si="92"/>
        <v>0</v>
      </c>
      <c r="S103" s="76">
        <f t="shared" ca="1" si="85"/>
        <v>0</v>
      </c>
      <c r="T103" s="232">
        <f t="shared" ca="1" si="91"/>
        <v>0</v>
      </c>
      <c r="V103" s="120" t="str">
        <f t="shared" si="86"/>
        <v>:0</v>
      </c>
      <c r="W103" s="120" t="str">
        <f t="shared" si="87"/>
        <v>:</v>
      </c>
      <c r="X103" s="120" t="str">
        <f t="shared" si="93"/>
        <v>:0</v>
      </c>
      <c r="Y103" s="250">
        <f t="array" aca="1" ref="Y103:AJ103" ca="1">VLOOKUP($D103&amp;":"&amp;$C103,tblPayRates,{3,4,5,6,7,8,9,10,11,12,13,14},0)</f>
        <v>0</v>
      </c>
      <c r="Z103" s="16" t="str">
        <f ca="1"/>
        <v>Nobody</v>
      </c>
      <c r="AA103" s="261" t="str">
        <f ca="1"/>
        <v>M</v>
      </c>
      <c r="AB103" s="77" t="str">
        <f ca="1"/>
        <v>Daily</v>
      </c>
      <c r="AC103" s="77">
        <f ca="1"/>
        <v>0</v>
      </c>
      <c r="AD103" s="77">
        <f ca="1"/>
        <v>0</v>
      </c>
      <c r="AE103" s="77">
        <f ca="1"/>
        <v>0</v>
      </c>
      <c r="AF103" s="77">
        <f ca="1"/>
        <v>0</v>
      </c>
      <c r="AG103" s="261" t="str">
        <f ca="1"/>
        <v>N</v>
      </c>
      <c r="AH103" s="261">
        <f ca="1"/>
        <v>1</v>
      </c>
      <c r="AI103" s="261">
        <f ca="1"/>
        <v>1</v>
      </c>
      <c r="AJ103" s="262">
        <f ca="1"/>
        <v>0</v>
      </c>
    </row>
    <row r="104" spans="1:36" hidden="1" outlineLevel="1" x14ac:dyDescent="0.25">
      <c r="A104" s="120">
        <f t="shared" si="79"/>
        <v>0</v>
      </c>
      <c r="B104" s="231"/>
      <c r="C104" s="77"/>
      <c r="D104" s="238"/>
      <c r="E104" s="76">
        <f ca="1">SUMIF(payNonMonth,"="&amp;$X104,$E$362:OFFSET($E$362,ROWS(payNonMonth)-1,0))</f>
        <v>0</v>
      </c>
      <c r="F104" s="76"/>
      <c r="G104" s="77">
        <f t="shared" ca="1" si="80"/>
        <v>0</v>
      </c>
      <c r="H104" s="76">
        <f t="shared" ca="1" si="81"/>
        <v>0</v>
      </c>
      <c r="I104" s="76">
        <f t="shared" ca="1" si="82"/>
        <v>0</v>
      </c>
      <c r="J104" s="233">
        <f t="shared" ca="1" si="75"/>
        <v>0</v>
      </c>
      <c r="K104" s="76">
        <f t="shared" si="88"/>
        <v>0</v>
      </c>
      <c r="L104" s="76">
        <f t="shared" ca="1" si="89"/>
        <v>0</v>
      </c>
      <c r="M104" s="76">
        <f t="shared" ca="1" si="83"/>
        <v>0</v>
      </c>
      <c r="N104" s="76">
        <f t="shared" ca="1" si="77"/>
        <v>0</v>
      </c>
      <c r="O104" s="76">
        <f t="shared" ca="1" si="90"/>
        <v>0</v>
      </c>
      <c r="P104" s="76"/>
      <c r="Q104" s="76">
        <f t="shared" ca="1" si="84"/>
        <v>0</v>
      </c>
      <c r="R104" s="76">
        <f t="shared" ca="1" si="92"/>
        <v>0</v>
      </c>
      <c r="S104" s="76">
        <f t="shared" ca="1" si="85"/>
        <v>0</v>
      </c>
      <c r="T104" s="232">
        <f t="shared" ca="1" si="91"/>
        <v>0</v>
      </c>
      <c r="V104" s="120" t="str">
        <f t="shared" si="86"/>
        <v>:0</v>
      </c>
      <c r="W104" s="120" t="str">
        <f t="shared" si="87"/>
        <v>:</v>
      </c>
      <c r="X104" s="120" t="str">
        <f t="shared" ref="X104:X107" si="94">C104 &amp;":"&amp; B104</f>
        <v>:</v>
      </c>
      <c r="Y104" s="250">
        <f t="array" aca="1" ref="Y104:AJ104" ca="1">VLOOKUP($D104&amp;":"&amp;$C104,tblPayRates,{3,4,5,6,7,8,9,10,11,12,13,14},0)</f>
        <v>0</v>
      </c>
      <c r="Z104" s="16" t="str">
        <f ca="1"/>
        <v>Nobody</v>
      </c>
      <c r="AA104" s="261" t="str">
        <f ca="1"/>
        <v>M</v>
      </c>
      <c r="AB104" s="77" t="str">
        <f ca="1"/>
        <v>Daily</v>
      </c>
      <c r="AC104" s="77">
        <f ca="1"/>
        <v>0</v>
      </c>
      <c r="AD104" s="77">
        <f ca="1"/>
        <v>0</v>
      </c>
      <c r="AE104" s="77">
        <f ca="1"/>
        <v>0</v>
      </c>
      <c r="AF104" s="77">
        <f ca="1"/>
        <v>0</v>
      </c>
      <c r="AG104" s="261" t="str">
        <f ca="1"/>
        <v>N</v>
      </c>
      <c r="AH104" s="261">
        <f ca="1"/>
        <v>1</v>
      </c>
      <c r="AI104" s="261">
        <f ca="1"/>
        <v>1</v>
      </c>
      <c r="AJ104" s="262">
        <f ca="1"/>
        <v>0</v>
      </c>
    </row>
    <row r="105" spans="1:36" hidden="1" outlineLevel="1" x14ac:dyDescent="0.25">
      <c r="A105" s="120">
        <f t="shared" si="79"/>
        <v>0</v>
      </c>
      <c r="B105" s="231"/>
      <c r="C105" s="77"/>
      <c r="D105" s="238"/>
      <c r="E105" s="76">
        <f ca="1">SUMIF(payNonMonth,"="&amp;$X105,$E$362:OFFSET($E$362,ROWS(payNonMonth)-1,0))</f>
        <v>0</v>
      </c>
      <c r="F105" s="76"/>
      <c r="G105" s="77">
        <f t="shared" ca="1" si="80"/>
        <v>0</v>
      </c>
      <c r="H105" s="76">
        <f t="shared" ca="1" si="81"/>
        <v>0</v>
      </c>
      <c r="I105" s="76">
        <f t="shared" ca="1" si="82"/>
        <v>0</v>
      </c>
      <c r="J105" s="233">
        <f t="shared" ca="1" si="75"/>
        <v>0</v>
      </c>
      <c r="K105" s="76">
        <f t="shared" si="88"/>
        <v>0</v>
      </c>
      <c r="L105" s="76">
        <f t="shared" ca="1" si="89"/>
        <v>0</v>
      </c>
      <c r="M105" s="76">
        <f t="shared" ca="1" si="83"/>
        <v>0</v>
      </c>
      <c r="N105" s="76">
        <f t="shared" ca="1" si="77"/>
        <v>0</v>
      </c>
      <c r="O105" s="76">
        <f t="shared" ca="1" si="90"/>
        <v>0</v>
      </c>
      <c r="P105" s="76"/>
      <c r="Q105" s="76">
        <f t="shared" ca="1" si="84"/>
        <v>0</v>
      </c>
      <c r="R105" s="76">
        <f t="shared" ca="1" si="92"/>
        <v>0</v>
      </c>
      <c r="S105" s="76">
        <f t="shared" ca="1" si="85"/>
        <v>0</v>
      </c>
      <c r="T105" s="232">
        <f t="shared" ca="1" si="91"/>
        <v>0</v>
      </c>
      <c r="V105" s="120" t="str">
        <f t="shared" si="86"/>
        <v>:0</v>
      </c>
      <c r="W105" s="120" t="str">
        <f t="shared" si="87"/>
        <v>:</v>
      </c>
      <c r="X105" s="120" t="str">
        <f t="shared" si="94"/>
        <v>:</v>
      </c>
      <c r="Y105" s="250">
        <f t="array" aca="1" ref="Y105:AJ105" ca="1">VLOOKUP($D105&amp;":"&amp;$C105,tblPayRates,{3,4,5,6,7,8,9,10,11,12,13,14},0)</f>
        <v>0</v>
      </c>
      <c r="Z105" s="16" t="str">
        <f ca="1"/>
        <v>Nobody</v>
      </c>
      <c r="AA105" s="261" t="str">
        <f ca="1"/>
        <v>M</v>
      </c>
      <c r="AB105" s="77" t="str">
        <f ca="1"/>
        <v>Daily</v>
      </c>
      <c r="AC105" s="77">
        <f ca="1"/>
        <v>0</v>
      </c>
      <c r="AD105" s="77">
        <f ca="1"/>
        <v>0</v>
      </c>
      <c r="AE105" s="77">
        <f ca="1"/>
        <v>0</v>
      </c>
      <c r="AF105" s="77">
        <f ca="1"/>
        <v>0</v>
      </c>
      <c r="AG105" s="261" t="str">
        <f ca="1"/>
        <v>N</v>
      </c>
      <c r="AH105" s="261">
        <f ca="1"/>
        <v>1</v>
      </c>
      <c r="AI105" s="261">
        <f ca="1"/>
        <v>1</v>
      </c>
      <c r="AJ105" s="262">
        <f ca="1"/>
        <v>0</v>
      </c>
    </row>
    <row r="106" spans="1:36" hidden="1" outlineLevel="1" x14ac:dyDescent="0.25">
      <c r="A106" s="120">
        <f t="shared" si="79"/>
        <v>0</v>
      </c>
      <c r="B106" s="231"/>
      <c r="C106" s="77"/>
      <c r="D106" s="238"/>
      <c r="E106" s="76">
        <f ca="1">SUMIF(payNonMonth,"="&amp;$X106,$E$362:OFFSET($E$362,ROWS(payNonMonth)-1,0))</f>
        <v>0</v>
      </c>
      <c r="F106" s="76"/>
      <c r="G106" s="77">
        <f t="shared" ca="1" si="80"/>
        <v>0</v>
      </c>
      <c r="H106" s="76">
        <f t="shared" ca="1" si="81"/>
        <v>0</v>
      </c>
      <c r="I106" s="76">
        <f t="shared" ca="1" si="82"/>
        <v>0</v>
      </c>
      <c r="J106" s="233">
        <f t="shared" ca="1" si="75"/>
        <v>0</v>
      </c>
      <c r="K106" s="76">
        <f t="shared" si="88"/>
        <v>0</v>
      </c>
      <c r="L106" s="76">
        <f t="shared" ca="1" si="89"/>
        <v>0</v>
      </c>
      <c r="M106" s="76">
        <f t="shared" ca="1" si="83"/>
        <v>0</v>
      </c>
      <c r="N106" s="76">
        <f t="shared" ca="1" si="77"/>
        <v>0</v>
      </c>
      <c r="O106" s="76">
        <f t="shared" ca="1" si="90"/>
        <v>0</v>
      </c>
      <c r="P106" s="76"/>
      <c r="Q106" s="76">
        <f t="shared" ca="1" si="84"/>
        <v>0</v>
      </c>
      <c r="R106" s="76">
        <f t="shared" ca="1" si="92"/>
        <v>0</v>
      </c>
      <c r="S106" s="76">
        <f t="shared" ca="1" si="85"/>
        <v>0</v>
      </c>
      <c r="T106" s="232">
        <f t="shared" ca="1" si="91"/>
        <v>0</v>
      </c>
      <c r="V106" s="120" t="str">
        <f t="shared" si="86"/>
        <v>:0</v>
      </c>
      <c r="W106" s="120" t="str">
        <f t="shared" si="87"/>
        <v>:</v>
      </c>
      <c r="X106" s="120" t="str">
        <f t="shared" si="94"/>
        <v>:</v>
      </c>
      <c r="Y106" s="250">
        <f t="array" aca="1" ref="Y106:AJ106" ca="1">VLOOKUP($D106&amp;":"&amp;$C106,tblPayRates,{3,4,5,6,7,8,9,10,11,12,13,14},0)</f>
        <v>0</v>
      </c>
      <c r="Z106" s="16" t="str">
        <f ca="1"/>
        <v>Nobody</v>
      </c>
      <c r="AA106" s="261" t="str">
        <f ca="1"/>
        <v>M</v>
      </c>
      <c r="AB106" s="77" t="str">
        <f ca="1"/>
        <v>Daily</v>
      </c>
      <c r="AC106" s="77">
        <f ca="1"/>
        <v>0</v>
      </c>
      <c r="AD106" s="77">
        <f ca="1"/>
        <v>0</v>
      </c>
      <c r="AE106" s="77">
        <f ca="1"/>
        <v>0</v>
      </c>
      <c r="AF106" s="77">
        <f ca="1"/>
        <v>0</v>
      </c>
      <c r="AG106" s="261" t="str">
        <f ca="1"/>
        <v>N</v>
      </c>
      <c r="AH106" s="261">
        <f ca="1"/>
        <v>1</v>
      </c>
      <c r="AI106" s="261">
        <f ca="1"/>
        <v>1</v>
      </c>
      <c r="AJ106" s="262">
        <f ca="1"/>
        <v>0</v>
      </c>
    </row>
    <row r="107" spans="1:36" hidden="1" outlineLevel="1" x14ac:dyDescent="0.25">
      <c r="A107" s="120">
        <f t="shared" si="79"/>
        <v>0</v>
      </c>
      <c r="B107" s="231"/>
      <c r="C107" s="77"/>
      <c r="D107" s="238"/>
      <c r="E107" s="76">
        <f ca="1">SUMIF(payNonMonth,"="&amp;$X107,$E$362:OFFSET($E$362,ROWS(payNonMonth)-1,0))</f>
        <v>0</v>
      </c>
      <c r="F107" s="76"/>
      <c r="G107" s="77">
        <f t="shared" ca="1" si="80"/>
        <v>0</v>
      </c>
      <c r="H107" s="76">
        <f t="shared" ca="1" si="81"/>
        <v>0</v>
      </c>
      <c r="I107" s="76">
        <f t="shared" ca="1" si="82"/>
        <v>0</v>
      </c>
      <c r="J107" s="233">
        <f t="shared" ca="1" si="75"/>
        <v>0</v>
      </c>
      <c r="K107" s="76">
        <f t="shared" si="88"/>
        <v>0</v>
      </c>
      <c r="L107" s="76">
        <f t="shared" ca="1" si="89"/>
        <v>0</v>
      </c>
      <c r="M107" s="76">
        <f t="shared" ca="1" si="83"/>
        <v>0</v>
      </c>
      <c r="N107" s="76">
        <f t="shared" ca="1" si="77"/>
        <v>0</v>
      </c>
      <c r="O107" s="76">
        <f t="shared" ca="1" si="90"/>
        <v>0</v>
      </c>
      <c r="P107" s="76"/>
      <c r="Q107" s="76">
        <f t="shared" ca="1" si="84"/>
        <v>0</v>
      </c>
      <c r="R107" s="76">
        <f t="shared" ca="1" si="92"/>
        <v>0</v>
      </c>
      <c r="S107" s="76">
        <f t="shared" ca="1" si="85"/>
        <v>0</v>
      </c>
      <c r="T107" s="232">
        <f t="shared" ca="1" si="91"/>
        <v>0</v>
      </c>
      <c r="V107" s="120" t="str">
        <f t="shared" si="86"/>
        <v>:0</v>
      </c>
      <c r="W107" s="120" t="str">
        <f t="shared" si="87"/>
        <v>:</v>
      </c>
      <c r="X107" s="120" t="str">
        <f t="shared" si="94"/>
        <v>:</v>
      </c>
      <c r="Y107" s="250">
        <f t="array" aca="1" ref="Y107:AJ107" ca="1">VLOOKUP($D107&amp;":"&amp;$C107,tblPayRates,{3,4,5,6,7,8,9,10,11,12,13,14},0)</f>
        <v>0</v>
      </c>
      <c r="Z107" s="16" t="str">
        <f ca="1"/>
        <v>Nobody</v>
      </c>
      <c r="AA107" s="261" t="str">
        <f ca="1"/>
        <v>M</v>
      </c>
      <c r="AB107" s="77" t="str">
        <f ca="1"/>
        <v>Daily</v>
      </c>
      <c r="AC107" s="77">
        <f ca="1"/>
        <v>0</v>
      </c>
      <c r="AD107" s="77">
        <f ca="1"/>
        <v>0</v>
      </c>
      <c r="AE107" s="77">
        <f ca="1"/>
        <v>0</v>
      </c>
      <c r="AF107" s="77">
        <f ca="1"/>
        <v>0</v>
      </c>
      <c r="AG107" s="261" t="str">
        <f ca="1"/>
        <v>N</v>
      </c>
      <c r="AH107" s="261">
        <f ca="1"/>
        <v>1</v>
      </c>
      <c r="AI107" s="261">
        <f ca="1"/>
        <v>1</v>
      </c>
      <c r="AJ107" s="262">
        <f ca="1"/>
        <v>0</v>
      </c>
    </row>
    <row r="108" spans="1:36" hidden="1" outlineLevel="1" x14ac:dyDescent="0.25">
      <c r="A108" s="120">
        <f t="shared" si="79"/>
        <v>0</v>
      </c>
      <c r="B108" s="231"/>
      <c r="C108" s="77"/>
      <c r="D108" s="238"/>
      <c r="E108" s="76">
        <f ca="1">SUMIF(payNonMonth,"="&amp;$X108,$E$362:OFFSET($E$362,ROWS(payNonMonth)-1,0))</f>
        <v>0</v>
      </c>
      <c r="F108" s="76"/>
      <c r="G108" s="77">
        <f t="shared" ca="1" si="80"/>
        <v>0</v>
      </c>
      <c r="H108" s="76">
        <f t="shared" ca="1" si="81"/>
        <v>0</v>
      </c>
      <c r="I108" s="76">
        <f t="shared" ca="1" si="82"/>
        <v>0</v>
      </c>
      <c r="J108" s="233">
        <f t="shared" ca="1" si="75"/>
        <v>0</v>
      </c>
      <c r="K108" s="76">
        <f t="shared" si="88"/>
        <v>0</v>
      </c>
      <c r="L108" s="76">
        <f t="shared" ca="1" si="89"/>
        <v>0</v>
      </c>
      <c r="M108" s="76">
        <f t="shared" ca="1" si="83"/>
        <v>0</v>
      </c>
      <c r="N108" s="76">
        <f t="shared" ca="1" si="77"/>
        <v>0</v>
      </c>
      <c r="O108" s="76">
        <f t="shared" ca="1" si="90"/>
        <v>0</v>
      </c>
      <c r="P108" s="76"/>
      <c r="Q108" s="76">
        <f t="shared" ca="1" si="84"/>
        <v>0</v>
      </c>
      <c r="R108" s="76">
        <f t="shared" ca="1" si="92"/>
        <v>0</v>
      </c>
      <c r="S108" s="76">
        <f t="shared" ca="1" si="85"/>
        <v>0</v>
      </c>
      <c r="T108" s="232">
        <f t="shared" ca="1" si="91"/>
        <v>0</v>
      </c>
      <c r="V108" s="120" t="str">
        <f t="shared" si="86"/>
        <v>:0</v>
      </c>
      <c r="W108" s="120" t="str">
        <f t="shared" si="87"/>
        <v>:</v>
      </c>
      <c r="X108" s="120" t="str">
        <f t="shared" si="93"/>
        <v>:0</v>
      </c>
      <c r="Y108" s="250">
        <f t="array" aca="1" ref="Y108:AJ108" ca="1">VLOOKUP($D108&amp;":"&amp;$C108,tblPayRates,{3,4,5,6,7,8,9,10,11,12,13,14},0)</f>
        <v>0</v>
      </c>
      <c r="Z108" s="16" t="str">
        <f ca="1"/>
        <v>Nobody</v>
      </c>
      <c r="AA108" s="261" t="str">
        <f ca="1"/>
        <v>M</v>
      </c>
      <c r="AB108" s="77" t="str">
        <f ca="1"/>
        <v>Daily</v>
      </c>
      <c r="AC108" s="77">
        <f ca="1"/>
        <v>0</v>
      </c>
      <c r="AD108" s="77">
        <f ca="1"/>
        <v>0</v>
      </c>
      <c r="AE108" s="77">
        <f ca="1"/>
        <v>0</v>
      </c>
      <c r="AF108" s="77">
        <f ca="1"/>
        <v>0</v>
      </c>
      <c r="AG108" s="261" t="str">
        <f ca="1"/>
        <v>N</v>
      </c>
      <c r="AH108" s="261">
        <f ca="1"/>
        <v>1</v>
      </c>
      <c r="AI108" s="261">
        <f ca="1"/>
        <v>1</v>
      </c>
      <c r="AJ108" s="262">
        <f ca="1"/>
        <v>0</v>
      </c>
    </row>
    <row r="109" spans="1:36" hidden="1" outlineLevel="1" x14ac:dyDescent="0.25">
      <c r="A109" s="120">
        <f t="shared" si="79"/>
        <v>0</v>
      </c>
      <c r="B109" s="231"/>
      <c r="C109" s="77"/>
      <c r="D109" s="238"/>
      <c r="E109" s="76">
        <f ca="1">SUMIF(payNonMonth,"="&amp;$X109,$E$362:OFFSET($E$362,ROWS(payNonMonth)-1,0))</f>
        <v>0</v>
      </c>
      <c r="F109" s="76"/>
      <c r="G109" s="77">
        <f t="shared" ca="1" si="80"/>
        <v>0</v>
      </c>
      <c r="H109" s="76">
        <f t="shared" ca="1" si="81"/>
        <v>0</v>
      </c>
      <c r="I109" s="76">
        <f t="shared" ca="1" si="82"/>
        <v>0</v>
      </c>
      <c r="J109" s="233">
        <f t="shared" ca="1" si="75"/>
        <v>0</v>
      </c>
      <c r="K109" s="76">
        <f t="shared" si="88"/>
        <v>0</v>
      </c>
      <c r="L109" s="76">
        <f t="shared" ca="1" si="89"/>
        <v>0</v>
      </c>
      <c r="M109" s="76">
        <f t="shared" ca="1" si="83"/>
        <v>0</v>
      </c>
      <c r="N109" s="76">
        <f t="shared" ca="1" si="77"/>
        <v>0</v>
      </c>
      <c r="O109" s="76">
        <f t="shared" ca="1" si="90"/>
        <v>0</v>
      </c>
      <c r="P109" s="76"/>
      <c r="Q109" s="76">
        <f t="shared" ca="1" si="84"/>
        <v>0</v>
      </c>
      <c r="R109" s="76">
        <f t="shared" ca="1" si="92"/>
        <v>0</v>
      </c>
      <c r="S109" s="76">
        <f t="shared" ca="1" si="85"/>
        <v>0</v>
      </c>
      <c r="T109" s="232">
        <f t="shared" ca="1" si="91"/>
        <v>0</v>
      </c>
      <c r="V109" s="120" t="str">
        <f t="shared" si="86"/>
        <v>:0</v>
      </c>
      <c r="W109" s="120" t="str">
        <f t="shared" si="87"/>
        <v>:</v>
      </c>
      <c r="X109" s="120" t="str">
        <f t="shared" si="93"/>
        <v>:0</v>
      </c>
      <c r="Y109" s="250">
        <f t="array" aca="1" ref="Y109:AJ109" ca="1">VLOOKUP($D109&amp;":"&amp;$C109,tblPayRates,{3,4,5,6,7,8,9,10,11,12,13,14},0)</f>
        <v>0</v>
      </c>
      <c r="Z109" s="16" t="str">
        <f ca="1"/>
        <v>Nobody</v>
      </c>
      <c r="AA109" s="261" t="str">
        <f ca="1"/>
        <v>M</v>
      </c>
      <c r="AB109" s="77" t="str">
        <f ca="1"/>
        <v>Daily</v>
      </c>
      <c r="AC109" s="77">
        <f ca="1"/>
        <v>0</v>
      </c>
      <c r="AD109" s="77">
        <f ca="1"/>
        <v>0</v>
      </c>
      <c r="AE109" s="77">
        <f ca="1"/>
        <v>0</v>
      </c>
      <c r="AF109" s="77">
        <f ca="1"/>
        <v>0</v>
      </c>
      <c r="AG109" s="261" t="str">
        <f ca="1"/>
        <v>N</v>
      </c>
      <c r="AH109" s="261">
        <f ca="1"/>
        <v>1</v>
      </c>
      <c r="AI109" s="261">
        <f ca="1"/>
        <v>1</v>
      </c>
      <c r="AJ109" s="262">
        <f ca="1"/>
        <v>0</v>
      </c>
    </row>
    <row r="110" spans="1:36" hidden="1" outlineLevel="1" x14ac:dyDescent="0.25">
      <c r="A110" s="120">
        <f t="shared" si="79"/>
        <v>0</v>
      </c>
      <c r="B110" s="231"/>
      <c r="C110" s="77"/>
      <c r="D110" s="238"/>
      <c r="E110" s="76">
        <f ca="1">SUMIF(payNonMonth,"="&amp;$X110,$E$362:OFFSET($E$362,ROWS(payNonMonth)-1,0))</f>
        <v>0</v>
      </c>
      <c r="F110" s="76"/>
      <c r="G110" s="77">
        <f t="shared" ca="1" si="80"/>
        <v>0</v>
      </c>
      <c r="H110" s="76">
        <f t="shared" ca="1" si="81"/>
        <v>0</v>
      </c>
      <c r="I110" s="76">
        <f t="shared" ca="1" si="82"/>
        <v>0</v>
      </c>
      <c r="J110" s="233">
        <f t="shared" ca="1" si="75"/>
        <v>0</v>
      </c>
      <c r="K110" s="76">
        <f t="shared" si="88"/>
        <v>0</v>
      </c>
      <c r="L110" s="76">
        <f t="shared" ca="1" si="89"/>
        <v>0</v>
      </c>
      <c r="M110" s="76">
        <f t="shared" ca="1" si="83"/>
        <v>0</v>
      </c>
      <c r="N110" s="76">
        <f t="shared" ca="1" si="77"/>
        <v>0</v>
      </c>
      <c r="O110" s="76">
        <f t="shared" ca="1" si="90"/>
        <v>0</v>
      </c>
      <c r="P110" s="76"/>
      <c r="Q110" s="76">
        <f t="shared" ca="1" si="84"/>
        <v>0</v>
      </c>
      <c r="R110" s="76">
        <f t="shared" ca="1" si="92"/>
        <v>0</v>
      </c>
      <c r="S110" s="76">
        <f t="shared" ca="1" si="85"/>
        <v>0</v>
      </c>
      <c r="T110" s="232">
        <f t="shared" ca="1" si="91"/>
        <v>0</v>
      </c>
      <c r="V110" s="120" t="str">
        <f t="shared" si="86"/>
        <v>:0</v>
      </c>
      <c r="W110" s="120" t="str">
        <f t="shared" si="87"/>
        <v>:</v>
      </c>
      <c r="X110" s="120" t="str">
        <f t="shared" si="93"/>
        <v>:0</v>
      </c>
      <c r="Y110" s="250">
        <f t="array" aca="1" ref="Y110:AJ110" ca="1">VLOOKUP($D110&amp;":"&amp;$C110,tblPayRates,{3,4,5,6,7,8,9,10,11,12,13,14},0)</f>
        <v>0</v>
      </c>
      <c r="Z110" s="16" t="str">
        <f ca="1"/>
        <v>Nobody</v>
      </c>
      <c r="AA110" s="261" t="str">
        <f ca="1"/>
        <v>M</v>
      </c>
      <c r="AB110" s="77" t="str">
        <f ca="1"/>
        <v>Daily</v>
      </c>
      <c r="AC110" s="77">
        <f ca="1"/>
        <v>0</v>
      </c>
      <c r="AD110" s="77">
        <f ca="1"/>
        <v>0</v>
      </c>
      <c r="AE110" s="77">
        <f ca="1"/>
        <v>0</v>
      </c>
      <c r="AF110" s="77">
        <f ca="1"/>
        <v>0</v>
      </c>
      <c r="AG110" s="261" t="str">
        <f ca="1"/>
        <v>N</v>
      </c>
      <c r="AH110" s="261">
        <f ca="1"/>
        <v>1</v>
      </c>
      <c r="AI110" s="261">
        <f ca="1"/>
        <v>1</v>
      </c>
      <c r="AJ110" s="262">
        <f ca="1"/>
        <v>0</v>
      </c>
    </row>
    <row r="111" spans="1:36" hidden="1" outlineLevel="1" x14ac:dyDescent="0.25">
      <c r="A111" s="120">
        <f t="shared" si="79"/>
        <v>0</v>
      </c>
      <c r="B111" s="231"/>
      <c r="C111" s="77"/>
      <c r="D111" s="238"/>
      <c r="E111" s="76">
        <f ca="1">SUMIF(payNonMonth,"="&amp;$X111,$E$362:OFFSET($E$362,ROWS(payNonMonth)-1,0))</f>
        <v>0</v>
      </c>
      <c r="F111" s="76"/>
      <c r="G111" s="77">
        <f t="shared" ca="1" si="80"/>
        <v>0</v>
      </c>
      <c r="H111" s="76">
        <f t="shared" ca="1" si="81"/>
        <v>0</v>
      </c>
      <c r="I111" s="76">
        <f t="shared" ca="1" si="82"/>
        <v>0</v>
      </c>
      <c r="J111" s="233">
        <f t="shared" ca="1" si="75"/>
        <v>0</v>
      </c>
      <c r="K111" s="76">
        <f t="shared" si="88"/>
        <v>0</v>
      </c>
      <c r="L111" s="76">
        <f t="shared" ca="1" si="89"/>
        <v>0</v>
      </c>
      <c r="M111" s="76">
        <f t="shared" ca="1" si="83"/>
        <v>0</v>
      </c>
      <c r="N111" s="76">
        <f t="shared" ca="1" si="77"/>
        <v>0</v>
      </c>
      <c r="O111" s="76"/>
      <c r="P111" s="76"/>
      <c r="Q111" s="76">
        <f t="shared" ca="1" si="84"/>
        <v>0</v>
      </c>
      <c r="R111" s="76">
        <f t="shared" ca="1" si="92"/>
        <v>0</v>
      </c>
      <c r="S111" s="76">
        <f t="shared" ca="1" si="85"/>
        <v>0</v>
      </c>
      <c r="T111" s="232">
        <f t="shared" ca="1" si="91"/>
        <v>0</v>
      </c>
      <c r="V111" s="120" t="str">
        <f t="shared" si="86"/>
        <v>:0</v>
      </c>
      <c r="W111" s="120" t="str">
        <f t="shared" si="87"/>
        <v>:</v>
      </c>
      <c r="X111" s="120" t="str">
        <f t="shared" si="93"/>
        <v>:0</v>
      </c>
      <c r="Y111" s="250">
        <f t="array" aca="1" ref="Y111:AJ111" ca="1">VLOOKUP($D111&amp;":"&amp;$C111,tblPayRates,{3,4,5,6,7,8,9,10,11,12,13,14},0)</f>
        <v>0</v>
      </c>
      <c r="Z111" s="16" t="str">
        <f ca="1"/>
        <v>Nobody</v>
      </c>
      <c r="AA111" s="261" t="str">
        <f ca="1"/>
        <v>M</v>
      </c>
      <c r="AB111" s="77" t="str">
        <f ca="1"/>
        <v>Daily</v>
      </c>
      <c r="AC111" s="77">
        <f ca="1"/>
        <v>0</v>
      </c>
      <c r="AD111" s="77">
        <f ca="1"/>
        <v>0</v>
      </c>
      <c r="AE111" s="77">
        <f ca="1"/>
        <v>0</v>
      </c>
      <c r="AF111" s="77">
        <f ca="1"/>
        <v>0</v>
      </c>
      <c r="AG111" s="261" t="str">
        <f ca="1"/>
        <v>N</v>
      </c>
      <c r="AH111" s="261">
        <f ca="1"/>
        <v>1</v>
      </c>
      <c r="AI111" s="261">
        <f ca="1"/>
        <v>1</v>
      </c>
      <c r="AJ111" s="262">
        <f ca="1"/>
        <v>0</v>
      </c>
    </row>
    <row r="112" spans="1:36" hidden="1" outlineLevel="1" x14ac:dyDescent="0.25">
      <c r="A112" s="120">
        <f t="shared" si="79"/>
        <v>0</v>
      </c>
      <c r="B112" s="231"/>
      <c r="C112" s="77"/>
      <c r="D112" s="238"/>
      <c r="E112" s="76">
        <f ca="1">SUMIF(payNonMonth,"="&amp;$X112,$E$362:OFFSET($E$362,ROWS(payNonMonth)-1,0))</f>
        <v>0</v>
      </c>
      <c r="F112" s="76"/>
      <c r="G112" s="77">
        <f t="shared" ca="1" si="80"/>
        <v>0</v>
      </c>
      <c r="H112" s="76">
        <f t="shared" ca="1" si="81"/>
        <v>0</v>
      </c>
      <c r="I112" s="76">
        <f t="shared" ca="1" si="82"/>
        <v>0</v>
      </c>
      <c r="J112" s="233">
        <f t="shared" ca="1" si="75"/>
        <v>0</v>
      </c>
      <c r="K112" s="76">
        <f t="shared" si="88"/>
        <v>0</v>
      </c>
      <c r="L112" s="76">
        <f t="shared" ca="1" si="89"/>
        <v>0</v>
      </c>
      <c r="M112" s="76">
        <f t="shared" ca="1" si="83"/>
        <v>0</v>
      </c>
      <c r="N112" s="76">
        <f t="shared" ca="1" si="77"/>
        <v>0</v>
      </c>
      <c r="O112" s="76"/>
      <c r="P112" s="76"/>
      <c r="Q112" s="76">
        <f t="shared" ca="1" si="84"/>
        <v>0</v>
      </c>
      <c r="R112" s="76">
        <f t="shared" ca="1" si="92"/>
        <v>0</v>
      </c>
      <c r="S112" s="76">
        <f t="shared" ca="1" si="85"/>
        <v>0</v>
      </c>
      <c r="T112" s="232">
        <f t="shared" ca="1" si="91"/>
        <v>0</v>
      </c>
      <c r="V112" s="120" t="str">
        <f t="shared" si="86"/>
        <v>:0</v>
      </c>
      <c r="W112" s="120" t="str">
        <f t="shared" si="87"/>
        <v>:</v>
      </c>
      <c r="X112" s="120" t="str">
        <f t="shared" si="93"/>
        <v>:0</v>
      </c>
      <c r="Y112" s="250">
        <f t="array" aca="1" ref="Y112:AJ112" ca="1">VLOOKUP($D112&amp;":"&amp;$C112,tblPayRates,{3,4,5,6,7,8,9,10,11,12,13,14},0)</f>
        <v>0</v>
      </c>
      <c r="Z112" s="16" t="str">
        <f ca="1"/>
        <v>Nobody</v>
      </c>
      <c r="AA112" s="261" t="str">
        <f ca="1"/>
        <v>M</v>
      </c>
      <c r="AB112" s="77" t="str">
        <f ca="1"/>
        <v>Daily</v>
      </c>
      <c r="AC112" s="77">
        <f ca="1"/>
        <v>0</v>
      </c>
      <c r="AD112" s="77">
        <f ca="1"/>
        <v>0</v>
      </c>
      <c r="AE112" s="77">
        <f ca="1"/>
        <v>0</v>
      </c>
      <c r="AF112" s="77">
        <f ca="1"/>
        <v>0</v>
      </c>
      <c r="AG112" s="261" t="str">
        <f ca="1"/>
        <v>N</v>
      </c>
      <c r="AH112" s="261">
        <f ca="1"/>
        <v>1</v>
      </c>
      <c r="AI112" s="261">
        <f ca="1"/>
        <v>1</v>
      </c>
      <c r="AJ112" s="262">
        <f ca="1"/>
        <v>0</v>
      </c>
    </row>
    <row r="113" spans="1:36" hidden="1" outlineLevel="1" x14ac:dyDescent="0.25">
      <c r="A113" s="120">
        <f t="shared" si="79"/>
        <v>0</v>
      </c>
      <c r="B113" s="231"/>
      <c r="C113" s="77"/>
      <c r="D113" s="238"/>
      <c r="E113" s="76">
        <f ca="1">SUMIF(payNonMonth,"="&amp;$X113,$E$362:OFFSET($E$362,ROWS(payNonMonth)-1,0))</f>
        <v>0</v>
      </c>
      <c r="F113" s="76"/>
      <c r="G113" s="77">
        <f t="shared" ca="1" si="80"/>
        <v>0</v>
      </c>
      <c r="H113" s="76">
        <f t="shared" ca="1" si="81"/>
        <v>0</v>
      </c>
      <c r="I113" s="76">
        <f t="shared" ca="1" si="82"/>
        <v>0</v>
      </c>
      <c r="J113" s="233">
        <f t="shared" ca="1" si="75"/>
        <v>0</v>
      </c>
      <c r="K113" s="76">
        <f t="shared" ref="K113" si="95">SUMIF(payAllow,$W113,K$269:K$359)+SUMIF(payAllow,$W113,O$269:O$359)</f>
        <v>0</v>
      </c>
      <c r="L113" s="76">
        <f t="shared" ca="1" si="89"/>
        <v>0</v>
      </c>
      <c r="M113" s="76">
        <f t="shared" ref="M113" ca="1" si="96">GETSUPER(J113-SUM(K113:L113))</f>
        <v>0</v>
      </c>
      <c r="N113" s="76">
        <f t="shared" ref="N113" ca="1" si="97">SUMIF(payAllow,$W113,N$269:N$359)*G113</f>
        <v>0</v>
      </c>
      <c r="O113" s="76">
        <f t="shared" ref="O113" ca="1" si="98">ROUND((J113-SUM(K113:N113))*InsureRate,2)</f>
        <v>0</v>
      </c>
      <c r="P113" s="76"/>
      <c r="Q113" s="76">
        <f t="shared" ref="Q113" ca="1" si="99">J113-SUM(K113:P113)</f>
        <v>0</v>
      </c>
      <c r="R113" s="76">
        <f t="shared" ref="R113" ca="1" si="100">GETTAX(Q113,AA113)</f>
        <v>0</v>
      </c>
      <c r="S113" s="76">
        <f t="shared" ref="S113" ca="1" si="101">Q113-R113</f>
        <v>0</v>
      </c>
      <c r="T113" s="232">
        <f t="shared" ref="T113" ca="1" si="102">SUMIF(payAllow,W113,T$269:T$359)*G113</f>
        <v>0</v>
      </c>
      <c r="V113" s="120" t="str">
        <f t="shared" si="86"/>
        <v>:0</v>
      </c>
      <c r="W113" s="120" t="str">
        <f t="shared" si="87"/>
        <v>:</v>
      </c>
      <c r="X113" s="120" t="str">
        <f t="shared" si="93"/>
        <v>:0</v>
      </c>
      <c r="Y113" s="250">
        <f t="array" aca="1" ref="Y113:AJ113" ca="1">VLOOKUP($D113&amp;":"&amp;$C113,tblPayRates,{3,4,5,6,7,8,9,10,11,12,13,14},0)</f>
        <v>0</v>
      </c>
      <c r="Z113" s="16" t="str">
        <f ca="1"/>
        <v>Nobody</v>
      </c>
      <c r="AA113" s="261" t="str">
        <f ca="1"/>
        <v>M</v>
      </c>
      <c r="AB113" s="77" t="str">
        <f ca="1"/>
        <v>Daily</v>
      </c>
      <c r="AC113" s="77">
        <f ca="1"/>
        <v>0</v>
      </c>
      <c r="AD113" s="77">
        <f ca="1"/>
        <v>0</v>
      </c>
      <c r="AE113" s="77">
        <f ca="1"/>
        <v>0</v>
      </c>
      <c r="AF113" s="77">
        <f ca="1"/>
        <v>0</v>
      </c>
      <c r="AG113" s="261" t="str">
        <f ca="1"/>
        <v>N</v>
      </c>
      <c r="AH113" s="261">
        <f ca="1"/>
        <v>1</v>
      </c>
      <c r="AI113" s="261">
        <f ca="1"/>
        <v>1</v>
      </c>
      <c r="AJ113" s="262">
        <f ca="1"/>
        <v>0</v>
      </c>
    </row>
    <row r="114" spans="1:36" hidden="1" outlineLevel="1" x14ac:dyDescent="0.25">
      <c r="A114" s="120">
        <f t="shared" si="79"/>
        <v>0</v>
      </c>
      <c r="B114" s="231"/>
      <c r="C114" s="77"/>
      <c r="D114" s="238"/>
      <c r="E114" s="76">
        <f ca="1">SUMIF(payNonMonth,"="&amp;$X114,$E$362:OFFSET($E$362,ROWS(payNonMonth)-1,0))</f>
        <v>0</v>
      </c>
      <c r="F114" s="76"/>
      <c r="G114" s="77">
        <f t="shared" ca="1" si="80"/>
        <v>0</v>
      </c>
      <c r="H114" s="76">
        <f t="shared" ca="1" si="81"/>
        <v>0</v>
      </c>
      <c r="I114" s="76">
        <f t="shared" ca="1" si="82"/>
        <v>0</v>
      </c>
      <c r="J114" s="233">
        <f t="shared" ref="J114:J150" ca="1" si="103">ROUND(IF(AI114,$E114,1)*AE114+$F114*AF114+SUMIF(payAllow,$W114,$J$269:$J$359),2)</f>
        <v>0</v>
      </c>
      <c r="K114" s="76">
        <f t="shared" ref="K114:K150" si="104">SUMIF(payAllow,$W114,K$269:K$359)+SUMIF(payAllow,$W114,O$269:O$359)</f>
        <v>0</v>
      </c>
      <c r="L114" s="76">
        <f t="shared" ref="L114:L150" ca="1" si="105">SUMIF(payAllow,$W114,L$269:L$359)*$G114</f>
        <v>0</v>
      </c>
      <c r="M114" s="76">
        <f t="shared" ca="1" si="83"/>
        <v>0</v>
      </c>
      <c r="N114" s="76">
        <f t="shared" ref="N114:N150" ca="1" si="106">SUMIF(payAllow,$W114,N$269:N$359)*G114</f>
        <v>0</v>
      </c>
      <c r="O114" s="76">
        <f t="shared" ca="1" si="90"/>
        <v>0</v>
      </c>
      <c r="P114" s="76"/>
      <c r="Q114" s="76">
        <f t="shared" ca="1" si="84"/>
        <v>0</v>
      </c>
      <c r="R114" s="76">
        <f t="shared" ca="1" si="92"/>
        <v>0</v>
      </c>
      <c r="S114" s="76">
        <f t="shared" ca="1" si="85"/>
        <v>0</v>
      </c>
      <c r="T114" s="232">
        <f t="shared" ref="T114:T150" ca="1" si="107">SUMIF(payAllow,W114,T$269:T$359)*G114</f>
        <v>0</v>
      </c>
      <c r="V114" s="120" t="str">
        <f t="shared" si="86"/>
        <v>:0</v>
      </c>
      <c r="W114" s="120" t="str">
        <f t="shared" si="87"/>
        <v>:</v>
      </c>
      <c r="X114" s="120" t="str">
        <f t="shared" ref="X114:X117" si="108">C114 &amp;":"&amp; B114</f>
        <v>:</v>
      </c>
      <c r="Y114" s="250">
        <f t="array" aca="1" ref="Y114:AJ114" ca="1">VLOOKUP($D114&amp;":"&amp;$C114,tblPayRates,{3,4,5,6,7,8,9,10,11,12,13,14},0)</f>
        <v>0</v>
      </c>
      <c r="Z114" s="16" t="str">
        <f ca="1"/>
        <v>Nobody</v>
      </c>
      <c r="AA114" s="261" t="str">
        <f ca="1"/>
        <v>M</v>
      </c>
      <c r="AB114" s="77" t="str">
        <f ca="1"/>
        <v>Daily</v>
      </c>
      <c r="AC114" s="77">
        <f ca="1"/>
        <v>0</v>
      </c>
      <c r="AD114" s="77">
        <f ca="1"/>
        <v>0</v>
      </c>
      <c r="AE114" s="77">
        <f ca="1"/>
        <v>0</v>
      </c>
      <c r="AF114" s="77">
        <f ca="1"/>
        <v>0</v>
      </c>
      <c r="AG114" s="261" t="str">
        <f ca="1"/>
        <v>N</v>
      </c>
      <c r="AH114" s="261">
        <f ca="1"/>
        <v>1</v>
      </c>
      <c r="AI114" s="261">
        <f ca="1"/>
        <v>1</v>
      </c>
      <c r="AJ114" s="262">
        <f ca="1"/>
        <v>0</v>
      </c>
    </row>
    <row r="115" spans="1:36" hidden="1" outlineLevel="1" x14ac:dyDescent="0.25">
      <c r="A115" s="120">
        <f t="shared" si="79"/>
        <v>0</v>
      </c>
      <c r="B115" s="231"/>
      <c r="C115" s="77"/>
      <c r="D115" s="238"/>
      <c r="E115" s="76">
        <f ca="1">SUMIF(payNonMonth,"="&amp;$X115,$E$362:OFFSET($E$362,ROWS(payNonMonth)-1,0))</f>
        <v>0</v>
      </c>
      <c r="F115" s="76"/>
      <c r="G115" s="77">
        <f t="shared" ca="1" si="80"/>
        <v>0</v>
      </c>
      <c r="H115" s="76">
        <f t="shared" ca="1" si="81"/>
        <v>0</v>
      </c>
      <c r="I115" s="76">
        <f t="shared" ca="1" si="82"/>
        <v>0</v>
      </c>
      <c r="J115" s="233">
        <f t="shared" ca="1" si="103"/>
        <v>0</v>
      </c>
      <c r="K115" s="76">
        <f t="shared" si="104"/>
        <v>0</v>
      </c>
      <c r="L115" s="76">
        <f t="shared" ca="1" si="105"/>
        <v>0</v>
      </c>
      <c r="M115" s="76">
        <f t="shared" ca="1" si="83"/>
        <v>0</v>
      </c>
      <c r="N115" s="76">
        <f t="shared" ca="1" si="106"/>
        <v>0</v>
      </c>
      <c r="O115" s="76">
        <f t="shared" ca="1" si="90"/>
        <v>0</v>
      </c>
      <c r="P115" s="76"/>
      <c r="Q115" s="76">
        <f t="shared" ca="1" si="84"/>
        <v>0</v>
      </c>
      <c r="R115" s="76">
        <f t="shared" ca="1" si="92"/>
        <v>0</v>
      </c>
      <c r="S115" s="76">
        <f t="shared" ca="1" si="85"/>
        <v>0</v>
      </c>
      <c r="T115" s="232">
        <f t="shared" ca="1" si="107"/>
        <v>0</v>
      </c>
      <c r="V115" s="120" t="str">
        <f t="shared" si="86"/>
        <v>:0</v>
      </c>
      <c r="W115" s="120" t="str">
        <f t="shared" si="87"/>
        <v>:</v>
      </c>
      <c r="X115" s="120" t="str">
        <f t="shared" si="108"/>
        <v>:</v>
      </c>
      <c r="Y115" s="250">
        <f t="array" aca="1" ref="Y115:AJ115" ca="1">VLOOKUP($D115&amp;":"&amp;$C115,tblPayRates,{3,4,5,6,7,8,9,10,11,12,13,14},0)</f>
        <v>0</v>
      </c>
      <c r="Z115" s="16" t="str">
        <f ca="1"/>
        <v>Nobody</v>
      </c>
      <c r="AA115" s="261" t="str">
        <f ca="1"/>
        <v>M</v>
      </c>
      <c r="AB115" s="77" t="str">
        <f ca="1"/>
        <v>Daily</v>
      </c>
      <c r="AC115" s="77">
        <f ca="1"/>
        <v>0</v>
      </c>
      <c r="AD115" s="77">
        <f ca="1"/>
        <v>0</v>
      </c>
      <c r="AE115" s="77">
        <f ca="1"/>
        <v>0</v>
      </c>
      <c r="AF115" s="77">
        <f ca="1"/>
        <v>0</v>
      </c>
      <c r="AG115" s="261" t="str">
        <f ca="1"/>
        <v>N</v>
      </c>
      <c r="AH115" s="261">
        <f ca="1"/>
        <v>1</v>
      </c>
      <c r="AI115" s="261">
        <f ca="1"/>
        <v>1</v>
      </c>
      <c r="AJ115" s="262">
        <f ca="1"/>
        <v>0</v>
      </c>
    </row>
    <row r="116" spans="1:36" hidden="1" outlineLevel="1" x14ac:dyDescent="0.25">
      <c r="A116" s="120">
        <f t="shared" si="79"/>
        <v>0</v>
      </c>
      <c r="B116" s="231"/>
      <c r="C116" s="77"/>
      <c r="D116" s="238"/>
      <c r="E116" s="76">
        <f ca="1">SUMIF(payNonMonth,"="&amp;$X116,$E$362:OFFSET($E$362,ROWS(payNonMonth)-1,0))</f>
        <v>0</v>
      </c>
      <c r="F116" s="76"/>
      <c r="G116" s="77">
        <f t="shared" ca="1" si="80"/>
        <v>0</v>
      </c>
      <c r="H116" s="76">
        <f t="shared" ca="1" si="81"/>
        <v>0</v>
      </c>
      <c r="I116" s="76">
        <f t="shared" ca="1" si="82"/>
        <v>0</v>
      </c>
      <c r="J116" s="233">
        <f t="shared" ca="1" si="103"/>
        <v>0</v>
      </c>
      <c r="K116" s="76">
        <f t="shared" si="104"/>
        <v>0</v>
      </c>
      <c r="L116" s="76">
        <f t="shared" ca="1" si="105"/>
        <v>0</v>
      </c>
      <c r="M116" s="76">
        <f t="shared" ca="1" si="83"/>
        <v>0</v>
      </c>
      <c r="N116" s="76">
        <f t="shared" ca="1" si="106"/>
        <v>0</v>
      </c>
      <c r="O116" s="76">
        <f t="shared" ca="1" si="90"/>
        <v>0</v>
      </c>
      <c r="P116" s="76"/>
      <c r="Q116" s="76">
        <f t="shared" ca="1" si="84"/>
        <v>0</v>
      </c>
      <c r="R116" s="76">
        <f t="shared" ca="1" si="92"/>
        <v>0</v>
      </c>
      <c r="S116" s="76">
        <f t="shared" ca="1" si="85"/>
        <v>0</v>
      </c>
      <c r="T116" s="232">
        <f t="shared" ca="1" si="107"/>
        <v>0</v>
      </c>
      <c r="V116" s="120" t="str">
        <f t="shared" si="86"/>
        <v>:0</v>
      </c>
      <c r="W116" s="120" t="str">
        <f t="shared" si="87"/>
        <v>:</v>
      </c>
      <c r="X116" s="120" t="str">
        <f t="shared" si="108"/>
        <v>:</v>
      </c>
      <c r="Y116" s="250">
        <f t="array" aca="1" ref="Y116:AJ116" ca="1">VLOOKUP($D116&amp;":"&amp;$C116,tblPayRates,{3,4,5,6,7,8,9,10,11,12,13,14},0)</f>
        <v>0</v>
      </c>
      <c r="Z116" s="16" t="str">
        <f ca="1"/>
        <v>Nobody</v>
      </c>
      <c r="AA116" s="261" t="str">
        <f ca="1"/>
        <v>M</v>
      </c>
      <c r="AB116" s="77" t="str">
        <f ca="1"/>
        <v>Daily</v>
      </c>
      <c r="AC116" s="77">
        <f ca="1"/>
        <v>0</v>
      </c>
      <c r="AD116" s="77">
        <f ca="1"/>
        <v>0</v>
      </c>
      <c r="AE116" s="77">
        <f ca="1"/>
        <v>0</v>
      </c>
      <c r="AF116" s="77">
        <f ca="1"/>
        <v>0</v>
      </c>
      <c r="AG116" s="261" t="str">
        <f ca="1"/>
        <v>N</v>
      </c>
      <c r="AH116" s="261">
        <f ca="1"/>
        <v>1</v>
      </c>
      <c r="AI116" s="261">
        <f ca="1"/>
        <v>1</v>
      </c>
      <c r="AJ116" s="262">
        <f ca="1"/>
        <v>0</v>
      </c>
    </row>
    <row r="117" spans="1:36" hidden="1" outlineLevel="1" x14ac:dyDescent="0.25">
      <c r="A117" s="120">
        <f t="shared" si="79"/>
        <v>0</v>
      </c>
      <c r="B117" s="231"/>
      <c r="C117" s="77"/>
      <c r="D117" s="238"/>
      <c r="E117" s="76">
        <f ca="1">SUMIF(payNonMonth,"="&amp;$X117,$E$362:OFFSET($E$362,ROWS(payNonMonth)-1,0))</f>
        <v>0</v>
      </c>
      <c r="F117" s="76"/>
      <c r="G117" s="77">
        <f t="shared" ca="1" si="80"/>
        <v>0</v>
      </c>
      <c r="H117" s="76">
        <f t="shared" ca="1" si="81"/>
        <v>0</v>
      </c>
      <c r="I117" s="76">
        <f t="shared" ca="1" si="82"/>
        <v>0</v>
      </c>
      <c r="J117" s="233">
        <f t="shared" ca="1" si="103"/>
        <v>0</v>
      </c>
      <c r="K117" s="76">
        <f t="shared" si="104"/>
        <v>0</v>
      </c>
      <c r="L117" s="76">
        <f t="shared" ca="1" si="105"/>
        <v>0</v>
      </c>
      <c r="M117" s="76">
        <f t="shared" ca="1" si="83"/>
        <v>0</v>
      </c>
      <c r="N117" s="76">
        <f t="shared" ca="1" si="106"/>
        <v>0</v>
      </c>
      <c r="O117" s="76">
        <f t="shared" ca="1" si="90"/>
        <v>0</v>
      </c>
      <c r="P117" s="76"/>
      <c r="Q117" s="76">
        <f t="shared" ca="1" si="84"/>
        <v>0</v>
      </c>
      <c r="R117" s="76">
        <f t="shared" ca="1" si="92"/>
        <v>0</v>
      </c>
      <c r="S117" s="76">
        <f t="shared" ca="1" si="85"/>
        <v>0</v>
      </c>
      <c r="T117" s="232">
        <f t="shared" ca="1" si="107"/>
        <v>0</v>
      </c>
      <c r="V117" s="120" t="str">
        <f t="shared" si="86"/>
        <v>:0</v>
      </c>
      <c r="W117" s="120" t="str">
        <f t="shared" si="87"/>
        <v>:</v>
      </c>
      <c r="X117" s="120" t="str">
        <f t="shared" si="108"/>
        <v>:</v>
      </c>
      <c r="Y117" s="250">
        <f t="array" aca="1" ref="Y117:AJ117" ca="1">VLOOKUP($D117&amp;":"&amp;$C117,tblPayRates,{3,4,5,6,7,8,9,10,11,12,13,14},0)</f>
        <v>0</v>
      </c>
      <c r="Z117" s="16" t="str">
        <f ca="1"/>
        <v>Nobody</v>
      </c>
      <c r="AA117" s="261" t="str">
        <f ca="1"/>
        <v>M</v>
      </c>
      <c r="AB117" s="77" t="str">
        <f ca="1"/>
        <v>Daily</v>
      </c>
      <c r="AC117" s="77">
        <f ca="1"/>
        <v>0</v>
      </c>
      <c r="AD117" s="77">
        <f ca="1"/>
        <v>0</v>
      </c>
      <c r="AE117" s="77">
        <f ca="1"/>
        <v>0</v>
      </c>
      <c r="AF117" s="77">
        <f ca="1"/>
        <v>0</v>
      </c>
      <c r="AG117" s="261" t="str">
        <f ca="1"/>
        <v>N</v>
      </c>
      <c r="AH117" s="261">
        <f ca="1"/>
        <v>1</v>
      </c>
      <c r="AI117" s="261">
        <f ca="1"/>
        <v>1</v>
      </c>
      <c r="AJ117" s="262">
        <f ca="1"/>
        <v>0</v>
      </c>
    </row>
    <row r="118" spans="1:36" hidden="1" outlineLevel="1" x14ac:dyDescent="0.25">
      <c r="A118" s="120">
        <f t="shared" si="79"/>
        <v>0</v>
      </c>
      <c r="B118" s="231"/>
      <c r="C118" s="77"/>
      <c r="D118" s="238"/>
      <c r="E118" s="76">
        <f ca="1">SUMIF(payNonMonth,"="&amp;$X118,$E$362:OFFSET($E$362,ROWS(payNonMonth)-1,0))</f>
        <v>0</v>
      </c>
      <c r="F118" s="76"/>
      <c r="G118" s="77">
        <f t="shared" ca="1" si="80"/>
        <v>0</v>
      </c>
      <c r="H118" s="76">
        <f t="shared" ca="1" si="81"/>
        <v>0</v>
      </c>
      <c r="I118" s="76">
        <f t="shared" ca="1" si="82"/>
        <v>0</v>
      </c>
      <c r="J118" s="233">
        <f t="shared" ca="1" si="103"/>
        <v>0</v>
      </c>
      <c r="K118" s="76">
        <f t="shared" si="104"/>
        <v>0</v>
      </c>
      <c r="L118" s="76">
        <f t="shared" ca="1" si="105"/>
        <v>0</v>
      </c>
      <c r="M118" s="76">
        <f t="shared" ca="1" si="83"/>
        <v>0</v>
      </c>
      <c r="N118" s="76">
        <f t="shared" ca="1" si="106"/>
        <v>0</v>
      </c>
      <c r="O118" s="76">
        <f t="shared" ca="1" si="90"/>
        <v>0</v>
      </c>
      <c r="P118" s="76"/>
      <c r="Q118" s="76">
        <f t="shared" ca="1" si="84"/>
        <v>0</v>
      </c>
      <c r="R118" s="76">
        <f t="shared" ca="1" si="92"/>
        <v>0</v>
      </c>
      <c r="S118" s="76">
        <f t="shared" ca="1" si="85"/>
        <v>0</v>
      </c>
      <c r="T118" s="232">
        <f t="shared" ca="1" si="107"/>
        <v>0</v>
      </c>
      <c r="V118" s="120" t="str">
        <f t="shared" si="86"/>
        <v>:0</v>
      </c>
      <c r="W118" s="120" t="str">
        <f t="shared" si="87"/>
        <v>:</v>
      </c>
      <c r="X118" s="120" t="str">
        <f t="shared" si="93"/>
        <v>:0</v>
      </c>
      <c r="Y118" s="250">
        <f t="array" aca="1" ref="Y118:AJ118" ca="1">VLOOKUP($D118&amp;":"&amp;$C118,tblPayRates,{3,4,5,6,7,8,9,10,11,12,13,14},0)</f>
        <v>0</v>
      </c>
      <c r="Z118" s="16" t="str">
        <f ca="1"/>
        <v>Nobody</v>
      </c>
      <c r="AA118" s="261" t="str">
        <f ca="1"/>
        <v>M</v>
      </c>
      <c r="AB118" s="77" t="str">
        <f ca="1"/>
        <v>Daily</v>
      </c>
      <c r="AC118" s="77">
        <f ca="1"/>
        <v>0</v>
      </c>
      <c r="AD118" s="77">
        <f ca="1"/>
        <v>0</v>
      </c>
      <c r="AE118" s="77">
        <f ca="1"/>
        <v>0</v>
      </c>
      <c r="AF118" s="77">
        <f ca="1"/>
        <v>0</v>
      </c>
      <c r="AG118" s="261" t="str">
        <f ca="1"/>
        <v>N</v>
      </c>
      <c r="AH118" s="261">
        <f ca="1"/>
        <v>1</v>
      </c>
      <c r="AI118" s="261">
        <f ca="1"/>
        <v>1</v>
      </c>
      <c r="AJ118" s="262">
        <f ca="1"/>
        <v>0</v>
      </c>
    </row>
    <row r="119" spans="1:36" hidden="1" outlineLevel="1" x14ac:dyDescent="0.25">
      <c r="A119" s="120">
        <f t="shared" si="79"/>
        <v>0</v>
      </c>
      <c r="B119" s="231"/>
      <c r="C119" s="77"/>
      <c r="D119" s="238"/>
      <c r="E119" s="76">
        <f ca="1">SUMIF(payNonMonth,"="&amp;$X119,$E$362:OFFSET($E$362,ROWS(payNonMonth)-1,0))</f>
        <v>0</v>
      </c>
      <c r="F119" s="76"/>
      <c r="G119" s="77">
        <f t="shared" ca="1" si="80"/>
        <v>0</v>
      </c>
      <c r="H119" s="76">
        <f t="shared" ca="1" si="81"/>
        <v>0</v>
      </c>
      <c r="I119" s="76">
        <f t="shared" ca="1" si="82"/>
        <v>0</v>
      </c>
      <c r="J119" s="233">
        <f t="shared" ca="1" si="103"/>
        <v>0</v>
      </c>
      <c r="K119" s="76">
        <f t="shared" si="104"/>
        <v>0</v>
      </c>
      <c r="L119" s="76">
        <f t="shared" ca="1" si="105"/>
        <v>0</v>
      </c>
      <c r="M119" s="76">
        <f t="shared" ca="1" si="83"/>
        <v>0</v>
      </c>
      <c r="N119" s="76">
        <f t="shared" ca="1" si="106"/>
        <v>0</v>
      </c>
      <c r="O119" s="76">
        <f t="shared" ca="1" si="90"/>
        <v>0</v>
      </c>
      <c r="P119" s="76"/>
      <c r="Q119" s="76">
        <f t="shared" ca="1" si="84"/>
        <v>0</v>
      </c>
      <c r="R119" s="76">
        <f t="shared" ca="1" si="92"/>
        <v>0</v>
      </c>
      <c r="S119" s="76">
        <f t="shared" ca="1" si="85"/>
        <v>0</v>
      </c>
      <c r="T119" s="232">
        <f t="shared" ca="1" si="107"/>
        <v>0</v>
      </c>
      <c r="V119" s="120" t="str">
        <f t="shared" si="86"/>
        <v>:0</v>
      </c>
      <c r="W119" s="120" t="str">
        <f t="shared" si="87"/>
        <v>:</v>
      </c>
      <c r="X119" s="120" t="str">
        <f t="shared" si="93"/>
        <v>:0</v>
      </c>
      <c r="Y119" s="250">
        <f t="array" aca="1" ref="Y119:AJ119" ca="1">VLOOKUP($D119&amp;":"&amp;$C119,tblPayRates,{3,4,5,6,7,8,9,10,11,12,13,14},0)</f>
        <v>0</v>
      </c>
      <c r="Z119" s="16" t="str">
        <f ca="1"/>
        <v>Nobody</v>
      </c>
      <c r="AA119" s="261" t="str">
        <f ca="1"/>
        <v>M</v>
      </c>
      <c r="AB119" s="77" t="str">
        <f ca="1"/>
        <v>Daily</v>
      </c>
      <c r="AC119" s="77">
        <f ca="1"/>
        <v>0</v>
      </c>
      <c r="AD119" s="77">
        <f ca="1"/>
        <v>0</v>
      </c>
      <c r="AE119" s="77">
        <f ca="1"/>
        <v>0</v>
      </c>
      <c r="AF119" s="77">
        <f ca="1"/>
        <v>0</v>
      </c>
      <c r="AG119" s="261" t="str">
        <f ca="1"/>
        <v>N</v>
      </c>
      <c r="AH119" s="261">
        <f ca="1"/>
        <v>1</v>
      </c>
      <c r="AI119" s="261">
        <f ca="1"/>
        <v>1</v>
      </c>
      <c r="AJ119" s="262">
        <f ca="1"/>
        <v>0</v>
      </c>
    </row>
    <row r="120" spans="1:36" hidden="1" outlineLevel="1" x14ac:dyDescent="0.25">
      <c r="A120" s="120">
        <f t="shared" si="79"/>
        <v>0</v>
      </c>
      <c r="B120" s="231"/>
      <c r="C120" s="77"/>
      <c r="D120" s="238"/>
      <c r="E120" s="76">
        <f ca="1">SUMIF(payNonMonth,"="&amp;$X120,$E$362:OFFSET($E$362,ROWS(payNonMonth)-1,0))</f>
        <v>0</v>
      </c>
      <c r="F120" s="76"/>
      <c r="G120" s="77">
        <f t="shared" ca="1" si="80"/>
        <v>0</v>
      </c>
      <c r="H120" s="76">
        <f t="shared" ca="1" si="81"/>
        <v>0</v>
      </c>
      <c r="I120" s="76">
        <f t="shared" ca="1" si="82"/>
        <v>0</v>
      </c>
      <c r="J120" s="233">
        <f t="shared" ca="1" si="103"/>
        <v>0</v>
      </c>
      <c r="K120" s="76">
        <f t="shared" si="104"/>
        <v>0</v>
      </c>
      <c r="L120" s="76">
        <f t="shared" ca="1" si="105"/>
        <v>0</v>
      </c>
      <c r="M120" s="76">
        <f t="shared" ca="1" si="83"/>
        <v>0</v>
      </c>
      <c r="N120" s="76">
        <f t="shared" ca="1" si="106"/>
        <v>0</v>
      </c>
      <c r="O120" s="76">
        <f t="shared" ca="1" si="90"/>
        <v>0</v>
      </c>
      <c r="P120" s="76"/>
      <c r="Q120" s="76">
        <f t="shared" ca="1" si="84"/>
        <v>0</v>
      </c>
      <c r="R120" s="76">
        <f t="shared" ca="1" si="92"/>
        <v>0</v>
      </c>
      <c r="S120" s="76">
        <f t="shared" ca="1" si="85"/>
        <v>0</v>
      </c>
      <c r="T120" s="232">
        <f t="shared" ca="1" si="107"/>
        <v>0</v>
      </c>
      <c r="V120" s="120" t="str">
        <f t="shared" si="86"/>
        <v>:0</v>
      </c>
      <c r="W120" s="120" t="str">
        <f t="shared" si="87"/>
        <v>:</v>
      </c>
      <c r="X120" s="120" t="str">
        <f t="shared" si="93"/>
        <v>:0</v>
      </c>
      <c r="Y120" s="250">
        <f t="array" aca="1" ref="Y120:AJ120" ca="1">VLOOKUP($D120&amp;":"&amp;$C120,tblPayRates,{3,4,5,6,7,8,9,10,11,12,13,14},0)</f>
        <v>0</v>
      </c>
      <c r="Z120" s="16" t="str">
        <f ca="1"/>
        <v>Nobody</v>
      </c>
      <c r="AA120" s="261" t="str">
        <f ca="1"/>
        <v>M</v>
      </c>
      <c r="AB120" s="77" t="str">
        <f ca="1"/>
        <v>Daily</v>
      </c>
      <c r="AC120" s="77">
        <f ca="1"/>
        <v>0</v>
      </c>
      <c r="AD120" s="77">
        <f ca="1"/>
        <v>0</v>
      </c>
      <c r="AE120" s="77">
        <f ca="1"/>
        <v>0</v>
      </c>
      <c r="AF120" s="77">
        <f ca="1"/>
        <v>0</v>
      </c>
      <c r="AG120" s="261" t="str">
        <f ca="1"/>
        <v>N</v>
      </c>
      <c r="AH120" s="261">
        <f ca="1"/>
        <v>1</v>
      </c>
      <c r="AI120" s="261">
        <f ca="1"/>
        <v>1</v>
      </c>
      <c r="AJ120" s="262">
        <f ca="1"/>
        <v>0</v>
      </c>
    </row>
    <row r="121" spans="1:36" hidden="1" outlineLevel="1" x14ac:dyDescent="0.25">
      <c r="A121" s="120">
        <f t="shared" si="79"/>
        <v>0</v>
      </c>
      <c r="B121" s="231"/>
      <c r="C121" s="77"/>
      <c r="D121" s="238"/>
      <c r="E121" s="76">
        <f ca="1">SUMIF(payNonMonth,"="&amp;$X121,$E$362:OFFSET($E$362,ROWS(payNonMonth)-1,0))</f>
        <v>0</v>
      </c>
      <c r="F121" s="76"/>
      <c r="G121" s="77">
        <f t="shared" ca="1" si="80"/>
        <v>0</v>
      </c>
      <c r="H121" s="76">
        <f t="shared" ca="1" si="81"/>
        <v>0</v>
      </c>
      <c r="I121" s="76">
        <f t="shared" ca="1" si="82"/>
        <v>0</v>
      </c>
      <c r="J121" s="233">
        <f t="shared" ca="1" si="103"/>
        <v>0</v>
      </c>
      <c r="K121" s="76">
        <f t="shared" si="104"/>
        <v>0</v>
      </c>
      <c r="L121" s="76">
        <f t="shared" ca="1" si="105"/>
        <v>0</v>
      </c>
      <c r="M121" s="76">
        <f t="shared" ca="1" si="83"/>
        <v>0</v>
      </c>
      <c r="N121" s="76">
        <f t="shared" ca="1" si="106"/>
        <v>0</v>
      </c>
      <c r="O121" s="76">
        <f t="shared" ca="1" si="90"/>
        <v>0</v>
      </c>
      <c r="P121" s="76"/>
      <c r="Q121" s="76">
        <f t="shared" ca="1" si="84"/>
        <v>0</v>
      </c>
      <c r="R121" s="76">
        <f t="shared" ca="1" si="92"/>
        <v>0</v>
      </c>
      <c r="S121" s="76">
        <f t="shared" ca="1" si="85"/>
        <v>0</v>
      </c>
      <c r="T121" s="232">
        <f t="shared" ca="1" si="107"/>
        <v>0</v>
      </c>
      <c r="V121" s="120" t="str">
        <f t="shared" si="86"/>
        <v>:0</v>
      </c>
      <c r="W121" s="120" t="str">
        <f t="shared" si="87"/>
        <v>:</v>
      </c>
      <c r="X121" s="120" t="str">
        <f t="shared" si="93"/>
        <v>:0</v>
      </c>
      <c r="Y121" s="250">
        <f t="array" aca="1" ref="Y121:AJ121" ca="1">VLOOKUP($D121&amp;":"&amp;$C121,tblPayRates,{3,4,5,6,7,8,9,10,11,12,13,14},0)</f>
        <v>0</v>
      </c>
      <c r="Z121" s="16" t="str">
        <f ca="1"/>
        <v>Nobody</v>
      </c>
      <c r="AA121" s="261" t="str">
        <f ca="1"/>
        <v>M</v>
      </c>
      <c r="AB121" s="77" t="str">
        <f ca="1"/>
        <v>Daily</v>
      </c>
      <c r="AC121" s="77">
        <f ca="1"/>
        <v>0</v>
      </c>
      <c r="AD121" s="77">
        <f ca="1"/>
        <v>0</v>
      </c>
      <c r="AE121" s="77">
        <f ca="1"/>
        <v>0</v>
      </c>
      <c r="AF121" s="77">
        <f ca="1"/>
        <v>0</v>
      </c>
      <c r="AG121" s="261" t="str">
        <f ca="1"/>
        <v>N</v>
      </c>
      <c r="AH121" s="261">
        <f ca="1"/>
        <v>1</v>
      </c>
      <c r="AI121" s="261">
        <f ca="1"/>
        <v>1</v>
      </c>
      <c r="AJ121" s="262">
        <f ca="1"/>
        <v>0</v>
      </c>
    </row>
    <row r="122" spans="1:36" hidden="1" outlineLevel="1" x14ac:dyDescent="0.25">
      <c r="A122" s="120">
        <f t="shared" si="79"/>
        <v>0</v>
      </c>
      <c r="B122" s="231"/>
      <c r="C122" s="77"/>
      <c r="D122" s="238"/>
      <c r="E122" s="76">
        <f ca="1">SUMIF(payNonMonth,"="&amp;$X122,$E$362:OFFSET($E$362,ROWS(payNonMonth)-1,0))</f>
        <v>0</v>
      </c>
      <c r="F122" s="76"/>
      <c r="G122" s="77">
        <f t="shared" ca="1" si="80"/>
        <v>0</v>
      </c>
      <c r="H122" s="76">
        <f t="shared" ca="1" si="81"/>
        <v>0</v>
      </c>
      <c r="I122" s="76">
        <f t="shared" ca="1" si="82"/>
        <v>0</v>
      </c>
      <c r="J122" s="233">
        <f t="shared" ca="1" si="103"/>
        <v>0</v>
      </c>
      <c r="K122" s="76">
        <f t="shared" si="104"/>
        <v>0</v>
      </c>
      <c r="L122" s="76">
        <f t="shared" ca="1" si="105"/>
        <v>0</v>
      </c>
      <c r="M122" s="76">
        <f t="shared" ca="1" si="83"/>
        <v>0</v>
      </c>
      <c r="N122" s="76">
        <f t="shared" ca="1" si="106"/>
        <v>0</v>
      </c>
      <c r="O122" s="76">
        <f t="shared" ca="1" si="90"/>
        <v>0</v>
      </c>
      <c r="P122" s="76"/>
      <c r="Q122" s="76">
        <f t="shared" ca="1" si="84"/>
        <v>0</v>
      </c>
      <c r="R122" s="76">
        <f t="shared" ca="1" si="92"/>
        <v>0</v>
      </c>
      <c r="S122" s="76">
        <f t="shared" ca="1" si="85"/>
        <v>0</v>
      </c>
      <c r="T122" s="232">
        <f t="shared" ca="1" si="107"/>
        <v>0</v>
      </c>
      <c r="V122" s="120" t="str">
        <f t="shared" si="86"/>
        <v>:0</v>
      </c>
      <c r="W122" s="120" t="str">
        <f t="shared" si="87"/>
        <v>:</v>
      </c>
      <c r="X122" s="120" t="str">
        <f t="shared" si="93"/>
        <v>:0</v>
      </c>
      <c r="Y122" s="250">
        <f t="array" aca="1" ref="Y122:AJ122" ca="1">VLOOKUP($D122&amp;":"&amp;$C122,tblPayRates,{3,4,5,6,7,8,9,10,11,12,13,14},0)</f>
        <v>0</v>
      </c>
      <c r="Z122" s="16" t="str">
        <f ca="1"/>
        <v>Nobody</v>
      </c>
      <c r="AA122" s="261" t="str">
        <f ca="1"/>
        <v>M</v>
      </c>
      <c r="AB122" s="77" t="str">
        <f ca="1"/>
        <v>Daily</v>
      </c>
      <c r="AC122" s="77">
        <f ca="1"/>
        <v>0</v>
      </c>
      <c r="AD122" s="77">
        <f ca="1"/>
        <v>0</v>
      </c>
      <c r="AE122" s="77">
        <f ca="1"/>
        <v>0</v>
      </c>
      <c r="AF122" s="77">
        <f ca="1"/>
        <v>0</v>
      </c>
      <c r="AG122" s="261" t="str">
        <f ca="1"/>
        <v>N</v>
      </c>
      <c r="AH122" s="261">
        <f ca="1"/>
        <v>1</v>
      </c>
      <c r="AI122" s="261">
        <f ca="1"/>
        <v>1</v>
      </c>
      <c r="AJ122" s="262">
        <f ca="1"/>
        <v>0</v>
      </c>
    </row>
    <row r="123" spans="1:36" hidden="1" outlineLevel="1" x14ac:dyDescent="0.25">
      <c r="A123" s="120">
        <f t="shared" ref="A123:A151" si="109">GETPAYMONTH(B123)</f>
        <v>0</v>
      </c>
      <c r="B123" s="231"/>
      <c r="C123" s="77"/>
      <c r="D123" s="238"/>
      <c r="E123" s="76">
        <f ca="1">SUMIF(payNonMonth,"="&amp;$X123,$E$362:OFFSET($E$362,ROWS(payNonMonth)-1,0))</f>
        <v>0</v>
      </c>
      <c r="F123" s="76"/>
      <c r="G123" s="77">
        <f t="shared" ref="G123:G150" ca="1" si="110">IF(AND($E123=0,$F123=0),0,1)</f>
        <v>0</v>
      </c>
      <c r="H123" s="76">
        <f t="shared" ref="H123:H150" ca="1" si="111">ROUND(SUM(E123:F123)*AC123,2)</f>
        <v>0</v>
      </c>
      <c r="I123" s="76">
        <f t="shared" ref="I123:I150" ca="1" si="112">H123*OFFSET(payMgmtRate,0,$AH123)</f>
        <v>0</v>
      </c>
      <c r="J123" s="233">
        <f t="shared" ca="1" si="103"/>
        <v>0</v>
      </c>
      <c r="K123" s="76">
        <f t="shared" si="104"/>
        <v>0</v>
      </c>
      <c r="L123" s="76">
        <f t="shared" ca="1" si="105"/>
        <v>0</v>
      </c>
      <c r="M123" s="76">
        <f t="shared" ref="M123:M150" ca="1" si="113">GETSUPER(J123-SUM(K123:L123))</f>
        <v>0</v>
      </c>
      <c r="N123" s="76">
        <f t="shared" ca="1" si="106"/>
        <v>0</v>
      </c>
      <c r="O123" s="76">
        <f t="shared" ca="1" si="90"/>
        <v>0</v>
      </c>
      <c r="P123" s="76"/>
      <c r="Q123" s="76">
        <f t="shared" ref="Q123:Q150" ca="1" si="114">J123-SUM(K123:P123)</f>
        <v>0</v>
      </c>
      <c r="R123" s="76">
        <f t="shared" ca="1" si="92"/>
        <v>0</v>
      </c>
      <c r="S123" s="76">
        <f t="shared" ref="S123:S150" ca="1" si="115">Q123-R123</f>
        <v>0</v>
      </c>
      <c r="T123" s="232">
        <f t="shared" ca="1" si="107"/>
        <v>0</v>
      </c>
      <c r="V123" s="120" t="str">
        <f t="shared" ref="V123:V150" si="116">IF(EmpID="*","*",C123) &amp;":"&amp; $A123</f>
        <v>:0</v>
      </c>
      <c r="W123" s="120" t="str">
        <f t="shared" ref="W123:W150" si="117">$C123 &amp;":"&amp; $B123</f>
        <v>:</v>
      </c>
      <c r="X123" s="120" t="str">
        <f t="shared" si="93"/>
        <v>:0</v>
      </c>
      <c r="Y123" s="250">
        <f t="array" aca="1" ref="Y123:AJ123" ca="1">VLOOKUP($D123&amp;":"&amp;$C123,tblPayRates,{3,4,5,6,7,8,9,10,11,12,13,14},0)</f>
        <v>0</v>
      </c>
      <c r="Z123" s="16" t="str">
        <f ca="1"/>
        <v>Nobody</v>
      </c>
      <c r="AA123" s="261" t="str">
        <f ca="1"/>
        <v>M</v>
      </c>
      <c r="AB123" s="77" t="str">
        <f ca="1"/>
        <v>Daily</v>
      </c>
      <c r="AC123" s="77">
        <f ca="1"/>
        <v>0</v>
      </c>
      <c r="AD123" s="77">
        <f ca="1"/>
        <v>0</v>
      </c>
      <c r="AE123" s="77">
        <f ca="1"/>
        <v>0</v>
      </c>
      <c r="AF123" s="77">
        <f ca="1"/>
        <v>0</v>
      </c>
      <c r="AG123" s="261" t="str">
        <f ca="1"/>
        <v>N</v>
      </c>
      <c r="AH123" s="261">
        <f ca="1"/>
        <v>1</v>
      </c>
      <c r="AI123" s="261">
        <f ca="1"/>
        <v>1</v>
      </c>
      <c r="AJ123" s="262">
        <f ca="1"/>
        <v>0</v>
      </c>
    </row>
    <row r="124" spans="1:36" hidden="1" outlineLevel="1" x14ac:dyDescent="0.25">
      <c r="A124" s="120">
        <f t="shared" si="109"/>
        <v>0</v>
      </c>
      <c r="B124" s="231"/>
      <c r="C124" s="77"/>
      <c r="D124" s="238"/>
      <c r="E124" s="76">
        <f ca="1">SUMIF(payNonMonth,"="&amp;$X124,$E$362:OFFSET($E$362,ROWS(payNonMonth)-1,0))</f>
        <v>0</v>
      </c>
      <c r="F124" s="76"/>
      <c r="G124" s="77">
        <f t="shared" ca="1" si="110"/>
        <v>0</v>
      </c>
      <c r="H124" s="76">
        <f t="shared" ca="1" si="111"/>
        <v>0</v>
      </c>
      <c r="I124" s="76">
        <f t="shared" ca="1" si="112"/>
        <v>0</v>
      </c>
      <c r="J124" s="233">
        <f t="shared" ca="1" si="103"/>
        <v>0</v>
      </c>
      <c r="K124" s="76">
        <f t="shared" si="104"/>
        <v>0</v>
      </c>
      <c r="L124" s="76">
        <f t="shared" ca="1" si="105"/>
        <v>0</v>
      </c>
      <c r="M124" s="76">
        <f t="shared" ca="1" si="113"/>
        <v>0</v>
      </c>
      <c r="N124" s="76">
        <f t="shared" ca="1" si="106"/>
        <v>0</v>
      </c>
      <c r="O124" s="76">
        <f t="shared" ca="1" si="90"/>
        <v>0</v>
      </c>
      <c r="P124" s="76"/>
      <c r="Q124" s="76">
        <f t="shared" ca="1" si="114"/>
        <v>0</v>
      </c>
      <c r="R124" s="76">
        <f t="shared" ca="1" si="92"/>
        <v>0</v>
      </c>
      <c r="S124" s="76">
        <f t="shared" ca="1" si="115"/>
        <v>0</v>
      </c>
      <c r="T124" s="232">
        <f t="shared" ca="1" si="107"/>
        <v>0</v>
      </c>
      <c r="V124" s="120" t="str">
        <f t="shared" si="116"/>
        <v>:0</v>
      </c>
      <c r="W124" s="120" t="str">
        <f t="shared" si="117"/>
        <v>:</v>
      </c>
      <c r="X124" s="120" t="str">
        <f t="shared" si="93"/>
        <v>:0</v>
      </c>
      <c r="Y124" s="250">
        <f t="array" aca="1" ref="Y124:AJ124" ca="1">VLOOKUP($D124&amp;":"&amp;$C124,tblPayRates,{3,4,5,6,7,8,9,10,11,12,13,14},0)</f>
        <v>0</v>
      </c>
      <c r="Z124" s="16" t="str">
        <f ca="1"/>
        <v>Nobody</v>
      </c>
      <c r="AA124" s="261" t="str">
        <f ca="1"/>
        <v>M</v>
      </c>
      <c r="AB124" s="77" t="str">
        <f ca="1"/>
        <v>Daily</v>
      </c>
      <c r="AC124" s="77">
        <f ca="1"/>
        <v>0</v>
      </c>
      <c r="AD124" s="77">
        <f ca="1"/>
        <v>0</v>
      </c>
      <c r="AE124" s="77">
        <f ca="1"/>
        <v>0</v>
      </c>
      <c r="AF124" s="77">
        <f ca="1"/>
        <v>0</v>
      </c>
      <c r="AG124" s="261" t="str">
        <f ca="1"/>
        <v>N</v>
      </c>
      <c r="AH124" s="261">
        <f ca="1"/>
        <v>1</v>
      </c>
      <c r="AI124" s="261">
        <f ca="1"/>
        <v>1</v>
      </c>
      <c r="AJ124" s="262">
        <f ca="1"/>
        <v>0</v>
      </c>
    </row>
    <row r="125" spans="1:36" hidden="1" outlineLevel="1" x14ac:dyDescent="0.25">
      <c r="A125" s="120">
        <f t="shared" si="109"/>
        <v>0</v>
      </c>
      <c r="B125" s="231"/>
      <c r="C125" s="77"/>
      <c r="D125" s="238"/>
      <c r="E125" s="76">
        <f ca="1">SUMIF(payNonMonth,"="&amp;$X125,$E$362:OFFSET($E$362,ROWS(payNonMonth)-1,0))</f>
        <v>0</v>
      </c>
      <c r="F125" s="76"/>
      <c r="G125" s="77">
        <f t="shared" ca="1" si="110"/>
        <v>0</v>
      </c>
      <c r="H125" s="76">
        <f t="shared" ca="1" si="111"/>
        <v>0</v>
      </c>
      <c r="I125" s="76">
        <f t="shared" ca="1" si="112"/>
        <v>0</v>
      </c>
      <c r="J125" s="233">
        <f t="shared" ca="1" si="103"/>
        <v>0</v>
      </c>
      <c r="K125" s="76">
        <f t="shared" si="104"/>
        <v>0</v>
      </c>
      <c r="L125" s="76">
        <f t="shared" ca="1" si="105"/>
        <v>0</v>
      </c>
      <c r="M125" s="76">
        <f t="shared" ca="1" si="113"/>
        <v>0</v>
      </c>
      <c r="N125" s="76">
        <f t="shared" ca="1" si="106"/>
        <v>0</v>
      </c>
      <c r="O125" s="76">
        <f t="shared" ref="O125:O150" ca="1" si="118">ROUND((J125-SUM(K125:N125))*InsureRate,2)</f>
        <v>0</v>
      </c>
      <c r="P125" s="76"/>
      <c r="Q125" s="76">
        <f t="shared" ca="1" si="114"/>
        <v>0</v>
      </c>
      <c r="R125" s="76">
        <f t="shared" ca="1" si="92"/>
        <v>0</v>
      </c>
      <c r="S125" s="76">
        <f t="shared" ca="1" si="115"/>
        <v>0</v>
      </c>
      <c r="T125" s="232">
        <f t="shared" ca="1" si="107"/>
        <v>0</v>
      </c>
      <c r="V125" s="120" t="str">
        <f t="shared" si="116"/>
        <v>:0</v>
      </c>
      <c r="W125" s="120" t="str">
        <f t="shared" si="117"/>
        <v>:</v>
      </c>
      <c r="X125" s="120" t="str">
        <f t="shared" ref="X125:X150" si="119">C125 &amp;":"&amp; A125</f>
        <v>:0</v>
      </c>
      <c r="Y125" s="250">
        <f t="array" aca="1" ref="Y125:AJ125" ca="1">VLOOKUP($D125&amp;":"&amp;$C125,tblPayRates,{3,4,5,6,7,8,9,10,11,12,13,14},0)</f>
        <v>0</v>
      </c>
      <c r="Z125" s="16" t="str">
        <f ca="1"/>
        <v>Nobody</v>
      </c>
      <c r="AA125" s="261" t="str">
        <f ca="1"/>
        <v>M</v>
      </c>
      <c r="AB125" s="77" t="str">
        <f ca="1"/>
        <v>Daily</v>
      </c>
      <c r="AC125" s="77">
        <f ca="1"/>
        <v>0</v>
      </c>
      <c r="AD125" s="77">
        <f ca="1"/>
        <v>0</v>
      </c>
      <c r="AE125" s="77">
        <f ca="1"/>
        <v>0</v>
      </c>
      <c r="AF125" s="77">
        <f ca="1"/>
        <v>0</v>
      </c>
      <c r="AG125" s="261" t="str">
        <f ca="1"/>
        <v>N</v>
      </c>
      <c r="AH125" s="261">
        <f ca="1"/>
        <v>1</v>
      </c>
      <c r="AI125" s="261">
        <f ca="1"/>
        <v>1</v>
      </c>
      <c r="AJ125" s="262">
        <f ca="1"/>
        <v>0</v>
      </c>
    </row>
    <row r="126" spans="1:36" hidden="1" outlineLevel="1" x14ac:dyDescent="0.25">
      <c r="A126" s="120">
        <f t="shared" si="109"/>
        <v>0</v>
      </c>
      <c r="B126" s="231"/>
      <c r="C126" s="77"/>
      <c r="D126" s="238"/>
      <c r="E126" s="76">
        <f ca="1">SUMIF(payNonMonth,"="&amp;$X126,$E$362:OFFSET($E$362,ROWS(payNonMonth)-1,0))</f>
        <v>0</v>
      </c>
      <c r="F126" s="76"/>
      <c r="G126" s="77">
        <f t="shared" ca="1" si="110"/>
        <v>0</v>
      </c>
      <c r="H126" s="76">
        <f t="shared" ca="1" si="111"/>
        <v>0</v>
      </c>
      <c r="I126" s="76">
        <f t="shared" ca="1" si="112"/>
        <v>0</v>
      </c>
      <c r="J126" s="233">
        <f t="shared" ca="1" si="103"/>
        <v>0</v>
      </c>
      <c r="K126" s="76">
        <f t="shared" si="104"/>
        <v>0</v>
      </c>
      <c r="L126" s="76">
        <f t="shared" ca="1" si="105"/>
        <v>0</v>
      </c>
      <c r="M126" s="76">
        <f t="shared" ca="1" si="113"/>
        <v>0</v>
      </c>
      <c r="N126" s="76">
        <f t="shared" ca="1" si="106"/>
        <v>0</v>
      </c>
      <c r="O126" s="76">
        <f t="shared" ca="1" si="118"/>
        <v>0</v>
      </c>
      <c r="P126" s="76"/>
      <c r="Q126" s="76">
        <f t="shared" ca="1" si="114"/>
        <v>0</v>
      </c>
      <c r="R126" s="76">
        <f t="shared" ca="1" si="92"/>
        <v>0</v>
      </c>
      <c r="S126" s="76">
        <f t="shared" ca="1" si="115"/>
        <v>0</v>
      </c>
      <c r="T126" s="232">
        <f t="shared" ca="1" si="107"/>
        <v>0</v>
      </c>
      <c r="V126" s="120" t="str">
        <f t="shared" si="116"/>
        <v>:0</v>
      </c>
      <c r="W126" s="120" t="str">
        <f t="shared" si="117"/>
        <v>:</v>
      </c>
      <c r="X126" s="120" t="str">
        <f t="shared" si="119"/>
        <v>:0</v>
      </c>
      <c r="Y126" s="250">
        <f t="array" aca="1" ref="Y126:AJ126" ca="1">VLOOKUP($D126&amp;":"&amp;$C126,tblPayRates,{3,4,5,6,7,8,9,10,11,12,13,14},0)</f>
        <v>0</v>
      </c>
      <c r="Z126" s="16" t="str">
        <f ca="1"/>
        <v>Nobody</v>
      </c>
      <c r="AA126" s="261" t="str">
        <f ca="1"/>
        <v>M</v>
      </c>
      <c r="AB126" s="77" t="str">
        <f ca="1"/>
        <v>Daily</v>
      </c>
      <c r="AC126" s="77">
        <f ca="1"/>
        <v>0</v>
      </c>
      <c r="AD126" s="77">
        <f ca="1"/>
        <v>0</v>
      </c>
      <c r="AE126" s="77">
        <f ca="1"/>
        <v>0</v>
      </c>
      <c r="AF126" s="77">
        <f ca="1"/>
        <v>0</v>
      </c>
      <c r="AG126" s="261" t="str">
        <f ca="1"/>
        <v>N</v>
      </c>
      <c r="AH126" s="261">
        <f ca="1"/>
        <v>1</v>
      </c>
      <c r="AI126" s="261">
        <f ca="1"/>
        <v>1</v>
      </c>
      <c r="AJ126" s="262">
        <f ca="1"/>
        <v>0</v>
      </c>
    </row>
    <row r="127" spans="1:36" hidden="1" outlineLevel="1" x14ac:dyDescent="0.25">
      <c r="A127" s="120">
        <f t="shared" si="109"/>
        <v>0</v>
      </c>
      <c r="B127" s="231"/>
      <c r="C127" s="77"/>
      <c r="D127" s="238"/>
      <c r="E127" s="76">
        <f ca="1">SUMIF(payNonMonth,"="&amp;$X127,$E$362:OFFSET($E$362,ROWS(payNonMonth)-1,0))</f>
        <v>0</v>
      </c>
      <c r="F127" s="76"/>
      <c r="G127" s="77">
        <f t="shared" ca="1" si="110"/>
        <v>0</v>
      </c>
      <c r="H127" s="76">
        <f t="shared" ca="1" si="111"/>
        <v>0</v>
      </c>
      <c r="I127" s="76">
        <f t="shared" ca="1" si="112"/>
        <v>0</v>
      </c>
      <c r="J127" s="233">
        <f t="shared" ca="1" si="103"/>
        <v>0</v>
      </c>
      <c r="K127" s="76">
        <f t="shared" si="104"/>
        <v>0</v>
      </c>
      <c r="L127" s="76">
        <f t="shared" ca="1" si="105"/>
        <v>0</v>
      </c>
      <c r="M127" s="76">
        <f t="shared" ca="1" si="113"/>
        <v>0</v>
      </c>
      <c r="N127" s="76">
        <f t="shared" ca="1" si="106"/>
        <v>0</v>
      </c>
      <c r="O127" s="76">
        <f t="shared" ca="1" si="118"/>
        <v>0</v>
      </c>
      <c r="P127" s="76"/>
      <c r="Q127" s="76">
        <f t="shared" ca="1" si="114"/>
        <v>0</v>
      </c>
      <c r="R127" s="76">
        <f t="shared" ca="1" si="92"/>
        <v>0</v>
      </c>
      <c r="S127" s="76">
        <f t="shared" ca="1" si="115"/>
        <v>0</v>
      </c>
      <c r="T127" s="232">
        <f t="shared" ca="1" si="107"/>
        <v>0</v>
      </c>
      <c r="V127" s="120" t="str">
        <f t="shared" si="116"/>
        <v>:0</v>
      </c>
      <c r="W127" s="120" t="str">
        <f t="shared" si="117"/>
        <v>:</v>
      </c>
      <c r="X127" s="120" t="str">
        <f t="shared" si="119"/>
        <v>:0</v>
      </c>
      <c r="Y127" s="250">
        <f t="array" aca="1" ref="Y127:AJ127" ca="1">VLOOKUP($D127&amp;":"&amp;$C127,tblPayRates,{3,4,5,6,7,8,9,10,11,12,13,14},0)</f>
        <v>0</v>
      </c>
      <c r="Z127" s="16" t="str">
        <f ca="1"/>
        <v>Nobody</v>
      </c>
      <c r="AA127" s="261" t="str">
        <f ca="1"/>
        <v>M</v>
      </c>
      <c r="AB127" s="77" t="str">
        <f ca="1"/>
        <v>Daily</v>
      </c>
      <c r="AC127" s="77">
        <f ca="1"/>
        <v>0</v>
      </c>
      <c r="AD127" s="77">
        <f ca="1"/>
        <v>0</v>
      </c>
      <c r="AE127" s="77">
        <f ca="1"/>
        <v>0</v>
      </c>
      <c r="AF127" s="77">
        <f ca="1"/>
        <v>0</v>
      </c>
      <c r="AG127" s="261" t="str">
        <f ca="1"/>
        <v>N</v>
      </c>
      <c r="AH127" s="261">
        <f ca="1"/>
        <v>1</v>
      </c>
      <c r="AI127" s="261">
        <f ca="1"/>
        <v>1</v>
      </c>
      <c r="AJ127" s="262">
        <f ca="1"/>
        <v>0</v>
      </c>
    </row>
    <row r="128" spans="1:36" hidden="1" outlineLevel="1" x14ac:dyDescent="0.25">
      <c r="A128" s="120">
        <f t="shared" si="109"/>
        <v>0</v>
      </c>
      <c r="B128" s="231"/>
      <c r="C128" s="77"/>
      <c r="D128" s="238"/>
      <c r="E128" s="76">
        <f ca="1">SUMIF(payNonMonth,"="&amp;$X128,$E$362:OFFSET($E$362,ROWS(payNonMonth)-1,0))</f>
        <v>0</v>
      </c>
      <c r="F128" s="76"/>
      <c r="G128" s="77">
        <f t="shared" ca="1" si="110"/>
        <v>0</v>
      </c>
      <c r="H128" s="76">
        <f t="shared" ca="1" si="111"/>
        <v>0</v>
      </c>
      <c r="I128" s="76">
        <f t="shared" ca="1" si="112"/>
        <v>0</v>
      </c>
      <c r="J128" s="233">
        <f t="shared" ca="1" si="103"/>
        <v>0</v>
      </c>
      <c r="K128" s="76">
        <f t="shared" si="104"/>
        <v>0</v>
      </c>
      <c r="L128" s="76">
        <f t="shared" ca="1" si="105"/>
        <v>0</v>
      </c>
      <c r="M128" s="76">
        <f t="shared" ca="1" si="113"/>
        <v>0</v>
      </c>
      <c r="N128" s="76">
        <f t="shared" ca="1" si="106"/>
        <v>0</v>
      </c>
      <c r="O128" s="76">
        <f t="shared" ca="1" si="118"/>
        <v>0</v>
      </c>
      <c r="P128" s="76"/>
      <c r="Q128" s="76">
        <f t="shared" ca="1" si="114"/>
        <v>0</v>
      </c>
      <c r="R128" s="76">
        <f t="shared" ca="1" si="92"/>
        <v>0</v>
      </c>
      <c r="S128" s="76">
        <f t="shared" ca="1" si="115"/>
        <v>0</v>
      </c>
      <c r="T128" s="232">
        <f t="shared" ca="1" si="107"/>
        <v>0</v>
      </c>
      <c r="V128" s="120" t="str">
        <f t="shared" si="116"/>
        <v>:0</v>
      </c>
      <c r="W128" s="120" t="str">
        <f t="shared" si="117"/>
        <v>:</v>
      </c>
      <c r="X128" s="120" t="str">
        <f t="shared" si="119"/>
        <v>:0</v>
      </c>
      <c r="Y128" s="250">
        <f t="array" aca="1" ref="Y128:AJ128" ca="1">VLOOKUP($D128&amp;":"&amp;$C128,tblPayRates,{3,4,5,6,7,8,9,10,11,12,13,14},0)</f>
        <v>0</v>
      </c>
      <c r="Z128" s="16" t="str">
        <f ca="1"/>
        <v>Nobody</v>
      </c>
      <c r="AA128" s="261" t="str">
        <f ca="1"/>
        <v>M</v>
      </c>
      <c r="AB128" s="77" t="str">
        <f ca="1"/>
        <v>Daily</v>
      </c>
      <c r="AC128" s="77">
        <f ca="1"/>
        <v>0</v>
      </c>
      <c r="AD128" s="77">
        <f ca="1"/>
        <v>0</v>
      </c>
      <c r="AE128" s="77">
        <f ca="1"/>
        <v>0</v>
      </c>
      <c r="AF128" s="77">
        <f ca="1"/>
        <v>0</v>
      </c>
      <c r="AG128" s="261" t="str">
        <f ca="1"/>
        <v>N</v>
      </c>
      <c r="AH128" s="261">
        <f ca="1"/>
        <v>1</v>
      </c>
      <c r="AI128" s="261">
        <f ca="1"/>
        <v>1</v>
      </c>
      <c r="AJ128" s="262">
        <f ca="1"/>
        <v>0</v>
      </c>
    </row>
    <row r="129" spans="1:36" hidden="1" outlineLevel="1" x14ac:dyDescent="0.25">
      <c r="A129" s="120">
        <f t="shared" si="109"/>
        <v>0</v>
      </c>
      <c r="B129" s="231"/>
      <c r="C129" s="77"/>
      <c r="D129" s="238"/>
      <c r="E129" s="76">
        <f ca="1">SUMIF(payNonMonth,"="&amp;$X129,$E$362:OFFSET($E$362,ROWS(payNonMonth)-1,0))</f>
        <v>0</v>
      </c>
      <c r="F129" s="76"/>
      <c r="G129" s="77">
        <f t="shared" ca="1" si="110"/>
        <v>0</v>
      </c>
      <c r="H129" s="76">
        <f t="shared" ca="1" si="111"/>
        <v>0</v>
      </c>
      <c r="I129" s="76">
        <f t="shared" ca="1" si="112"/>
        <v>0</v>
      </c>
      <c r="J129" s="233">
        <f t="shared" ca="1" si="103"/>
        <v>0</v>
      </c>
      <c r="K129" s="76">
        <f t="shared" si="104"/>
        <v>0</v>
      </c>
      <c r="L129" s="76">
        <f t="shared" ca="1" si="105"/>
        <v>0</v>
      </c>
      <c r="M129" s="76">
        <f t="shared" ca="1" si="113"/>
        <v>0</v>
      </c>
      <c r="N129" s="76">
        <f t="shared" ca="1" si="106"/>
        <v>0</v>
      </c>
      <c r="O129" s="76">
        <f t="shared" ca="1" si="118"/>
        <v>0</v>
      </c>
      <c r="P129" s="76"/>
      <c r="Q129" s="76">
        <f t="shared" ca="1" si="114"/>
        <v>0</v>
      </c>
      <c r="R129" s="76">
        <f t="shared" ca="1" si="92"/>
        <v>0</v>
      </c>
      <c r="S129" s="76">
        <f t="shared" ca="1" si="115"/>
        <v>0</v>
      </c>
      <c r="T129" s="232">
        <f t="shared" ca="1" si="107"/>
        <v>0</v>
      </c>
      <c r="V129" s="120" t="str">
        <f t="shared" si="116"/>
        <v>:0</v>
      </c>
      <c r="W129" s="120" t="str">
        <f t="shared" si="117"/>
        <v>:</v>
      </c>
      <c r="X129" s="120" t="str">
        <f t="shared" si="119"/>
        <v>:0</v>
      </c>
      <c r="Y129" s="250">
        <f t="array" aca="1" ref="Y129:AJ129" ca="1">VLOOKUP($D129&amp;":"&amp;$C129,tblPayRates,{3,4,5,6,7,8,9,10,11,12,13,14},0)</f>
        <v>0</v>
      </c>
      <c r="Z129" s="16" t="str">
        <f ca="1"/>
        <v>Nobody</v>
      </c>
      <c r="AA129" s="261" t="str">
        <f ca="1"/>
        <v>M</v>
      </c>
      <c r="AB129" s="77" t="str">
        <f ca="1"/>
        <v>Daily</v>
      </c>
      <c r="AC129" s="77">
        <f ca="1"/>
        <v>0</v>
      </c>
      <c r="AD129" s="77">
        <f ca="1"/>
        <v>0</v>
      </c>
      <c r="AE129" s="77">
        <f ca="1"/>
        <v>0</v>
      </c>
      <c r="AF129" s="77">
        <f ca="1"/>
        <v>0</v>
      </c>
      <c r="AG129" s="261" t="str">
        <f ca="1"/>
        <v>N</v>
      </c>
      <c r="AH129" s="261">
        <f ca="1"/>
        <v>1</v>
      </c>
      <c r="AI129" s="261">
        <f ca="1"/>
        <v>1</v>
      </c>
      <c r="AJ129" s="262">
        <f ca="1"/>
        <v>0</v>
      </c>
    </row>
    <row r="130" spans="1:36" hidden="1" outlineLevel="1" x14ac:dyDescent="0.25">
      <c r="A130" s="120">
        <f t="shared" si="109"/>
        <v>0</v>
      </c>
      <c r="B130" s="231"/>
      <c r="C130" s="77"/>
      <c r="D130" s="238"/>
      <c r="E130" s="76">
        <f ca="1">SUMIF(payNonMonth,"="&amp;$X130,$E$362:OFFSET($E$362,ROWS(payNonMonth)-1,0))</f>
        <v>0</v>
      </c>
      <c r="F130" s="76"/>
      <c r="G130" s="77">
        <f t="shared" ca="1" si="110"/>
        <v>0</v>
      </c>
      <c r="H130" s="76">
        <f t="shared" ca="1" si="111"/>
        <v>0</v>
      </c>
      <c r="I130" s="76">
        <f t="shared" ca="1" si="112"/>
        <v>0</v>
      </c>
      <c r="J130" s="233">
        <f t="shared" ca="1" si="103"/>
        <v>0</v>
      </c>
      <c r="K130" s="76">
        <f t="shared" si="104"/>
        <v>0</v>
      </c>
      <c r="L130" s="76">
        <f t="shared" ca="1" si="105"/>
        <v>0</v>
      </c>
      <c r="M130" s="76">
        <f t="shared" ca="1" si="113"/>
        <v>0</v>
      </c>
      <c r="N130" s="76">
        <f t="shared" ca="1" si="106"/>
        <v>0</v>
      </c>
      <c r="O130" s="76">
        <f t="shared" ca="1" si="118"/>
        <v>0</v>
      </c>
      <c r="P130" s="76"/>
      <c r="Q130" s="76">
        <f t="shared" ca="1" si="114"/>
        <v>0</v>
      </c>
      <c r="R130" s="76">
        <f t="shared" ca="1" si="92"/>
        <v>0</v>
      </c>
      <c r="S130" s="76">
        <f t="shared" ca="1" si="115"/>
        <v>0</v>
      </c>
      <c r="T130" s="232">
        <f t="shared" ca="1" si="107"/>
        <v>0</v>
      </c>
      <c r="V130" s="120" t="str">
        <f t="shared" si="116"/>
        <v>:0</v>
      </c>
      <c r="W130" s="120" t="str">
        <f t="shared" si="117"/>
        <v>:</v>
      </c>
      <c r="X130" s="120" t="str">
        <f t="shared" si="119"/>
        <v>:0</v>
      </c>
      <c r="Y130" s="250">
        <f t="array" aca="1" ref="Y130:AJ130" ca="1">VLOOKUP($D130&amp;":"&amp;$C130,tblPayRates,{3,4,5,6,7,8,9,10,11,12,13,14},0)</f>
        <v>0</v>
      </c>
      <c r="Z130" s="16" t="str">
        <f ca="1"/>
        <v>Nobody</v>
      </c>
      <c r="AA130" s="261" t="str">
        <f ca="1"/>
        <v>M</v>
      </c>
      <c r="AB130" s="77" t="str">
        <f ca="1"/>
        <v>Daily</v>
      </c>
      <c r="AC130" s="77">
        <f ca="1"/>
        <v>0</v>
      </c>
      <c r="AD130" s="77">
        <f ca="1"/>
        <v>0</v>
      </c>
      <c r="AE130" s="77">
        <f ca="1"/>
        <v>0</v>
      </c>
      <c r="AF130" s="77">
        <f ca="1"/>
        <v>0</v>
      </c>
      <c r="AG130" s="261" t="str">
        <f ca="1"/>
        <v>N</v>
      </c>
      <c r="AH130" s="261">
        <f ca="1"/>
        <v>1</v>
      </c>
      <c r="AI130" s="261">
        <f ca="1"/>
        <v>1</v>
      </c>
      <c r="AJ130" s="262">
        <f ca="1"/>
        <v>0</v>
      </c>
    </row>
    <row r="131" spans="1:36" hidden="1" outlineLevel="1" x14ac:dyDescent="0.25">
      <c r="A131" s="120">
        <f t="shared" si="109"/>
        <v>0</v>
      </c>
      <c r="B131" s="231"/>
      <c r="C131" s="77"/>
      <c r="D131" s="238"/>
      <c r="E131" s="76">
        <f ca="1">SUMIF(payNonMonth,"="&amp;$X131,$E$362:OFFSET($E$362,ROWS(payNonMonth)-1,0))</f>
        <v>0</v>
      </c>
      <c r="F131" s="76"/>
      <c r="G131" s="77">
        <f t="shared" ca="1" si="110"/>
        <v>0</v>
      </c>
      <c r="H131" s="76">
        <f t="shared" ca="1" si="111"/>
        <v>0</v>
      </c>
      <c r="I131" s="76">
        <f t="shared" ca="1" si="112"/>
        <v>0</v>
      </c>
      <c r="J131" s="233">
        <f t="shared" ca="1" si="103"/>
        <v>0</v>
      </c>
      <c r="K131" s="76">
        <f t="shared" si="104"/>
        <v>0</v>
      </c>
      <c r="L131" s="76">
        <f t="shared" ca="1" si="105"/>
        <v>0</v>
      </c>
      <c r="M131" s="76">
        <f t="shared" ca="1" si="113"/>
        <v>0</v>
      </c>
      <c r="N131" s="76">
        <f t="shared" ca="1" si="106"/>
        <v>0</v>
      </c>
      <c r="O131" s="76">
        <f t="shared" ca="1" si="118"/>
        <v>0</v>
      </c>
      <c r="P131" s="76"/>
      <c r="Q131" s="76">
        <f t="shared" ca="1" si="114"/>
        <v>0</v>
      </c>
      <c r="R131" s="76">
        <f t="shared" ca="1" si="92"/>
        <v>0</v>
      </c>
      <c r="S131" s="76">
        <f t="shared" ca="1" si="115"/>
        <v>0</v>
      </c>
      <c r="T131" s="232">
        <f t="shared" ca="1" si="107"/>
        <v>0</v>
      </c>
      <c r="V131" s="120" t="str">
        <f t="shared" si="116"/>
        <v>:0</v>
      </c>
      <c r="W131" s="120" t="str">
        <f t="shared" si="117"/>
        <v>:</v>
      </c>
      <c r="X131" s="120" t="str">
        <f t="shared" si="119"/>
        <v>:0</v>
      </c>
      <c r="Y131" s="250">
        <f t="array" aca="1" ref="Y131:AJ131" ca="1">VLOOKUP($D131&amp;":"&amp;$C131,tblPayRates,{3,4,5,6,7,8,9,10,11,12,13,14},0)</f>
        <v>0</v>
      </c>
      <c r="Z131" s="16" t="str">
        <f ca="1"/>
        <v>Nobody</v>
      </c>
      <c r="AA131" s="261" t="str">
        <f ca="1"/>
        <v>M</v>
      </c>
      <c r="AB131" s="77" t="str">
        <f ca="1"/>
        <v>Daily</v>
      </c>
      <c r="AC131" s="77">
        <f ca="1"/>
        <v>0</v>
      </c>
      <c r="AD131" s="77">
        <f ca="1"/>
        <v>0</v>
      </c>
      <c r="AE131" s="77">
        <f ca="1"/>
        <v>0</v>
      </c>
      <c r="AF131" s="77">
        <f ca="1"/>
        <v>0</v>
      </c>
      <c r="AG131" s="261" t="str">
        <f ca="1"/>
        <v>N</v>
      </c>
      <c r="AH131" s="261">
        <f ca="1"/>
        <v>1</v>
      </c>
      <c r="AI131" s="261">
        <f ca="1"/>
        <v>1</v>
      </c>
      <c r="AJ131" s="262">
        <f ca="1"/>
        <v>0</v>
      </c>
    </row>
    <row r="132" spans="1:36" hidden="1" outlineLevel="1" x14ac:dyDescent="0.25">
      <c r="A132" s="120">
        <f t="shared" si="109"/>
        <v>0</v>
      </c>
      <c r="B132" s="231"/>
      <c r="C132" s="77"/>
      <c r="D132" s="238"/>
      <c r="E132" s="76">
        <f ca="1">SUMIF(payNonMonth,"="&amp;$X132,$E$362:OFFSET($E$362,ROWS(payNonMonth)-1,0))</f>
        <v>0</v>
      </c>
      <c r="F132" s="76"/>
      <c r="G132" s="77">
        <f t="shared" ca="1" si="110"/>
        <v>0</v>
      </c>
      <c r="H132" s="76">
        <f t="shared" ca="1" si="111"/>
        <v>0</v>
      </c>
      <c r="I132" s="76">
        <f t="shared" ca="1" si="112"/>
        <v>0</v>
      </c>
      <c r="J132" s="233">
        <f t="shared" ca="1" si="103"/>
        <v>0</v>
      </c>
      <c r="K132" s="76">
        <f t="shared" si="104"/>
        <v>0</v>
      </c>
      <c r="L132" s="76">
        <f t="shared" ca="1" si="105"/>
        <v>0</v>
      </c>
      <c r="M132" s="76">
        <f t="shared" ca="1" si="113"/>
        <v>0</v>
      </c>
      <c r="N132" s="76">
        <f t="shared" ca="1" si="106"/>
        <v>0</v>
      </c>
      <c r="O132" s="76">
        <f t="shared" ca="1" si="118"/>
        <v>0</v>
      </c>
      <c r="P132" s="76"/>
      <c r="Q132" s="76">
        <f t="shared" ca="1" si="114"/>
        <v>0</v>
      </c>
      <c r="R132" s="76">
        <f t="shared" ca="1" si="92"/>
        <v>0</v>
      </c>
      <c r="S132" s="76">
        <f t="shared" ca="1" si="115"/>
        <v>0</v>
      </c>
      <c r="T132" s="232">
        <f t="shared" ca="1" si="107"/>
        <v>0</v>
      </c>
      <c r="V132" s="120" t="str">
        <f t="shared" si="116"/>
        <v>:0</v>
      </c>
      <c r="W132" s="120" t="str">
        <f t="shared" si="117"/>
        <v>:</v>
      </c>
      <c r="X132" s="120" t="str">
        <f t="shared" si="119"/>
        <v>:0</v>
      </c>
      <c r="Y132" s="250">
        <f t="array" aca="1" ref="Y132:AJ132" ca="1">VLOOKUP($D132&amp;":"&amp;$C132,tblPayRates,{3,4,5,6,7,8,9,10,11,12,13,14},0)</f>
        <v>0</v>
      </c>
      <c r="Z132" s="16" t="str">
        <f ca="1"/>
        <v>Nobody</v>
      </c>
      <c r="AA132" s="261" t="str">
        <f ca="1"/>
        <v>M</v>
      </c>
      <c r="AB132" s="77" t="str">
        <f ca="1"/>
        <v>Daily</v>
      </c>
      <c r="AC132" s="77">
        <f ca="1"/>
        <v>0</v>
      </c>
      <c r="AD132" s="77">
        <f ca="1"/>
        <v>0</v>
      </c>
      <c r="AE132" s="77">
        <f ca="1"/>
        <v>0</v>
      </c>
      <c r="AF132" s="77">
        <f ca="1"/>
        <v>0</v>
      </c>
      <c r="AG132" s="261" t="str">
        <f ca="1"/>
        <v>N</v>
      </c>
      <c r="AH132" s="261">
        <f ca="1"/>
        <v>1</v>
      </c>
      <c r="AI132" s="261">
        <f ca="1"/>
        <v>1</v>
      </c>
      <c r="AJ132" s="262">
        <f ca="1"/>
        <v>0</v>
      </c>
    </row>
    <row r="133" spans="1:36" hidden="1" outlineLevel="1" x14ac:dyDescent="0.25">
      <c r="A133" s="120">
        <f t="shared" si="109"/>
        <v>0</v>
      </c>
      <c r="B133" s="231"/>
      <c r="C133" s="77"/>
      <c r="D133" s="238"/>
      <c r="E133" s="76">
        <f ca="1">SUMIF(payNonMonth,"="&amp;$X133,$E$362:OFFSET($E$362,ROWS(payNonMonth)-1,0))</f>
        <v>0</v>
      </c>
      <c r="F133" s="76"/>
      <c r="G133" s="77">
        <f t="shared" ca="1" si="110"/>
        <v>0</v>
      </c>
      <c r="H133" s="76">
        <f t="shared" ca="1" si="111"/>
        <v>0</v>
      </c>
      <c r="I133" s="76">
        <f t="shared" ca="1" si="112"/>
        <v>0</v>
      </c>
      <c r="J133" s="233">
        <f t="shared" ca="1" si="103"/>
        <v>0</v>
      </c>
      <c r="K133" s="76">
        <f t="shared" si="104"/>
        <v>0</v>
      </c>
      <c r="L133" s="76">
        <f t="shared" ca="1" si="105"/>
        <v>0</v>
      </c>
      <c r="M133" s="76">
        <f t="shared" ca="1" si="113"/>
        <v>0</v>
      </c>
      <c r="N133" s="76">
        <f t="shared" ca="1" si="106"/>
        <v>0</v>
      </c>
      <c r="O133" s="76">
        <f t="shared" ca="1" si="118"/>
        <v>0</v>
      </c>
      <c r="P133" s="76"/>
      <c r="Q133" s="76">
        <f t="shared" ca="1" si="114"/>
        <v>0</v>
      </c>
      <c r="R133" s="76">
        <f t="shared" ca="1" si="92"/>
        <v>0</v>
      </c>
      <c r="S133" s="76">
        <f t="shared" ca="1" si="115"/>
        <v>0</v>
      </c>
      <c r="T133" s="232">
        <f t="shared" ca="1" si="107"/>
        <v>0</v>
      </c>
      <c r="V133" s="120" t="str">
        <f t="shared" si="116"/>
        <v>:0</v>
      </c>
      <c r="W133" s="120" t="str">
        <f t="shared" si="117"/>
        <v>:</v>
      </c>
      <c r="X133" s="120" t="str">
        <f t="shared" si="119"/>
        <v>:0</v>
      </c>
      <c r="Y133" s="250">
        <f t="array" aca="1" ref="Y133:AJ133" ca="1">VLOOKUP($D133&amp;":"&amp;$C133,tblPayRates,{3,4,5,6,7,8,9,10,11,12,13,14},0)</f>
        <v>0</v>
      </c>
      <c r="Z133" s="16" t="str">
        <f ca="1"/>
        <v>Nobody</v>
      </c>
      <c r="AA133" s="261" t="str">
        <f ca="1"/>
        <v>M</v>
      </c>
      <c r="AB133" s="77" t="str">
        <f ca="1"/>
        <v>Daily</v>
      </c>
      <c r="AC133" s="77">
        <f ca="1"/>
        <v>0</v>
      </c>
      <c r="AD133" s="77">
        <f ca="1"/>
        <v>0</v>
      </c>
      <c r="AE133" s="77">
        <f ca="1"/>
        <v>0</v>
      </c>
      <c r="AF133" s="77">
        <f ca="1"/>
        <v>0</v>
      </c>
      <c r="AG133" s="261" t="str">
        <f ca="1"/>
        <v>N</v>
      </c>
      <c r="AH133" s="261">
        <f ca="1"/>
        <v>1</v>
      </c>
      <c r="AI133" s="261">
        <f ca="1"/>
        <v>1</v>
      </c>
      <c r="AJ133" s="262">
        <f ca="1"/>
        <v>0</v>
      </c>
    </row>
    <row r="134" spans="1:36" hidden="1" outlineLevel="1" x14ac:dyDescent="0.25">
      <c r="A134" s="120">
        <f t="shared" si="109"/>
        <v>0</v>
      </c>
      <c r="B134" s="231"/>
      <c r="C134" s="77"/>
      <c r="D134" s="238"/>
      <c r="E134" s="76">
        <f ca="1">SUMIF(payNonMonth,"="&amp;$X134,$E$362:OFFSET($E$362,ROWS(payNonMonth)-1,0))</f>
        <v>0</v>
      </c>
      <c r="F134" s="76"/>
      <c r="G134" s="77">
        <f t="shared" ca="1" si="110"/>
        <v>0</v>
      </c>
      <c r="H134" s="76">
        <f t="shared" ca="1" si="111"/>
        <v>0</v>
      </c>
      <c r="I134" s="76">
        <f t="shared" ca="1" si="112"/>
        <v>0</v>
      </c>
      <c r="J134" s="233">
        <f t="shared" ca="1" si="103"/>
        <v>0</v>
      </c>
      <c r="K134" s="76">
        <f t="shared" si="104"/>
        <v>0</v>
      </c>
      <c r="L134" s="76">
        <f t="shared" ca="1" si="105"/>
        <v>0</v>
      </c>
      <c r="M134" s="76">
        <f t="shared" ca="1" si="113"/>
        <v>0</v>
      </c>
      <c r="N134" s="76">
        <f t="shared" ca="1" si="106"/>
        <v>0</v>
      </c>
      <c r="O134" s="76">
        <f t="shared" ca="1" si="118"/>
        <v>0</v>
      </c>
      <c r="P134" s="76"/>
      <c r="Q134" s="76">
        <f t="shared" ca="1" si="114"/>
        <v>0</v>
      </c>
      <c r="R134" s="76">
        <f t="shared" ca="1" si="92"/>
        <v>0</v>
      </c>
      <c r="S134" s="76">
        <f t="shared" ca="1" si="115"/>
        <v>0</v>
      </c>
      <c r="T134" s="232">
        <f t="shared" ca="1" si="107"/>
        <v>0</v>
      </c>
      <c r="V134" s="120" t="str">
        <f t="shared" si="116"/>
        <v>:0</v>
      </c>
      <c r="W134" s="120" t="str">
        <f t="shared" si="117"/>
        <v>:</v>
      </c>
      <c r="X134" s="120" t="str">
        <f t="shared" si="119"/>
        <v>:0</v>
      </c>
      <c r="Y134" s="250">
        <f t="array" aca="1" ref="Y134:AJ134" ca="1">VLOOKUP($D134&amp;":"&amp;$C134,tblPayRates,{3,4,5,6,7,8,9,10,11,12,13,14},0)</f>
        <v>0</v>
      </c>
      <c r="Z134" s="16" t="str">
        <f ca="1"/>
        <v>Nobody</v>
      </c>
      <c r="AA134" s="261" t="str">
        <f ca="1"/>
        <v>M</v>
      </c>
      <c r="AB134" s="77" t="str">
        <f ca="1"/>
        <v>Daily</v>
      </c>
      <c r="AC134" s="77">
        <f ca="1"/>
        <v>0</v>
      </c>
      <c r="AD134" s="77">
        <f ca="1"/>
        <v>0</v>
      </c>
      <c r="AE134" s="77">
        <f ca="1"/>
        <v>0</v>
      </c>
      <c r="AF134" s="77">
        <f ca="1"/>
        <v>0</v>
      </c>
      <c r="AG134" s="261" t="str">
        <f ca="1"/>
        <v>N</v>
      </c>
      <c r="AH134" s="261">
        <f ca="1"/>
        <v>1</v>
      </c>
      <c r="AI134" s="261">
        <f ca="1"/>
        <v>1</v>
      </c>
      <c r="AJ134" s="262">
        <f ca="1"/>
        <v>0</v>
      </c>
    </row>
    <row r="135" spans="1:36" hidden="1" outlineLevel="1" x14ac:dyDescent="0.25">
      <c r="A135" s="120">
        <f t="shared" si="109"/>
        <v>0</v>
      </c>
      <c r="B135" s="231"/>
      <c r="C135" s="77"/>
      <c r="D135" s="238"/>
      <c r="E135" s="76">
        <f ca="1">SUMIF(payNonMonth,"="&amp;$X135,$E$362:OFFSET($E$362,ROWS(payNonMonth)-1,0))</f>
        <v>0</v>
      </c>
      <c r="F135" s="76"/>
      <c r="G135" s="77">
        <f t="shared" ca="1" si="110"/>
        <v>0</v>
      </c>
      <c r="H135" s="76">
        <f t="shared" ca="1" si="111"/>
        <v>0</v>
      </c>
      <c r="I135" s="76">
        <f t="shared" ca="1" si="112"/>
        <v>0</v>
      </c>
      <c r="J135" s="233">
        <f t="shared" ca="1" si="103"/>
        <v>0</v>
      </c>
      <c r="K135" s="76">
        <f t="shared" si="104"/>
        <v>0</v>
      </c>
      <c r="L135" s="76">
        <f t="shared" ca="1" si="105"/>
        <v>0</v>
      </c>
      <c r="M135" s="76">
        <f t="shared" ca="1" si="113"/>
        <v>0</v>
      </c>
      <c r="N135" s="76">
        <f t="shared" ca="1" si="106"/>
        <v>0</v>
      </c>
      <c r="O135" s="76">
        <f t="shared" ca="1" si="118"/>
        <v>0</v>
      </c>
      <c r="P135" s="76"/>
      <c r="Q135" s="76">
        <f t="shared" ca="1" si="114"/>
        <v>0</v>
      </c>
      <c r="R135" s="76">
        <f t="shared" ca="1" si="92"/>
        <v>0</v>
      </c>
      <c r="S135" s="76">
        <f t="shared" ca="1" si="115"/>
        <v>0</v>
      </c>
      <c r="T135" s="232">
        <f t="shared" ca="1" si="107"/>
        <v>0</v>
      </c>
      <c r="V135" s="120" t="str">
        <f t="shared" si="116"/>
        <v>:0</v>
      </c>
      <c r="W135" s="120" t="str">
        <f t="shared" si="117"/>
        <v>:</v>
      </c>
      <c r="X135" s="120" t="str">
        <f t="shared" si="119"/>
        <v>:0</v>
      </c>
      <c r="Y135" s="250">
        <f t="array" aca="1" ref="Y135:AJ135" ca="1">VLOOKUP($D135&amp;":"&amp;$C135,tblPayRates,{3,4,5,6,7,8,9,10,11,12,13,14},0)</f>
        <v>0</v>
      </c>
      <c r="Z135" s="16" t="str">
        <f ca="1"/>
        <v>Nobody</v>
      </c>
      <c r="AA135" s="261" t="str">
        <f ca="1"/>
        <v>M</v>
      </c>
      <c r="AB135" s="77" t="str">
        <f ca="1"/>
        <v>Daily</v>
      </c>
      <c r="AC135" s="77">
        <f ca="1"/>
        <v>0</v>
      </c>
      <c r="AD135" s="77">
        <f ca="1"/>
        <v>0</v>
      </c>
      <c r="AE135" s="77">
        <f ca="1"/>
        <v>0</v>
      </c>
      <c r="AF135" s="77">
        <f ca="1"/>
        <v>0</v>
      </c>
      <c r="AG135" s="261" t="str">
        <f ca="1"/>
        <v>N</v>
      </c>
      <c r="AH135" s="261">
        <f ca="1"/>
        <v>1</v>
      </c>
      <c r="AI135" s="261">
        <f ca="1"/>
        <v>1</v>
      </c>
      <c r="AJ135" s="262">
        <f ca="1"/>
        <v>0</v>
      </c>
    </row>
    <row r="136" spans="1:36" hidden="1" outlineLevel="1" x14ac:dyDescent="0.25">
      <c r="A136" s="120">
        <f t="shared" si="109"/>
        <v>0</v>
      </c>
      <c r="B136" s="231"/>
      <c r="C136" s="77"/>
      <c r="D136" s="238"/>
      <c r="E136" s="76">
        <f ca="1">SUMIF(payNonMonth,"="&amp;$X136,$E$362:OFFSET($E$362,ROWS(payNonMonth)-1,0))</f>
        <v>0</v>
      </c>
      <c r="F136" s="76"/>
      <c r="G136" s="77">
        <f t="shared" ca="1" si="110"/>
        <v>0</v>
      </c>
      <c r="H136" s="76">
        <f t="shared" ca="1" si="111"/>
        <v>0</v>
      </c>
      <c r="I136" s="76">
        <f t="shared" ca="1" si="112"/>
        <v>0</v>
      </c>
      <c r="J136" s="233">
        <f t="shared" ca="1" si="103"/>
        <v>0</v>
      </c>
      <c r="K136" s="76">
        <f t="shared" si="104"/>
        <v>0</v>
      </c>
      <c r="L136" s="76">
        <f t="shared" ca="1" si="105"/>
        <v>0</v>
      </c>
      <c r="M136" s="76">
        <f t="shared" ca="1" si="113"/>
        <v>0</v>
      </c>
      <c r="N136" s="76">
        <f t="shared" ca="1" si="106"/>
        <v>0</v>
      </c>
      <c r="O136" s="76">
        <f t="shared" ca="1" si="118"/>
        <v>0</v>
      </c>
      <c r="P136" s="76"/>
      <c r="Q136" s="76">
        <f t="shared" ca="1" si="114"/>
        <v>0</v>
      </c>
      <c r="R136" s="76">
        <f t="shared" ca="1" si="92"/>
        <v>0</v>
      </c>
      <c r="S136" s="76">
        <f t="shared" ca="1" si="115"/>
        <v>0</v>
      </c>
      <c r="T136" s="232">
        <f t="shared" ca="1" si="107"/>
        <v>0</v>
      </c>
      <c r="V136" s="120" t="str">
        <f t="shared" si="116"/>
        <v>:0</v>
      </c>
      <c r="W136" s="120" t="str">
        <f t="shared" si="117"/>
        <v>:</v>
      </c>
      <c r="X136" s="120" t="str">
        <f t="shared" si="119"/>
        <v>:0</v>
      </c>
      <c r="Y136" s="250">
        <f t="array" aca="1" ref="Y136:AJ136" ca="1">VLOOKUP($D136&amp;":"&amp;$C136,tblPayRates,{3,4,5,6,7,8,9,10,11,12,13,14},0)</f>
        <v>0</v>
      </c>
      <c r="Z136" s="16" t="str">
        <f ca="1"/>
        <v>Nobody</v>
      </c>
      <c r="AA136" s="261" t="str">
        <f ca="1"/>
        <v>M</v>
      </c>
      <c r="AB136" s="77" t="str">
        <f ca="1"/>
        <v>Daily</v>
      </c>
      <c r="AC136" s="77">
        <f ca="1"/>
        <v>0</v>
      </c>
      <c r="AD136" s="77">
        <f ca="1"/>
        <v>0</v>
      </c>
      <c r="AE136" s="77">
        <f ca="1"/>
        <v>0</v>
      </c>
      <c r="AF136" s="77">
        <f ca="1"/>
        <v>0</v>
      </c>
      <c r="AG136" s="261" t="str">
        <f ca="1"/>
        <v>N</v>
      </c>
      <c r="AH136" s="261">
        <f ca="1"/>
        <v>1</v>
      </c>
      <c r="AI136" s="261">
        <f ca="1"/>
        <v>1</v>
      </c>
      <c r="AJ136" s="262">
        <f ca="1"/>
        <v>0</v>
      </c>
    </row>
    <row r="137" spans="1:36" hidden="1" outlineLevel="1" x14ac:dyDescent="0.25">
      <c r="A137" s="120">
        <f t="shared" si="109"/>
        <v>0</v>
      </c>
      <c r="B137" s="231"/>
      <c r="C137" s="77"/>
      <c r="D137" s="238"/>
      <c r="E137" s="76">
        <f ca="1">SUMIF(payNonMonth,"="&amp;$X137,$E$362:OFFSET($E$362,ROWS(payNonMonth)-1,0))</f>
        <v>0</v>
      </c>
      <c r="F137" s="76"/>
      <c r="G137" s="77">
        <f t="shared" ca="1" si="110"/>
        <v>0</v>
      </c>
      <c r="H137" s="76">
        <f t="shared" ca="1" si="111"/>
        <v>0</v>
      </c>
      <c r="I137" s="76">
        <f t="shared" ca="1" si="112"/>
        <v>0</v>
      </c>
      <c r="J137" s="233">
        <f t="shared" ca="1" si="103"/>
        <v>0</v>
      </c>
      <c r="K137" s="76">
        <f t="shared" si="104"/>
        <v>0</v>
      </c>
      <c r="L137" s="76">
        <f t="shared" ca="1" si="105"/>
        <v>0</v>
      </c>
      <c r="M137" s="76">
        <f t="shared" ca="1" si="113"/>
        <v>0</v>
      </c>
      <c r="N137" s="76">
        <f t="shared" ca="1" si="106"/>
        <v>0</v>
      </c>
      <c r="O137" s="76">
        <f t="shared" ca="1" si="118"/>
        <v>0</v>
      </c>
      <c r="P137" s="76"/>
      <c r="Q137" s="76">
        <f t="shared" ca="1" si="114"/>
        <v>0</v>
      </c>
      <c r="R137" s="76">
        <f t="shared" ca="1" si="92"/>
        <v>0</v>
      </c>
      <c r="S137" s="76">
        <f t="shared" ca="1" si="115"/>
        <v>0</v>
      </c>
      <c r="T137" s="232">
        <f t="shared" ca="1" si="107"/>
        <v>0</v>
      </c>
      <c r="V137" s="120" t="str">
        <f t="shared" si="116"/>
        <v>:0</v>
      </c>
      <c r="W137" s="120" t="str">
        <f t="shared" si="117"/>
        <v>:</v>
      </c>
      <c r="X137" s="120" t="str">
        <f t="shared" si="119"/>
        <v>:0</v>
      </c>
      <c r="Y137" s="250">
        <f t="array" aca="1" ref="Y137:AJ137" ca="1">VLOOKUP($D137&amp;":"&amp;$C137,tblPayRates,{3,4,5,6,7,8,9,10,11,12,13,14},0)</f>
        <v>0</v>
      </c>
      <c r="Z137" s="16" t="str">
        <f ca="1"/>
        <v>Nobody</v>
      </c>
      <c r="AA137" s="261" t="str">
        <f ca="1"/>
        <v>M</v>
      </c>
      <c r="AB137" s="77" t="str">
        <f ca="1"/>
        <v>Daily</v>
      </c>
      <c r="AC137" s="77">
        <f ca="1"/>
        <v>0</v>
      </c>
      <c r="AD137" s="77">
        <f ca="1"/>
        <v>0</v>
      </c>
      <c r="AE137" s="77">
        <f ca="1"/>
        <v>0</v>
      </c>
      <c r="AF137" s="77">
        <f ca="1"/>
        <v>0</v>
      </c>
      <c r="AG137" s="261" t="str">
        <f ca="1"/>
        <v>N</v>
      </c>
      <c r="AH137" s="261">
        <f ca="1"/>
        <v>1</v>
      </c>
      <c r="AI137" s="261">
        <f ca="1"/>
        <v>1</v>
      </c>
      <c r="AJ137" s="262">
        <f ca="1"/>
        <v>0</v>
      </c>
    </row>
    <row r="138" spans="1:36" hidden="1" outlineLevel="1" x14ac:dyDescent="0.25">
      <c r="A138" s="120">
        <f t="shared" si="109"/>
        <v>0</v>
      </c>
      <c r="B138" s="231"/>
      <c r="C138" s="77"/>
      <c r="D138" s="238"/>
      <c r="E138" s="76">
        <f ca="1">SUMIF(payNonMonth,"="&amp;$X138,$E$362:OFFSET($E$362,ROWS(payNonMonth)-1,0))</f>
        <v>0</v>
      </c>
      <c r="F138" s="76"/>
      <c r="G138" s="77">
        <f t="shared" ca="1" si="110"/>
        <v>0</v>
      </c>
      <c r="H138" s="76">
        <f t="shared" ca="1" si="111"/>
        <v>0</v>
      </c>
      <c r="I138" s="76">
        <f t="shared" ca="1" si="112"/>
        <v>0</v>
      </c>
      <c r="J138" s="233">
        <f t="shared" ca="1" si="103"/>
        <v>0</v>
      </c>
      <c r="K138" s="76">
        <f t="shared" si="104"/>
        <v>0</v>
      </c>
      <c r="L138" s="76">
        <f t="shared" ca="1" si="105"/>
        <v>0</v>
      </c>
      <c r="M138" s="76">
        <f t="shared" ca="1" si="113"/>
        <v>0</v>
      </c>
      <c r="N138" s="76">
        <f t="shared" ca="1" si="106"/>
        <v>0</v>
      </c>
      <c r="O138" s="76">
        <f t="shared" ca="1" si="118"/>
        <v>0</v>
      </c>
      <c r="P138" s="76"/>
      <c r="Q138" s="76">
        <f t="shared" ca="1" si="114"/>
        <v>0</v>
      </c>
      <c r="R138" s="76">
        <f t="shared" ca="1" si="92"/>
        <v>0</v>
      </c>
      <c r="S138" s="76">
        <f t="shared" ca="1" si="115"/>
        <v>0</v>
      </c>
      <c r="T138" s="232">
        <f t="shared" ca="1" si="107"/>
        <v>0</v>
      </c>
      <c r="V138" s="120" t="str">
        <f t="shared" si="116"/>
        <v>:0</v>
      </c>
      <c r="W138" s="120" t="str">
        <f t="shared" si="117"/>
        <v>:</v>
      </c>
      <c r="X138" s="120" t="str">
        <f t="shared" si="119"/>
        <v>:0</v>
      </c>
      <c r="Y138" s="250">
        <f t="array" aca="1" ref="Y138:AJ138" ca="1">VLOOKUP($D138&amp;":"&amp;$C138,tblPayRates,{3,4,5,6,7,8,9,10,11,12,13,14},0)</f>
        <v>0</v>
      </c>
      <c r="Z138" s="16" t="str">
        <f ca="1"/>
        <v>Nobody</v>
      </c>
      <c r="AA138" s="261" t="str">
        <f ca="1"/>
        <v>M</v>
      </c>
      <c r="AB138" s="77" t="str">
        <f ca="1"/>
        <v>Daily</v>
      </c>
      <c r="AC138" s="77">
        <f ca="1"/>
        <v>0</v>
      </c>
      <c r="AD138" s="77">
        <f ca="1"/>
        <v>0</v>
      </c>
      <c r="AE138" s="77">
        <f ca="1"/>
        <v>0</v>
      </c>
      <c r="AF138" s="77">
        <f ca="1"/>
        <v>0</v>
      </c>
      <c r="AG138" s="261" t="str">
        <f ca="1"/>
        <v>N</v>
      </c>
      <c r="AH138" s="261">
        <f ca="1"/>
        <v>1</v>
      </c>
      <c r="AI138" s="261">
        <f ca="1"/>
        <v>1</v>
      </c>
      <c r="AJ138" s="262">
        <f ca="1"/>
        <v>0</v>
      </c>
    </row>
    <row r="139" spans="1:36" hidden="1" outlineLevel="1" x14ac:dyDescent="0.25">
      <c r="A139" s="120">
        <f t="shared" si="109"/>
        <v>0</v>
      </c>
      <c r="B139" s="231"/>
      <c r="C139" s="77"/>
      <c r="D139" s="238"/>
      <c r="E139" s="76">
        <f ca="1">SUMIF(payNonMonth,"="&amp;$X139,$E$362:OFFSET($E$362,ROWS(payNonMonth)-1,0))</f>
        <v>0</v>
      </c>
      <c r="F139" s="76"/>
      <c r="G139" s="77">
        <f t="shared" ca="1" si="110"/>
        <v>0</v>
      </c>
      <c r="H139" s="76">
        <f t="shared" ca="1" si="111"/>
        <v>0</v>
      </c>
      <c r="I139" s="76">
        <f t="shared" ca="1" si="112"/>
        <v>0</v>
      </c>
      <c r="J139" s="233">
        <f t="shared" ca="1" si="103"/>
        <v>0</v>
      </c>
      <c r="K139" s="76">
        <f t="shared" si="104"/>
        <v>0</v>
      </c>
      <c r="L139" s="76">
        <f t="shared" ca="1" si="105"/>
        <v>0</v>
      </c>
      <c r="M139" s="76">
        <f t="shared" ca="1" si="113"/>
        <v>0</v>
      </c>
      <c r="N139" s="76">
        <f t="shared" ca="1" si="106"/>
        <v>0</v>
      </c>
      <c r="O139" s="76">
        <f t="shared" ca="1" si="118"/>
        <v>0</v>
      </c>
      <c r="P139" s="76"/>
      <c r="Q139" s="76">
        <f t="shared" ca="1" si="114"/>
        <v>0</v>
      </c>
      <c r="R139" s="76">
        <f t="shared" ca="1" si="92"/>
        <v>0</v>
      </c>
      <c r="S139" s="76">
        <f t="shared" ca="1" si="115"/>
        <v>0</v>
      </c>
      <c r="T139" s="232">
        <f t="shared" ca="1" si="107"/>
        <v>0</v>
      </c>
      <c r="V139" s="120" t="str">
        <f t="shared" si="116"/>
        <v>:0</v>
      </c>
      <c r="W139" s="120" t="str">
        <f t="shared" si="117"/>
        <v>:</v>
      </c>
      <c r="X139" s="120" t="str">
        <f t="shared" si="119"/>
        <v>:0</v>
      </c>
      <c r="Y139" s="250">
        <f t="array" aca="1" ref="Y139:AJ139" ca="1">VLOOKUP($D139&amp;":"&amp;$C139,tblPayRates,{3,4,5,6,7,8,9,10,11,12,13,14},0)</f>
        <v>0</v>
      </c>
      <c r="Z139" s="16" t="str">
        <f ca="1"/>
        <v>Nobody</v>
      </c>
      <c r="AA139" s="261" t="str">
        <f ca="1"/>
        <v>M</v>
      </c>
      <c r="AB139" s="77" t="str">
        <f ca="1"/>
        <v>Daily</v>
      </c>
      <c r="AC139" s="77">
        <f ca="1"/>
        <v>0</v>
      </c>
      <c r="AD139" s="77">
        <f ca="1"/>
        <v>0</v>
      </c>
      <c r="AE139" s="77">
        <f ca="1"/>
        <v>0</v>
      </c>
      <c r="AF139" s="77">
        <f ca="1"/>
        <v>0</v>
      </c>
      <c r="AG139" s="261" t="str">
        <f ca="1"/>
        <v>N</v>
      </c>
      <c r="AH139" s="261">
        <f ca="1"/>
        <v>1</v>
      </c>
      <c r="AI139" s="261">
        <f ca="1"/>
        <v>1</v>
      </c>
      <c r="AJ139" s="262">
        <f ca="1"/>
        <v>0</v>
      </c>
    </row>
    <row r="140" spans="1:36" hidden="1" outlineLevel="1" x14ac:dyDescent="0.25">
      <c r="A140" s="120">
        <f t="shared" si="109"/>
        <v>0</v>
      </c>
      <c r="B140" s="231"/>
      <c r="C140" s="77"/>
      <c r="D140" s="238"/>
      <c r="E140" s="76">
        <f ca="1">SUMIF(payNonMonth,"="&amp;$X140,$E$362:OFFSET($E$362,ROWS(payNonMonth)-1,0))</f>
        <v>0</v>
      </c>
      <c r="F140" s="76"/>
      <c r="G140" s="77">
        <f t="shared" ca="1" si="110"/>
        <v>0</v>
      </c>
      <c r="H140" s="76">
        <f t="shared" ca="1" si="111"/>
        <v>0</v>
      </c>
      <c r="I140" s="76">
        <f t="shared" ca="1" si="112"/>
        <v>0</v>
      </c>
      <c r="J140" s="233">
        <f t="shared" ca="1" si="103"/>
        <v>0</v>
      </c>
      <c r="K140" s="76">
        <f t="shared" si="104"/>
        <v>0</v>
      </c>
      <c r="L140" s="76">
        <f t="shared" ca="1" si="105"/>
        <v>0</v>
      </c>
      <c r="M140" s="76">
        <f t="shared" ca="1" si="113"/>
        <v>0</v>
      </c>
      <c r="N140" s="76">
        <f t="shared" ca="1" si="106"/>
        <v>0</v>
      </c>
      <c r="O140" s="76">
        <f t="shared" ca="1" si="118"/>
        <v>0</v>
      </c>
      <c r="P140" s="76"/>
      <c r="Q140" s="76">
        <f t="shared" ca="1" si="114"/>
        <v>0</v>
      </c>
      <c r="R140" s="76">
        <f t="shared" ca="1" si="92"/>
        <v>0</v>
      </c>
      <c r="S140" s="76">
        <f t="shared" ca="1" si="115"/>
        <v>0</v>
      </c>
      <c r="T140" s="232">
        <f t="shared" ca="1" si="107"/>
        <v>0</v>
      </c>
      <c r="V140" s="120" t="str">
        <f t="shared" si="116"/>
        <v>:0</v>
      </c>
      <c r="W140" s="120" t="str">
        <f t="shared" si="117"/>
        <v>:</v>
      </c>
      <c r="X140" s="120" t="str">
        <f t="shared" si="119"/>
        <v>:0</v>
      </c>
      <c r="Y140" s="250">
        <f t="array" aca="1" ref="Y140:AJ140" ca="1">VLOOKUP($D140&amp;":"&amp;$C140,tblPayRates,{3,4,5,6,7,8,9,10,11,12,13,14},0)</f>
        <v>0</v>
      </c>
      <c r="Z140" s="16" t="str">
        <f ca="1"/>
        <v>Nobody</v>
      </c>
      <c r="AA140" s="261" t="str">
        <f ca="1"/>
        <v>M</v>
      </c>
      <c r="AB140" s="77" t="str">
        <f ca="1"/>
        <v>Daily</v>
      </c>
      <c r="AC140" s="77">
        <f ca="1"/>
        <v>0</v>
      </c>
      <c r="AD140" s="77">
        <f ca="1"/>
        <v>0</v>
      </c>
      <c r="AE140" s="77">
        <f ca="1"/>
        <v>0</v>
      </c>
      <c r="AF140" s="77">
        <f ca="1"/>
        <v>0</v>
      </c>
      <c r="AG140" s="261" t="str">
        <f ca="1"/>
        <v>N</v>
      </c>
      <c r="AH140" s="261">
        <f ca="1"/>
        <v>1</v>
      </c>
      <c r="AI140" s="261">
        <f ca="1"/>
        <v>1</v>
      </c>
      <c r="AJ140" s="262">
        <f ca="1"/>
        <v>0</v>
      </c>
    </row>
    <row r="141" spans="1:36" hidden="1" outlineLevel="1" x14ac:dyDescent="0.25">
      <c r="A141" s="120">
        <f t="shared" si="109"/>
        <v>0</v>
      </c>
      <c r="B141" s="231"/>
      <c r="C141" s="77"/>
      <c r="D141" s="238"/>
      <c r="E141" s="76">
        <f ca="1">SUMIF(payNonMonth,"="&amp;$X141,$E$362:OFFSET($E$362,ROWS(payNonMonth)-1,0))</f>
        <v>0</v>
      </c>
      <c r="F141" s="76"/>
      <c r="G141" s="77">
        <f t="shared" ca="1" si="110"/>
        <v>0</v>
      </c>
      <c r="H141" s="76">
        <f t="shared" ca="1" si="111"/>
        <v>0</v>
      </c>
      <c r="I141" s="76">
        <f t="shared" ca="1" si="112"/>
        <v>0</v>
      </c>
      <c r="J141" s="233">
        <f t="shared" ca="1" si="103"/>
        <v>0</v>
      </c>
      <c r="K141" s="76">
        <f t="shared" si="104"/>
        <v>0</v>
      </c>
      <c r="L141" s="76">
        <f t="shared" ca="1" si="105"/>
        <v>0</v>
      </c>
      <c r="M141" s="76">
        <f t="shared" ca="1" si="113"/>
        <v>0</v>
      </c>
      <c r="N141" s="76">
        <f t="shared" ca="1" si="106"/>
        <v>0</v>
      </c>
      <c r="O141" s="76">
        <f t="shared" ca="1" si="118"/>
        <v>0</v>
      </c>
      <c r="P141" s="76"/>
      <c r="Q141" s="76">
        <f t="shared" ca="1" si="114"/>
        <v>0</v>
      </c>
      <c r="R141" s="76">
        <f t="shared" ca="1" si="92"/>
        <v>0</v>
      </c>
      <c r="S141" s="76">
        <f t="shared" ca="1" si="115"/>
        <v>0</v>
      </c>
      <c r="T141" s="232">
        <f t="shared" ca="1" si="107"/>
        <v>0</v>
      </c>
      <c r="V141" s="120" t="str">
        <f t="shared" si="116"/>
        <v>:0</v>
      </c>
      <c r="W141" s="120" t="str">
        <f t="shared" si="117"/>
        <v>:</v>
      </c>
      <c r="X141" s="120" t="str">
        <f t="shared" si="119"/>
        <v>:0</v>
      </c>
      <c r="Y141" s="250">
        <f t="array" aca="1" ref="Y141:AJ141" ca="1">VLOOKUP($D141&amp;":"&amp;$C141,tblPayRates,{3,4,5,6,7,8,9,10,11,12,13,14},0)</f>
        <v>0</v>
      </c>
      <c r="Z141" s="16" t="str">
        <f ca="1"/>
        <v>Nobody</v>
      </c>
      <c r="AA141" s="261" t="str">
        <f ca="1"/>
        <v>M</v>
      </c>
      <c r="AB141" s="77" t="str">
        <f ca="1"/>
        <v>Daily</v>
      </c>
      <c r="AC141" s="77">
        <f ca="1"/>
        <v>0</v>
      </c>
      <c r="AD141" s="77">
        <f ca="1"/>
        <v>0</v>
      </c>
      <c r="AE141" s="77">
        <f ca="1"/>
        <v>0</v>
      </c>
      <c r="AF141" s="77">
        <f ca="1"/>
        <v>0</v>
      </c>
      <c r="AG141" s="261" t="str">
        <f ca="1"/>
        <v>N</v>
      </c>
      <c r="AH141" s="261">
        <f ca="1"/>
        <v>1</v>
      </c>
      <c r="AI141" s="261">
        <f ca="1"/>
        <v>1</v>
      </c>
      <c r="AJ141" s="262">
        <f ca="1"/>
        <v>0</v>
      </c>
    </row>
    <row r="142" spans="1:36" hidden="1" outlineLevel="1" x14ac:dyDescent="0.25">
      <c r="A142" s="120">
        <f t="shared" si="109"/>
        <v>0</v>
      </c>
      <c r="B142" s="231"/>
      <c r="C142" s="77"/>
      <c r="D142" s="238"/>
      <c r="E142" s="76">
        <f ca="1">SUMIF(payNonMonth,"="&amp;$X142,$E$362:OFFSET($E$362,ROWS(payNonMonth)-1,0))</f>
        <v>0</v>
      </c>
      <c r="F142" s="76"/>
      <c r="G142" s="77">
        <f t="shared" ca="1" si="110"/>
        <v>0</v>
      </c>
      <c r="H142" s="76">
        <f t="shared" ca="1" si="111"/>
        <v>0</v>
      </c>
      <c r="I142" s="76">
        <f t="shared" ca="1" si="112"/>
        <v>0</v>
      </c>
      <c r="J142" s="233">
        <f t="shared" ca="1" si="103"/>
        <v>0</v>
      </c>
      <c r="K142" s="76">
        <f t="shared" si="104"/>
        <v>0</v>
      </c>
      <c r="L142" s="76">
        <f t="shared" ca="1" si="105"/>
        <v>0</v>
      </c>
      <c r="M142" s="76">
        <f t="shared" ca="1" si="113"/>
        <v>0</v>
      </c>
      <c r="N142" s="76">
        <f t="shared" ca="1" si="106"/>
        <v>0</v>
      </c>
      <c r="O142" s="76">
        <f t="shared" ca="1" si="118"/>
        <v>0</v>
      </c>
      <c r="P142" s="76"/>
      <c r="Q142" s="76">
        <f t="shared" ca="1" si="114"/>
        <v>0</v>
      </c>
      <c r="R142" s="76">
        <f t="shared" ca="1" si="92"/>
        <v>0</v>
      </c>
      <c r="S142" s="76">
        <f t="shared" ca="1" si="115"/>
        <v>0</v>
      </c>
      <c r="T142" s="232">
        <f t="shared" ca="1" si="107"/>
        <v>0</v>
      </c>
      <c r="V142" s="120" t="str">
        <f t="shared" si="116"/>
        <v>:0</v>
      </c>
      <c r="W142" s="120" t="str">
        <f t="shared" si="117"/>
        <v>:</v>
      </c>
      <c r="X142" s="120" t="str">
        <f t="shared" si="119"/>
        <v>:0</v>
      </c>
      <c r="Y142" s="250">
        <f t="array" aca="1" ref="Y142:AJ142" ca="1">VLOOKUP($D142&amp;":"&amp;$C142,tblPayRates,{3,4,5,6,7,8,9,10,11,12,13,14},0)</f>
        <v>0</v>
      </c>
      <c r="Z142" s="16" t="str">
        <f ca="1"/>
        <v>Nobody</v>
      </c>
      <c r="AA142" s="261" t="str">
        <f ca="1"/>
        <v>M</v>
      </c>
      <c r="AB142" s="77" t="str">
        <f ca="1"/>
        <v>Daily</v>
      </c>
      <c r="AC142" s="77">
        <f ca="1"/>
        <v>0</v>
      </c>
      <c r="AD142" s="77">
        <f ca="1"/>
        <v>0</v>
      </c>
      <c r="AE142" s="77">
        <f ca="1"/>
        <v>0</v>
      </c>
      <c r="AF142" s="77">
        <f ca="1"/>
        <v>0</v>
      </c>
      <c r="AG142" s="261" t="str">
        <f ca="1"/>
        <v>N</v>
      </c>
      <c r="AH142" s="261">
        <f ca="1"/>
        <v>1</v>
      </c>
      <c r="AI142" s="261">
        <f ca="1"/>
        <v>1</v>
      </c>
      <c r="AJ142" s="262">
        <f ca="1"/>
        <v>0</v>
      </c>
    </row>
    <row r="143" spans="1:36" hidden="1" outlineLevel="1" x14ac:dyDescent="0.25">
      <c r="A143" s="120">
        <f t="shared" si="109"/>
        <v>0</v>
      </c>
      <c r="B143" s="231"/>
      <c r="C143" s="77"/>
      <c r="D143" s="238"/>
      <c r="E143" s="76">
        <f ca="1">SUMIF(payNonMonth,"="&amp;$X143,$E$362:OFFSET($E$362,ROWS(payNonMonth)-1,0))</f>
        <v>0</v>
      </c>
      <c r="F143" s="76"/>
      <c r="G143" s="77">
        <f t="shared" ca="1" si="110"/>
        <v>0</v>
      </c>
      <c r="H143" s="76">
        <f t="shared" ca="1" si="111"/>
        <v>0</v>
      </c>
      <c r="I143" s="76">
        <f t="shared" ca="1" si="112"/>
        <v>0</v>
      </c>
      <c r="J143" s="233">
        <f t="shared" ca="1" si="103"/>
        <v>0</v>
      </c>
      <c r="K143" s="76">
        <f t="shared" si="104"/>
        <v>0</v>
      </c>
      <c r="L143" s="76">
        <f t="shared" ca="1" si="105"/>
        <v>0</v>
      </c>
      <c r="M143" s="76">
        <f t="shared" ca="1" si="113"/>
        <v>0</v>
      </c>
      <c r="N143" s="76">
        <f t="shared" ca="1" si="106"/>
        <v>0</v>
      </c>
      <c r="O143" s="76">
        <f t="shared" ca="1" si="118"/>
        <v>0</v>
      </c>
      <c r="P143" s="76"/>
      <c r="Q143" s="76">
        <f t="shared" ca="1" si="114"/>
        <v>0</v>
      </c>
      <c r="R143" s="76">
        <f t="shared" ca="1" si="92"/>
        <v>0</v>
      </c>
      <c r="S143" s="76">
        <f t="shared" ca="1" si="115"/>
        <v>0</v>
      </c>
      <c r="T143" s="232">
        <f t="shared" ca="1" si="107"/>
        <v>0</v>
      </c>
      <c r="V143" s="120" t="str">
        <f t="shared" si="116"/>
        <v>:0</v>
      </c>
      <c r="W143" s="120" t="str">
        <f t="shared" si="117"/>
        <v>:</v>
      </c>
      <c r="X143" s="120" t="str">
        <f t="shared" si="119"/>
        <v>:0</v>
      </c>
      <c r="Y143" s="250">
        <f t="array" aca="1" ref="Y143:AJ143" ca="1">VLOOKUP($D143&amp;":"&amp;$C143,tblPayRates,{3,4,5,6,7,8,9,10,11,12,13,14},0)</f>
        <v>0</v>
      </c>
      <c r="Z143" s="16" t="str">
        <f ca="1"/>
        <v>Nobody</v>
      </c>
      <c r="AA143" s="261" t="str">
        <f ca="1"/>
        <v>M</v>
      </c>
      <c r="AB143" s="77" t="str">
        <f ca="1"/>
        <v>Daily</v>
      </c>
      <c r="AC143" s="77">
        <f ca="1"/>
        <v>0</v>
      </c>
      <c r="AD143" s="77">
        <f ca="1"/>
        <v>0</v>
      </c>
      <c r="AE143" s="77">
        <f ca="1"/>
        <v>0</v>
      </c>
      <c r="AF143" s="77">
        <f ca="1"/>
        <v>0</v>
      </c>
      <c r="AG143" s="261" t="str">
        <f ca="1"/>
        <v>N</v>
      </c>
      <c r="AH143" s="261">
        <f ca="1"/>
        <v>1</v>
      </c>
      <c r="AI143" s="261">
        <f ca="1"/>
        <v>1</v>
      </c>
      <c r="AJ143" s="262">
        <f ca="1"/>
        <v>0</v>
      </c>
    </row>
    <row r="144" spans="1:36" hidden="1" outlineLevel="1" x14ac:dyDescent="0.25">
      <c r="A144" s="120">
        <f t="shared" si="109"/>
        <v>0</v>
      </c>
      <c r="B144" s="231"/>
      <c r="C144" s="77"/>
      <c r="D144" s="238"/>
      <c r="E144" s="76">
        <f ca="1">SUMIF(payNonMonth,"="&amp;$X144,$E$362:OFFSET($E$362,ROWS(payNonMonth)-1,0))</f>
        <v>0</v>
      </c>
      <c r="F144" s="76"/>
      <c r="G144" s="77">
        <f t="shared" ca="1" si="110"/>
        <v>0</v>
      </c>
      <c r="H144" s="76">
        <f t="shared" ca="1" si="111"/>
        <v>0</v>
      </c>
      <c r="I144" s="76">
        <f t="shared" ca="1" si="112"/>
        <v>0</v>
      </c>
      <c r="J144" s="233">
        <f t="shared" ca="1" si="103"/>
        <v>0</v>
      </c>
      <c r="K144" s="76">
        <f t="shared" si="104"/>
        <v>0</v>
      </c>
      <c r="L144" s="76">
        <f t="shared" ca="1" si="105"/>
        <v>0</v>
      </c>
      <c r="M144" s="76">
        <f t="shared" ca="1" si="113"/>
        <v>0</v>
      </c>
      <c r="N144" s="76">
        <f t="shared" ca="1" si="106"/>
        <v>0</v>
      </c>
      <c r="O144" s="76">
        <f t="shared" ca="1" si="118"/>
        <v>0</v>
      </c>
      <c r="P144" s="76"/>
      <c r="Q144" s="76">
        <f t="shared" ca="1" si="114"/>
        <v>0</v>
      </c>
      <c r="R144" s="76">
        <f t="shared" ca="1" si="92"/>
        <v>0</v>
      </c>
      <c r="S144" s="76">
        <f t="shared" ca="1" si="115"/>
        <v>0</v>
      </c>
      <c r="T144" s="232">
        <f t="shared" ca="1" si="107"/>
        <v>0</v>
      </c>
      <c r="V144" s="120" t="str">
        <f t="shared" si="116"/>
        <v>:0</v>
      </c>
      <c r="W144" s="120" t="str">
        <f t="shared" si="117"/>
        <v>:</v>
      </c>
      <c r="X144" s="120" t="str">
        <f t="shared" si="119"/>
        <v>:0</v>
      </c>
      <c r="Y144" s="250">
        <f t="array" aca="1" ref="Y144:AJ144" ca="1">VLOOKUP($D144&amp;":"&amp;$C144,tblPayRates,{3,4,5,6,7,8,9,10,11,12,13,14},0)</f>
        <v>0</v>
      </c>
      <c r="Z144" s="16" t="str">
        <f ca="1"/>
        <v>Nobody</v>
      </c>
      <c r="AA144" s="261" t="str">
        <f ca="1"/>
        <v>M</v>
      </c>
      <c r="AB144" s="77" t="str">
        <f ca="1"/>
        <v>Daily</v>
      </c>
      <c r="AC144" s="77">
        <f ca="1"/>
        <v>0</v>
      </c>
      <c r="AD144" s="77">
        <f ca="1"/>
        <v>0</v>
      </c>
      <c r="AE144" s="77">
        <f ca="1"/>
        <v>0</v>
      </c>
      <c r="AF144" s="77">
        <f ca="1"/>
        <v>0</v>
      </c>
      <c r="AG144" s="261" t="str">
        <f ca="1"/>
        <v>N</v>
      </c>
      <c r="AH144" s="261">
        <f ca="1"/>
        <v>1</v>
      </c>
      <c r="AI144" s="261">
        <f ca="1"/>
        <v>1</v>
      </c>
      <c r="AJ144" s="262">
        <f ca="1"/>
        <v>0</v>
      </c>
    </row>
    <row r="145" spans="1:36" hidden="1" outlineLevel="1" x14ac:dyDescent="0.25">
      <c r="A145" s="120">
        <f t="shared" si="109"/>
        <v>0</v>
      </c>
      <c r="B145" s="231"/>
      <c r="C145" s="77"/>
      <c r="D145" s="238"/>
      <c r="E145" s="76">
        <f ca="1">SUMIF(payNonMonth,"="&amp;$X145,$E$362:OFFSET($E$362,ROWS(payNonMonth)-1,0))</f>
        <v>0</v>
      </c>
      <c r="F145" s="76"/>
      <c r="G145" s="77">
        <f t="shared" ca="1" si="110"/>
        <v>0</v>
      </c>
      <c r="H145" s="76">
        <f t="shared" ca="1" si="111"/>
        <v>0</v>
      </c>
      <c r="I145" s="76">
        <f t="shared" ca="1" si="112"/>
        <v>0</v>
      </c>
      <c r="J145" s="233">
        <f t="shared" ca="1" si="103"/>
        <v>0</v>
      </c>
      <c r="K145" s="76">
        <f t="shared" si="104"/>
        <v>0</v>
      </c>
      <c r="L145" s="76">
        <f t="shared" ca="1" si="105"/>
        <v>0</v>
      </c>
      <c r="M145" s="76">
        <f t="shared" ca="1" si="113"/>
        <v>0</v>
      </c>
      <c r="N145" s="76">
        <f t="shared" ca="1" si="106"/>
        <v>0</v>
      </c>
      <c r="O145" s="76">
        <f t="shared" ca="1" si="118"/>
        <v>0</v>
      </c>
      <c r="P145" s="76"/>
      <c r="Q145" s="76">
        <f t="shared" ca="1" si="114"/>
        <v>0</v>
      </c>
      <c r="R145" s="76">
        <f t="shared" ca="1" si="92"/>
        <v>0</v>
      </c>
      <c r="S145" s="76">
        <f t="shared" ca="1" si="115"/>
        <v>0</v>
      </c>
      <c r="T145" s="232">
        <f t="shared" ca="1" si="107"/>
        <v>0</v>
      </c>
      <c r="V145" s="120" t="str">
        <f t="shared" si="116"/>
        <v>:0</v>
      </c>
      <c r="W145" s="120" t="str">
        <f t="shared" si="117"/>
        <v>:</v>
      </c>
      <c r="X145" s="120" t="str">
        <f t="shared" si="119"/>
        <v>:0</v>
      </c>
      <c r="Y145" s="250">
        <f t="array" aca="1" ref="Y145:AJ145" ca="1">VLOOKUP($D145&amp;":"&amp;$C145,tblPayRates,{3,4,5,6,7,8,9,10,11,12,13,14},0)</f>
        <v>0</v>
      </c>
      <c r="Z145" s="16" t="str">
        <f ca="1"/>
        <v>Nobody</v>
      </c>
      <c r="AA145" s="261" t="str">
        <f ca="1"/>
        <v>M</v>
      </c>
      <c r="AB145" s="77" t="str">
        <f ca="1"/>
        <v>Daily</v>
      </c>
      <c r="AC145" s="77">
        <f ca="1"/>
        <v>0</v>
      </c>
      <c r="AD145" s="77">
        <f ca="1"/>
        <v>0</v>
      </c>
      <c r="AE145" s="77">
        <f ca="1"/>
        <v>0</v>
      </c>
      <c r="AF145" s="77">
        <f ca="1"/>
        <v>0</v>
      </c>
      <c r="AG145" s="261" t="str">
        <f ca="1"/>
        <v>N</v>
      </c>
      <c r="AH145" s="261">
        <f ca="1"/>
        <v>1</v>
      </c>
      <c r="AI145" s="261">
        <f ca="1"/>
        <v>1</v>
      </c>
      <c r="AJ145" s="262">
        <f ca="1"/>
        <v>0</v>
      </c>
    </row>
    <row r="146" spans="1:36" hidden="1" outlineLevel="1" x14ac:dyDescent="0.25">
      <c r="A146" s="120">
        <f t="shared" si="109"/>
        <v>0</v>
      </c>
      <c r="B146" s="231"/>
      <c r="C146" s="77"/>
      <c r="D146" s="238"/>
      <c r="E146" s="76">
        <f ca="1">SUMIF(payNonMonth,"="&amp;$X146,$E$362:OFFSET($E$362,ROWS(payNonMonth)-1,0))</f>
        <v>0</v>
      </c>
      <c r="F146" s="76"/>
      <c r="G146" s="77">
        <f t="shared" ca="1" si="110"/>
        <v>0</v>
      </c>
      <c r="H146" s="76">
        <f t="shared" ca="1" si="111"/>
        <v>0</v>
      </c>
      <c r="I146" s="76">
        <f t="shared" ca="1" si="112"/>
        <v>0</v>
      </c>
      <c r="J146" s="233">
        <f t="shared" ca="1" si="103"/>
        <v>0</v>
      </c>
      <c r="K146" s="76">
        <f t="shared" si="104"/>
        <v>0</v>
      </c>
      <c r="L146" s="76">
        <f t="shared" ca="1" si="105"/>
        <v>0</v>
      </c>
      <c r="M146" s="76">
        <f t="shared" ca="1" si="113"/>
        <v>0</v>
      </c>
      <c r="N146" s="76">
        <f t="shared" ca="1" si="106"/>
        <v>0</v>
      </c>
      <c r="O146" s="76">
        <f t="shared" ca="1" si="118"/>
        <v>0</v>
      </c>
      <c r="P146" s="76"/>
      <c r="Q146" s="76">
        <f t="shared" ca="1" si="114"/>
        <v>0</v>
      </c>
      <c r="R146" s="76">
        <f t="shared" ca="1" si="92"/>
        <v>0</v>
      </c>
      <c r="S146" s="76">
        <f t="shared" ca="1" si="115"/>
        <v>0</v>
      </c>
      <c r="T146" s="232">
        <f t="shared" ca="1" si="107"/>
        <v>0</v>
      </c>
      <c r="V146" s="120" t="str">
        <f t="shared" si="116"/>
        <v>:0</v>
      </c>
      <c r="W146" s="120" t="str">
        <f t="shared" si="117"/>
        <v>:</v>
      </c>
      <c r="X146" s="120" t="str">
        <f t="shared" si="119"/>
        <v>:0</v>
      </c>
      <c r="Y146" s="250">
        <f t="array" aca="1" ref="Y146:AJ146" ca="1">VLOOKUP($D146&amp;":"&amp;$C146,tblPayRates,{3,4,5,6,7,8,9,10,11,12,13,14},0)</f>
        <v>0</v>
      </c>
      <c r="Z146" s="16" t="str">
        <f ca="1"/>
        <v>Nobody</v>
      </c>
      <c r="AA146" s="261" t="str">
        <f ca="1"/>
        <v>M</v>
      </c>
      <c r="AB146" s="77" t="str">
        <f ca="1"/>
        <v>Daily</v>
      </c>
      <c r="AC146" s="77">
        <f ca="1"/>
        <v>0</v>
      </c>
      <c r="AD146" s="77">
        <f ca="1"/>
        <v>0</v>
      </c>
      <c r="AE146" s="77">
        <f ca="1"/>
        <v>0</v>
      </c>
      <c r="AF146" s="77">
        <f ca="1"/>
        <v>0</v>
      </c>
      <c r="AG146" s="261" t="str">
        <f ca="1"/>
        <v>N</v>
      </c>
      <c r="AH146" s="261">
        <f ca="1"/>
        <v>1</v>
      </c>
      <c r="AI146" s="261">
        <f ca="1"/>
        <v>1</v>
      </c>
      <c r="AJ146" s="262">
        <f ca="1"/>
        <v>0</v>
      </c>
    </row>
    <row r="147" spans="1:36" hidden="1" outlineLevel="1" x14ac:dyDescent="0.25">
      <c r="A147" s="120">
        <f t="shared" si="109"/>
        <v>0</v>
      </c>
      <c r="B147" s="231"/>
      <c r="C147" s="77"/>
      <c r="D147" s="238"/>
      <c r="E147" s="76">
        <f ca="1">SUMIF(payNonMonth,"="&amp;$X147,$E$362:OFFSET($E$362,ROWS(payNonMonth)-1,0))</f>
        <v>0</v>
      </c>
      <c r="F147" s="76"/>
      <c r="G147" s="77">
        <f t="shared" ca="1" si="110"/>
        <v>0</v>
      </c>
      <c r="H147" s="76">
        <f t="shared" ca="1" si="111"/>
        <v>0</v>
      </c>
      <c r="I147" s="76">
        <f t="shared" ca="1" si="112"/>
        <v>0</v>
      </c>
      <c r="J147" s="233">
        <f t="shared" ca="1" si="103"/>
        <v>0</v>
      </c>
      <c r="K147" s="76">
        <f t="shared" si="104"/>
        <v>0</v>
      </c>
      <c r="L147" s="76">
        <f t="shared" ca="1" si="105"/>
        <v>0</v>
      </c>
      <c r="M147" s="76">
        <f t="shared" ca="1" si="113"/>
        <v>0</v>
      </c>
      <c r="N147" s="76">
        <f t="shared" ca="1" si="106"/>
        <v>0</v>
      </c>
      <c r="O147" s="76">
        <f t="shared" ca="1" si="118"/>
        <v>0</v>
      </c>
      <c r="P147" s="76"/>
      <c r="Q147" s="76">
        <f t="shared" ca="1" si="114"/>
        <v>0</v>
      </c>
      <c r="R147" s="76">
        <f t="shared" ca="1" si="92"/>
        <v>0</v>
      </c>
      <c r="S147" s="76">
        <f t="shared" ca="1" si="115"/>
        <v>0</v>
      </c>
      <c r="T147" s="232">
        <f t="shared" ca="1" si="107"/>
        <v>0</v>
      </c>
      <c r="V147" s="120" t="str">
        <f t="shared" si="116"/>
        <v>:0</v>
      </c>
      <c r="W147" s="120" t="str">
        <f t="shared" si="117"/>
        <v>:</v>
      </c>
      <c r="X147" s="120" t="str">
        <f t="shared" si="119"/>
        <v>:0</v>
      </c>
      <c r="Y147" s="250">
        <f t="array" aca="1" ref="Y147:AJ147" ca="1">VLOOKUP($D147&amp;":"&amp;$C147,tblPayRates,{3,4,5,6,7,8,9,10,11,12,13,14},0)</f>
        <v>0</v>
      </c>
      <c r="Z147" s="16" t="str">
        <f ca="1"/>
        <v>Nobody</v>
      </c>
      <c r="AA147" s="261" t="str">
        <f ca="1"/>
        <v>M</v>
      </c>
      <c r="AB147" s="77" t="str">
        <f ca="1"/>
        <v>Daily</v>
      </c>
      <c r="AC147" s="77">
        <f ca="1"/>
        <v>0</v>
      </c>
      <c r="AD147" s="77">
        <f ca="1"/>
        <v>0</v>
      </c>
      <c r="AE147" s="77">
        <f ca="1"/>
        <v>0</v>
      </c>
      <c r="AF147" s="77">
        <f ca="1"/>
        <v>0</v>
      </c>
      <c r="AG147" s="261" t="str">
        <f ca="1"/>
        <v>N</v>
      </c>
      <c r="AH147" s="261">
        <f ca="1"/>
        <v>1</v>
      </c>
      <c r="AI147" s="261">
        <f ca="1"/>
        <v>1</v>
      </c>
      <c r="AJ147" s="262">
        <f ca="1"/>
        <v>0</v>
      </c>
    </row>
    <row r="148" spans="1:36" hidden="1" outlineLevel="1" x14ac:dyDescent="0.25">
      <c r="A148" s="120">
        <f t="shared" si="109"/>
        <v>0</v>
      </c>
      <c r="B148" s="231"/>
      <c r="C148" s="77"/>
      <c r="D148" s="238"/>
      <c r="E148" s="76">
        <f ca="1">SUMIF(payNonMonth,"="&amp;$X148,$E$362:OFFSET($E$362,ROWS(payNonMonth)-1,0))</f>
        <v>0</v>
      </c>
      <c r="F148" s="76"/>
      <c r="G148" s="77">
        <f t="shared" ca="1" si="110"/>
        <v>0</v>
      </c>
      <c r="H148" s="76">
        <f t="shared" ca="1" si="111"/>
        <v>0</v>
      </c>
      <c r="I148" s="76">
        <f t="shared" ca="1" si="112"/>
        <v>0</v>
      </c>
      <c r="J148" s="233">
        <f t="shared" ca="1" si="103"/>
        <v>0</v>
      </c>
      <c r="K148" s="76">
        <f t="shared" si="104"/>
        <v>0</v>
      </c>
      <c r="L148" s="76">
        <f t="shared" ca="1" si="105"/>
        <v>0</v>
      </c>
      <c r="M148" s="76">
        <f t="shared" ca="1" si="113"/>
        <v>0</v>
      </c>
      <c r="N148" s="76">
        <f t="shared" ca="1" si="106"/>
        <v>0</v>
      </c>
      <c r="O148" s="76">
        <f t="shared" ca="1" si="118"/>
        <v>0</v>
      </c>
      <c r="P148" s="76"/>
      <c r="Q148" s="76">
        <f t="shared" ca="1" si="114"/>
        <v>0</v>
      </c>
      <c r="R148" s="76">
        <f t="shared" ca="1" si="92"/>
        <v>0</v>
      </c>
      <c r="S148" s="76">
        <f t="shared" ca="1" si="115"/>
        <v>0</v>
      </c>
      <c r="T148" s="232">
        <f t="shared" ca="1" si="107"/>
        <v>0</v>
      </c>
      <c r="V148" s="120" t="str">
        <f t="shared" si="116"/>
        <v>:0</v>
      </c>
      <c r="W148" s="120" t="str">
        <f t="shared" si="117"/>
        <v>:</v>
      </c>
      <c r="X148" s="120" t="str">
        <f t="shared" si="119"/>
        <v>:0</v>
      </c>
      <c r="Y148" s="250">
        <f t="array" aca="1" ref="Y148:AJ148" ca="1">VLOOKUP($D148&amp;":"&amp;$C148,tblPayRates,{3,4,5,6,7,8,9,10,11,12,13,14},0)</f>
        <v>0</v>
      </c>
      <c r="Z148" s="16" t="str">
        <f ca="1"/>
        <v>Nobody</v>
      </c>
      <c r="AA148" s="261" t="str">
        <f ca="1"/>
        <v>M</v>
      </c>
      <c r="AB148" s="77" t="str">
        <f ca="1"/>
        <v>Daily</v>
      </c>
      <c r="AC148" s="77">
        <f ca="1"/>
        <v>0</v>
      </c>
      <c r="AD148" s="77">
        <f ca="1"/>
        <v>0</v>
      </c>
      <c r="AE148" s="77">
        <f ca="1"/>
        <v>0</v>
      </c>
      <c r="AF148" s="77">
        <f ca="1"/>
        <v>0</v>
      </c>
      <c r="AG148" s="261" t="str">
        <f ca="1"/>
        <v>N</v>
      </c>
      <c r="AH148" s="261">
        <f ca="1"/>
        <v>1</v>
      </c>
      <c r="AI148" s="261">
        <f ca="1"/>
        <v>1</v>
      </c>
      <c r="AJ148" s="262">
        <f ca="1"/>
        <v>0</v>
      </c>
    </row>
    <row r="149" spans="1:36" hidden="1" outlineLevel="1" x14ac:dyDescent="0.25">
      <c r="A149" s="120">
        <f t="shared" si="109"/>
        <v>0</v>
      </c>
      <c r="B149" s="231"/>
      <c r="C149" s="77"/>
      <c r="D149" s="238"/>
      <c r="E149" s="76">
        <f ca="1">SUMIF(payNonMonth,"="&amp;$X149,$E$362:OFFSET($E$362,ROWS(payNonMonth)-1,0))</f>
        <v>0</v>
      </c>
      <c r="F149" s="76"/>
      <c r="G149" s="77">
        <f t="shared" ca="1" si="110"/>
        <v>0</v>
      </c>
      <c r="H149" s="76">
        <f t="shared" ca="1" si="111"/>
        <v>0</v>
      </c>
      <c r="I149" s="76">
        <f t="shared" ca="1" si="112"/>
        <v>0</v>
      </c>
      <c r="J149" s="233">
        <f t="shared" ca="1" si="103"/>
        <v>0</v>
      </c>
      <c r="K149" s="76">
        <f t="shared" si="104"/>
        <v>0</v>
      </c>
      <c r="L149" s="76">
        <f t="shared" ca="1" si="105"/>
        <v>0</v>
      </c>
      <c r="M149" s="76">
        <f t="shared" ca="1" si="113"/>
        <v>0</v>
      </c>
      <c r="N149" s="76">
        <f t="shared" ca="1" si="106"/>
        <v>0</v>
      </c>
      <c r="O149" s="76">
        <f t="shared" ca="1" si="118"/>
        <v>0</v>
      </c>
      <c r="P149" s="76"/>
      <c r="Q149" s="76">
        <f t="shared" ca="1" si="114"/>
        <v>0</v>
      </c>
      <c r="R149" s="76">
        <f t="shared" ca="1" si="92"/>
        <v>0</v>
      </c>
      <c r="S149" s="76">
        <f t="shared" ca="1" si="115"/>
        <v>0</v>
      </c>
      <c r="T149" s="232">
        <f t="shared" ca="1" si="107"/>
        <v>0</v>
      </c>
      <c r="V149" s="120" t="str">
        <f t="shared" si="116"/>
        <v>:0</v>
      </c>
      <c r="W149" s="120" t="str">
        <f t="shared" si="117"/>
        <v>:</v>
      </c>
      <c r="X149" s="120" t="str">
        <f t="shared" si="119"/>
        <v>:0</v>
      </c>
      <c r="Y149" s="250">
        <f t="array" aca="1" ref="Y149:AJ149" ca="1">VLOOKUP($D149&amp;":"&amp;$C149,tblPayRates,{3,4,5,6,7,8,9,10,11,12,13,14},0)</f>
        <v>0</v>
      </c>
      <c r="Z149" s="16" t="str">
        <f ca="1"/>
        <v>Nobody</v>
      </c>
      <c r="AA149" s="261" t="str">
        <f ca="1"/>
        <v>M</v>
      </c>
      <c r="AB149" s="77" t="str">
        <f ca="1"/>
        <v>Daily</v>
      </c>
      <c r="AC149" s="77">
        <f ca="1"/>
        <v>0</v>
      </c>
      <c r="AD149" s="77">
        <f ca="1"/>
        <v>0</v>
      </c>
      <c r="AE149" s="77">
        <f ca="1"/>
        <v>0</v>
      </c>
      <c r="AF149" s="77">
        <f ca="1"/>
        <v>0</v>
      </c>
      <c r="AG149" s="261" t="str">
        <f ca="1"/>
        <v>N</v>
      </c>
      <c r="AH149" s="261">
        <f ca="1"/>
        <v>1</v>
      </c>
      <c r="AI149" s="261">
        <f ca="1"/>
        <v>1</v>
      </c>
      <c r="AJ149" s="262">
        <f ca="1"/>
        <v>0</v>
      </c>
    </row>
    <row r="150" spans="1:36" hidden="1" outlineLevel="1" x14ac:dyDescent="0.25">
      <c r="A150" s="120">
        <f t="shared" si="109"/>
        <v>0</v>
      </c>
      <c r="B150" s="231"/>
      <c r="C150" s="77"/>
      <c r="D150" s="238"/>
      <c r="E150" s="76">
        <f ca="1">SUMIF(payNonMonth,"="&amp;$X150,$E$362:OFFSET($E$362,ROWS(payNonMonth)-1,0))</f>
        <v>0</v>
      </c>
      <c r="F150" s="76"/>
      <c r="G150" s="77">
        <f t="shared" ca="1" si="110"/>
        <v>0</v>
      </c>
      <c r="H150" s="76">
        <f t="shared" ca="1" si="111"/>
        <v>0</v>
      </c>
      <c r="I150" s="76">
        <f t="shared" ca="1" si="112"/>
        <v>0</v>
      </c>
      <c r="J150" s="233">
        <f t="shared" ca="1" si="103"/>
        <v>0</v>
      </c>
      <c r="K150" s="76">
        <f t="shared" si="104"/>
        <v>0</v>
      </c>
      <c r="L150" s="76">
        <f t="shared" ca="1" si="105"/>
        <v>0</v>
      </c>
      <c r="M150" s="76">
        <f t="shared" ca="1" si="113"/>
        <v>0</v>
      </c>
      <c r="N150" s="76">
        <f t="shared" ca="1" si="106"/>
        <v>0</v>
      </c>
      <c r="O150" s="76">
        <f t="shared" ca="1" si="118"/>
        <v>0</v>
      </c>
      <c r="P150" s="76"/>
      <c r="Q150" s="76">
        <f t="shared" ca="1" si="114"/>
        <v>0</v>
      </c>
      <c r="R150" s="76">
        <f t="shared" ca="1" si="92"/>
        <v>0</v>
      </c>
      <c r="S150" s="76">
        <f t="shared" ca="1" si="115"/>
        <v>0</v>
      </c>
      <c r="T150" s="232">
        <f t="shared" ca="1" si="107"/>
        <v>0</v>
      </c>
      <c r="V150" s="120" t="str">
        <f t="shared" si="116"/>
        <v>:0</v>
      </c>
      <c r="W150" s="120" t="str">
        <f t="shared" si="117"/>
        <v>:</v>
      </c>
      <c r="X150" s="120" t="str">
        <f t="shared" si="119"/>
        <v>:0</v>
      </c>
      <c r="Y150" s="250">
        <f t="array" aca="1" ref="Y150:AJ150" ca="1">VLOOKUP($D150&amp;":"&amp;$C150,tblPayRates,{3,4,5,6,7,8,9,10,11,12,13,14},0)</f>
        <v>0</v>
      </c>
      <c r="Z150" s="16" t="str">
        <f ca="1"/>
        <v>Nobody</v>
      </c>
      <c r="AA150" s="261" t="str">
        <f ca="1"/>
        <v>M</v>
      </c>
      <c r="AB150" s="77" t="str">
        <f ca="1"/>
        <v>Daily</v>
      </c>
      <c r="AC150" s="77">
        <f ca="1"/>
        <v>0</v>
      </c>
      <c r="AD150" s="77">
        <f ca="1"/>
        <v>0</v>
      </c>
      <c r="AE150" s="77">
        <f ca="1"/>
        <v>0</v>
      </c>
      <c r="AF150" s="77">
        <f ca="1"/>
        <v>0</v>
      </c>
      <c r="AG150" s="261" t="str">
        <f ca="1"/>
        <v>N</v>
      </c>
      <c r="AH150" s="261">
        <f ca="1"/>
        <v>1</v>
      </c>
      <c r="AI150" s="261">
        <f ca="1"/>
        <v>1</v>
      </c>
      <c r="AJ150" s="262">
        <f ca="1"/>
        <v>0</v>
      </c>
    </row>
    <row r="151" spans="1:36" hidden="1" outlineLevel="1" x14ac:dyDescent="0.25">
      <c r="A151" s="120">
        <f t="shared" si="109"/>
        <v>0</v>
      </c>
      <c r="B151" s="231"/>
      <c r="C151" s="77"/>
      <c r="D151" s="238"/>
      <c r="E151" s="76"/>
      <c r="F151" s="76"/>
      <c r="G151" s="77"/>
      <c r="H151" s="76"/>
      <c r="I151" s="76"/>
      <c r="J151" s="233"/>
      <c r="K151" s="76"/>
      <c r="L151" s="76"/>
      <c r="M151" s="76"/>
      <c r="N151" s="76"/>
      <c r="O151" s="76"/>
      <c r="P151" s="76"/>
      <c r="Q151" s="76"/>
      <c r="R151" s="76"/>
      <c r="S151" s="76"/>
      <c r="T151" s="232"/>
      <c r="V151" s="120"/>
      <c r="W151" s="120"/>
      <c r="X151" s="120"/>
      <c r="Y151" s="250"/>
      <c r="Z151" s="16"/>
      <c r="AA151" s="261"/>
      <c r="AB151" s="77"/>
      <c r="AC151" s="77"/>
      <c r="AD151" s="77"/>
      <c r="AE151" s="77"/>
      <c r="AF151" s="77"/>
      <c r="AG151" s="261"/>
      <c r="AH151" s="261"/>
      <c r="AI151" s="261"/>
      <c r="AJ151" s="262"/>
    </row>
    <row r="152" spans="1:36" hidden="1" x14ac:dyDescent="0.25">
      <c r="F152"/>
      <c r="J152" s="2"/>
    </row>
    <row r="153" spans="1:36" ht="22.8" x14ac:dyDescent="0.4">
      <c r="A153" s="254"/>
      <c r="B153" s="255"/>
      <c r="C153" s="256" t="str">
        <f>EmpID</f>
        <v>VAK</v>
      </c>
      <c r="D153" s="255"/>
      <c r="E153" s="219"/>
      <c r="F153" s="145"/>
      <c r="G153" s="255"/>
      <c r="H153" s="219"/>
      <c r="I153" s="66"/>
      <c r="J153" s="221" t="s">
        <v>507</v>
      </c>
      <c r="K153" s="66"/>
      <c r="L153" s="66"/>
      <c r="M153" s="66"/>
      <c r="N153" s="66"/>
      <c r="O153" s="66"/>
      <c r="P153" s="66"/>
      <c r="Q153" s="66"/>
      <c r="R153" s="66"/>
      <c r="S153" s="66"/>
      <c r="T153" s="66"/>
      <c r="V153" s="66" t="s">
        <v>465</v>
      </c>
      <c r="Y153" s="224"/>
      <c r="Z153" s="224"/>
      <c r="AA153" s="224"/>
    </row>
    <row r="154" spans="1:36" s="224" customFormat="1" ht="13.8" thickBot="1" x14ac:dyDescent="0.3">
      <c r="A154" s="222"/>
      <c r="B154" s="156"/>
      <c r="C154" s="263" t="str">
        <f>EmpID</f>
        <v>VAK</v>
      </c>
      <c r="D154" s="156"/>
      <c r="E154" s="156"/>
      <c r="F154" s="380"/>
      <c r="G154" s="156"/>
      <c r="H154" s="156"/>
      <c r="I154" s="156"/>
      <c r="J154" s="156"/>
      <c r="K154" s="156"/>
      <c r="L154" s="156"/>
      <c r="M154" s="156"/>
      <c r="N154" s="156"/>
      <c r="O154" s="156"/>
      <c r="P154" s="156"/>
      <c r="Q154" s="156"/>
      <c r="R154" s="156"/>
      <c r="S154" s="156"/>
      <c r="T154" s="156" t="s">
        <v>460</v>
      </c>
      <c r="V154" s="222" t="s">
        <v>508</v>
      </c>
      <c r="Y154" s="22"/>
      <c r="Z154" s="22"/>
      <c r="AA154" s="22"/>
    </row>
    <row r="155" spans="1:36" s="22" customFormat="1" hidden="1" outlineLevel="1" x14ac:dyDescent="0.25">
      <c r="A155" s="120">
        <f t="shared" ref="A155:A186" si="120">GETPAYMONTH(B155)</f>
        <v>0</v>
      </c>
      <c r="B155" s="231"/>
      <c r="C155" s="231"/>
      <c r="D155" s="231"/>
      <c r="E155" s="231"/>
      <c r="F155" s="231"/>
      <c r="G155" s="231"/>
      <c r="H155" s="76"/>
      <c r="I155" s="232"/>
      <c r="J155" s="76">
        <f t="shared" ref="J155:J186" si="121">SUM(K155:T155)</f>
        <v>0</v>
      </c>
      <c r="K155" s="76">
        <f t="shared" ref="K155:K186" si="122">ROUND($H155/11*10,2)</f>
        <v>0</v>
      </c>
      <c r="L155" s="76"/>
      <c r="M155" s="76"/>
      <c r="N155" s="76"/>
      <c r="O155" s="76"/>
      <c r="P155" s="76"/>
      <c r="Q155" s="76"/>
      <c r="R155" s="76"/>
      <c r="S155" s="76"/>
      <c r="T155" s="76"/>
      <c r="V155" s="120">
        <f t="shared" ref="V155:V186" si="123">$C155</f>
        <v>0</v>
      </c>
      <c r="Y155" s="35"/>
      <c r="Z155" s="35"/>
      <c r="AA155" s="35"/>
    </row>
    <row r="156" spans="1:36" s="22" customFormat="1" hidden="1" outlineLevel="1" x14ac:dyDescent="0.25">
      <c r="A156" s="120">
        <f t="shared" si="120"/>
        <v>1</v>
      </c>
      <c r="B156" s="231">
        <v>43658</v>
      </c>
      <c r="C156" s="231" t="s">
        <v>669</v>
      </c>
      <c r="D156" s="231"/>
      <c r="E156" s="231"/>
      <c r="F156" s="231"/>
      <c r="G156" s="231"/>
      <c r="H156" s="76"/>
      <c r="I156" s="232"/>
      <c r="J156" s="76">
        <f t="shared" si="121"/>
        <v>2348.06</v>
      </c>
      <c r="K156" s="76">
        <f t="shared" si="122"/>
        <v>0</v>
      </c>
      <c r="L156" s="76"/>
      <c r="M156" s="76"/>
      <c r="N156" s="76"/>
      <c r="O156" s="76"/>
      <c r="P156" s="76"/>
      <c r="Q156" s="76"/>
      <c r="R156" s="76"/>
      <c r="S156" s="76">
        <v>2348.06</v>
      </c>
      <c r="T156" s="76"/>
      <c r="V156" s="120" t="str">
        <f t="shared" si="123"/>
        <v>DP</v>
      </c>
      <c r="Y156" s="35"/>
      <c r="Z156" s="35"/>
      <c r="AA156" s="35"/>
    </row>
    <row r="157" spans="1:36" s="22" customFormat="1" hidden="1" outlineLevel="1" x14ac:dyDescent="0.25">
      <c r="A157" s="120">
        <f t="shared" si="120"/>
        <v>1</v>
      </c>
      <c r="B157" s="231">
        <v>43658</v>
      </c>
      <c r="C157" s="231" t="s">
        <v>678</v>
      </c>
      <c r="D157" s="231"/>
      <c r="E157" s="231"/>
      <c r="F157" s="231"/>
      <c r="G157" s="231"/>
      <c r="H157" s="76"/>
      <c r="I157" s="232"/>
      <c r="J157" s="76">
        <f t="shared" si="121"/>
        <v>2348.06</v>
      </c>
      <c r="K157" s="76">
        <f t="shared" si="122"/>
        <v>0</v>
      </c>
      <c r="L157" s="76"/>
      <c r="M157" s="76"/>
      <c r="N157" s="76"/>
      <c r="O157" s="76"/>
      <c r="P157" s="76"/>
      <c r="Q157" s="76"/>
      <c r="R157" s="76"/>
      <c r="S157" s="76">
        <v>2348.06</v>
      </c>
      <c r="T157" s="76"/>
      <c r="V157" s="120" t="str">
        <f t="shared" si="123"/>
        <v>ANK</v>
      </c>
      <c r="Y157" s="35"/>
      <c r="Z157" s="35"/>
      <c r="AA157" s="35"/>
    </row>
    <row r="158" spans="1:36" s="22" customFormat="1" hidden="1" outlineLevel="1" x14ac:dyDescent="0.25">
      <c r="A158" s="120">
        <f t="shared" si="120"/>
        <v>1</v>
      </c>
      <c r="B158" s="231">
        <v>43659</v>
      </c>
      <c r="C158" s="231" t="s">
        <v>57</v>
      </c>
      <c r="D158" s="231"/>
      <c r="E158" s="231"/>
      <c r="F158" s="231"/>
      <c r="G158" s="231"/>
      <c r="H158" s="76"/>
      <c r="I158" s="232"/>
      <c r="J158" s="76">
        <f t="shared" si="121"/>
        <v>8176.46</v>
      </c>
      <c r="K158" s="76">
        <f t="shared" si="122"/>
        <v>0</v>
      </c>
      <c r="L158" s="76"/>
      <c r="M158" s="76"/>
      <c r="N158" s="76"/>
      <c r="O158" s="76"/>
      <c r="P158" s="76"/>
      <c r="Q158" s="76"/>
      <c r="R158" s="76"/>
      <c r="S158" s="76">
        <v>5182.46</v>
      </c>
      <c r="T158" s="76">
        <v>2994</v>
      </c>
      <c r="V158" s="120" t="str">
        <f t="shared" si="123"/>
        <v>CRP</v>
      </c>
      <c r="Y158" s="35"/>
      <c r="Z158" s="35"/>
      <c r="AA158" s="35"/>
    </row>
    <row r="159" spans="1:36" s="22" customFormat="1" hidden="1" outlineLevel="1" x14ac:dyDescent="0.25">
      <c r="A159" s="120">
        <f t="shared" si="120"/>
        <v>1</v>
      </c>
      <c r="B159" s="231">
        <v>43659</v>
      </c>
      <c r="C159" s="231" t="s">
        <v>58</v>
      </c>
      <c r="D159" s="231"/>
      <c r="E159" s="231"/>
      <c r="F159" s="231"/>
      <c r="G159" s="231"/>
      <c r="H159" s="76"/>
      <c r="I159" s="232"/>
      <c r="J159" s="76">
        <f t="shared" si="121"/>
        <v>7237.1</v>
      </c>
      <c r="K159" s="76">
        <f t="shared" si="122"/>
        <v>0</v>
      </c>
      <c r="L159" s="76"/>
      <c r="M159" s="76"/>
      <c r="N159" s="76"/>
      <c r="O159" s="76"/>
      <c r="P159" s="76"/>
      <c r="Q159" s="76"/>
      <c r="R159" s="76"/>
      <c r="S159" s="76">
        <v>6188.1</v>
      </c>
      <c r="T159" s="76">
        <v>1049</v>
      </c>
      <c r="V159" s="120" t="str">
        <f t="shared" si="123"/>
        <v>SM</v>
      </c>
      <c r="Y159" s="35"/>
      <c r="Z159" s="35"/>
      <c r="AA159" s="35"/>
    </row>
    <row r="160" spans="1:36" s="22" customFormat="1" outlineLevel="1" x14ac:dyDescent="0.25">
      <c r="A160" s="120">
        <f t="shared" si="120"/>
        <v>1</v>
      </c>
      <c r="B160" s="231">
        <v>43659</v>
      </c>
      <c r="C160" s="231" t="s">
        <v>657</v>
      </c>
      <c r="D160" s="231"/>
      <c r="E160" s="231"/>
      <c r="F160" s="231"/>
      <c r="G160" s="231"/>
      <c r="H160" s="76"/>
      <c r="I160" s="232"/>
      <c r="J160" s="76">
        <f t="shared" si="121"/>
        <v>7141.1900000000005</v>
      </c>
      <c r="K160" s="76">
        <f t="shared" si="122"/>
        <v>0</v>
      </c>
      <c r="L160" s="76"/>
      <c r="M160" s="76"/>
      <c r="N160" s="76"/>
      <c r="O160" s="76"/>
      <c r="P160" s="76"/>
      <c r="Q160" s="76"/>
      <c r="R160" s="76"/>
      <c r="S160" s="76">
        <v>6904.39</v>
      </c>
      <c r="T160" s="76">
        <v>236.8</v>
      </c>
      <c r="V160" s="120" t="str">
        <f t="shared" si="123"/>
        <v>VAK</v>
      </c>
      <c r="Y160" s="35"/>
      <c r="Z160" s="35"/>
      <c r="AA160" s="35"/>
    </row>
    <row r="161" spans="1:27" s="22" customFormat="1" hidden="1" outlineLevel="1" x14ac:dyDescent="0.25">
      <c r="A161" s="120">
        <f t="shared" si="120"/>
        <v>1</v>
      </c>
      <c r="B161" s="231">
        <v>43659</v>
      </c>
      <c r="C161" s="231" t="s">
        <v>658</v>
      </c>
      <c r="D161" s="231"/>
      <c r="E161" s="231"/>
      <c r="F161" s="231"/>
      <c r="G161" s="231"/>
      <c r="H161" s="76"/>
      <c r="I161" s="232"/>
      <c r="J161" s="76">
        <f t="shared" si="121"/>
        <v>4626.0200000000004</v>
      </c>
      <c r="K161" s="76">
        <f t="shared" si="122"/>
        <v>0</v>
      </c>
      <c r="L161" s="76"/>
      <c r="M161" s="76"/>
      <c r="N161" s="76"/>
      <c r="O161" s="76"/>
      <c r="P161" s="76"/>
      <c r="Q161" s="76"/>
      <c r="R161" s="76"/>
      <c r="S161" s="76">
        <v>4569.0200000000004</v>
      </c>
      <c r="T161" s="76">
        <v>57</v>
      </c>
      <c r="V161" s="120" t="str">
        <f t="shared" si="123"/>
        <v>ASW</v>
      </c>
      <c r="Y161" s="35"/>
      <c r="Z161" s="35"/>
      <c r="AA161" s="35"/>
    </row>
    <row r="162" spans="1:27" s="22" customFormat="1" hidden="1" outlineLevel="1" x14ac:dyDescent="0.25">
      <c r="A162" s="120">
        <f t="shared" si="120"/>
        <v>1</v>
      </c>
      <c r="B162" s="231">
        <v>43659</v>
      </c>
      <c r="C162" s="231" t="s">
        <v>622</v>
      </c>
      <c r="D162" s="231"/>
      <c r="E162" s="231"/>
      <c r="F162" s="231"/>
      <c r="G162" s="231"/>
      <c r="H162" s="76"/>
      <c r="I162" s="232"/>
      <c r="J162" s="76">
        <f t="shared" si="121"/>
        <v>7179.2</v>
      </c>
      <c r="K162" s="76">
        <f t="shared" si="122"/>
        <v>0</v>
      </c>
      <c r="L162" s="76"/>
      <c r="M162" s="76"/>
      <c r="N162" s="76"/>
      <c r="O162" s="76"/>
      <c r="P162" s="76"/>
      <c r="Q162" s="76"/>
      <c r="R162" s="76"/>
      <c r="S162" s="76">
        <v>7000.3</v>
      </c>
      <c r="T162" s="76">
        <v>178.9</v>
      </c>
      <c r="V162" s="120" t="str">
        <f t="shared" si="123"/>
        <v>GEO</v>
      </c>
      <c r="Y162" s="35"/>
      <c r="Z162" s="35"/>
      <c r="AA162" s="35"/>
    </row>
    <row r="163" spans="1:27" s="22" customFormat="1" hidden="1" outlineLevel="1" x14ac:dyDescent="0.25">
      <c r="A163" s="120">
        <f t="shared" si="120"/>
        <v>1</v>
      </c>
      <c r="B163" s="231">
        <v>43672</v>
      </c>
      <c r="C163" s="231" t="s">
        <v>669</v>
      </c>
      <c r="D163" s="231"/>
      <c r="E163" s="231"/>
      <c r="F163" s="231"/>
      <c r="G163" s="231"/>
      <c r="H163" s="76"/>
      <c r="I163" s="232"/>
      <c r="J163" s="76">
        <f t="shared" si="121"/>
        <v>3544.59</v>
      </c>
      <c r="K163" s="76">
        <f t="shared" si="122"/>
        <v>0</v>
      </c>
      <c r="L163" s="76"/>
      <c r="M163" s="76"/>
      <c r="N163" s="76"/>
      <c r="O163" s="76"/>
      <c r="P163" s="76"/>
      <c r="Q163" s="76"/>
      <c r="R163" s="76"/>
      <c r="S163" s="76">
        <v>3544.59</v>
      </c>
      <c r="T163" s="76"/>
      <c r="V163" s="120" t="str">
        <f t="shared" si="123"/>
        <v>DP</v>
      </c>
      <c r="Y163" s="35"/>
      <c r="Z163" s="35"/>
      <c r="AA163" s="35"/>
    </row>
    <row r="164" spans="1:27" s="22" customFormat="1" hidden="1" outlineLevel="1" x14ac:dyDescent="0.25">
      <c r="A164" s="120">
        <f t="shared" si="120"/>
        <v>1</v>
      </c>
      <c r="B164" s="231">
        <v>43672</v>
      </c>
      <c r="C164" s="231" t="s">
        <v>678</v>
      </c>
      <c r="D164" s="231"/>
      <c r="E164" s="231"/>
      <c r="F164" s="231"/>
      <c r="G164" s="231"/>
      <c r="H164" s="76"/>
      <c r="I164" s="232"/>
      <c r="J164" s="76">
        <f t="shared" si="121"/>
        <v>3544.59</v>
      </c>
      <c r="K164" s="76">
        <f t="shared" si="122"/>
        <v>0</v>
      </c>
      <c r="L164" s="76"/>
      <c r="M164" s="76"/>
      <c r="N164" s="76"/>
      <c r="O164" s="76"/>
      <c r="P164" s="76"/>
      <c r="Q164" s="76"/>
      <c r="R164" s="76"/>
      <c r="S164" s="76">
        <v>3544.59</v>
      </c>
      <c r="T164" s="76"/>
      <c r="V164" s="120" t="str">
        <f t="shared" si="123"/>
        <v>ANK</v>
      </c>
      <c r="Y164" s="35"/>
      <c r="Z164" s="35"/>
      <c r="AA164" s="35"/>
    </row>
    <row r="165" spans="1:27" s="22" customFormat="1" hidden="1" outlineLevel="1" x14ac:dyDescent="0.25">
      <c r="A165" s="120">
        <f>GETPAYMONTH(B165)</f>
        <v>2</v>
      </c>
      <c r="B165" s="231">
        <v>43686</v>
      </c>
      <c r="C165" s="231" t="s">
        <v>669</v>
      </c>
      <c r="D165" s="231"/>
      <c r="E165" s="231"/>
      <c r="F165" s="231"/>
      <c r="G165" s="231"/>
      <c r="H165" s="76"/>
      <c r="I165" s="232"/>
      <c r="J165" s="76">
        <f>SUM(K165:T165)</f>
        <v>3785.72</v>
      </c>
      <c r="K165" s="76">
        <f>ROUND($H165/11*10,2)</f>
        <v>0</v>
      </c>
      <c r="L165" s="76"/>
      <c r="M165" s="76"/>
      <c r="N165" s="76"/>
      <c r="O165" s="76"/>
      <c r="P165" s="76"/>
      <c r="Q165" s="76"/>
      <c r="R165" s="76"/>
      <c r="S165" s="76">
        <v>3116.72</v>
      </c>
      <c r="T165" s="76">
        <v>669</v>
      </c>
      <c r="V165" s="120" t="str">
        <f>$C165</f>
        <v>DP</v>
      </c>
      <c r="Y165" s="35"/>
      <c r="Z165" s="35"/>
      <c r="AA165" s="35"/>
    </row>
    <row r="166" spans="1:27" s="22" customFormat="1" hidden="1" outlineLevel="1" x14ac:dyDescent="0.25">
      <c r="A166" s="120">
        <f t="shared" si="120"/>
        <v>2</v>
      </c>
      <c r="B166" s="231">
        <v>43686</v>
      </c>
      <c r="C166" s="231" t="s">
        <v>678</v>
      </c>
      <c r="D166" s="231"/>
      <c r="E166" s="231"/>
      <c r="F166" s="231"/>
      <c r="G166" s="231"/>
      <c r="H166" s="76"/>
      <c r="I166" s="232"/>
      <c r="J166" s="76">
        <f t="shared" si="121"/>
        <v>3791.59</v>
      </c>
      <c r="K166" s="76">
        <f t="shared" si="122"/>
        <v>0</v>
      </c>
      <c r="L166" s="76"/>
      <c r="M166" s="76"/>
      <c r="N166" s="76"/>
      <c r="O166" s="76"/>
      <c r="P166" s="76"/>
      <c r="Q166" s="76"/>
      <c r="R166" s="76"/>
      <c r="S166" s="76">
        <v>3111.59</v>
      </c>
      <c r="T166" s="76">
        <v>680</v>
      </c>
      <c r="V166" s="120" t="str">
        <f t="shared" si="123"/>
        <v>ANK</v>
      </c>
      <c r="Y166" s="35"/>
      <c r="Z166" s="35"/>
      <c r="AA166" s="35"/>
    </row>
    <row r="167" spans="1:27" s="22" customFormat="1" hidden="1" outlineLevel="1" x14ac:dyDescent="0.25">
      <c r="A167" s="120">
        <f t="shared" si="120"/>
        <v>2</v>
      </c>
      <c r="B167" s="231">
        <v>43691</v>
      </c>
      <c r="C167" s="231" t="s">
        <v>57</v>
      </c>
      <c r="D167" s="231"/>
      <c r="E167" s="231"/>
      <c r="F167" s="231"/>
      <c r="G167" s="231"/>
      <c r="H167" s="76"/>
      <c r="I167" s="232"/>
      <c r="J167" s="76">
        <f t="shared" si="121"/>
        <v>9647.3799999999992</v>
      </c>
      <c r="K167" s="76">
        <f t="shared" si="122"/>
        <v>0</v>
      </c>
      <c r="L167" s="76"/>
      <c r="M167" s="76"/>
      <c r="N167" s="76"/>
      <c r="O167" s="76"/>
      <c r="P167" s="76"/>
      <c r="Q167" s="76"/>
      <c r="R167" s="76"/>
      <c r="S167" s="76">
        <v>8642.3799999999992</v>
      </c>
      <c r="T167" s="76">
        <v>1005</v>
      </c>
      <c r="V167" s="120" t="str">
        <f t="shared" si="123"/>
        <v>CRP</v>
      </c>
      <c r="Y167" s="35"/>
      <c r="Z167" s="35"/>
      <c r="AA167" s="35"/>
    </row>
    <row r="168" spans="1:27" s="22" customFormat="1" hidden="1" outlineLevel="1" x14ac:dyDescent="0.25">
      <c r="A168" s="120">
        <f t="shared" si="120"/>
        <v>2</v>
      </c>
      <c r="B168" s="231">
        <v>43691</v>
      </c>
      <c r="C168" s="231" t="s">
        <v>58</v>
      </c>
      <c r="D168" s="231"/>
      <c r="E168" s="231"/>
      <c r="F168" s="231"/>
      <c r="G168" s="231"/>
      <c r="H168" s="76"/>
      <c r="I168" s="232"/>
      <c r="J168" s="76">
        <f t="shared" si="121"/>
        <v>7902.88</v>
      </c>
      <c r="K168" s="76">
        <f t="shared" si="122"/>
        <v>0</v>
      </c>
      <c r="L168" s="76"/>
      <c r="M168" s="76"/>
      <c r="N168" s="76"/>
      <c r="O168" s="76"/>
      <c r="P168" s="76"/>
      <c r="Q168" s="76"/>
      <c r="R168" s="76"/>
      <c r="S168" s="76">
        <v>6874.88</v>
      </c>
      <c r="T168" s="76">
        <v>1028</v>
      </c>
      <c r="V168" s="120" t="str">
        <f t="shared" si="123"/>
        <v>SM</v>
      </c>
      <c r="Y168" s="35"/>
      <c r="Z168" s="35"/>
      <c r="AA168" s="35"/>
    </row>
    <row r="169" spans="1:27" s="22" customFormat="1" outlineLevel="1" x14ac:dyDescent="0.25">
      <c r="A169" s="120">
        <f t="shared" si="120"/>
        <v>2</v>
      </c>
      <c r="B169" s="231">
        <v>43691</v>
      </c>
      <c r="C169" s="231" t="s">
        <v>657</v>
      </c>
      <c r="D169" s="231"/>
      <c r="E169" s="231"/>
      <c r="F169" s="231"/>
      <c r="G169" s="231"/>
      <c r="H169" s="76"/>
      <c r="I169" s="232"/>
      <c r="J169" s="76">
        <f t="shared" si="121"/>
        <v>6940.02</v>
      </c>
      <c r="K169" s="76">
        <f t="shared" si="122"/>
        <v>0</v>
      </c>
      <c r="L169" s="76"/>
      <c r="M169" s="76"/>
      <c r="N169" s="76"/>
      <c r="O169" s="76"/>
      <c r="P169" s="76"/>
      <c r="Q169" s="76"/>
      <c r="R169" s="76"/>
      <c r="S169" s="76">
        <v>6813.92</v>
      </c>
      <c r="T169" s="76">
        <v>126.1</v>
      </c>
      <c r="V169" s="120" t="str">
        <f t="shared" si="123"/>
        <v>VAK</v>
      </c>
      <c r="Y169" s="35"/>
      <c r="Z169" s="35"/>
      <c r="AA169" s="35"/>
    </row>
    <row r="170" spans="1:27" s="22" customFormat="1" hidden="1" outlineLevel="1" x14ac:dyDescent="0.25">
      <c r="A170" s="120">
        <f t="shared" si="120"/>
        <v>2</v>
      </c>
      <c r="B170" s="231">
        <v>43691</v>
      </c>
      <c r="C170" s="231" t="s">
        <v>658</v>
      </c>
      <c r="D170" s="231"/>
      <c r="E170" s="231"/>
      <c r="F170" s="231"/>
      <c r="G170" s="231"/>
      <c r="H170" s="76"/>
      <c r="I170" s="232"/>
      <c r="J170" s="76">
        <f t="shared" si="121"/>
        <v>4617.4500000000007</v>
      </c>
      <c r="K170" s="76">
        <f t="shared" si="122"/>
        <v>0</v>
      </c>
      <c r="L170" s="76"/>
      <c r="M170" s="76"/>
      <c r="N170" s="76"/>
      <c r="O170" s="76"/>
      <c r="P170" s="76"/>
      <c r="Q170" s="76"/>
      <c r="R170" s="76"/>
      <c r="S170" s="76">
        <v>4555.8500000000004</v>
      </c>
      <c r="T170" s="76">
        <v>61.6</v>
      </c>
      <c r="V170" s="120" t="str">
        <f t="shared" si="123"/>
        <v>ASW</v>
      </c>
      <c r="Y170" s="35"/>
      <c r="Z170" s="35"/>
      <c r="AA170" s="35"/>
    </row>
    <row r="171" spans="1:27" s="22" customFormat="1" hidden="1" outlineLevel="1" x14ac:dyDescent="0.25">
      <c r="A171" s="120">
        <f t="shared" si="120"/>
        <v>2</v>
      </c>
      <c r="B171" s="231">
        <v>43691</v>
      </c>
      <c r="C171" s="231" t="s">
        <v>622</v>
      </c>
      <c r="D171" s="231"/>
      <c r="E171" s="231"/>
      <c r="F171" s="231"/>
      <c r="G171" s="231"/>
      <c r="H171" s="76"/>
      <c r="I171" s="232"/>
      <c r="J171" s="76">
        <f t="shared" si="121"/>
        <v>8280.9</v>
      </c>
      <c r="K171" s="76">
        <f t="shared" si="122"/>
        <v>0</v>
      </c>
      <c r="L171" s="76"/>
      <c r="M171" s="76"/>
      <c r="N171" s="76"/>
      <c r="O171" s="76"/>
      <c r="P171" s="76"/>
      <c r="Q171" s="76"/>
      <c r="R171" s="76"/>
      <c r="S171" s="76">
        <v>8102</v>
      </c>
      <c r="T171" s="76">
        <v>178.9</v>
      </c>
      <c r="V171" s="120" t="str">
        <f t="shared" si="123"/>
        <v>GEO</v>
      </c>
      <c r="Y171" s="35"/>
      <c r="Z171" s="35"/>
      <c r="AA171" s="35"/>
    </row>
    <row r="172" spans="1:27" s="22" customFormat="1" hidden="1" outlineLevel="1" x14ac:dyDescent="0.25">
      <c r="A172" s="120">
        <f t="shared" si="120"/>
        <v>2</v>
      </c>
      <c r="B172" s="231">
        <v>43700</v>
      </c>
      <c r="C172" s="231" t="s">
        <v>669</v>
      </c>
      <c r="D172" s="231"/>
      <c r="E172" s="231"/>
      <c r="F172" s="231"/>
      <c r="G172" s="231"/>
      <c r="H172" s="76"/>
      <c r="I172" s="232"/>
      <c r="J172" s="76">
        <f t="shared" si="121"/>
        <v>3048.32</v>
      </c>
      <c r="K172" s="76">
        <f t="shared" si="122"/>
        <v>0</v>
      </c>
      <c r="L172" s="76"/>
      <c r="M172" s="76"/>
      <c r="N172" s="76"/>
      <c r="O172" s="76"/>
      <c r="P172" s="76"/>
      <c r="Q172" s="76"/>
      <c r="R172" s="76"/>
      <c r="S172" s="76">
        <v>3048.32</v>
      </c>
      <c r="T172" s="76"/>
      <c r="V172" s="120" t="str">
        <f t="shared" si="123"/>
        <v>DP</v>
      </c>
      <c r="Y172" s="35"/>
      <c r="Z172" s="35"/>
      <c r="AA172" s="35"/>
    </row>
    <row r="173" spans="1:27" s="22" customFormat="1" hidden="1" outlineLevel="1" x14ac:dyDescent="0.25">
      <c r="A173" s="120">
        <f t="shared" si="120"/>
        <v>2</v>
      </c>
      <c r="B173" s="231">
        <v>43700</v>
      </c>
      <c r="C173" s="231" t="s">
        <v>678</v>
      </c>
      <c r="D173" s="231"/>
      <c r="E173" s="231"/>
      <c r="F173" s="231"/>
      <c r="G173" s="231"/>
      <c r="H173" s="76"/>
      <c r="I173" s="232"/>
      <c r="J173" s="76">
        <f t="shared" si="121"/>
        <v>3046.41</v>
      </c>
      <c r="K173" s="76">
        <f t="shared" si="122"/>
        <v>0</v>
      </c>
      <c r="L173" s="76"/>
      <c r="M173" s="76"/>
      <c r="N173" s="76"/>
      <c r="O173" s="76"/>
      <c r="P173" s="76"/>
      <c r="Q173" s="76"/>
      <c r="R173" s="76"/>
      <c r="S173" s="76">
        <v>3046.41</v>
      </c>
      <c r="T173" s="76"/>
      <c r="V173" s="120" t="str">
        <f t="shared" si="123"/>
        <v>ANK</v>
      </c>
      <c r="Y173" s="35"/>
      <c r="Z173" s="35"/>
      <c r="AA173" s="35"/>
    </row>
    <row r="174" spans="1:27" s="22" customFormat="1" hidden="1" outlineLevel="1" x14ac:dyDescent="0.25">
      <c r="A174" s="120">
        <f t="shared" si="120"/>
        <v>3</v>
      </c>
      <c r="B174" s="231">
        <v>43713</v>
      </c>
      <c r="C174" s="231" t="s">
        <v>669</v>
      </c>
      <c r="D174" s="231"/>
      <c r="E174" s="231"/>
      <c r="F174" s="231"/>
      <c r="G174" s="231"/>
      <c r="H174" s="76"/>
      <c r="I174" s="232"/>
      <c r="J174" s="76">
        <f t="shared" si="121"/>
        <v>3948.24</v>
      </c>
      <c r="K174" s="76">
        <f t="shared" si="122"/>
        <v>0</v>
      </c>
      <c r="L174" s="76"/>
      <c r="M174" s="76"/>
      <c r="N174" s="76"/>
      <c r="O174" s="76"/>
      <c r="P174" s="76"/>
      <c r="Q174" s="76"/>
      <c r="R174" s="76"/>
      <c r="S174" s="76">
        <v>3373.24</v>
      </c>
      <c r="T174" s="76">
        <v>575</v>
      </c>
      <c r="V174" s="120" t="str">
        <f t="shared" si="123"/>
        <v>DP</v>
      </c>
      <c r="Y174" s="35"/>
      <c r="Z174" s="35"/>
      <c r="AA174" s="35"/>
    </row>
    <row r="175" spans="1:27" s="22" customFormat="1" hidden="1" outlineLevel="1" x14ac:dyDescent="0.25">
      <c r="A175" s="120">
        <f t="shared" si="120"/>
        <v>3</v>
      </c>
      <c r="B175" s="231">
        <v>43713</v>
      </c>
      <c r="C175" s="231" t="s">
        <v>678</v>
      </c>
      <c r="D175" s="231"/>
      <c r="E175" s="231"/>
      <c r="F175" s="231"/>
      <c r="G175" s="231"/>
      <c r="H175" s="76"/>
      <c r="I175" s="232"/>
      <c r="J175" s="76">
        <f t="shared" si="121"/>
        <v>3935.9700000000003</v>
      </c>
      <c r="K175" s="76">
        <f t="shared" si="122"/>
        <v>0</v>
      </c>
      <c r="L175" s="76"/>
      <c r="M175" s="76"/>
      <c r="N175" s="76"/>
      <c r="O175" s="76"/>
      <c r="P175" s="76"/>
      <c r="Q175" s="76"/>
      <c r="R175" s="76"/>
      <c r="S175" s="76">
        <v>3384.9700000000003</v>
      </c>
      <c r="T175" s="76">
        <v>551</v>
      </c>
      <c r="V175" s="120" t="str">
        <f t="shared" si="123"/>
        <v>ANK</v>
      </c>
      <c r="Y175" s="35"/>
      <c r="Z175" s="35"/>
      <c r="AA175" s="35"/>
    </row>
    <row r="176" spans="1:27" s="22" customFormat="1" hidden="1" outlineLevel="1" x14ac:dyDescent="0.25">
      <c r="A176" s="120">
        <f t="shared" si="120"/>
        <v>0</v>
      </c>
      <c r="B176" s="231"/>
      <c r="C176" s="231"/>
      <c r="D176" s="231"/>
      <c r="E176" s="231"/>
      <c r="F176" s="231"/>
      <c r="G176" s="231"/>
      <c r="H176" s="76"/>
      <c r="I176" s="232"/>
      <c r="J176" s="76">
        <f t="shared" si="121"/>
        <v>0</v>
      </c>
      <c r="K176" s="76">
        <f t="shared" si="122"/>
        <v>0</v>
      </c>
      <c r="L176" s="76"/>
      <c r="M176" s="76"/>
      <c r="N176" s="76"/>
      <c r="O176" s="76"/>
      <c r="P176" s="76"/>
      <c r="Q176" s="76"/>
      <c r="R176" s="76"/>
      <c r="S176" s="76"/>
      <c r="T176" s="76"/>
      <c r="V176" s="120">
        <f t="shared" si="123"/>
        <v>0</v>
      </c>
      <c r="Y176" s="35"/>
      <c r="Z176" s="35"/>
      <c r="AA176" s="35"/>
    </row>
    <row r="177" spans="1:27" s="22" customFormat="1" hidden="1" outlineLevel="1" x14ac:dyDescent="0.25">
      <c r="A177" s="120">
        <f t="shared" si="120"/>
        <v>0</v>
      </c>
      <c r="B177" s="231"/>
      <c r="C177" s="231"/>
      <c r="D177" s="231"/>
      <c r="E177" s="231"/>
      <c r="F177" s="231"/>
      <c r="G177" s="231"/>
      <c r="H177" s="76"/>
      <c r="I177" s="232"/>
      <c r="J177" s="76">
        <f t="shared" si="121"/>
        <v>0</v>
      </c>
      <c r="K177" s="76">
        <f t="shared" si="122"/>
        <v>0</v>
      </c>
      <c r="L177" s="76"/>
      <c r="M177" s="76"/>
      <c r="N177" s="76"/>
      <c r="O177" s="76"/>
      <c r="P177" s="76"/>
      <c r="Q177" s="76"/>
      <c r="R177" s="76"/>
      <c r="S177" s="76"/>
      <c r="T177" s="76"/>
      <c r="V177" s="120">
        <f t="shared" si="123"/>
        <v>0</v>
      </c>
      <c r="Y177" s="35"/>
      <c r="Z177" s="35"/>
      <c r="AA177" s="35"/>
    </row>
    <row r="178" spans="1:27" s="22" customFormat="1" hidden="1" outlineLevel="1" x14ac:dyDescent="0.25">
      <c r="A178" s="120">
        <f t="shared" si="120"/>
        <v>0</v>
      </c>
      <c r="B178" s="231"/>
      <c r="C178" s="231"/>
      <c r="D178" s="231"/>
      <c r="E178" s="231"/>
      <c r="F178" s="231"/>
      <c r="G178" s="231"/>
      <c r="H178" s="76"/>
      <c r="I178" s="232"/>
      <c r="J178" s="76">
        <f t="shared" si="121"/>
        <v>0</v>
      </c>
      <c r="K178" s="76">
        <f t="shared" si="122"/>
        <v>0</v>
      </c>
      <c r="L178" s="76"/>
      <c r="M178" s="76"/>
      <c r="N178" s="76"/>
      <c r="O178" s="76"/>
      <c r="P178" s="76"/>
      <c r="Q178" s="76"/>
      <c r="R178" s="76"/>
      <c r="S178" s="76"/>
      <c r="T178" s="76"/>
      <c r="V178" s="120">
        <f t="shared" si="123"/>
        <v>0</v>
      </c>
      <c r="Y178" s="35"/>
      <c r="Z178" s="35"/>
      <c r="AA178" s="35"/>
    </row>
    <row r="179" spans="1:27" s="22" customFormat="1" hidden="1" outlineLevel="1" x14ac:dyDescent="0.25">
      <c r="A179" s="120">
        <f t="shared" si="120"/>
        <v>0</v>
      </c>
      <c r="B179" s="231"/>
      <c r="C179" s="231"/>
      <c r="D179" s="231"/>
      <c r="E179" s="231"/>
      <c r="F179" s="231"/>
      <c r="G179" s="231"/>
      <c r="H179" s="76"/>
      <c r="I179" s="232"/>
      <c r="J179" s="76">
        <f t="shared" si="121"/>
        <v>0</v>
      </c>
      <c r="K179" s="76">
        <f t="shared" si="122"/>
        <v>0</v>
      </c>
      <c r="L179" s="76"/>
      <c r="M179" s="76"/>
      <c r="N179" s="76"/>
      <c r="O179" s="76"/>
      <c r="P179" s="76"/>
      <c r="Q179" s="76"/>
      <c r="R179" s="76"/>
      <c r="S179" s="76"/>
      <c r="T179" s="76"/>
      <c r="V179" s="120">
        <f t="shared" si="123"/>
        <v>0</v>
      </c>
      <c r="Y179" s="35"/>
      <c r="Z179" s="35"/>
      <c r="AA179" s="35"/>
    </row>
    <row r="180" spans="1:27" s="22" customFormat="1" hidden="1" outlineLevel="1" x14ac:dyDescent="0.25">
      <c r="A180" s="120">
        <f t="shared" si="120"/>
        <v>0</v>
      </c>
      <c r="B180" s="231"/>
      <c r="C180" s="231"/>
      <c r="D180" s="231"/>
      <c r="E180" s="231"/>
      <c r="F180" s="336"/>
      <c r="G180" s="231"/>
      <c r="H180" s="76"/>
      <c r="I180" s="232"/>
      <c r="J180" s="76">
        <f t="shared" si="121"/>
        <v>0</v>
      </c>
      <c r="K180" s="76">
        <f t="shared" si="122"/>
        <v>0</v>
      </c>
      <c r="L180" s="76"/>
      <c r="M180" s="76"/>
      <c r="N180" s="76"/>
      <c r="O180" s="76"/>
      <c r="P180" s="76"/>
      <c r="Q180" s="76"/>
      <c r="R180" s="76"/>
      <c r="S180" s="76"/>
      <c r="T180" s="76"/>
      <c r="V180" s="120">
        <f t="shared" si="123"/>
        <v>0</v>
      </c>
      <c r="W180" s="120" t="str">
        <f t="shared" ref="W180" si="124">$C180 &amp;":"&amp; $B180</f>
        <v>:</v>
      </c>
      <c r="X180" s="120" t="str">
        <f t="shared" ref="X180" si="125">C180 &amp;":"&amp; B180</f>
        <v>:</v>
      </c>
      <c r="Y180" s="35"/>
      <c r="Z180" s="35"/>
      <c r="AA180" s="35"/>
    </row>
    <row r="181" spans="1:27" s="22" customFormat="1" hidden="1" outlineLevel="1" x14ac:dyDescent="0.25">
      <c r="A181" s="120">
        <f t="shared" si="120"/>
        <v>0</v>
      </c>
      <c r="B181" s="231"/>
      <c r="C181" s="231"/>
      <c r="D181" s="231"/>
      <c r="E181" s="231"/>
      <c r="F181" s="231"/>
      <c r="G181" s="231"/>
      <c r="H181" s="76"/>
      <c r="I181" s="232"/>
      <c r="J181" s="76">
        <f t="shared" si="121"/>
        <v>0</v>
      </c>
      <c r="K181" s="76">
        <f t="shared" si="122"/>
        <v>0</v>
      </c>
      <c r="L181" s="76"/>
      <c r="M181" s="76"/>
      <c r="N181" s="76"/>
      <c r="O181" s="76"/>
      <c r="P181" s="76"/>
      <c r="Q181" s="76"/>
      <c r="R181" s="76"/>
      <c r="S181" s="76"/>
      <c r="T181" s="76"/>
      <c r="V181" s="120">
        <f t="shared" si="123"/>
        <v>0</v>
      </c>
      <c r="Y181" s="35"/>
      <c r="Z181" s="35"/>
      <c r="AA181" s="35"/>
    </row>
    <row r="182" spans="1:27" s="22" customFormat="1" hidden="1" outlineLevel="1" x14ac:dyDescent="0.25">
      <c r="A182" s="120">
        <f t="shared" si="120"/>
        <v>0</v>
      </c>
      <c r="B182" s="231"/>
      <c r="C182" s="231"/>
      <c r="D182" s="231"/>
      <c r="E182" s="231"/>
      <c r="F182" s="231"/>
      <c r="G182" s="231"/>
      <c r="H182" s="76"/>
      <c r="I182" s="232"/>
      <c r="J182" s="76">
        <f t="shared" si="121"/>
        <v>0</v>
      </c>
      <c r="K182" s="76">
        <f t="shared" si="122"/>
        <v>0</v>
      </c>
      <c r="L182" s="76"/>
      <c r="M182" s="76"/>
      <c r="N182" s="76"/>
      <c r="O182" s="76"/>
      <c r="P182" s="76"/>
      <c r="Q182" s="76"/>
      <c r="R182" s="76"/>
      <c r="S182" s="76"/>
      <c r="T182" s="76"/>
      <c r="V182" s="120">
        <f t="shared" si="123"/>
        <v>0</v>
      </c>
      <c r="Y182" s="35"/>
      <c r="Z182" s="35"/>
      <c r="AA182" s="35"/>
    </row>
    <row r="183" spans="1:27" s="22" customFormat="1" hidden="1" outlineLevel="1" x14ac:dyDescent="0.25">
      <c r="A183" s="120">
        <f t="shared" si="120"/>
        <v>0</v>
      </c>
      <c r="B183" s="231"/>
      <c r="C183" s="231"/>
      <c r="D183" s="231"/>
      <c r="E183" s="231"/>
      <c r="F183" s="231"/>
      <c r="G183" s="231"/>
      <c r="H183" s="76"/>
      <c r="I183" s="232"/>
      <c r="J183" s="76">
        <f t="shared" si="121"/>
        <v>0</v>
      </c>
      <c r="K183" s="76">
        <f t="shared" si="122"/>
        <v>0</v>
      </c>
      <c r="L183" s="76"/>
      <c r="M183" s="76"/>
      <c r="N183" s="76"/>
      <c r="O183" s="76"/>
      <c r="P183" s="76"/>
      <c r="Q183" s="76"/>
      <c r="R183" s="76"/>
      <c r="S183" s="76"/>
      <c r="T183" s="76"/>
      <c r="V183" s="120">
        <f t="shared" si="123"/>
        <v>0</v>
      </c>
      <c r="Y183" s="35"/>
      <c r="Z183" s="35"/>
      <c r="AA183" s="35"/>
    </row>
    <row r="184" spans="1:27" s="22" customFormat="1" hidden="1" outlineLevel="1" x14ac:dyDescent="0.25">
      <c r="A184" s="120">
        <f t="shared" si="120"/>
        <v>0</v>
      </c>
      <c r="B184" s="231"/>
      <c r="C184" s="231"/>
      <c r="D184" s="231"/>
      <c r="E184" s="231"/>
      <c r="F184" s="231"/>
      <c r="G184" s="231"/>
      <c r="H184" s="76"/>
      <c r="I184" s="232"/>
      <c r="J184" s="76">
        <f t="shared" si="121"/>
        <v>0</v>
      </c>
      <c r="K184" s="76">
        <f t="shared" si="122"/>
        <v>0</v>
      </c>
      <c r="L184" s="76"/>
      <c r="M184" s="76"/>
      <c r="N184" s="76"/>
      <c r="O184" s="76"/>
      <c r="P184" s="76"/>
      <c r="Q184" s="76"/>
      <c r="R184" s="76"/>
      <c r="S184" s="76"/>
      <c r="T184" s="76"/>
      <c r="V184" s="120">
        <f t="shared" si="123"/>
        <v>0</v>
      </c>
      <c r="Y184" s="35"/>
      <c r="Z184" s="35"/>
      <c r="AA184" s="35"/>
    </row>
    <row r="185" spans="1:27" s="22" customFormat="1" hidden="1" outlineLevel="1" x14ac:dyDescent="0.25">
      <c r="A185" s="120">
        <f t="shared" si="120"/>
        <v>0</v>
      </c>
      <c r="B185" s="231"/>
      <c r="C185" s="231"/>
      <c r="D185" s="231"/>
      <c r="E185" s="231"/>
      <c r="F185" s="231"/>
      <c r="G185" s="231"/>
      <c r="H185" s="76"/>
      <c r="I185" s="232"/>
      <c r="J185" s="76">
        <f t="shared" si="121"/>
        <v>0</v>
      </c>
      <c r="K185" s="76">
        <f t="shared" si="122"/>
        <v>0</v>
      </c>
      <c r="L185" s="76"/>
      <c r="M185" s="76"/>
      <c r="N185" s="76"/>
      <c r="O185" s="76"/>
      <c r="P185" s="76"/>
      <c r="Q185" s="76"/>
      <c r="R185" s="76"/>
      <c r="S185" s="76"/>
      <c r="T185" s="76"/>
      <c r="V185" s="120">
        <f t="shared" si="123"/>
        <v>0</v>
      </c>
      <c r="Y185" s="35"/>
      <c r="Z185" s="35"/>
      <c r="AA185" s="35"/>
    </row>
    <row r="186" spans="1:27" s="22" customFormat="1" hidden="1" outlineLevel="1" x14ac:dyDescent="0.25">
      <c r="A186" s="120">
        <f t="shared" si="120"/>
        <v>0</v>
      </c>
      <c r="B186" s="231"/>
      <c r="C186" s="231"/>
      <c r="D186" s="231"/>
      <c r="E186" s="231"/>
      <c r="F186" s="231"/>
      <c r="G186" s="231"/>
      <c r="H186" s="76"/>
      <c r="I186" s="232"/>
      <c r="J186" s="76">
        <f t="shared" si="121"/>
        <v>0</v>
      </c>
      <c r="K186" s="76">
        <f t="shared" si="122"/>
        <v>0</v>
      </c>
      <c r="L186" s="76"/>
      <c r="M186" s="76"/>
      <c r="N186" s="76"/>
      <c r="O186" s="76"/>
      <c r="P186" s="76"/>
      <c r="Q186" s="76"/>
      <c r="R186" s="76"/>
      <c r="S186" s="76"/>
      <c r="T186" s="76"/>
      <c r="V186" s="120">
        <f t="shared" si="123"/>
        <v>0</v>
      </c>
      <c r="Y186" s="35"/>
      <c r="Z186" s="35"/>
      <c r="AA186" s="35"/>
    </row>
    <row r="187" spans="1:27" s="22" customFormat="1" hidden="1" outlineLevel="1" x14ac:dyDescent="0.25">
      <c r="A187" s="120">
        <f t="shared" ref="A187:A217" si="126">GETPAYMONTH(B187)</f>
        <v>0</v>
      </c>
      <c r="B187" s="231"/>
      <c r="C187" s="231"/>
      <c r="D187" s="231"/>
      <c r="E187" s="231"/>
      <c r="F187" s="231"/>
      <c r="G187" s="231"/>
      <c r="H187" s="76"/>
      <c r="I187" s="232"/>
      <c r="J187" s="76">
        <f t="shared" ref="J187:J217" si="127">SUM(K187:T187)</f>
        <v>0</v>
      </c>
      <c r="K187" s="76">
        <f t="shared" ref="K187:K217" si="128">ROUND($H187/11*10,2)</f>
        <v>0</v>
      </c>
      <c r="L187" s="76"/>
      <c r="M187" s="76"/>
      <c r="N187" s="76"/>
      <c r="O187" s="76"/>
      <c r="P187" s="76"/>
      <c r="Q187" s="76"/>
      <c r="R187" s="76"/>
      <c r="S187" s="76"/>
      <c r="T187" s="76"/>
      <c r="V187" s="120">
        <f t="shared" ref="V187:V217" si="129">$C187</f>
        <v>0</v>
      </c>
      <c r="W187" s="120" t="str">
        <f t="shared" ref="W187" si="130">$C187 &amp;":"&amp; $B187</f>
        <v>:</v>
      </c>
      <c r="X187" s="120" t="str">
        <f t="shared" ref="X187" si="131">C187 &amp;":"&amp; B187</f>
        <v>:</v>
      </c>
      <c r="Y187" s="35"/>
      <c r="Z187" s="35"/>
      <c r="AA187" s="35"/>
    </row>
    <row r="188" spans="1:27" s="22" customFormat="1" hidden="1" outlineLevel="1" x14ac:dyDescent="0.25">
      <c r="A188" s="120">
        <f t="shared" si="126"/>
        <v>0</v>
      </c>
      <c r="B188" s="231"/>
      <c r="C188" s="231"/>
      <c r="D188" s="231"/>
      <c r="E188" s="231"/>
      <c r="F188" s="231"/>
      <c r="G188" s="231"/>
      <c r="H188" s="76"/>
      <c r="I188" s="232"/>
      <c r="J188" s="76">
        <f t="shared" si="127"/>
        <v>0</v>
      </c>
      <c r="K188" s="76">
        <f t="shared" si="128"/>
        <v>0</v>
      </c>
      <c r="L188" s="76"/>
      <c r="M188" s="76"/>
      <c r="N188" s="76"/>
      <c r="O188" s="76"/>
      <c r="P188" s="76"/>
      <c r="Q188" s="76"/>
      <c r="R188" s="76"/>
      <c r="S188" s="76"/>
      <c r="T188" s="76"/>
      <c r="V188" s="120">
        <f t="shared" si="129"/>
        <v>0</v>
      </c>
      <c r="Y188" s="35"/>
      <c r="Z188" s="35"/>
      <c r="AA188" s="35"/>
    </row>
    <row r="189" spans="1:27" s="22" customFormat="1" hidden="1" outlineLevel="1" x14ac:dyDescent="0.25">
      <c r="A189" s="120">
        <f t="shared" si="126"/>
        <v>0</v>
      </c>
      <c r="B189" s="231"/>
      <c r="C189" s="231"/>
      <c r="D189" s="231"/>
      <c r="E189" s="231"/>
      <c r="F189" s="231"/>
      <c r="G189" s="231"/>
      <c r="H189" s="76"/>
      <c r="I189" s="232"/>
      <c r="J189" s="76">
        <f t="shared" si="127"/>
        <v>0</v>
      </c>
      <c r="K189" s="76">
        <f t="shared" si="128"/>
        <v>0</v>
      </c>
      <c r="L189" s="76"/>
      <c r="M189" s="76"/>
      <c r="N189" s="76"/>
      <c r="O189" s="76"/>
      <c r="P189" s="76"/>
      <c r="Q189" s="76"/>
      <c r="R189" s="76"/>
      <c r="S189" s="76"/>
      <c r="T189" s="76"/>
      <c r="V189" s="120">
        <f t="shared" si="129"/>
        <v>0</v>
      </c>
      <c r="W189" s="120" t="str">
        <f t="shared" ref="W189" si="132">$C189 &amp;":"&amp; $B189</f>
        <v>:</v>
      </c>
      <c r="X189" s="120" t="str">
        <f t="shared" ref="X189" si="133">C189 &amp;":"&amp; B189</f>
        <v>:</v>
      </c>
      <c r="Y189" s="35"/>
      <c r="Z189" s="35"/>
      <c r="AA189" s="35"/>
    </row>
    <row r="190" spans="1:27" s="22" customFormat="1" hidden="1" outlineLevel="1" x14ac:dyDescent="0.25">
      <c r="A190" s="120">
        <f t="shared" si="126"/>
        <v>0</v>
      </c>
      <c r="B190" s="231"/>
      <c r="C190" s="231"/>
      <c r="D190" s="231"/>
      <c r="E190" s="231"/>
      <c r="F190" s="231"/>
      <c r="G190" s="231"/>
      <c r="H190" s="76"/>
      <c r="I190" s="232"/>
      <c r="J190" s="76">
        <f t="shared" si="127"/>
        <v>0</v>
      </c>
      <c r="K190" s="76">
        <f t="shared" si="128"/>
        <v>0</v>
      </c>
      <c r="L190" s="76"/>
      <c r="M190" s="76"/>
      <c r="N190" s="76"/>
      <c r="O190" s="76"/>
      <c r="P190" s="76"/>
      <c r="Q190" s="76"/>
      <c r="R190" s="76"/>
      <c r="S190" s="76"/>
      <c r="T190" s="76"/>
      <c r="V190" s="120">
        <f t="shared" si="129"/>
        <v>0</v>
      </c>
      <c r="Y190" s="35"/>
      <c r="Z190" s="35"/>
      <c r="AA190" s="35"/>
    </row>
    <row r="191" spans="1:27" s="22" customFormat="1" hidden="1" outlineLevel="1" x14ac:dyDescent="0.25">
      <c r="A191" s="120">
        <f t="shared" si="126"/>
        <v>0</v>
      </c>
      <c r="B191" s="231"/>
      <c r="C191" s="231"/>
      <c r="D191" s="231"/>
      <c r="E191" s="231"/>
      <c r="F191" s="231"/>
      <c r="G191" s="231"/>
      <c r="H191" s="76"/>
      <c r="I191" s="232"/>
      <c r="J191" s="76">
        <f t="shared" si="127"/>
        <v>0</v>
      </c>
      <c r="K191" s="76">
        <f t="shared" si="128"/>
        <v>0</v>
      </c>
      <c r="L191" s="76"/>
      <c r="M191" s="76"/>
      <c r="N191" s="76"/>
      <c r="O191" s="76"/>
      <c r="P191" s="76"/>
      <c r="Q191" s="76"/>
      <c r="R191" s="76"/>
      <c r="S191" s="76"/>
      <c r="T191" s="76"/>
      <c r="V191" s="120">
        <f t="shared" si="129"/>
        <v>0</v>
      </c>
      <c r="W191" s="120" t="str">
        <f t="shared" ref="W191" si="134">$C191 &amp;":"&amp; $B191</f>
        <v>:</v>
      </c>
      <c r="X191" s="120" t="str">
        <f t="shared" ref="X191" si="135">C191 &amp;":"&amp; B191</f>
        <v>:</v>
      </c>
      <c r="Y191" s="35"/>
      <c r="Z191" s="35"/>
      <c r="AA191" s="35"/>
    </row>
    <row r="192" spans="1:27" s="22" customFormat="1" hidden="1" outlineLevel="1" x14ac:dyDescent="0.25">
      <c r="A192" s="120">
        <f t="shared" si="126"/>
        <v>0</v>
      </c>
      <c r="B192" s="231"/>
      <c r="C192" s="231"/>
      <c r="D192" s="231"/>
      <c r="E192" s="231"/>
      <c r="F192" s="231"/>
      <c r="G192" s="231"/>
      <c r="H192" s="76"/>
      <c r="I192" s="232"/>
      <c r="J192" s="76">
        <f t="shared" si="127"/>
        <v>0</v>
      </c>
      <c r="K192" s="76">
        <f t="shared" si="128"/>
        <v>0</v>
      </c>
      <c r="L192" s="76"/>
      <c r="M192" s="76"/>
      <c r="N192" s="76"/>
      <c r="O192" s="76"/>
      <c r="P192" s="76"/>
      <c r="Q192" s="76"/>
      <c r="R192" s="76"/>
      <c r="S192" s="76"/>
      <c r="T192" s="76"/>
      <c r="V192" s="120">
        <f t="shared" si="129"/>
        <v>0</v>
      </c>
      <c r="Y192" s="35"/>
      <c r="Z192" s="35"/>
      <c r="AA192" s="35"/>
    </row>
    <row r="193" spans="1:27" s="22" customFormat="1" hidden="1" outlineLevel="1" x14ac:dyDescent="0.25">
      <c r="A193" s="120">
        <f t="shared" si="126"/>
        <v>0</v>
      </c>
      <c r="B193" s="231"/>
      <c r="C193" s="231"/>
      <c r="D193" s="231"/>
      <c r="E193" s="231"/>
      <c r="F193" s="231"/>
      <c r="G193" s="231"/>
      <c r="H193" s="76"/>
      <c r="I193" s="232"/>
      <c r="J193" s="76">
        <f t="shared" si="127"/>
        <v>0</v>
      </c>
      <c r="K193" s="76">
        <f t="shared" si="128"/>
        <v>0</v>
      </c>
      <c r="L193" s="76"/>
      <c r="M193" s="76"/>
      <c r="N193" s="76"/>
      <c r="O193" s="76"/>
      <c r="P193" s="76"/>
      <c r="Q193" s="76"/>
      <c r="R193" s="76"/>
      <c r="S193" s="76"/>
      <c r="T193" s="76"/>
      <c r="V193" s="120">
        <f t="shared" si="129"/>
        <v>0</v>
      </c>
      <c r="Y193" s="35"/>
      <c r="Z193" s="35"/>
      <c r="AA193" s="35"/>
    </row>
    <row r="194" spans="1:27" s="22" customFormat="1" hidden="1" outlineLevel="1" x14ac:dyDescent="0.25">
      <c r="A194" s="120">
        <f t="shared" si="126"/>
        <v>0</v>
      </c>
      <c r="B194" s="231"/>
      <c r="C194" s="231"/>
      <c r="D194" s="231"/>
      <c r="E194" s="231"/>
      <c r="F194" s="231"/>
      <c r="G194" s="231"/>
      <c r="H194" s="76"/>
      <c r="I194" s="232"/>
      <c r="J194" s="76">
        <f t="shared" si="127"/>
        <v>0</v>
      </c>
      <c r="K194" s="76">
        <f t="shared" si="128"/>
        <v>0</v>
      </c>
      <c r="L194" s="76"/>
      <c r="M194" s="76"/>
      <c r="N194" s="76"/>
      <c r="O194" s="76"/>
      <c r="P194" s="76"/>
      <c r="Q194" s="76"/>
      <c r="R194" s="76"/>
      <c r="S194" s="76"/>
      <c r="T194" s="76"/>
      <c r="V194" s="120">
        <f t="shared" si="129"/>
        <v>0</v>
      </c>
      <c r="Y194" s="35"/>
      <c r="Z194" s="35"/>
      <c r="AA194" s="35"/>
    </row>
    <row r="195" spans="1:27" s="22" customFormat="1" hidden="1" outlineLevel="1" x14ac:dyDescent="0.25">
      <c r="A195" s="120">
        <f t="shared" si="126"/>
        <v>0</v>
      </c>
      <c r="B195" s="231"/>
      <c r="C195" s="231"/>
      <c r="D195" s="231"/>
      <c r="E195" s="231"/>
      <c r="F195" s="231"/>
      <c r="G195" s="231"/>
      <c r="H195" s="76"/>
      <c r="I195" s="232"/>
      <c r="J195" s="76">
        <f t="shared" si="127"/>
        <v>0</v>
      </c>
      <c r="K195" s="76">
        <f t="shared" si="128"/>
        <v>0</v>
      </c>
      <c r="L195" s="76"/>
      <c r="M195" s="76"/>
      <c r="N195" s="76"/>
      <c r="O195" s="76"/>
      <c r="P195" s="76"/>
      <c r="Q195" s="76"/>
      <c r="R195" s="76"/>
      <c r="S195" s="76"/>
      <c r="T195" s="76"/>
      <c r="V195" s="120">
        <f t="shared" si="129"/>
        <v>0</v>
      </c>
      <c r="Y195" s="35"/>
      <c r="Z195" s="35"/>
      <c r="AA195" s="35"/>
    </row>
    <row r="196" spans="1:27" s="22" customFormat="1" hidden="1" outlineLevel="1" x14ac:dyDescent="0.25">
      <c r="A196" s="120">
        <f t="shared" si="126"/>
        <v>0</v>
      </c>
      <c r="B196" s="231"/>
      <c r="C196" s="231"/>
      <c r="D196" s="231"/>
      <c r="E196" s="231"/>
      <c r="F196" s="231"/>
      <c r="G196" s="231"/>
      <c r="H196" s="76"/>
      <c r="I196" s="232"/>
      <c r="J196" s="76">
        <f t="shared" si="127"/>
        <v>0</v>
      </c>
      <c r="K196" s="76">
        <f t="shared" si="128"/>
        <v>0</v>
      </c>
      <c r="L196" s="76"/>
      <c r="M196" s="76"/>
      <c r="N196" s="76"/>
      <c r="O196" s="76"/>
      <c r="P196" s="76"/>
      <c r="Q196" s="76"/>
      <c r="R196" s="76"/>
      <c r="S196" s="76"/>
      <c r="T196" s="76"/>
      <c r="V196" s="120">
        <f t="shared" si="129"/>
        <v>0</v>
      </c>
      <c r="Y196" s="35"/>
      <c r="Z196" s="35"/>
      <c r="AA196" s="35"/>
    </row>
    <row r="197" spans="1:27" s="22" customFormat="1" hidden="1" outlineLevel="1" x14ac:dyDescent="0.25">
      <c r="A197" s="120">
        <f t="shared" si="126"/>
        <v>0</v>
      </c>
      <c r="B197" s="231"/>
      <c r="C197" s="231"/>
      <c r="D197" s="231"/>
      <c r="E197" s="231"/>
      <c r="F197" s="231"/>
      <c r="G197" s="231"/>
      <c r="H197" s="76"/>
      <c r="I197" s="232"/>
      <c r="J197" s="76">
        <f t="shared" si="127"/>
        <v>0</v>
      </c>
      <c r="K197" s="76">
        <f t="shared" si="128"/>
        <v>0</v>
      </c>
      <c r="L197" s="76"/>
      <c r="M197" s="76"/>
      <c r="N197" s="76"/>
      <c r="O197" s="76"/>
      <c r="P197" s="76"/>
      <c r="Q197" s="76"/>
      <c r="R197" s="76"/>
      <c r="S197" s="76"/>
      <c r="T197" s="76"/>
      <c r="V197" s="120">
        <f t="shared" si="129"/>
        <v>0</v>
      </c>
      <c r="Y197" s="35"/>
      <c r="Z197" s="35"/>
      <c r="AA197" s="35"/>
    </row>
    <row r="198" spans="1:27" s="22" customFormat="1" hidden="1" outlineLevel="1" x14ac:dyDescent="0.25">
      <c r="A198" s="120">
        <f t="shared" si="126"/>
        <v>0</v>
      </c>
      <c r="B198" s="231"/>
      <c r="C198" s="231"/>
      <c r="D198" s="231"/>
      <c r="E198" s="231"/>
      <c r="F198" s="231"/>
      <c r="G198" s="231"/>
      <c r="H198" s="76"/>
      <c r="I198" s="232"/>
      <c r="J198" s="76">
        <f t="shared" si="127"/>
        <v>0</v>
      </c>
      <c r="K198" s="76">
        <f t="shared" si="128"/>
        <v>0</v>
      </c>
      <c r="L198" s="76"/>
      <c r="M198" s="76"/>
      <c r="N198" s="76"/>
      <c r="O198" s="76"/>
      <c r="P198" s="76"/>
      <c r="Q198" s="76"/>
      <c r="R198" s="76"/>
      <c r="S198" s="76"/>
      <c r="T198" s="76"/>
      <c r="V198" s="120">
        <f t="shared" si="129"/>
        <v>0</v>
      </c>
      <c r="W198" s="120" t="str">
        <f t="shared" ref="W198:W200" si="136">$C198 &amp;":"&amp; $B198</f>
        <v>:</v>
      </c>
      <c r="X198" s="120" t="str">
        <f t="shared" ref="X198" si="137">C198 &amp;":"&amp; B198</f>
        <v>:</v>
      </c>
      <c r="Y198" s="35"/>
      <c r="Z198" s="35"/>
      <c r="AA198" s="35"/>
    </row>
    <row r="199" spans="1:27" s="22" customFormat="1" hidden="1" outlineLevel="1" x14ac:dyDescent="0.25">
      <c r="A199" s="120">
        <f t="shared" si="126"/>
        <v>0</v>
      </c>
      <c r="B199" s="231"/>
      <c r="C199" s="231"/>
      <c r="D199" s="231"/>
      <c r="E199" s="231"/>
      <c r="F199" s="231"/>
      <c r="G199" s="231"/>
      <c r="H199" s="76"/>
      <c r="I199" s="232"/>
      <c r="J199" s="76">
        <f t="shared" si="127"/>
        <v>0</v>
      </c>
      <c r="K199" s="76">
        <f t="shared" si="128"/>
        <v>0</v>
      </c>
      <c r="L199" s="76"/>
      <c r="M199" s="76"/>
      <c r="N199" s="76"/>
      <c r="O199" s="76"/>
      <c r="P199" s="76"/>
      <c r="Q199" s="76"/>
      <c r="R199" s="76"/>
      <c r="S199" s="76"/>
      <c r="T199" s="76"/>
      <c r="V199" s="120">
        <f t="shared" si="129"/>
        <v>0</v>
      </c>
      <c r="Y199" s="35"/>
      <c r="Z199" s="35"/>
      <c r="AA199" s="35"/>
    </row>
    <row r="200" spans="1:27" s="22" customFormat="1" hidden="1" outlineLevel="1" x14ac:dyDescent="0.25">
      <c r="A200" s="120">
        <f t="shared" si="126"/>
        <v>0</v>
      </c>
      <c r="B200" s="231"/>
      <c r="C200" s="231"/>
      <c r="D200" s="231"/>
      <c r="E200" s="231"/>
      <c r="F200" s="231"/>
      <c r="G200" s="231"/>
      <c r="H200" s="76"/>
      <c r="I200" s="232"/>
      <c r="J200" s="76">
        <f t="shared" si="127"/>
        <v>0</v>
      </c>
      <c r="K200" s="76">
        <f t="shared" si="128"/>
        <v>0</v>
      </c>
      <c r="L200" s="76"/>
      <c r="M200" s="76"/>
      <c r="N200" s="76"/>
      <c r="O200" s="76"/>
      <c r="P200" s="76"/>
      <c r="Q200" s="76"/>
      <c r="R200" s="76"/>
      <c r="S200" s="76"/>
      <c r="T200" s="76"/>
      <c r="V200" s="120">
        <f t="shared" si="129"/>
        <v>0</v>
      </c>
      <c r="W200" s="120" t="str">
        <f t="shared" si="136"/>
        <v>:</v>
      </c>
      <c r="Y200" s="35"/>
      <c r="Z200" s="35"/>
      <c r="AA200" s="35"/>
    </row>
    <row r="201" spans="1:27" s="22" customFormat="1" hidden="1" outlineLevel="1" x14ac:dyDescent="0.25">
      <c r="A201" s="120">
        <f t="shared" si="126"/>
        <v>0</v>
      </c>
      <c r="B201" s="231"/>
      <c r="C201" s="231"/>
      <c r="D201" s="231"/>
      <c r="E201" s="231"/>
      <c r="F201" s="231"/>
      <c r="G201" s="231"/>
      <c r="H201" s="76"/>
      <c r="I201" s="232"/>
      <c r="J201" s="76">
        <f t="shared" si="127"/>
        <v>0</v>
      </c>
      <c r="K201" s="76">
        <f t="shared" si="128"/>
        <v>0</v>
      </c>
      <c r="L201" s="76"/>
      <c r="M201" s="76"/>
      <c r="N201" s="76"/>
      <c r="O201" s="76"/>
      <c r="P201" s="76"/>
      <c r="Q201" s="76"/>
      <c r="R201" s="76"/>
      <c r="S201" s="76"/>
      <c r="T201" s="76"/>
      <c r="V201" s="120">
        <f t="shared" si="129"/>
        <v>0</v>
      </c>
      <c r="Y201" s="35"/>
      <c r="Z201" s="35"/>
      <c r="AA201" s="35"/>
    </row>
    <row r="202" spans="1:27" s="22" customFormat="1" hidden="1" outlineLevel="1" x14ac:dyDescent="0.25">
      <c r="A202" s="120">
        <f t="shared" si="126"/>
        <v>0</v>
      </c>
      <c r="B202" s="231"/>
      <c r="C202" s="231"/>
      <c r="D202" s="231"/>
      <c r="E202" s="231"/>
      <c r="F202" s="231"/>
      <c r="G202" s="231"/>
      <c r="H202" s="76"/>
      <c r="I202" s="232"/>
      <c r="J202" s="76">
        <f t="shared" si="127"/>
        <v>0</v>
      </c>
      <c r="K202" s="76">
        <f t="shared" si="128"/>
        <v>0</v>
      </c>
      <c r="L202" s="76"/>
      <c r="M202" s="76"/>
      <c r="N202" s="76"/>
      <c r="O202" s="76"/>
      <c r="P202" s="76"/>
      <c r="Q202" s="76"/>
      <c r="R202" s="76"/>
      <c r="S202" s="76"/>
      <c r="T202" s="76"/>
      <c r="V202" s="120">
        <f t="shared" si="129"/>
        <v>0</v>
      </c>
      <c r="Y202" s="35"/>
      <c r="Z202" s="35"/>
      <c r="AA202" s="35"/>
    </row>
    <row r="203" spans="1:27" s="22" customFormat="1" hidden="1" outlineLevel="1" x14ac:dyDescent="0.25">
      <c r="A203" s="120">
        <f t="shared" si="126"/>
        <v>0</v>
      </c>
      <c r="B203" s="231"/>
      <c r="C203" s="231"/>
      <c r="D203" s="231"/>
      <c r="E203" s="231"/>
      <c r="F203" s="231"/>
      <c r="G203" s="231"/>
      <c r="H203" s="76"/>
      <c r="I203" s="232"/>
      <c r="J203" s="76">
        <f t="shared" si="127"/>
        <v>0</v>
      </c>
      <c r="K203" s="76">
        <f t="shared" si="128"/>
        <v>0</v>
      </c>
      <c r="L203" s="76"/>
      <c r="M203" s="76"/>
      <c r="N203" s="76"/>
      <c r="O203" s="76"/>
      <c r="P203" s="76"/>
      <c r="Q203" s="76"/>
      <c r="R203" s="76"/>
      <c r="S203" s="76"/>
      <c r="T203" s="76"/>
      <c r="V203" s="120">
        <f t="shared" si="129"/>
        <v>0</v>
      </c>
      <c r="Y203" s="35"/>
      <c r="Z203" s="35"/>
      <c r="AA203" s="35"/>
    </row>
    <row r="204" spans="1:27" s="22" customFormat="1" hidden="1" outlineLevel="1" x14ac:dyDescent="0.25">
      <c r="A204" s="120">
        <f t="shared" si="126"/>
        <v>0</v>
      </c>
      <c r="B204" s="231"/>
      <c r="C204" s="231"/>
      <c r="D204" s="231"/>
      <c r="E204" s="231"/>
      <c r="F204" s="231"/>
      <c r="G204" s="231"/>
      <c r="H204" s="76"/>
      <c r="I204" s="232"/>
      <c r="J204" s="76">
        <f t="shared" si="127"/>
        <v>0</v>
      </c>
      <c r="K204" s="76">
        <f t="shared" si="128"/>
        <v>0</v>
      </c>
      <c r="L204" s="76"/>
      <c r="M204" s="76"/>
      <c r="N204" s="76"/>
      <c r="O204" s="76"/>
      <c r="P204" s="76"/>
      <c r="Q204" s="76"/>
      <c r="R204" s="76"/>
      <c r="S204" s="76"/>
      <c r="T204" s="76"/>
      <c r="V204" s="120">
        <f t="shared" si="129"/>
        <v>0</v>
      </c>
      <c r="Y204" s="35"/>
      <c r="Z204" s="35"/>
      <c r="AA204" s="35"/>
    </row>
    <row r="205" spans="1:27" s="22" customFormat="1" hidden="1" outlineLevel="1" x14ac:dyDescent="0.25">
      <c r="A205" s="120">
        <f t="shared" si="126"/>
        <v>0</v>
      </c>
      <c r="B205" s="231"/>
      <c r="C205" s="231"/>
      <c r="D205" s="231"/>
      <c r="E205" s="231"/>
      <c r="F205" s="231"/>
      <c r="G205" s="231"/>
      <c r="H205" s="76"/>
      <c r="I205" s="232"/>
      <c r="J205" s="76">
        <f t="shared" si="127"/>
        <v>0</v>
      </c>
      <c r="K205" s="76">
        <f t="shared" si="128"/>
        <v>0</v>
      </c>
      <c r="L205" s="76"/>
      <c r="M205" s="76"/>
      <c r="N205" s="76"/>
      <c r="O205" s="76"/>
      <c r="P205" s="76"/>
      <c r="Q205" s="76"/>
      <c r="R205" s="76"/>
      <c r="S205" s="76"/>
      <c r="T205" s="76"/>
      <c r="V205" s="120">
        <f t="shared" si="129"/>
        <v>0</v>
      </c>
      <c r="Y205" s="35"/>
      <c r="Z205" s="35"/>
      <c r="AA205" s="35"/>
    </row>
    <row r="206" spans="1:27" s="22" customFormat="1" hidden="1" outlineLevel="1" x14ac:dyDescent="0.25">
      <c r="A206" s="120">
        <f t="shared" si="126"/>
        <v>0</v>
      </c>
      <c r="B206" s="231"/>
      <c r="C206" s="231"/>
      <c r="D206" s="231"/>
      <c r="E206" s="231"/>
      <c r="F206" s="231"/>
      <c r="G206" s="231"/>
      <c r="H206" s="76"/>
      <c r="I206" s="232"/>
      <c r="J206" s="76">
        <f t="shared" si="127"/>
        <v>0</v>
      </c>
      <c r="K206" s="76">
        <f t="shared" si="128"/>
        <v>0</v>
      </c>
      <c r="L206" s="76"/>
      <c r="M206" s="76"/>
      <c r="N206" s="76"/>
      <c r="O206" s="76"/>
      <c r="P206" s="76"/>
      <c r="Q206" s="76"/>
      <c r="R206" s="76"/>
      <c r="S206" s="76"/>
      <c r="T206" s="76"/>
      <c r="V206" s="120">
        <f t="shared" si="129"/>
        <v>0</v>
      </c>
      <c r="Y206" s="35"/>
      <c r="Z206" s="35"/>
      <c r="AA206" s="35"/>
    </row>
    <row r="207" spans="1:27" s="22" customFormat="1" hidden="1" outlineLevel="1" x14ac:dyDescent="0.25">
      <c r="A207" s="120">
        <f t="shared" si="126"/>
        <v>0</v>
      </c>
      <c r="B207" s="231"/>
      <c r="C207" s="231"/>
      <c r="D207" s="231"/>
      <c r="E207" s="231"/>
      <c r="F207" s="231"/>
      <c r="G207" s="231"/>
      <c r="H207" s="76"/>
      <c r="I207" s="232"/>
      <c r="J207" s="76">
        <f t="shared" si="127"/>
        <v>0</v>
      </c>
      <c r="K207" s="76">
        <f t="shared" si="128"/>
        <v>0</v>
      </c>
      <c r="L207" s="76"/>
      <c r="M207" s="76"/>
      <c r="N207" s="76"/>
      <c r="O207" s="76"/>
      <c r="P207" s="76"/>
      <c r="Q207" s="76"/>
      <c r="R207" s="76"/>
      <c r="S207" s="76"/>
      <c r="T207" s="76"/>
      <c r="V207" s="120">
        <f t="shared" si="129"/>
        <v>0</v>
      </c>
      <c r="Y207" s="35"/>
      <c r="Z207" s="35"/>
      <c r="AA207" s="35"/>
    </row>
    <row r="208" spans="1:27" s="22" customFormat="1" hidden="1" outlineLevel="1" x14ac:dyDescent="0.25">
      <c r="A208" s="120">
        <f t="shared" si="126"/>
        <v>0</v>
      </c>
      <c r="B208" s="231"/>
      <c r="C208" s="231"/>
      <c r="D208" s="231"/>
      <c r="E208" s="231"/>
      <c r="F208" s="231"/>
      <c r="G208" s="231"/>
      <c r="H208" s="76"/>
      <c r="I208" s="232"/>
      <c r="J208" s="76">
        <f t="shared" si="127"/>
        <v>0</v>
      </c>
      <c r="K208" s="76">
        <f t="shared" si="128"/>
        <v>0</v>
      </c>
      <c r="L208" s="76"/>
      <c r="M208" s="76"/>
      <c r="N208" s="76"/>
      <c r="O208" s="76"/>
      <c r="P208" s="76"/>
      <c r="Q208" s="76"/>
      <c r="R208" s="76"/>
      <c r="S208" s="76"/>
      <c r="T208" s="76"/>
      <c r="V208" s="120">
        <f t="shared" si="129"/>
        <v>0</v>
      </c>
      <c r="Y208" s="35"/>
      <c r="Z208" s="35"/>
      <c r="AA208" s="35"/>
    </row>
    <row r="209" spans="1:27" s="22" customFormat="1" hidden="1" outlineLevel="1" x14ac:dyDescent="0.25">
      <c r="A209" s="120">
        <f t="shared" si="126"/>
        <v>0</v>
      </c>
      <c r="B209" s="231"/>
      <c r="C209" s="231"/>
      <c r="D209" s="231"/>
      <c r="E209" s="231"/>
      <c r="F209" s="231"/>
      <c r="G209" s="231"/>
      <c r="H209" s="76"/>
      <c r="I209" s="232"/>
      <c r="J209" s="76">
        <f t="shared" si="127"/>
        <v>0</v>
      </c>
      <c r="K209" s="76">
        <f t="shared" si="128"/>
        <v>0</v>
      </c>
      <c r="L209" s="76"/>
      <c r="M209" s="76"/>
      <c r="N209" s="76"/>
      <c r="O209" s="76"/>
      <c r="P209" s="76"/>
      <c r="Q209" s="76"/>
      <c r="R209" s="76"/>
      <c r="S209" s="76"/>
      <c r="T209" s="76"/>
      <c r="V209" s="120">
        <f t="shared" si="129"/>
        <v>0</v>
      </c>
      <c r="Y209" s="35"/>
      <c r="Z209" s="35"/>
      <c r="AA209" s="35"/>
    </row>
    <row r="210" spans="1:27" s="22" customFormat="1" hidden="1" outlineLevel="1" x14ac:dyDescent="0.25">
      <c r="A210" s="120">
        <f t="shared" si="126"/>
        <v>0</v>
      </c>
      <c r="B210" s="231"/>
      <c r="C210" s="231"/>
      <c r="D210" s="231"/>
      <c r="E210" s="231"/>
      <c r="F210" s="231"/>
      <c r="G210" s="231"/>
      <c r="H210" s="76"/>
      <c r="I210" s="232"/>
      <c r="J210" s="76">
        <f t="shared" si="127"/>
        <v>0</v>
      </c>
      <c r="K210" s="76">
        <f t="shared" si="128"/>
        <v>0</v>
      </c>
      <c r="L210" s="76"/>
      <c r="M210" s="76"/>
      <c r="N210" s="76"/>
      <c r="O210" s="76"/>
      <c r="P210" s="76"/>
      <c r="Q210" s="76"/>
      <c r="R210" s="76"/>
      <c r="S210" s="76"/>
      <c r="T210" s="76"/>
      <c r="V210" s="120">
        <f t="shared" si="129"/>
        <v>0</v>
      </c>
      <c r="Y210" s="35"/>
      <c r="Z210" s="35"/>
      <c r="AA210" s="35"/>
    </row>
    <row r="211" spans="1:27" s="22" customFormat="1" hidden="1" outlineLevel="1" x14ac:dyDescent="0.25">
      <c r="A211" s="120">
        <f t="shared" si="126"/>
        <v>0</v>
      </c>
      <c r="B211" s="231"/>
      <c r="C211" s="231"/>
      <c r="D211" s="231"/>
      <c r="E211" s="231"/>
      <c r="F211" s="231"/>
      <c r="G211" s="231"/>
      <c r="H211" s="76"/>
      <c r="I211" s="232"/>
      <c r="J211" s="76">
        <f t="shared" si="127"/>
        <v>0</v>
      </c>
      <c r="K211" s="76">
        <f t="shared" si="128"/>
        <v>0</v>
      </c>
      <c r="L211" s="76"/>
      <c r="M211" s="76"/>
      <c r="N211" s="76"/>
      <c r="O211" s="76"/>
      <c r="P211" s="76"/>
      <c r="Q211" s="76"/>
      <c r="R211" s="76"/>
      <c r="S211" s="76"/>
      <c r="T211" s="76"/>
      <c r="V211" s="120">
        <f t="shared" si="129"/>
        <v>0</v>
      </c>
      <c r="Y211" s="35"/>
      <c r="Z211" s="35"/>
      <c r="AA211" s="35"/>
    </row>
    <row r="212" spans="1:27" s="22" customFormat="1" hidden="1" outlineLevel="1" x14ac:dyDescent="0.25">
      <c r="A212" s="120">
        <f t="shared" si="126"/>
        <v>0</v>
      </c>
      <c r="B212" s="231"/>
      <c r="C212" s="231"/>
      <c r="D212" s="231"/>
      <c r="E212" s="231"/>
      <c r="F212" s="231"/>
      <c r="G212" s="231"/>
      <c r="H212" s="76"/>
      <c r="I212" s="232"/>
      <c r="J212" s="76">
        <f t="shared" si="127"/>
        <v>0</v>
      </c>
      <c r="K212" s="76">
        <f t="shared" si="128"/>
        <v>0</v>
      </c>
      <c r="L212" s="76"/>
      <c r="M212" s="76"/>
      <c r="N212" s="76"/>
      <c r="O212" s="76"/>
      <c r="P212" s="76"/>
      <c r="Q212" s="76"/>
      <c r="R212" s="76"/>
      <c r="S212" s="76"/>
      <c r="T212" s="76"/>
      <c r="V212" s="120">
        <f t="shared" si="129"/>
        <v>0</v>
      </c>
      <c r="W212" s="120" t="str">
        <f t="shared" ref="W212" si="138">$C212 &amp;":"&amp; $B212</f>
        <v>:</v>
      </c>
      <c r="Y212" s="35"/>
      <c r="Z212" s="35"/>
      <c r="AA212" s="35"/>
    </row>
    <row r="213" spans="1:27" s="22" customFormat="1" hidden="1" outlineLevel="1" x14ac:dyDescent="0.25">
      <c r="A213" s="120">
        <f t="shared" si="126"/>
        <v>0</v>
      </c>
      <c r="B213" s="231"/>
      <c r="C213" s="231"/>
      <c r="D213" s="231"/>
      <c r="E213" s="231"/>
      <c r="F213" s="231"/>
      <c r="G213" s="231"/>
      <c r="H213" s="76"/>
      <c r="I213" s="232"/>
      <c r="J213" s="76">
        <f t="shared" si="127"/>
        <v>0</v>
      </c>
      <c r="K213" s="76">
        <f t="shared" si="128"/>
        <v>0</v>
      </c>
      <c r="L213" s="76"/>
      <c r="M213" s="76"/>
      <c r="N213" s="76"/>
      <c r="O213" s="76"/>
      <c r="P213" s="76"/>
      <c r="Q213" s="76"/>
      <c r="R213" s="76"/>
      <c r="S213" s="76"/>
      <c r="T213" s="76"/>
      <c r="V213" s="120">
        <f t="shared" si="129"/>
        <v>0</v>
      </c>
      <c r="Y213" s="35"/>
      <c r="Z213" s="35"/>
      <c r="AA213" s="35"/>
    </row>
    <row r="214" spans="1:27" s="22" customFormat="1" hidden="1" outlineLevel="1" x14ac:dyDescent="0.25">
      <c r="A214" s="120">
        <f t="shared" si="126"/>
        <v>0</v>
      </c>
      <c r="B214" s="231"/>
      <c r="C214" s="231"/>
      <c r="D214" s="231"/>
      <c r="E214" s="231"/>
      <c r="F214" s="231"/>
      <c r="G214" s="231"/>
      <c r="H214" s="76"/>
      <c r="I214" s="232"/>
      <c r="J214" s="76">
        <f t="shared" si="127"/>
        <v>0</v>
      </c>
      <c r="K214" s="76">
        <f t="shared" si="128"/>
        <v>0</v>
      </c>
      <c r="L214" s="76"/>
      <c r="M214" s="76"/>
      <c r="N214" s="76"/>
      <c r="O214" s="76"/>
      <c r="P214" s="76"/>
      <c r="Q214" s="76"/>
      <c r="R214" s="76"/>
      <c r="S214" s="76"/>
      <c r="T214" s="76"/>
      <c r="V214" s="120">
        <f t="shared" si="129"/>
        <v>0</v>
      </c>
      <c r="W214" s="120" t="str">
        <f t="shared" ref="W214" si="139">$C214 &amp;":"&amp; $B214</f>
        <v>:</v>
      </c>
      <c r="Y214" s="35"/>
      <c r="Z214" s="35"/>
      <c r="AA214" s="35"/>
    </row>
    <row r="215" spans="1:27" s="22" customFormat="1" hidden="1" outlineLevel="1" x14ac:dyDescent="0.25">
      <c r="A215" s="120">
        <f t="shared" si="126"/>
        <v>0</v>
      </c>
      <c r="B215" s="231"/>
      <c r="C215" s="231"/>
      <c r="D215" s="231"/>
      <c r="E215" s="231"/>
      <c r="F215" s="231"/>
      <c r="G215" s="231"/>
      <c r="H215" s="76"/>
      <c r="I215" s="232"/>
      <c r="J215" s="76">
        <f t="shared" si="127"/>
        <v>0</v>
      </c>
      <c r="K215" s="76">
        <f t="shared" si="128"/>
        <v>0</v>
      </c>
      <c r="L215" s="76"/>
      <c r="M215" s="76"/>
      <c r="N215" s="76"/>
      <c r="O215" s="76"/>
      <c r="P215" s="76"/>
      <c r="Q215" s="76"/>
      <c r="R215" s="76"/>
      <c r="S215" s="76"/>
      <c r="T215" s="76"/>
      <c r="V215" s="120">
        <f t="shared" si="129"/>
        <v>0</v>
      </c>
      <c r="Y215" s="35"/>
      <c r="Z215" s="35"/>
      <c r="AA215" s="35"/>
    </row>
    <row r="216" spans="1:27" s="22" customFormat="1" hidden="1" outlineLevel="1" x14ac:dyDescent="0.25">
      <c r="A216" s="120">
        <f t="shared" si="126"/>
        <v>0</v>
      </c>
      <c r="B216" s="231"/>
      <c r="C216" s="231"/>
      <c r="D216" s="231"/>
      <c r="E216" s="231"/>
      <c r="F216" s="231"/>
      <c r="G216" s="231"/>
      <c r="H216" s="76"/>
      <c r="I216" s="232"/>
      <c r="J216" s="76">
        <f t="shared" si="127"/>
        <v>0</v>
      </c>
      <c r="K216" s="76">
        <f t="shared" si="128"/>
        <v>0</v>
      </c>
      <c r="L216" s="76"/>
      <c r="M216" s="76"/>
      <c r="N216" s="76"/>
      <c r="O216" s="76"/>
      <c r="P216" s="76"/>
      <c r="Q216" s="76"/>
      <c r="R216" s="76"/>
      <c r="S216" s="76"/>
      <c r="T216" s="76"/>
      <c r="V216" s="120">
        <f t="shared" si="129"/>
        <v>0</v>
      </c>
      <c r="W216" s="120" t="str">
        <f t="shared" ref="W216:W218" si="140">$C216 &amp;":"&amp; $B216</f>
        <v>:</v>
      </c>
      <c r="Y216" s="35"/>
      <c r="Z216" s="35"/>
      <c r="AA216" s="35"/>
    </row>
    <row r="217" spans="1:27" s="22" customFormat="1" hidden="1" outlineLevel="1" x14ac:dyDescent="0.25">
      <c r="A217" s="120">
        <f t="shared" si="126"/>
        <v>0</v>
      </c>
      <c r="B217" s="231"/>
      <c r="C217" s="231"/>
      <c r="D217" s="231"/>
      <c r="E217" s="231"/>
      <c r="F217" s="231"/>
      <c r="G217" s="231"/>
      <c r="H217" s="76"/>
      <c r="I217" s="232"/>
      <c r="J217" s="76">
        <f t="shared" si="127"/>
        <v>0</v>
      </c>
      <c r="K217" s="76">
        <f t="shared" si="128"/>
        <v>0</v>
      </c>
      <c r="L217" s="76"/>
      <c r="M217" s="76"/>
      <c r="N217" s="76"/>
      <c r="O217" s="76"/>
      <c r="P217" s="76"/>
      <c r="Q217" s="76"/>
      <c r="R217" s="76"/>
      <c r="S217" s="76"/>
      <c r="T217" s="76"/>
      <c r="V217" s="120">
        <f t="shared" si="129"/>
        <v>0</v>
      </c>
      <c r="Y217" s="35"/>
      <c r="Z217" s="35"/>
      <c r="AA217" s="35"/>
    </row>
    <row r="218" spans="1:27" s="22" customFormat="1" hidden="1" outlineLevel="1" x14ac:dyDescent="0.25">
      <c r="A218" s="120">
        <f t="shared" ref="A218:A263" si="141">GETPAYMONTH(B218)</f>
        <v>0</v>
      </c>
      <c r="B218" s="231"/>
      <c r="C218" s="231"/>
      <c r="D218" s="231"/>
      <c r="E218" s="231"/>
      <c r="F218" s="231"/>
      <c r="G218" s="231"/>
      <c r="H218" s="76"/>
      <c r="I218" s="232"/>
      <c r="J218" s="76">
        <f t="shared" ref="J218:J264" si="142">SUM(K218:T218)</f>
        <v>0</v>
      </c>
      <c r="K218" s="76">
        <f t="shared" ref="K218:K264" si="143">ROUND($H218/11*10,2)</f>
        <v>0</v>
      </c>
      <c r="L218" s="76"/>
      <c r="M218" s="76"/>
      <c r="N218" s="76"/>
      <c r="O218" s="76"/>
      <c r="P218" s="76"/>
      <c r="Q218" s="76"/>
      <c r="R218" s="76"/>
      <c r="S218" s="76"/>
      <c r="T218" s="76"/>
      <c r="V218" s="120">
        <f t="shared" ref="V218:V264" si="144">$C218</f>
        <v>0</v>
      </c>
      <c r="W218" s="120" t="str">
        <f t="shared" si="140"/>
        <v>:</v>
      </c>
      <c r="Y218" s="35"/>
      <c r="Z218" s="35"/>
      <c r="AA218" s="35"/>
    </row>
    <row r="219" spans="1:27" s="22" customFormat="1" hidden="1" outlineLevel="1" x14ac:dyDescent="0.25">
      <c r="A219" s="120">
        <f t="shared" si="141"/>
        <v>0</v>
      </c>
      <c r="B219" s="231"/>
      <c r="C219" s="231"/>
      <c r="D219" s="231"/>
      <c r="E219" s="231"/>
      <c r="F219" s="231"/>
      <c r="G219" s="231"/>
      <c r="H219" s="76"/>
      <c r="I219" s="232"/>
      <c r="J219" s="76">
        <f t="shared" si="142"/>
        <v>0</v>
      </c>
      <c r="K219" s="76">
        <f t="shared" si="143"/>
        <v>0</v>
      </c>
      <c r="L219" s="76"/>
      <c r="M219" s="76"/>
      <c r="N219" s="76"/>
      <c r="O219" s="76"/>
      <c r="P219" s="76"/>
      <c r="Q219" s="76"/>
      <c r="R219" s="76"/>
      <c r="S219" s="76"/>
      <c r="T219" s="76"/>
      <c r="V219" s="120">
        <f t="shared" si="144"/>
        <v>0</v>
      </c>
      <c r="Y219" s="35"/>
      <c r="Z219" s="35"/>
      <c r="AA219" s="35"/>
    </row>
    <row r="220" spans="1:27" s="22" customFormat="1" hidden="1" outlineLevel="1" x14ac:dyDescent="0.25">
      <c r="A220" s="120">
        <f t="shared" si="141"/>
        <v>0</v>
      </c>
      <c r="B220" s="231"/>
      <c r="C220" s="231"/>
      <c r="D220" s="231"/>
      <c r="E220" s="231"/>
      <c r="F220" s="231"/>
      <c r="G220" s="231"/>
      <c r="H220" s="76"/>
      <c r="I220" s="232"/>
      <c r="J220" s="76">
        <f t="shared" si="142"/>
        <v>0</v>
      </c>
      <c r="K220" s="76">
        <f t="shared" si="143"/>
        <v>0</v>
      </c>
      <c r="L220" s="76"/>
      <c r="M220" s="76"/>
      <c r="N220" s="76"/>
      <c r="O220" s="76"/>
      <c r="P220" s="76"/>
      <c r="Q220" s="76"/>
      <c r="R220" s="76"/>
      <c r="S220" s="76"/>
      <c r="T220" s="76"/>
      <c r="V220" s="120">
        <f t="shared" si="144"/>
        <v>0</v>
      </c>
      <c r="Y220" s="35"/>
      <c r="Z220" s="35"/>
      <c r="AA220" s="35"/>
    </row>
    <row r="221" spans="1:27" s="22" customFormat="1" hidden="1" outlineLevel="1" x14ac:dyDescent="0.25">
      <c r="A221" s="120">
        <f t="shared" si="141"/>
        <v>0</v>
      </c>
      <c r="B221" s="231"/>
      <c r="C221" s="231"/>
      <c r="D221" s="231"/>
      <c r="E221" s="231"/>
      <c r="F221" s="231"/>
      <c r="G221" s="231"/>
      <c r="H221" s="76"/>
      <c r="I221" s="232"/>
      <c r="J221" s="76">
        <f t="shared" si="142"/>
        <v>0</v>
      </c>
      <c r="K221" s="76">
        <f t="shared" si="143"/>
        <v>0</v>
      </c>
      <c r="L221" s="76"/>
      <c r="M221" s="76"/>
      <c r="N221" s="76"/>
      <c r="O221" s="76"/>
      <c r="P221" s="76"/>
      <c r="Q221" s="76"/>
      <c r="R221" s="76"/>
      <c r="S221" s="76"/>
      <c r="T221" s="76"/>
      <c r="V221" s="120">
        <f t="shared" si="144"/>
        <v>0</v>
      </c>
      <c r="Y221" s="35"/>
      <c r="Z221" s="35"/>
      <c r="AA221" s="35"/>
    </row>
    <row r="222" spans="1:27" s="22" customFormat="1" hidden="1" outlineLevel="1" x14ac:dyDescent="0.25">
      <c r="A222" s="120">
        <f t="shared" si="141"/>
        <v>0</v>
      </c>
      <c r="B222" s="231"/>
      <c r="C222" s="231"/>
      <c r="D222" s="231"/>
      <c r="E222" s="231"/>
      <c r="F222" s="231"/>
      <c r="G222" s="231"/>
      <c r="H222" s="76"/>
      <c r="I222" s="232"/>
      <c r="J222" s="76">
        <f t="shared" si="142"/>
        <v>0</v>
      </c>
      <c r="K222" s="76">
        <f t="shared" si="143"/>
        <v>0</v>
      </c>
      <c r="L222" s="76"/>
      <c r="M222" s="76"/>
      <c r="N222" s="76"/>
      <c r="O222" s="76"/>
      <c r="P222" s="76"/>
      <c r="Q222" s="76"/>
      <c r="R222" s="76"/>
      <c r="S222" s="76"/>
      <c r="T222" s="76"/>
      <c r="V222" s="120">
        <f t="shared" si="144"/>
        <v>0</v>
      </c>
      <c r="Y222" s="35"/>
      <c r="Z222" s="35"/>
      <c r="AA222" s="35"/>
    </row>
    <row r="223" spans="1:27" s="22" customFormat="1" hidden="1" outlineLevel="1" x14ac:dyDescent="0.25">
      <c r="A223" s="120">
        <f t="shared" si="141"/>
        <v>0</v>
      </c>
      <c r="B223" s="231"/>
      <c r="C223" s="231"/>
      <c r="D223" s="231"/>
      <c r="E223" s="231"/>
      <c r="F223" s="231"/>
      <c r="G223" s="231"/>
      <c r="H223" s="76"/>
      <c r="I223" s="232"/>
      <c r="J223" s="76">
        <f t="shared" si="142"/>
        <v>0</v>
      </c>
      <c r="K223" s="76">
        <f t="shared" si="143"/>
        <v>0</v>
      </c>
      <c r="L223" s="76"/>
      <c r="M223" s="76"/>
      <c r="N223" s="76"/>
      <c r="O223" s="76"/>
      <c r="P223" s="76"/>
      <c r="Q223" s="76"/>
      <c r="R223" s="76"/>
      <c r="S223" s="76"/>
      <c r="T223" s="76"/>
      <c r="V223" s="120">
        <f t="shared" si="144"/>
        <v>0</v>
      </c>
      <c r="Y223" s="35"/>
      <c r="Z223" s="35"/>
      <c r="AA223" s="35"/>
    </row>
    <row r="224" spans="1:27" s="22" customFormat="1" hidden="1" outlineLevel="1" x14ac:dyDescent="0.25">
      <c r="A224" s="120">
        <f t="shared" si="141"/>
        <v>0</v>
      </c>
      <c r="B224" s="231"/>
      <c r="C224" s="231"/>
      <c r="D224" s="231"/>
      <c r="E224" s="231"/>
      <c r="F224" s="231"/>
      <c r="G224" s="231"/>
      <c r="H224" s="76"/>
      <c r="I224" s="232"/>
      <c r="J224" s="76">
        <f t="shared" si="142"/>
        <v>0</v>
      </c>
      <c r="K224" s="76">
        <f t="shared" si="143"/>
        <v>0</v>
      </c>
      <c r="L224" s="76"/>
      <c r="M224" s="76"/>
      <c r="N224" s="76"/>
      <c r="O224" s="76"/>
      <c r="P224" s="76"/>
      <c r="Q224" s="76"/>
      <c r="R224" s="76"/>
      <c r="S224" s="76"/>
      <c r="T224" s="76"/>
      <c r="V224" s="120">
        <f t="shared" si="144"/>
        <v>0</v>
      </c>
      <c r="Y224" s="35"/>
      <c r="Z224" s="35"/>
      <c r="AA224" s="35"/>
    </row>
    <row r="225" spans="1:27" s="22" customFormat="1" hidden="1" outlineLevel="1" x14ac:dyDescent="0.25">
      <c r="A225" s="120">
        <f t="shared" si="141"/>
        <v>0</v>
      </c>
      <c r="B225" s="231"/>
      <c r="C225" s="231"/>
      <c r="D225" s="231"/>
      <c r="E225" s="231"/>
      <c r="F225" s="231"/>
      <c r="G225" s="231"/>
      <c r="H225" s="76"/>
      <c r="I225" s="232"/>
      <c r="J225" s="76">
        <f t="shared" si="142"/>
        <v>0</v>
      </c>
      <c r="K225" s="76">
        <f t="shared" si="143"/>
        <v>0</v>
      </c>
      <c r="L225" s="76"/>
      <c r="M225" s="76"/>
      <c r="N225" s="76"/>
      <c r="O225" s="76"/>
      <c r="P225" s="76"/>
      <c r="Q225" s="76"/>
      <c r="R225" s="76"/>
      <c r="S225" s="76"/>
      <c r="T225" s="76"/>
      <c r="V225" s="120">
        <f t="shared" si="144"/>
        <v>0</v>
      </c>
      <c r="W225" s="120" t="str">
        <f t="shared" ref="W225" si="145">$C225 &amp;":"&amp; $B225</f>
        <v>:</v>
      </c>
      <c r="Y225" s="35"/>
      <c r="Z225" s="35"/>
      <c r="AA225" s="35"/>
    </row>
    <row r="226" spans="1:27" s="22" customFormat="1" hidden="1" outlineLevel="1" x14ac:dyDescent="0.25">
      <c r="A226" s="120">
        <f t="shared" si="141"/>
        <v>0</v>
      </c>
      <c r="B226" s="231"/>
      <c r="C226" s="231"/>
      <c r="D226" s="231"/>
      <c r="E226" s="231"/>
      <c r="F226" s="231"/>
      <c r="G226" s="231"/>
      <c r="H226" s="76"/>
      <c r="I226" s="232"/>
      <c r="J226" s="76">
        <f t="shared" si="142"/>
        <v>0</v>
      </c>
      <c r="K226" s="76">
        <f t="shared" si="143"/>
        <v>0</v>
      </c>
      <c r="L226" s="76"/>
      <c r="M226" s="76"/>
      <c r="N226" s="76"/>
      <c r="O226" s="76"/>
      <c r="P226" s="76"/>
      <c r="Q226" s="76"/>
      <c r="R226" s="76"/>
      <c r="S226" s="76"/>
      <c r="T226" s="76"/>
      <c r="V226" s="120">
        <f t="shared" si="144"/>
        <v>0</v>
      </c>
      <c r="Y226" s="35"/>
      <c r="Z226" s="35"/>
      <c r="AA226" s="35"/>
    </row>
    <row r="227" spans="1:27" s="22" customFormat="1" hidden="1" outlineLevel="1" x14ac:dyDescent="0.25">
      <c r="A227" s="120">
        <f t="shared" si="141"/>
        <v>0</v>
      </c>
      <c r="B227" s="231"/>
      <c r="C227" s="231"/>
      <c r="D227" s="231"/>
      <c r="E227" s="231"/>
      <c r="F227" s="231"/>
      <c r="G227" s="231"/>
      <c r="H227" s="76"/>
      <c r="I227" s="232"/>
      <c r="J227" s="76">
        <f t="shared" si="142"/>
        <v>0</v>
      </c>
      <c r="K227" s="76">
        <f t="shared" si="143"/>
        <v>0</v>
      </c>
      <c r="L227" s="76"/>
      <c r="M227" s="76"/>
      <c r="N227" s="76"/>
      <c r="O227" s="76"/>
      <c r="P227" s="76"/>
      <c r="Q227" s="76"/>
      <c r="R227" s="76"/>
      <c r="S227" s="76"/>
      <c r="T227" s="76"/>
      <c r="V227" s="120">
        <f t="shared" si="144"/>
        <v>0</v>
      </c>
      <c r="W227" s="120" t="str">
        <f t="shared" ref="W227" si="146">$C227 &amp;":"&amp; $B227</f>
        <v>:</v>
      </c>
      <c r="Y227" s="35"/>
      <c r="Z227" s="35"/>
      <c r="AA227" s="35"/>
    </row>
    <row r="228" spans="1:27" s="22" customFormat="1" hidden="1" outlineLevel="1" x14ac:dyDescent="0.25">
      <c r="A228" s="120">
        <f t="shared" si="141"/>
        <v>0</v>
      </c>
      <c r="B228" s="231"/>
      <c r="C228" s="231"/>
      <c r="D228" s="231"/>
      <c r="E228" s="231"/>
      <c r="F228" s="231"/>
      <c r="G228" s="231"/>
      <c r="H228" s="76"/>
      <c r="I228" s="232"/>
      <c r="J228" s="76">
        <f t="shared" si="142"/>
        <v>0</v>
      </c>
      <c r="K228" s="76">
        <f t="shared" si="143"/>
        <v>0</v>
      </c>
      <c r="L228" s="76"/>
      <c r="M228" s="76"/>
      <c r="N228" s="76"/>
      <c r="O228" s="76"/>
      <c r="P228" s="76"/>
      <c r="Q228" s="76"/>
      <c r="R228" s="76"/>
      <c r="S228" s="76"/>
      <c r="T228" s="76"/>
      <c r="V228" s="120">
        <f t="shared" si="144"/>
        <v>0</v>
      </c>
      <c r="Y228" s="35"/>
      <c r="Z228" s="35"/>
      <c r="AA228" s="35"/>
    </row>
    <row r="229" spans="1:27" s="22" customFormat="1" hidden="1" outlineLevel="1" x14ac:dyDescent="0.25">
      <c r="A229" s="120">
        <f t="shared" si="141"/>
        <v>0</v>
      </c>
      <c r="B229" s="231"/>
      <c r="C229" s="231"/>
      <c r="D229" s="231"/>
      <c r="E229" s="231"/>
      <c r="F229" s="231"/>
      <c r="G229" s="231"/>
      <c r="H229" s="76"/>
      <c r="I229" s="232"/>
      <c r="J229" s="76">
        <f t="shared" si="142"/>
        <v>0</v>
      </c>
      <c r="K229" s="76">
        <f t="shared" si="143"/>
        <v>0</v>
      </c>
      <c r="L229" s="76"/>
      <c r="M229" s="76"/>
      <c r="N229" s="76"/>
      <c r="O229" s="76"/>
      <c r="P229" s="76"/>
      <c r="Q229" s="76"/>
      <c r="R229" s="76"/>
      <c r="S229" s="76"/>
      <c r="T229" s="76"/>
      <c r="V229" s="120">
        <f t="shared" si="144"/>
        <v>0</v>
      </c>
      <c r="Y229" s="35"/>
      <c r="Z229" s="35"/>
      <c r="AA229" s="35"/>
    </row>
    <row r="230" spans="1:27" s="22" customFormat="1" hidden="1" outlineLevel="1" x14ac:dyDescent="0.25">
      <c r="A230" s="120">
        <f t="shared" si="141"/>
        <v>0</v>
      </c>
      <c r="B230" s="231"/>
      <c r="C230" s="231"/>
      <c r="D230" s="231"/>
      <c r="E230" s="231"/>
      <c r="F230" s="231"/>
      <c r="G230" s="231"/>
      <c r="H230" s="76"/>
      <c r="I230" s="232"/>
      <c r="J230" s="76">
        <f t="shared" si="142"/>
        <v>0</v>
      </c>
      <c r="K230" s="76">
        <f t="shared" si="143"/>
        <v>0</v>
      </c>
      <c r="L230" s="76"/>
      <c r="M230" s="76"/>
      <c r="N230" s="76"/>
      <c r="O230" s="76"/>
      <c r="P230" s="76"/>
      <c r="Q230" s="76"/>
      <c r="R230" s="76"/>
      <c r="S230" s="76"/>
      <c r="T230" s="76"/>
      <c r="V230" s="120">
        <f t="shared" si="144"/>
        <v>0</v>
      </c>
      <c r="Y230" s="35"/>
      <c r="Z230" s="35"/>
      <c r="AA230" s="35"/>
    </row>
    <row r="231" spans="1:27" s="22" customFormat="1" hidden="1" outlineLevel="1" x14ac:dyDescent="0.25">
      <c r="A231" s="120">
        <f t="shared" si="141"/>
        <v>0</v>
      </c>
      <c r="B231" s="231"/>
      <c r="C231" s="231"/>
      <c r="D231" s="231"/>
      <c r="E231" s="231"/>
      <c r="F231" s="231"/>
      <c r="G231" s="231"/>
      <c r="H231" s="76"/>
      <c r="I231" s="232"/>
      <c r="J231" s="76">
        <f t="shared" si="142"/>
        <v>0</v>
      </c>
      <c r="K231" s="76">
        <f t="shared" si="143"/>
        <v>0</v>
      </c>
      <c r="L231" s="76"/>
      <c r="M231" s="76"/>
      <c r="N231" s="76"/>
      <c r="O231" s="76"/>
      <c r="P231" s="76"/>
      <c r="Q231" s="76"/>
      <c r="R231" s="76"/>
      <c r="S231" s="76"/>
      <c r="T231" s="76"/>
      <c r="V231" s="120">
        <f t="shared" si="144"/>
        <v>0</v>
      </c>
      <c r="Y231" s="35"/>
      <c r="Z231" s="35"/>
      <c r="AA231" s="35"/>
    </row>
    <row r="232" spans="1:27" s="22" customFormat="1" hidden="1" outlineLevel="1" x14ac:dyDescent="0.25">
      <c r="A232" s="120">
        <f t="shared" si="141"/>
        <v>0</v>
      </c>
      <c r="B232" s="231"/>
      <c r="C232" s="231"/>
      <c r="D232" s="231"/>
      <c r="E232" s="231"/>
      <c r="F232" s="231"/>
      <c r="G232" s="231"/>
      <c r="H232" s="76"/>
      <c r="I232" s="232"/>
      <c r="J232" s="76">
        <f t="shared" si="142"/>
        <v>0</v>
      </c>
      <c r="K232" s="76">
        <f t="shared" si="143"/>
        <v>0</v>
      </c>
      <c r="L232" s="76"/>
      <c r="M232" s="76"/>
      <c r="N232" s="76"/>
      <c r="O232" s="76"/>
      <c r="P232" s="76"/>
      <c r="Q232" s="76"/>
      <c r="R232" s="76"/>
      <c r="S232" s="76"/>
      <c r="T232" s="76"/>
      <c r="V232" s="120">
        <f t="shared" si="144"/>
        <v>0</v>
      </c>
      <c r="Y232" s="35"/>
      <c r="Z232" s="35"/>
      <c r="AA232" s="35"/>
    </row>
    <row r="233" spans="1:27" s="22" customFormat="1" hidden="1" outlineLevel="1" x14ac:dyDescent="0.25">
      <c r="A233" s="120">
        <f t="shared" si="141"/>
        <v>0</v>
      </c>
      <c r="B233" s="231"/>
      <c r="C233" s="231"/>
      <c r="D233" s="231"/>
      <c r="E233" s="231"/>
      <c r="F233" s="231"/>
      <c r="G233" s="231"/>
      <c r="H233" s="76"/>
      <c r="I233" s="232"/>
      <c r="J233" s="76">
        <f t="shared" si="142"/>
        <v>0</v>
      </c>
      <c r="K233" s="76">
        <f t="shared" si="143"/>
        <v>0</v>
      </c>
      <c r="L233" s="76"/>
      <c r="M233" s="76"/>
      <c r="N233" s="76"/>
      <c r="O233" s="76"/>
      <c r="P233" s="76"/>
      <c r="Q233" s="76"/>
      <c r="R233" s="76"/>
      <c r="S233" s="76"/>
      <c r="T233" s="76"/>
      <c r="V233" s="120">
        <f t="shared" si="144"/>
        <v>0</v>
      </c>
      <c r="Y233" s="35"/>
      <c r="Z233" s="35"/>
      <c r="AA233" s="35"/>
    </row>
    <row r="234" spans="1:27" s="22" customFormat="1" hidden="1" outlineLevel="1" x14ac:dyDescent="0.25">
      <c r="A234" s="120">
        <f t="shared" si="141"/>
        <v>0</v>
      </c>
      <c r="B234" s="231"/>
      <c r="C234" s="231"/>
      <c r="D234" s="231"/>
      <c r="E234" s="231"/>
      <c r="F234" s="231"/>
      <c r="G234" s="231"/>
      <c r="H234" s="76"/>
      <c r="I234" s="232"/>
      <c r="J234" s="76">
        <f t="shared" si="142"/>
        <v>0</v>
      </c>
      <c r="K234" s="76">
        <f t="shared" si="143"/>
        <v>0</v>
      </c>
      <c r="L234" s="76"/>
      <c r="M234" s="76"/>
      <c r="N234" s="76"/>
      <c r="O234" s="76"/>
      <c r="P234" s="76"/>
      <c r="Q234" s="76"/>
      <c r="R234" s="76"/>
      <c r="S234" s="76"/>
      <c r="T234" s="76"/>
      <c r="V234" s="120">
        <f t="shared" si="144"/>
        <v>0</v>
      </c>
      <c r="W234" s="120" t="str">
        <f t="shared" ref="W234" si="147">$C234 &amp;":"&amp; $B234</f>
        <v>:</v>
      </c>
      <c r="Y234" s="35"/>
      <c r="Z234" s="35"/>
      <c r="AA234" s="35"/>
    </row>
    <row r="235" spans="1:27" s="22" customFormat="1" hidden="1" outlineLevel="1" x14ac:dyDescent="0.25">
      <c r="A235" s="120">
        <f t="shared" si="141"/>
        <v>0</v>
      </c>
      <c r="B235" s="231"/>
      <c r="C235" s="231"/>
      <c r="D235" s="231"/>
      <c r="E235" s="231"/>
      <c r="F235" s="231"/>
      <c r="G235" s="231"/>
      <c r="H235" s="76"/>
      <c r="I235" s="232"/>
      <c r="J235" s="76">
        <f t="shared" si="142"/>
        <v>0</v>
      </c>
      <c r="K235" s="76">
        <f t="shared" si="143"/>
        <v>0</v>
      </c>
      <c r="L235" s="76"/>
      <c r="M235" s="76"/>
      <c r="N235" s="76"/>
      <c r="O235" s="76"/>
      <c r="P235" s="76"/>
      <c r="Q235" s="76"/>
      <c r="R235" s="76"/>
      <c r="S235" s="76"/>
      <c r="T235" s="76"/>
      <c r="V235" s="120">
        <f t="shared" si="144"/>
        <v>0</v>
      </c>
      <c r="Y235" s="35"/>
      <c r="Z235" s="35"/>
      <c r="AA235" s="35"/>
    </row>
    <row r="236" spans="1:27" s="22" customFormat="1" hidden="1" outlineLevel="1" x14ac:dyDescent="0.25">
      <c r="A236" s="120">
        <f t="shared" si="141"/>
        <v>0</v>
      </c>
      <c r="B236" s="231"/>
      <c r="C236" s="231"/>
      <c r="D236" s="231"/>
      <c r="E236" s="231"/>
      <c r="F236" s="231"/>
      <c r="G236" s="231"/>
      <c r="H236" s="76"/>
      <c r="I236" s="232"/>
      <c r="J236" s="76">
        <f t="shared" si="142"/>
        <v>0</v>
      </c>
      <c r="K236" s="76">
        <f t="shared" si="143"/>
        <v>0</v>
      </c>
      <c r="L236" s="76"/>
      <c r="M236" s="76"/>
      <c r="N236" s="76"/>
      <c r="O236" s="76"/>
      <c r="P236" s="76"/>
      <c r="Q236" s="76"/>
      <c r="R236" s="76"/>
      <c r="S236" s="76"/>
      <c r="T236" s="76"/>
      <c r="V236" s="120">
        <f t="shared" si="144"/>
        <v>0</v>
      </c>
      <c r="Y236" s="35"/>
      <c r="Z236" s="35"/>
      <c r="AA236" s="35"/>
    </row>
    <row r="237" spans="1:27" s="22" customFormat="1" hidden="1" outlineLevel="1" x14ac:dyDescent="0.25">
      <c r="A237" s="120">
        <f t="shared" si="141"/>
        <v>0</v>
      </c>
      <c r="B237" s="231"/>
      <c r="C237" s="231"/>
      <c r="D237" s="231"/>
      <c r="E237" s="231"/>
      <c r="F237" s="231"/>
      <c r="G237" s="231"/>
      <c r="H237" s="76"/>
      <c r="I237" s="232"/>
      <c r="J237" s="76">
        <f t="shared" si="142"/>
        <v>0</v>
      </c>
      <c r="K237" s="76">
        <f t="shared" si="143"/>
        <v>0</v>
      </c>
      <c r="L237" s="76"/>
      <c r="M237" s="76"/>
      <c r="N237" s="76"/>
      <c r="O237" s="76"/>
      <c r="P237" s="76"/>
      <c r="Q237" s="76"/>
      <c r="R237" s="76"/>
      <c r="S237" s="76"/>
      <c r="T237" s="232"/>
      <c r="V237" s="120">
        <f t="shared" si="144"/>
        <v>0</v>
      </c>
      <c r="Y237" s="35"/>
      <c r="Z237" s="35"/>
      <c r="AA237" s="35"/>
    </row>
    <row r="238" spans="1:27" s="22" customFormat="1" hidden="1" outlineLevel="1" x14ac:dyDescent="0.25">
      <c r="A238" s="120">
        <f t="shared" si="141"/>
        <v>0</v>
      </c>
      <c r="B238" s="231"/>
      <c r="C238" s="231"/>
      <c r="D238" s="231"/>
      <c r="E238" s="231"/>
      <c r="F238" s="231"/>
      <c r="G238" s="231"/>
      <c r="H238" s="76"/>
      <c r="I238" s="232"/>
      <c r="J238" s="76">
        <f t="shared" si="142"/>
        <v>0</v>
      </c>
      <c r="K238" s="76">
        <f t="shared" si="143"/>
        <v>0</v>
      </c>
      <c r="L238" s="76"/>
      <c r="M238" s="76"/>
      <c r="N238" s="76"/>
      <c r="O238" s="76"/>
      <c r="P238" s="76"/>
      <c r="Q238" s="76"/>
      <c r="R238" s="76"/>
      <c r="S238" s="76"/>
      <c r="T238" s="76"/>
      <c r="V238" s="120">
        <f t="shared" si="144"/>
        <v>0</v>
      </c>
      <c r="Y238" s="35"/>
      <c r="Z238" s="35"/>
      <c r="AA238" s="35"/>
    </row>
    <row r="239" spans="1:27" s="22" customFormat="1" hidden="1" outlineLevel="1" x14ac:dyDescent="0.25">
      <c r="A239" s="120">
        <f t="shared" si="141"/>
        <v>0</v>
      </c>
      <c r="B239" s="231"/>
      <c r="C239" s="231"/>
      <c r="D239" s="231"/>
      <c r="E239" s="231"/>
      <c r="F239" s="231"/>
      <c r="G239" s="231"/>
      <c r="H239" s="76"/>
      <c r="I239" s="232"/>
      <c r="J239" s="76">
        <f t="shared" si="142"/>
        <v>0</v>
      </c>
      <c r="K239" s="76">
        <f t="shared" si="143"/>
        <v>0</v>
      </c>
      <c r="L239" s="76"/>
      <c r="M239" s="76"/>
      <c r="N239" s="76"/>
      <c r="O239" s="76"/>
      <c r="P239" s="76"/>
      <c r="Q239" s="76"/>
      <c r="R239" s="76"/>
      <c r="S239" s="76"/>
      <c r="T239" s="76"/>
      <c r="V239" s="120">
        <f t="shared" si="144"/>
        <v>0</v>
      </c>
      <c r="Y239" s="35"/>
      <c r="Z239" s="35"/>
      <c r="AA239" s="35"/>
    </row>
    <row r="240" spans="1:27" s="22" customFormat="1" hidden="1" outlineLevel="1" x14ac:dyDescent="0.25">
      <c r="A240" s="120">
        <f t="shared" si="141"/>
        <v>0</v>
      </c>
      <c r="B240" s="231"/>
      <c r="C240" s="231"/>
      <c r="D240" s="231"/>
      <c r="E240" s="231"/>
      <c r="F240" s="231"/>
      <c r="G240" s="231"/>
      <c r="H240" s="76"/>
      <c r="I240" s="232"/>
      <c r="J240" s="76">
        <f t="shared" si="142"/>
        <v>0</v>
      </c>
      <c r="K240" s="76">
        <f t="shared" si="143"/>
        <v>0</v>
      </c>
      <c r="L240" s="76"/>
      <c r="M240" s="76"/>
      <c r="N240" s="76"/>
      <c r="O240" s="76"/>
      <c r="P240" s="76"/>
      <c r="Q240" s="76"/>
      <c r="R240" s="76"/>
      <c r="S240" s="76"/>
      <c r="T240" s="76"/>
      <c r="V240" s="120">
        <f t="shared" si="144"/>
        <v>0</v>
      </c>
      <c r="Y240" s="35"/>
      <c r="Z240" s="35"/>
      <c r="AA240" s="35"/>
    </row>
    <row r="241" spans="1:27" s="22" customFormat="1" hidden="1" outlineLevel="1" x14ac:dyDescent="0.25">
      <c r="A241" s="120">
        <f t="shared" si="141"/>
        <v>0</v>
      </c>
      <c r="B241" s="231"/>
      <c r="C241" s="231"/>
      <c r="D241" s="231"/>
      <c r="E241" s="231"/>
      <c r="F241" s="231"/>
      <c r="G241" s="231"/>
      <c r="H241" s="76"/>
      <c r="I241" s="232"/>
      <c r="J241" s="76">
        <f t="shared" si="142"/>
        <v>0</v>
      </c>
      <c r="K241" s="76">
        <f t="shared" si="143"/>
        <v>0</v>
      </c>
      <c r="L241" s="76"/>
      <c r="M241" s="76"/>
      <c r="N241" s="76"/>
      <c r="O241" s="76"/>
      <c r="P241" s="76"/>
      <c r="Q241" s="76"/>
      <c r="R241" s="76"/>
      <c r="S241" s="76"/>
      <c r="T241" s="76"/>
      <c r="V241" s="120">
        <f t="shared" si="144"/>
        <v>0</v>
      </c>
      <c r="Y241" s="35"/>
      <c r="Z241" s="35"/>
      <c r="AA241" s="35"/>
    </row>
    <row r="242" spans="1:27" s="22" customFormat="1" hidden="1" outlineLevel="1" x14ac:dyDescent="0.25">
      <c r="A242" s="120">
        <f t="shared" ref="A242:A245" si="148">GETPAYMONTH(B242)</f>
        <v>0</v>
      </c>
      <c r="B242" s="231"/>
      <c r="C242" s="231"/>
      <c r="D242" s="231"/>
      <c r="E242" s="231"/>
      <c r="F242" s="231"/>
      <c r="G242" s="231"/>
      <c r="H242" s="76"/>
      <c r="I242" s="232"/>
      <c r="J242" s="76">
        <f t="shared" ref="J242:J245" si="149">SUM(K242:T242)</f>
        <v>0</v>
      </c>
      <c r="K242" s="76">
        <f t="shared" si="143"/>
        <v>0</v>
      </c>
      <c r="L242" s="76"/>
      <c r="M242" s="76"/>
      <c r="N242" s="76"/>
      <c r="O242" s="76"/>
      <c r="P242" s="76"/>
      <c r="Q242" s="76"/>
      <c r="R242" s="76"/>
      <c r="S242" s="76"/>
      <c r="T242" s="76"/>
      <c r="V242" s="120">
        <f t="shared" si="144"/>
        <v>0</v>
      </c>
      <c r="Y242" s="35"/>
      <c r="Z242" s="35"/>
      <c r="AA242" s="35"/>
    </row>
    <row r="243" spans="1:27" s="22" customFormat="1" hidden="1" outlineLevel="1" x14ac:dyDescent="0.25">
      <c r="A243" s="120">
        <f t="shared" si="148"/>
        <v>0</v>
      </c>
      <c r="B243" s="231"/>
      <c r="C243" s="231"/>
      <c r="D243" s="231"/>
      <c r="E243" s="231"/>
      <c r="F243" s="231"/>
      <c r="G243" s="231"/>
      <c r="H243" s="76"/>
      <c r="I243" s="232"/>
      <c r="J243" s="76">
        <f t="shared" si="149"/>
        <v>0</v>
      </c>
      <c r="K243" s="76">
        <f t="shared" si="143"/>
        <v>0</v>
      </c>
      <c r="L243" s="76"/>
      <c r="M243" s="76"/>
      <c r="N243" s="76"/>
      <c r="O243" s="76"/>
      <c r="P243" s="76"/>
      <c r="Q243" s="76"/>
      <c r="R243" s="76"/>
      <c r="S243" s="76"/>
      <c r="T243" s="76"/>
      <c r="V243" s="120">
        <f t="shared" si="144"/>
        <v>0</v>
      </c>
      <c r="Y243" s="35"/>
      <c r="Z243" s="35"/>
      <c r="AA243" s="35"/>
    </row>
    <row r="244" spans="1:27" s="22" customFormat="1" hidden="1" outlineLevel="1" x14ac:dyDescent="0.25">
      <c r="A244" s="120">
        <f t="shared" si="148"/>
        <v>0</v>
      </c>
      <c r="B244" s="231"/>
      <c r="C244" s="231"/>
      <c r="D244" s="231"/>
      <c r="E244" s="231"/>
      <c r="F244" s="231"/>
      <c r="G244" s="231"/>
      <c r="H244" s="76"/>
      <c r="I244" s="232"/>
      <c r="J244" s="76">
        <f t="shared" si="149"/>
        <v>0</v>
      </c>
      <c r="K244" s="76">
        <f t="shared" si="143"/>
        <v>0</v>
      </c>
      <c r="L244" s="76"/>
      <c r="M244" s="76"/>
      <c r="N244" s="76"/>
      <c r="O244" s="76"/>
      <c r="P244" s="76"/>
      <c r="Q244" s="76"/>
      <c r="R244" s="76"/>
      <c r="S244" s="76"/>
      <c r="T244" s="76"/>
      <c r="V244" s="120">
        <f t="shared" si="144"/>
        <v>0</v>
      </c>
      <c r="Y244" s="35"/>
      <c r="Z244" s="35"/>
      <c r="AA244" s="35"/>
    </row>
    <row r="245" spans="1:27" s="22" customFormat="1" hidden="1" outlineLevel="1" x14ac:dyDescent="0.25">
      <c r="A245" s="120">
        <f t="shared" si="148"/>
        <v>0</v>
      </c>
      <c r="B245" s="231"/>
      <c r="C245" s="231"/>
      <c r="D245" s="231"/>
      <c r="E245" s="231"/>
      <c r="F245" s="231"/>
      <c r="G245" s="231"/>
      <c r="H245" s="76"/>
      <c r="I245" s="232"/>
      <c r="J245" s="76">
        <f t="shared" si="149"/>
        <v>0</v>
      </c>
      <c r="K245" s="76">
        <f t="shared" si="143"/>
        <v>0</v>
      </c>
      <c r="L245" s="76"/>
      <c r="M245" s="76"/>
      <c r="N245" s="76"/>
      <c r="O245" s="76"/>
      <c r="P245" s="76"/>
      <c r="Q245" s="76"/>
      <c r="R245" s="76"/>
      <c r="S245" s="76"/>
      <c r="T245" s="76"/>
      <c r="V245" s="120">
        <f t="shared" si="144"/>
        <v>0</v>
      </c>
      <c r="Y245" s="35"/>
      <c r="Z245" s="35"/>
      <c r="AA245" s="35"/>
    </row>
    <row r="246" spans="1:27" s="22" customFormat="1" hidden="1" outlineLevel="1" x14ac:dyDescent="0.25">
      <c r="A246" s="120">
        <f t="shared" ref="A246:A249" si="150">GETPAYMONTH(B246)</f>
        <v>0</v>
      </c>
      <c r="B246" s="231"/>
      <c r="C246" s="231"/>
      <c r="D246" s="231"/>
      <c r="E246" s="231"/>
      <c r="F246" s="231"/>
      <c r="G246" s="231"/>
      <c r="H246" s="76"/>
      <c r="I246" s="232"/>
      <c r="J246" s="76">
        <f t="shared" ref="J246:J249" si="151">SUM(K246:T246)</f>
        <v>0</v>
      </c>
      <c r="K246" s="76">
        <f t="shared" si="143"/>
        <v>0</v>
      </c>
      <c r="L246" s="76"/>
      <c r="M246" s="76"/>
      <c r="N246" s="76"/>
      <c r="O246" s="76"/>
      <c r="P246" s="76"/>
      <c r="Q246" s="76"/>
      <c r="R246" s="76"/>
      <c r="S246" s="76"/>
      <c r="T246" s="76"/>
      <c r="V246" s="120">
        <f t="shared" si="144"/>
        <v>0</v>
      </c>
      <c r="Y246" s="35"/>
      <c r="Z246" s="35"/>
      <c r="AA246" s="35"/>
    </row>
    <row r="247" spans="1:27" s="22" customFormat="1" hidden="1" outlineLevel="1" x14ac:dyDescent="0.25">
      <c r="A247" s="120">
        <f t="shared" si="150"/>
        <v>0</v>
      </c>
      <c r="B247" s="231"/>
      <c r="C247" s="231"/>
      <c r="D247" s="231"/>
      <c r="E247" s="231"/>
      <c r="F247" s="231"/>
      <c r="G247" s="231"/>
      <c r="H247" s="76"/>
      <c r="I247" s="232"/>
      <c r="J247" s="76">
        <f t="shared" si="151"/>
        <v>0</v>
      </c>
      <c r="K247" s="76">
        <f t="shared" si="143"/>
        <v>0</v>
      </c>
      <c r="L247" s="76"/>
      <c r="M247" s="76"/>
      <c r="N247" s="76"/>
      <c r="O247" s="76"/>
      <c r="P247" s="76"/>
      <c r="Q247" s="76"/>
      <c r="R247" s="76"/>
      <c r="S247" s="76"/>
      <c r="T247" s="76"/>
      <c r="V247" s="120">
        <f t="shared" si="144"/>
        <v>0</v>
      </c>
      <c r="Y247" s="35"/>
      <c r="Z247" s="35"/>
      <c r="AA247" s="35"/>
    </row>
    <row r="248" spans="1:27" s="22" customFormat="1" hidden="1" outlineLevel="1" x14ac:dyDescent="0.25">
      <c r="A248" s="120">
        <f t="shared" si="150"/>
        <v>0</v>
      </c>
      <c r="B248" s="231"/>
      <c r="C248" s="231"/>
      <c r="D248" s="231"/>
      <c r="E248" s="231"/>
      <c r="F248" s="231"/>
      <c r="G248" s="231"/>
      <c r="H248" s="76"/>
      <c r="I248" s="232"/>
      <c r="J248" s="76">
        <f t="shared" si="151"/>
        <v>0</v>
      </c>
      <c r="K248" s="76">
        <f t="shared" si="143"/>
        <v>0</v>
      </c>
      <c r="L248" s="76"/>
      <c r="M248" s="76"/>
      <c r="N248" s="76"/>
      <c r="O248" s="76"/>
      <c r="P248" s="76"/>
      <c r="Q248" s="76"/>
      <c r="R248" s="76"/>
      <c r="S248" s="76"/>
      <c r="T248" s="76"/>
      <c r="V248" s="120">
        <f t="shared" si="144"/>
        <v>0</v>
      </c>
      <c r="Y248" s="35"/>
      <c r="Z248" s="35"/>
      <c r="AA248" s="35"/>
    </row>
    <row r="249" spans="1:27" s="22" customFormat="1" hidden="1" outlineLevel="1" x14ac:dyDescent="0.25">
      <c r="A249" s="120">
        <f t="shared" si="150"/>
        <v>0</v>
      </c>
      <c r="B249" s="231"/>
      <c r="C249" s="231"/>
      <c r="D249" s="231"/>
      <c r="E249" s="231"/>
      <c r="F249" s="231"/>
      <c r="G249" s="231"/>
      <c r="H249" s="76"/>
      <c r="I249" s="232"/>
      <c r="J249" s="76">
        <f t="shared" si="151"/>
        <v>0</v>
      </c>
      <c r="K249" s="76">
        <f t="shared" si="143"/>
        <v>0</v>
      </c>
      <c r="L249" s="76"/>
      <c r="M249" s="76"/>
      <c r="N249" s="76"/>
      <c r="O249" s="76"/>
      <c r="P249" s="76"/>
      <c r="Q249" s="76"/>
      <c r="R249" s="76"/>
      <c r="S249" s="76"/>
      <c r="T249" s="76"/>
      <c r="V249" s="120">
        <f t="shared" si="144"/>
        <v>0</v>
      </c>
      <c r="Y249" s="35"/>
      <c r="Z249" s="35"/>
      <c r="AA249" s="35"/>
    </row>
    <row r="250" spans="1:27" s="22" customFormat="1" hidden="1" outlineLevel="1" x14ac:dyDescent="0.25">
      <c r="A250" s="120">
        <f t="shared" si="141"/>
        <v>0</v>
      </c>
      <c r="B250" s="231"/>
      <c r="C250" s="231"/>
      <c r="D250" s="231"/>
      <c r="E250" s="231"/>
      <c r="F250" s="231"/>
      <c r="G250" s="231"/>
      <c r="H250" s="76"/>
      <c r="I250" s="232"/>
      <c r="J250" s="76">
        <f t="shared" si="142"/>
        <v>0</v>
      </c>
      <c r="K250" s="76">
        <f t="shared" si="143"/>
        <v>0</v>
      </c>
      <c r="L250" s="76"/>
      <c r="M250" s="76"/>
      <c r="N250" s="76"/>
      <c r="O250" s="76"/>
      <c r="P250" s="76"/>
      <c r="Q250" s="76"/>
      <c r="R250" s="76"/>
      <c r="S250" s="76"/>
      <c r="T250" s="76"/>
      <c r="V250" s="120">
        <f t="shared" si="144"/>
        <v>0</v>
      </c>
      <c r="Y250" s="35"/>
      <c r="Z250" s="35"/>
      <c r="AA250" s="35"/>
    </row>
    <row r="251" spans="1:27" s="22" customFormat="1" hidden="1" outlineLevel="1" x14ac:dyDescent="0.25">
      <c r="A251" s="120">
        <f t="shared" si="141"/>
        <v>0</v>
      </c>
      <c r="B251" s="231"/>
      <c r="C251" s="231"/>
      <c r="D251" s="231"/>
      <c r="E251" s="231"/>
      <c r="F251" s="231"/>
      <c r="G251" s="231"/>
      <c r="H251" s="76"/>
      <c r="I251" s="232"/>
      <c r="J251" s="76">
        <f t="shared" si="142"/>
        <v>0</v>
      </c>
      <c r="K251" s="76">
        <f t="shared" si="143"/>
        <v>0</v>
      </c>
      <c r="L251" s="76"/>
      <c r="M251" s="76"/>
      <c r="N251" s="76"/>
      <c r="O251" s="76"/>
      <c r="P251" s="76"/>
      <c r="Q251" s="76"/>
      <c r="R251" s="76"/>
      <c r="S251" s="76"/>
      <c r="T251" s="76"/>
      <c r="V251" s="120">
        <f t="shared" si="144"/>
        <v>0</v>
      </c>
      <c r="Y251" s="35"/>
      <c r="Z251" s="35"/>
      <c r="AA251" s="35"/>
    </row>
    <row r="252" spans="1:27" s="22" customFormat="1" hidden="1" outlineLevel="1" x14ac:dyDescent="0.25">
      <c r="A252" s="120">
        <f t="shared" ref="A252:A255" si="152">GETPAYMONTH(B252)</f>
        <v>0</v>
      </c>
      <c r="B252" s="231"/>
      <c r="C252" s="231"/>
      <c r="D252" s="231"/>
      <c r="E252" s="231"/>
      <c r="F252" s="231"/>
      <c r="G252" s="231"/>
      <c r="H252" s="76"/>
      <c r="I252" s="232"/>
      <c r="J252" s="76">
        <f t="shared" ref="J252:J255" si="153">SUM(K252:T252)</f>
        <v>0</v>
      </c>
      <c r="K252" s="76">
        <f t="shared" si="143"/>
        <v>0</v>
      </c>
      <c r="L252" s="76"/>
      <c r="M252" s="76"/>
      <c r="N252" s="76"/>
      <c r="O252" s="76"/>
      <c r="P252" s="76"/>
      <c r="Q252" s="76"/>
      <c r="R252" s="76"/>
      <c r="S252" s="76"/>
      <c r="T252" s="76"/>
      <c r="V252" s="120">
        <f t="shared" si="144"/>
        <v>0</v>
      </c>
      <c r="Y252" s="35"/>
      <c r="Z252" s="35"/>
      <c r="AA252" s="35"/>
    </row>
    <row r="253" spans="1:27" s="22" customFormat="1" hidden="1" outlineLevel="1" x14ac:dyDescent="0.25">
      <c r="A253" s="120">
        <f t="shared" si="152"/>
        <v>0</v>
      </c>
      <c r="B253" s="231"/>
      <c r="C253" s="231"/>
      <c r="D253" s="231"/>
      <c r="E253" s="231"/>
      <c r="F253" s="231"/>
      <c r="G253" s="231"/>
      <c r="H253" s="76"/>
      <c r="I253" s="232"/>
      <c r="J253" s="76">
        <f t="shared" si="153"/>
        <v>0</v>
      </c>
      <c r="K253" s="76">
        <f t="shared" si="143"/>
        <v>0</v>
      </c>
      <c r="L253" s="76"/>
      <c r="M253" s="76"/>
      <c r="N253" s="76"/>
      <c r="O253" s="76"/>
      <c r="P253" s="76"/>
      <c r="Q253" s="76"/>
      <c r="R253" s="76"/>
      <c r="S253" s="76"/>
      <c r="T253" s="76"/>
      <c r="V253" s="120">
        <f t="shared" si="144"/>
        <v>0</v>
      </c>
      <c r="Y253" s="35"/>
      <c r="Z253" s="35"/>
      <c r="AA253" s="35"/>
    </row>
    <row r="254" spans="1:27" s="22" customFormat="1" hidden="1" outlineLevel="1" x14ac:dyDescent="0.25">
      <c r="A254" s="120">
        <f t="shared" si="152"/>
        <v>0</v>
      </c>
      <c r="B254" s="231"/>
      <c r="C254" s="231"/>
      <c r="D254" s="231"/>
      <c r="E254" s="231"/>
      <c r="F254" s="231"/>
      <c r="G254" s="231"/>
      <c r="H254" s="76"/>
      <c r="I254" s="232"/>
      <c r="J254" s="76">
        <f t="shared" si="153"/>
        <v>0</v>
      </c>
      <c r="K254" s="76">
        <f t="shared" si="143"/>
        <v>0</v>
      </c>
      <c r="L254" s="76"/>
      <c r="M254" s="76"/>
      <c r="N254" s="76"/>
      <c r="O254" s="76"/>
      <c r="P254" s="76"/>
      <c r="Q254" s="76"/>
      <c r="R254" s="76"/>
      <c r="S254" s="76"/>
      <c r="T254" s="76"/>
      <c r="V254" s="120">
        <f t="shared" si="144"/>
        <v>0</v>
      </c>
      <c r="Y254" s="35"/>
      <c r="Z254" s="35"/>
      <c r="AA254" s="35"/>
    </row>
    <row r="255" spans="1:27" s="22" customFormat="1" hidden="1" outlineLevel="1" x14ac:dyDescent="0.25">
      <c r="A255" s="120">
        <f t="shared" si="152"/>
        <v>0</v>
      </c>
      <c r="B255" s="231"/>
      <c r="C255" s="231"/>
      <c r="D255" s="231"/>
      <c r="E255" s="231"/>
      <c r="F255" s="231"/>
      <c r="G255" s="231"/>
      <c r="H255" s="76"/>
      <c r="I255" s="232"/>
      <c r="J255" s="76">
        <f t="shared" si="153"/>
        <v>0</v>
      </c>
      <c r="K255" s="76">
        <f t="shared" si="143"/>
        <v>0</v>
      </c>
      <c r="L255" s="76"/>
      <c r="M255" s="76"/>
      <c r="N255" s="76"/>
      <c r="O255" s="76"/>
      <c r="P255" s="76"/>
      <c r="Q255" s="76"/>
      <c r="R255" s="76"/>
      <c r="S255" s="76"/>
      <c r="T255" s="76"/>
      <c r="V255" s="120">
        <f t="shared" si="144"/>
        <v>0</v>
      </c>
      <c r="Y255" s="35"/>
      <c r="Z255" s="35"/>
      <c r="AA255" s="35"/>
    </row>
    <row r="256" spans="1:27" s="22" customFormat="1" hidden="1" outlineLevel="1" x14ac:dyDescent="0.25">
      <c r="A256" s="120">
        <f t="shared" si="141"/>
        <v>0</v>
      </c>
      <c r="B256" s="231"/>
      <c r="C256" s="231"/>
      <c r="D256" s="231"/>
      <c r="E256" s="231"/>
      <c r="F256" s="231"/>
      <c r="G256" s="231"/>
      <c r="H256" s="76"/>
      <c r="I256" s="232"/>
      <c r="J256" s="76">
        <f t="shared" si="142"/>
        <v>0</v>
      </c>
      <c r="K256" s="76">
        <f t="shared" si="143"/>
        <v>0</v>
      </c>
      <c r="L256" s="76"/>
      <c r="M256" s="76"/>
      <c r="N256" s="76"/>
      <c r="O256" s="76"/>
      <c r="P256" s="76"/>
      <c r="Q256" s="76"/>
      <c r="R256" s="76"/>
      <c r="S256" s="76"/>
      <c r="T256" s="76"/>
      <c r="V256" s="120">
        <f t="shared" si="144"/>
        <v>0</v>
      </c>
      <c r="Y256" s="35"/>
      <c r="Z256" s="35"/>
      <c r="AA256" s="35"/>
    </row>
    <row r="257" spans="1:27" s="22" customFormat="1" hidden="1" outlineLevel="1" x14ac:dyDescent="0.25">
      <c r="A257" s="120">
        <f t="shared" si="141"/>
        <v>0</v>
      </c>
      <c r="B257" s="231"/>
      <c r="C257" s="231"/>
      <c r="D257" s="231"/>
      <c r="E257" s="231"/>
      <c r="F257" s="231"/>
      <c r="G257" s="231"/>
      <c r="H257" s="76"/>
      <c r="I257" s="232"/>
      <c r="J257" s="76">
        <f t="shared" si="142"/>
        <v>0</v>
      </c>
      <c r="K257" s="76">
        <f t="shared" si="143"/>
        <v>0</v>
      </c>
      <c r="L257" s="76"/>
      <c r="M257" s="76"/>
      <c r="N257" s="76"/>
      <c r="O257" s="76"/>
      <c r="P257" s="76"/>
      <c r="Q257" s="76"/>
      <c r="R257" s="76"/>
      <c r="S257" s="76"/>
      <c r="T257" s="76"/>
      <c r="V257" s="120">
        <f t="shared" si="144"/>
        <v>0</v>
      </c>
      <c r="Y257" s="35"/>
      <c r="Z257" s="35"/>
      <c r="AA257" s="35"/>
    </row>
    <row r="258" spans="1:27" s="22" customFormat="1" hidden="1" outlineLevel="1" x14ac:dyDescent="0.25">
      <c r="A258" s="120">
        <f t="shared" ref="A258:A259" si="154">GETPAYMONTH(B258)</f>
        <v>0</v>
      </c>
      <c r="B258" s="231"/>
      <c r="C258" s="231"/>
      <c r="D258" s="231"/>
      <c r="E258" s="231"/>
      <c r="F258" s="231"/>
      <c r="G258" s="231"/>
      <c r="H258" s="76"/>
      <c r="I258" s="232"/>
      <c r="J258" s="76">
        <f t="shared" ref="J258:J259" si="155">SUM(K258:T258)</f>
        <v>0</v>
      </c>
      <c r="K258" s="76">
        <f t="shared" si="143"/>
        <v>0</v>
      </c>
      <c r="L258" s="76"/>
      <c r="M258" s="76"/>
      <c r="N258" s="76"/>
      <c r="O258" s="76"/>
      <c r="P258" s="76"/>
      <c r="Q258" s="76"/>
      <c r="R258" s="76"/>
      <c r="S258" s="76"/>
      <c r="T258" s="76"/>
      <c r="V258" s="120">
        <f t="shared" si="144"/>
        <v>0</v>
      </c>
      <c r="Y258" s="35"/>
      <c r="Z258" s="35"/>
      <c r="AA258" s="35"/>
    </row>
    <row r="259" spans="1:27" s="22" customFormat="1" hidden="1" outlineLevel="1" x14ac:dyDescent="0.25">
      <c r="A259" s="120">
        <f t="shared" si="154"/>
        <v>0</v>
      </c>
      <c r="B259" s="231"/>
      <c r="C259" s="231"/>
      <c r="D259" s="231"/>
      <c r="E259" s="231"/>
      <c r="F259" s="231"/>
      <c r="G259" s="231"/>
      <c r="H259" s="76"/>
      <c r="I259" s="232"/>
      <c r="J259" s="76">
        <f t="shared" si="155"/>
        <v>0</v>
      </c>
      <c r="K259" s="76">
        <f t="shared" si="143"/>
        <v>0</v>
      </c>
      <c r="L259" s="76"/>
      <c r="M259" s="76"/>
      <c r="N259" s="76"/>
      <c r="O259" s="76"/>
      <c r="P259" s="76"/>
      <c r="Q259" s="76"/>
      <c r="R259" s="76"/>
      <c r="S259" s="76"/>
      <c r="T259" s="76"/>
      <c r="V259" s="120">
        <f t="shared" si="144"/>
        <v>0</v>
      </c>
      <c r="Y259" s="35"/>
      <c r="Z259" s="35"/>
      <c r="AA259" s="35"/>
    </row>
    <row r="260" spans="1:27" s="22" customFormat="1" hidden="1" outlineLevel="1" x14ac:dyDescent="0.25">
      <c r="A260" s="120">
        <f t="shared" ref="A260:A261" si="156">GETPAYMONTH(B260)</f>
        <v>0</v>
      </c>
      <c r="B260" s="231"/>
      <c r="C260" s="231"/>
      <c r="D260" s="231"/>
      <c r="E260" s="231"/>
      <c r="F260" s="231"/>
      <c r="G260" s="231"/>
      <c r="H260" s="76"/>
      <c r="I260" s="232"/>
      <c r="J260" s="76">
        <f t="shared" ref="J260:J261" si="157">SUM(K260:T260)</f>
        <v>0</v>
      </c>
      <c r="K260" s="76">
        <f t="shared" si="143"/>
        <v>0</v>
      </c>
      <c r="L260" s="76"/>
      <c r="M260" s="76"/>
      <c r="N260" s="76"/>
      <c r="O260" s="76"/>
      <c r="P260" s="76"/>
      <c r="Q260" s="76"/>
      <c r="R260" s="76"/>
      <c r="S260" s="76"/>
      <c r="T260" s="76"/>
      <c r="V260" s="120">
        <f t="shared" si="144"/>
        <v>0</v>
      </c>
      <c r="Y260" s="35"/>
      <c r="Z260" s="35"/>
      <c r="AA260" s="35"/>
    </row>
    <row r="261" spans="1:27" s="22" customFormat="1" hidden="1" outlineLevel="1" x14ac:dyDescent="0.25">
      <c r="A261" s="120">
        <f t="shared" si="156"/>
        <v>0</v>
      </c>
      <c r="B261" s="231"/>
      <c r="C261" s="231"/>
      <c r="D261" s="231"/>
      <c r="E261" s="231"/>
      <c r="F261" s="231"/>
      <c r="G261" s="231"/>
      <c r="H261" s="76"/>
      <c r="I261" s="232"/>
      <c r="J261" s="76">
        <f t="shared" si="157"/>
        <v>0</v>
      </c>
      <c r="K261" s="76">
        <f t="shared" si="143"/>
        <v>0</v>
      </c>
      <c r="L261" s="76"/>
      <c r="M261" s="76"/>
      <c r="N261" s="76"/>
      <c r="O261" s="76"/>
      <c r="P261" s="76"/>
      <c r="Q261" s="76"/>
      <c r="R261" s="76"/>
      <c r="S261" s="76"/>
      <c r="T261" s="76"/>
      <c r="V261" s="120">
        <f t="shared" si="144"/>
        <v>0</v>
      </c>
      <c r="Y261" s="35"/>
      <c r="Z261" s="35"/>
      <c r="AA261" s="35"/>
    </row>
    <row r="262" spans="1:27" s="22" customFormat="1" hidden="1" outlineLevel="1" x14ac:dyDescent="0.25">
      <c r="A262" s="120">
        <f t="shared" si="141"/>
        <v>0</v>
      </c>
      <c r="B262" s="231"/>
      <c r="C262" s="231"/>
      <c r="D262" s="231"/>
      <c r="E262" s="231"/>
      <c r="F262" s="231"/>
      <c r="G262" s="231"/>
      <c r="H262" s="76"/>
      <c r="I262" s="232"/>
      <c r="J262" s="76">
        <f t="shared" si="142"/>
        <v>0</v>
      </c>
      <c r="K262" s="76">
        <f t="shared" si="143"/>
        <v>0</v>
      </c>
      <c r="L262" s="76"/>
      <c r="M262" s="76"/>
      <c r="N262" s="76"/>
      <c r="O262" s="76"/>
      <c r="P262" s="76"/>
      <c r="Q262" s="76"/>
      <c r="R262" s="76"/>
      <c r="S262" s="76"/>
      <c r="T262" s="76"/>
      <c r="V262" s="120">
        <f t="shared" si="144"/>
        <v>0</v>
      </c>
      <c r="Y262" s="35"/>
      <c r="Z262" s="35"/>
      <c r="AA262" s="35"/>
    </row>
    <row r="263" spans="1:27" s="22" customFormat="1" hidden="1" outlineLevel="1" x14ac:dyDescent="0.25">
      <c r="A263" s="120">
        <f t="shared" si="141"/>
        <v>0</v>
      </c>
      <c r="B263" s="231"/>
      <c r="C263" s="231"/>
      <c r="D263" s="231"/>
      <c r="E263" s="231"/>
      <c r="F263" s="231"/>
      <c r="G263" s="231"/>
      <c r="H263" s="76"/>
      <c r="I263" s="232"/>
      <c r="J263" s="76">
        <f t="shared" si="142"/>
        <v>0</v>
      </c>
      <c r="K263" s="76">
        <f t="shared" si="143"/>
        <v>0</v>
      </c>
      <c r="L263" s="76"/>
      <c r="M263" s="76"/>
      <c r="N263" s="76"/>
      <c r="O263" s="76"/>
      <c r="P263" s="76"/>
      <c r="Q263" s="76"/>
      <c r="R263" s="76"/>
      <c r="S263" s="76"/>
      <c r="T263" s="76"/>
      <c r="V263" s="120">
        <f t="shared" si="144"/>
        <v>0</v>
      </c>
      <c r="Y263" s="35"/>
      <c r="Z263" s="35"/>
      <c r="AA263" s="35"/>
    </row>
    <row r="264" spans="1:27" s="22" customFormat="1" hidden="1" x14ac:dyDescent="0.25">
      <c r="A264" s="120"/>
      <c r="B264" s="231"/>
      <c r="C264" s="231"/>
      <c r="D264" s="231"/>
      <c r="E264" s="231"/>
      <c r="F264" s="231"/>
      <c r="G264" s="231"/>
      <c r="H264" s="78"/>
      <c r="I264" s="232"/>
      <c r="J264" s="76">
        <f t="shared" si="142"/>
        <v>0</v>
      </c>
      <c r="K264" s="76">
        <f t="shared" si="143"/>
        <v>0</v>
      </c>
      <c r="L264" s="76"/>
      <c r="M264" s="76"/>
      <c r="N264" s="76"/>
      <c r="O264" s="76"/>
      <c r="P264" s="76"/>
      <c r="Q264" s="76"/>
      <c r="R264" s="76"/>
      <c r="S264" s="76"/>
      <c r="T264" s="76"/>
      <c r="V264" s="120">
        <f t="shared" si="144"/>
        <v>0</v>
      </c>
      <c r="Y264" s="35"/>
      <c r="Z264" s="35"/>
      <c r="AA264" s="35"/>
    </row>
    <row r="265" spans="1:27" s="35" customFormat="1" x14ac:dyDescent="0.25">
      <c r="A265" s="131" t="s">
        <v>509</v>
      </c>
      <c r="B265" s="235"/>
      <c r="C265" s="264" t="str">
        <f>EmpID</f>
        <v>VAK</v>
      </c>
      <c r="D265" s="235"/>
      <c r="E265" s="235"/>
      <c r="F265" s="346"/>
      <c r="G265" s="235"/>
      <c r="H265" s="235"/>
      <c r="I265" s="132"/>
      <c r="J265" s="132">
        <f ca="1">SUM(S265:T265)</f>
        <v>1461.6499999999978</v>
      </c>
      <c r="K265" s="132"/>
      <c r="L265" s="132"/>
      <c r="M265" s="132">
        <f ca="1">M19-SUMIF(payEmpPay,EmpID,M155:M264)</f>
        <v>2040.69</v>
      </c>
      <c r="N265" s="132">
        <f ca="1">N19-SUMIF(payEmpPay,EmpID,N155:N264)</f>
        <v>0</v>
      </c>
      <c r="O265" s="132"/>
      <c r="P265" s="132"/>
      <c r="Q265" s="132"/>
      <c r="R265" s="132"/>
      <c r="S265" s="132">
        <f ca="1">S19-SUMIF(payEmpPay,EmpID,S155:S264)</f>
        <v>1461.6499999999978</v>
      </c>
      <c r="T265" s="132">
        <f ca="1">T19-SUMIF(payEmpPay,EmpID,T155:T264)</f>
        <v>0</v>
      </c>
    </row>
    <row r="266" spans="1:27" hidden="1" x14ac:dyDescent="0.25">
      <c r="F266"/>
    </row>
    <row r="267" spans="1:27" ht="22.8" x14ac:dyDescent="0.4">
      <c r="A267" s="254"/>
      <c r="B267" s="255"/>
      <c r="C267" s="256" t="str">
        <f>EmpID</f>
        <v>VAK</v>
      </c>
      <c r="D267" s="255"/>
      <c r="E267" s="219"/>
      <c r="F267" s="145"/>
      <c r="G267" s="255"/>
      <c r="H267" s="219"/>
      <c r="I267" s="66"/>
      <c r="J267" s="221" t="s">
        <v>510</v>
      </c>
      <c r="K267" s="66"/>
      <c r="L267" s="66"/>
      <c r="M267" s="66"/>
      <c r="N267" s="66"/>
      <c r="O267" s="66"/>
      <c r="P267" s="66"/>
      <c r="Q267" s="66"/>
      <c r="R267" s="66"/>
      <c r="S267" s="66"/>
      <c r="T267" s="66"/>
      <c r="V267" s="66" t="s">
        <v>465</v>
      </c>
      <c r="W267" s="66" t="s">
        <v>31</v>
      </c>
      <c r="Y267" s="224"/>
      <c r="Z267" s="224"/>
      <c r="AA267" s="224"/>
    </row>
    <row r="268" spans="1:27" s="224" customFormat="1" ht="13.8" thickBot="1" x14ac:dyDescent="0.3">
      <c r="A268" s="222"/>
      <c r="B268" s="156"/>
      <c r="C268" s="263" t="str">
        <f>EmpID</f>
        <v>VAK</v>
      </c>
      <c r="D268" s="156"/>
      <c r="E268" s="156" t="s">
        <v>511</v>
      </c>
      <c r="F268" s="380"/>
      <c r="G268" s="156"/>
      <c r="H268" s="156" t="s">
        <v>512</v>
      </c>
      <c r="I268" s="156" t="s">
        <v>460</v>
      </c>
      <c r="J268" s="156" t="s">
        <v>513</v>
      </c>
      <c r="K268" s="156" t="s">
        <v>451</v>
      </c>
      <c r="L268" s="156" t="s">
        <v>452</v>
      </c>
      <c r="M268" s="156"/>
      <c r="N268" s="156" t="s">
        <v>454</v>
      </c>
      <c r="O268" s="156" t="s">
        <v>514</v>
      </c>
      <c r="P268" s="156" t="s">
        <v>515</v>
      </c>
      <c r="Q268" s="156"/>
      <c r="R268" s="156" t="s">
        <v>516</v>
      </c>
      <c r="S268" s="156" t="s">
        <v>517</v>
      </c>
      <c r="T268" s="156" t="s">
        <v>460</v>
      </c>
      <c r="V268" s="156" t="s">
        <v>508</v>
      </c>
      <c r="W268" s="156" t="s">
        <v>95</v>
      </c>
      <c r="Y268" s="22"/>
      <c r="Z268" s="22"/>
      <c r="AA268" s="22"/>
    </row>
    <row r="269" spans="1:27" s="22" customFormat="1" hidden="1" x14ac:dyDescent="0.25">
      <c r="A269" s="120">
        <f t="shared" ref="A269:A288" si="158">GETPAYMONTH(B269)</f>
        <v>0</v>
      </c>
      <c r="B269" s="231"/>
      <c r="C269" s="231"/>
      <c r="D269" s="76"/>
      <c r="E269" s="231"/>
      <c r="F269" s="231"/>
      <c r="G269" s="231"/>
      <c r="H269" s="76"/>
      <c r="I269" s="232"/>
      <c r="J269" s="76"/>
      <c r="K269" s="76">
        <f t="shared" ref="K269:K288" si="159">ROUND($H269/11*10,2)</f>
        <v>0</v>
      </c>
      <c r="L269" s="76">
        <f t="shared" ref="L269:L288" si="160">ROUND($I269/11*10,2)</f>
        <v>0</v>
      </c>
      <c r="M269" s="76"/>
      <c r="N269" s="76"/>
      <c r="O269" s="76"/>
      <c r="P269" s="76"/>
      <c r="Q269" s="76"/>
      <c r="R269" s="76">
        <f t="shared" ref="R269:R288" si="161">H269+I269-K269-L269</f>
        <v>0</v>
      </c>
      <c r="S269" s="76">
        <f t="shared" ref="S269:S288" si="162">SUM($K269:$L269)</f>
        <v>0</v>
      </c>
      <c r="T269" s="76">
        <f t="shared" ref="T269:T288" si="163">SUM(K269:L269)+P269+R269</f>
        <v>0</v>
      </c>
      <c r="U269" s="129"/>
      <c r="V269" s="120" t="str">
        <f t="shared" ref="V269:V288" si="164">C269 &amp;":"&amp; B269</f>
        <v>:</v>
      </c>
      <c r="W269" s="265" t="e">
        <f t="shared" ref="W269:W288" si="165">DATE(YEAR(B269+1),MONTH(B269+1),VLOOKUP(C269,payEmpNames,4))</f>
        <v>#N/A</v>
      </c>
    </row>
    <row r="270" spans="1:27" s="22" customFormat="1" hidden="1" outlineLevel="1" x14ac:dyDescent="0.25">
      <c r="A270" s="120">
        <f t="shared" si="158"/>
        <v>1</v>
      </c>
      <c r="B270" s="392">
        <v>43646</v>
      </c>
      <c r="C270" s="231" t="s">
        <v>57</v>
      </c>
      <c r="D270" s="76"/>
      <c r="E270" s="231"/>
      <c r="F270" s="231"/>
      <c r="G270" s="231"/>
      <c r="H270" s="76"/>
      <c r="I270" s="232">
        <v>2994</v>
      </c>
      <c r="J270" s="76"/>
      <c r="K270" s="76">
        <f t="shared" si="159"/>
        <v>0</v>
      </c>
      <c r="L270" s="76">
        <f t="shared" si="160"/>
        <v>2721.82</v>
      </c>
      <c r="M270" s="76"/>
      <c r="N270" s="76"/>
      <c r="O270" s="76"/>
      <c r="P270" s="76"/>
      <c r="Q270" s="76"/>
      <c r="R270" s="76">
        <f t="shared" si="161"/>
        <v>272.17999999999984</v>
      </c>
      <c r="S270" s="76">
        <f t="shared" si="162"/>
        <v>2721.82</v>
      </c>
      <c r="T270" s="76">
        <f t="shared" si="163"/>
        <v>2994</v>
      </c>
      <c r="U270" s="129"/>
      <c r="V270" s="120" t="str">
        <f t="shared" si="164"/>
        <v>CRP:43646</v>
      </c>
      <c r="W270" s="265">
        <f t="shared" si="165"/>
        <v>43667</v>
      </c>
    </row>
    <row r="271" spans="1:27" s="22" customFormat="1" hidden="1" outlineLevel="1" x14ac:dyDescent="0.25">
      <c r="A271" s="120">
        <f t="shared" si="158"/>
        <v>2</v>
      </c>
      <c r="B271" s="392">
        <v>43677</v>
      </c>
      <c r="C271" s="231" t="s">
        <v>57</v>
      </c>
      <c r="D271" s="76"/>
      <c r="E271" s="231"/>
      <c r="F271" s="231"/>
      <c r="G271" s="231"/>
      <c r="H271" s="76"/>
      <c r="I271" s="232">
        <v>1005</v>
      </c>
      <c r="J271" s="76"/>
      <c r="K271" s="76">
        <f t="shared" si="159"/>
        <v>0</v>
      </c>
      <c r="L271" s="76">
        <f t="shared" si="160"/>
        <v>913.64</v>
      </c>
      <c r="M271" s="76"/>
      <c r="N271" s="76"/>
      <c r="O271" s="76"/>
      <c r="P271" s="76"/>
      <c r="Q271" s="76"/>
      <c r="R271" s="76">
        <f t="shared" si="161"/>
        <v>91.360000000000014</v>
      </c>
      <c r="S271" s="76">
        <f t="shared" si="162"/>
        <v>913.64</v>
      </c>
      <c r="T271" s="76">
        <f t="shared" si="163"/>
        <v>1005</v>
      </c>
      <c r="U271" s="129"/>
      <c r="V271" s="120" t="str">
        <f t="shared" si="164"/>
        <v>CRP:43677</v>
      </c>
      <c r="W271" s="265">
        <f t="shared" si="165"/>
        <v>43698</v>
      </c>
    </row>
    <row r="272" spans="1:27" s="22" customFormat="1" hidden="1" outlineLevel="1" x14ac:dyDescent="0.25">
      <c r="A272" s="120">
        <f t="shared" si="158"/>
        <v>3</v>
      </c>
      <c r="B272" s="392">
        <v>43708</v>
      </c>
      <c r="C272" s="231" t="s">
        <v>57</v>
      </c>
      <c r="D272" s="76"/>
      <c r="E272" s="231"/>
      <c r="F272" s="231"/>
      <c r="G272" s="231"/>
      <c r="H272" s="76"/>
      <c r="I272" s="232"/>
      <c r="J272" s="76"/>
      <c r="K272" s="76">
        <f t="shared" si="159"/>
        <v>0</v>
      </c>
      <c r="L272" s="76">
        <f t="shared" si="160"/>
        <v>0</v>
      </c>
      <c r="M272" s="76"/>
      <c r="N272" s="76"/>
      <c r="O272" s="76"/>
      <c r="P272" s="76"/>
      <c r="Q272" s="76"/>
      <c r="R272" s="76">
        <f t="shared" si="161"/>
        <v>0</v>
      </c>
      <c r="S272" s="76">
        <f t="shared" si="162"/>
        <v>0</v>
      </c>
      <c r="T272" s="76">
        <f t="shared" si="163"/>
        <v>0</v>
      </c>
      <c r="U272" s="129"/>
      <c r="V272" s="120" t="str">
        <f t="shared" si="164"/>
        <v>CRP:43708</v>
      </c>
      <c r="W272" s="265">
        <f t="shared" si="165"/>
        <v>43729</v>
      </c>
    </row>
    <row r="273" spans="1:27" s="22" customFormat="1" hidden="1" outlineLevel="1" x14ac:dyDescent="0.25">
      <c r="A273" s="120">
        <f t="shared" si="158"/>
        <v>4</v>
      </c>
      <c r="B273" s="392">
        <v>43738</v>
      </c>
      <c r="C273" s="231" t="s">
        <v>57</v>
      </c>
      <c r="D273" s="76"/>
      <c r="E273" s="231"/>
      <c r="F273" s="231"/>
      <c r="G273" s="231"/>
      <c r="H273" s="76"/>
      <c r="I273" s="232"/>
      <c r="J273" s="76"/>
      <c r="K273" s="76">
        <f t="shared" si="159"/>
        <v>0</v>
      </c>
      <c r="L273" s="76">
        <f t="shared" si="160"/>
        <v>0</v>
      </c>
      <c r="M273" s="76"/>
      <c r="N273" s="76"/>
      <c r="O273" s="76"/>
      <c r="P273" s="76"/>
      <c r="Q273" s="76"/>
      <c r="R273" s="76">
        <f t="shared" si="161"/>
        <v>0</v>
      </c>
      <c r="S273" s="76">
        <f t="shared" si="162"/>
        <v>0</v>
      </c>
      <c r="T273" s="76">
        <f t="shared" si="163"/>
        <v>0</v>
      </c>
      <c r="U273" s="129"/>
      <c r="V273" s="120" t="str">
        <f t="shared" si="164"/>
        <v>CRP:43738</v>
      </c>
      <c r="W273" s="265">
        <f t="shared" si="165"/>
        <v>43759</v>
      </c>
    </row>
    <row r="274" spans="1:27" s="22" customFormat="1" hidden="1" outlineLevel="1" x14ac:dyDescent="0.25">
      <c r="A274" s="120">
        <f t="shared" si="158"/>
        <v>5</v>
      </c>
      <c r="B274" s="392">
        <v>43769</v>
      </c>
      <c r="C274" s="231" t="s">
        <v>57</v>
      </c>
      <c r="D274" s="76"/>
      <c r="E274" s="231"/>
      <c r="F274" s="231"/>
      <c r="G274" s="231"/>
      <c r="H274" s="76"/>
      <c r="I274" s="232"/>
      <c r="J274" s="76"/>
      <c r="K274" s="76">
        <f t="shared" si="159"/>
        <v>0</v>
      </c>
      <c r="L274" s="76">
        <f t="shared" si="160"/>
        <v>0</v>
      </c>
      <c r="M274" s="76"/>
      <c r="N274" s="76"/>
      <c r="O274" s="76"/>
      <c r="P274" s="76"/>
      <c r="Q274" s="76"/>
      <c r="R274" s="76">
        <f t="shared" si="161"/>
        <v>0</v>
      </c>
      <c r="S274" s="76">
        <f t="shared" si="162"/>
        <v>0</v>
      </c>
      <c r="T274" s="76">
        <f t="shared" si="163"/>
        <v>0</v>
      </c>
      <c r="U274" s="129"/>
      <c r="V274" s="120" t="str">
        <f t="shared" si="164"/>
        <v>CRP:43769</v>
      </c>
      <c r="W274" s="265">
        <f t="shared" si="165"/>
        <v>43790</v>
      </c>
    </row>
    <row r="275" spans="1:27" s="22" customFormat="1" hidden="1" outlineLevel="1" x14ac:dyDescent="0.25">
      <c r="A275" s="120">
        <f t="shared" si="158"/>
        <v>6</v>
      </c>
      <c r="B275" s="392">
        <v>43799</v>
      </c>
      <c r="C275" s="231" t="s">
        <v>57</v>
      </c>
      <c r="D275" s="76"/>
      <c r="E275" s="231"/>
      <c r="F275" s="231"/>
      <c r="G275" s="231"/>
      <c r="H275" s="76"/>
      <c r="I275" s="232"/>
      <c r="J275" s="76"/>
      <c r="K275" s="76">
        <f t="shared" si="159"/>
        <v>0</v>
      </c>
      <c r="L275" s="76">
        <f t="shared" si="160"/>
        <v>0</v>
      </c>
      <c r="M275" s="76"/>
      <c r="N275" s="76"/>
      <c r="O275" s="76"/>
      <c r="P275" s="76"/>
      <c r="Q275" s="76"/>
      <c r="R275" s="76">
        <f t="shared" si="161"/>
        <v>0</v>
      </c>
      <c r="S275" s="76">
        <f t="shared" si="162"/>
        <v>0</v>
      </c>
      <c r="T275" s="76">
        <f t="shared" si="163"/>
        <v>0</v>
      </c>
      <c r="U275" s="129"/>
      <c r="V275" s="120" t="str">
        <f t="shared" si="164"/>
        <v>CRP:43799</v>
      </c>
      <c r="W275" s="265">
        <f t="shared" si="165"/>
        <v>43820</v>
      </c>
    </row>
    <row r="276" spans="1:27" s="22" customFormat="1" hidden="1" outlineLevel="1" x14ac:dyDescent="0.25">
      <c r="A276" s="120">
        <f t="shared" si="158"/>
        <v>7</v>
      </c>
      <c r="B276" s="392">
        <v>43830</v>
      </c>
      <c r="C276" s="231" t="s">
        <v>57</v>
      </c>
      <c r="D276" s="76"/>
      <c r="E276" s="231"/>
      <c r="F276" s="231"/>
      <c r="G276" s="231"/>
      <c r="H276" s="76"/>
      <c r="I276" s="232"/>
      <c r="J276" s="76"/>
      <c r="K276" s="76">
        <f t="shared" si="159"/>
        <v>0</v>
      </c>
      <c r="L276" s="76">
        <f t="shared" si="160"/>
        <v>0</v>
      </c>
      <c r="M276" s="76"/>
      <c r="N276" s="76"/>
      <c r="O276" s="76"/>
      <c r="P276" s="76"/>
      <c r="Q276" s="76"/>
      <c r="R276" s="76">
        <f t="shared" si="161"/>
        <v>0</v>
      </c>
      <c r="S276" s="76">
        <f t="shared" si="162"/>
        <v>0</v>
      </c>
      <c r="T276" s="76">
        <f t="shared" si="163"/>
        <v>0</v>
      </c>
      <c r="U276" s="129"/>
      <c r="V276" s="120" t="str">
        <f t="shared" si="164"/>
        <v>CRP:43830</v>
      </c>
      <c r="W276" s="265">
        <f t="shared" si="165"/>
        <v>43851</v>
      </c>
    </row>
    <row r="277" spans="1:27" s="22" customFormat="1" hidden="1" outlineLevel="1" x14ac:dyDescent="0.25">
      <c r="A277" s="120">
        <f t="shared" si="158"/>
        <v>8</v>
      </c>
      <c r="B277" s="392">
        <v>43861</v>
      </c>
      <c r="C277" s="231" t="s">
        <v>57</v>
      </c>
      <c r="D277" s="76"/>
      <c r="E277" s="231"/>
      <c r="F277" s="231"/>
      <c r="G277" s="231"/>
      <c r="H277" s="76"/>
      <c r="I277" s="232"/>
      <c r="J277" s="76"/>
      <c r="K277" s="76">
        <f t="shared" si="159"/>
        <v>0</v>
      </c>
      <c r="L277" s="76">
        <f t="shared" si="160"/>
        <v>0</v>
      </c>
      <c r="M277" s="76"/>
      <c r="N277" s="76"/>
      <c r="O277" s="76"/>
      <c r="P277" s="76"/>
      <c r="Q277" s="76"/>
      <c r="R277" s="76">
        <f t="shared" si="161"/>
        <v>0</v>
      </c>
      <c r="S277" s="76">
        <f t="shared" si="162"/>
        <v>0</v>
      </c>
      <c r="T277" s="76">
        <f t="shared" si="163"/>
        <v>0</v>
      </c>
      <c r="U277" s="129"/>
      <c r="V277" s="120" t="str">
        <f t="shared" si="164"/>
        <v>CRP:43861</v>
      </c>
      <c r="W277" s="265">
        <f t="shared" si="165"/>
        <v>43882</v>
      </c>
    </row>
    <row r="278" spans="1:27" s="22" customFormat="1" hidden="1" outlineLevel="1" x14ac:dyDescent="0.25">
      <c r="A278" s="120">
        <f t="shared" si="158"/>
        <v>9</v>
      </c>
      <c r="B278" s="392">
        <v>43889</v>
      </c>
      <c r="C278" s="231" t="s">
        <v>57</v>
      </c>
      <c r="D278" s="76"/>
      <c r="E278" s="231"/>
      <c r="F278" s="231"/>
      <c r="G278" s="231"/>
      <c r="H278" s="76"/>
      <c r="I278" s="232"/>
      <c r="J278" s="76"/>
      <c r="K278" s="76">
        <f t="shared" si="159"/>
        <v>0</v>
      </c>
      <c r="L278" s="76">
        <f t="shared" si="160"/>
        <v>0</v>
      </c>
      <c r="M278" s="76"/>
      <c r="N278" s="76"/>
      <c r="O278" s="76"/>
      <c r="P278" s="76"/>
      <c r="Q278" s="76"/>
      <c r="R278" s="76">
        <f t="shared" si="161"/>
        <v>0</v>
      </c>
      <c r="S278" s="76">
        <f t="shared" si="162"/>
        <v>0</v>
      </c>
      <c r="T278" s="76">
        <f t="shared" si="163"/>
        <v>0</v>
      </c>
      <c r="U278" s="129"/>
      <c r="V278" s="120" t="str">
        <f t="shared" si="164"/>
        <v>CRP:43889</v>
      </c>
      <c r="W278" s="265">
        <f t="shared" si="165"/>
        <v>43882</v>
      </c>
    </row>
    <row r="279" spans="1:27" s="22" customFormat="1" hidden="1" outlineLevel="1" x14ac:dyDescent="0.25">
      <c r="A279" s="120">
        <f t="shared" si="158"/>
        <v>10</v>
      </c>
      <c r="B279" s="392">
        <v>43921</v>
      </c>
      <c r="C279" s="231" t="s">
        <v>57</v>
      </c>
      <c r="D279" s="76"/>
      <c r="E279" s="231"/>
      <c r="F279" s="231"/>
      <c r="G279" s="231"/>
      <c r="H279" s="76"/>
      <c r="I279" s="232"/>
      <c r="J279" s="76"/>
      <c r="K279" s="76">
        <f t="shared" si="159"/>
        <v>0</v>
      </c>
      <c r="L279" s="76">
        <f t="shared" si="160"/>
        <v>0</v>
      </c>
      <c r="M279" s="76"/>
      <c r="N279" s="76"/>
      <c r="O279" s="76"/>
      <c r="P279" s="76"/>
      <c r="Q279" s="76"/>
      <c r="R279" s="76">
        <f t="shared" si="161"/>
        <v>0</v>
      </c>
      <c r="S279" s="76">
        <f t="shared" si="162"/>
        <v>0</v>
      </c>
      <c r="T279" s="76">
        <f t="shared" si="163"/>
        <v>0</v>
      </c>
      <c r="U279" s="129"/>
      <c r="V279" s="120" t="str">
        <f t="shared" si="164"/>
        <v>CRP:43921</v>
      </c>
      <c r="W279" s="265">
        <f t="shared" si="165"/>
        <v>43942</v>
      </c>
    </row>
    <row r="280" spans="1:27" s="22" customFormat="1" hidden="1" outlineLevel="1" x14ac:dyDescent="0.25">
      <c r="A280" s="120">
        <f t="shared" si="158"/>
        <v>11</v>
      </c>
      <c r="B280" s="392">
        <v>43951</v>
      </c>
      <c r="C280" s="231" t="s">
        <v>57</v>
      </c>
      <c r="D280" s="76"/>
      <c r="E280" s="231"/>
      <c r="F280" s="231"/>
      <c r="G280" s="231"/>
      <c r="H280" s="76"/>
      <c r="I280" s="232"/>
      <c r="J280" s="76"/>
      <c r="K280" s="76">
        <f t="shared" si="159"/>
        <v>0</v>
      </c>
      <c r="L280" s="76">
        <f t="shared" si="160"/>
        <v>0</v>
      </c>
      <c r="M280" s="76"/>
      <c r="N280" s="76"/>
      <c r="O280" s="76"/>
      <c r="P280" s="76"/>
      <c r="Q280" s="76"/>
      <c r="R280" s="76">
        <f t="shared" si="161"/>
        <v>0</v>
      </c>
      <c r="S280" s="76">
        <f t="shared" si="162"/>
        <v>0</v>
      </c>
      <c r="T280" s="76">
        <f t="shared" si="163"/>
        <v>0</v>
      </c>
      <c r="U280" s="129"/>
      <c r="V280" s="120" t="str">
        <f t="shared" si="164"/>
        <v>CRP:43951</v>
      </c>
      <c r="W280" s="265">
        <f t="shared" si="165"/>
        <v>43972</v>
      </c>
    </row>
    <row r="281" spans="1:27" s="22" customFormat="1" hidden="1" outlineLevel="1" x14ac:dyDescent="0.25">
      <c r="A281" s="120">
        <f t="shared" si="158"/>
        <v>12</v>
      </c>
      <c r="B281" s="392">
        <v>43982</v>
      </c>
      <c r="C281" s="231" t="s">
        <v>57</v>
      </c>
      <c r="D281" s="76"/>
      <c r="E281" s="231"/>
      <c r="F281" s="231"/>
      <c r="G281" s="231"/>
      <c r="H281" s="76"/>
      <c r="I281" s="232"/>
      <c r="J281" s="76"/>
      <c r="K281" s="76">
        <f t="shared" si="159"/>
        <v>0</v>
      </c>
      <c r="L281" s="76">
        <f t="shared" si="160"/>
        <v>0</v>
      </c>
      <c r="M281" s="76"/>
      <c r="N281" s="76"/>
      <c r="O281" s="76"/>
      <c r="P281" s="76"/>
      <c r="Q281" s="76"/>
      <c r="R281" s="76">
        <f t="shared" si="161"/>
        <v>0</v>
      </c>
      <c r="S281" s="76">
        <f t="shared" si="162"/>
        <v>0</v>
      </c>
      <c r="T281" s="76">
        <f t="shared" si="163"/>
        <v>0</v>
      </c>
      <c r="U281" s="129"/>
      <c r="V281" s="120" t="str">
        <f t="shared" si="164"/>
        <v>CRP:43982</v>
      </c>
      <c r="W281" s="265">
        <f t="shared" si="165"/>
        <v>44003</v>
      </c>
      <c r="Y281" s="35"/>
      <c r="Z281" s="35"/>
      <c r="AA281" s="35"/>
    </row>
    <row r="282" spans="1:27" s="22" customFormat="1" hidden="1" outlineLevel="1" x14ac:dyDescent="0.25">
      <c r="A282" s="120">
        <f t="shared" si="158"/>
        <v>1</v>
      </c>
      <c r="B282" s="392">
        <v>43646</v>
      </c>
      <c r="C282" s="231" t="s">
        <v>58</v>
      </c>
      <c r="D282" s="76"/>
      <c r="E282" s="231"/>
      <c r="F282" s="231"/>
      <c r="G282" s="231"/>
      <c r="H282" s="76"/>
      <c r="I282" s="232">
        <v>1049</v>
      </c>
      <c r="J282" s="76"/>
      <c r="K282" s="76">
        <f t="shared" si="159"/>
        <v>0</v>
      </c>
      <c r="L282" s="76">
        <f t="shared" si="160"/>
        <v>953.64</v>
      </c>
      <c r="M282" s="76"/>
      <c r="N282" s="76"/>
      <c r="O282" s="76"/>
      <c r="P282" s="76"/>
      <c r="Q282" s="76"/>
      <c r="R282" s="76">
        <f t="shared" si="161"/>
        <v>95.360000000000014</v>
      </c>
      <c r="S282" s="76">
        <f t="shared" si="162"/>
        <v>953.64</v>
      </c>
      <c r="T282" s="76">
        <f t="shared" si="163"/>
        <v>1049</v>
      </c>
      <c r="U282" s="129"/>
      <c r="V282" s="120" t="str">
        <f t="shared" si="164"/>
        <v>SM:43646</v>
      </c>
      <c r="W282" s="265">
        <f t="shared" si="165"/>
        <v>43667</v>
      </c>
      <c r="Y282"/>
      <c r="Z282"/>
      <c r="AA282"/>
    </row>
    <row r="283" spans="1:27" s="22" customFormat="1" hidden="1" outlineLevel="1" x14ac:dyDescent="0.25">
      <c r="A283" s="120">
        <f t="shared" si="158"/>
        <v>2</v>
      </c>
      <c r="B283" s="392">
        <v>43677</v>
      </c>
      <c r="C283" s="231" t="s">
        <v>58</v>
      </c>
      <c r="D283" s="76"/>
      <c r="E283" s="231"/>
      <c r="F283" s="231"/>
      <c r="G283" s="231"/>
      <c r="H283" s="76"/>
      <c r="I283" s="232">
        <v>1028</v>
      </c>
      <c r="J283" s="76"/>
      <c r="K283" s="76">
        <f t="shared" si="159"/>
        <v>0</v>
      </c>
      <c r="L283" s="76">
        <f t="shared" si="160"/>
        <v>934.55</v>
      </c>
      <c r="M283" s="76"/>
      <c r="N283" s="76"/>
      <c r="O283" s="76"/>
      <c r="P283" s="76"/>
      <c r="Q283" s="76"/>
      <c r="R283" s="76">
        <f t="shared" si="161"/>
        <v>93.450000000000045</v>
      </c>
      <c r="S283" s="76">
        <f t="shared" si="162"/>
        <v>934.55</v>
      </c>
      <c r="T283" s="76">
        <f t="shared" si="163"/>
        <v>1028</v>
      </c>
      <c r="U283" s="129"/>
      <c r="V283" s="120" t="str">
        <f t="shared" si="164"/>
        <v>SM:43677</v>
      </c>
      <c r="W283" s="265">
        <f t="shared" si="165"/>
        <v>43698</v>
      </c>
      <c r="Y283"/>
      <c r="Z283"/>
      <c r="AA283"/>
    </row>
    <row r="284" spans="1:27" s="22" customFormat="1" hidden="1" outlineLevel="1" x14ac:dyDescent="0.25">
      <c r="A284" s="120">
        <f t="shared" si="158"/>
        <v>3</v>
      </c>
      <c r="B284" s="392">
        <v>43708</v>
      </c>
      <c r="C284" s="231" t="s">
        <v>58</v>
      </c>
      <c r="D284" s="76"/>
      <c r="E284" s="231"/>
      <c r="F284" s="231"/>
      <c r="G284" s="231"/>
      <c r="H284" s="76"/>
      <c r="I284" s="232"/>
      <c r="J284" s="76"/>
      <c r="K284" s="76">
        <f t="shared" si="159"/>
        <v>0</v>
      </c>
      <c r="L284" s="76">
        <f>ROUND($I284/11*10,2)</f>
        <v>0</v>
      </c>
      <c r="M284" s="76"/>
      <c r="N284" s="76"/>
      <c r="O284" s="76"/>
      <c r="P284" s="76"/>
      <c r="Q284" s="76"/>
      <c r="R284" s="76">
        <f t="shared" si="161"/>
        <v>0</v>
      </c>
      <c r="S284" s="76">
        <f t="shared" si="162"/>
        <v>0</v>
      </c>
      <c r="T284" s="76">
        <f t="shared" si="163"/>
        <v>0</v>
      </c>
      <c r="U284" s="129"/>
      <c r="V284" s="120" t="str">
        <f t="shared" si="164"/>
        <v>SM:43708</v>
      </c>
      <c r="W284" s="265">
        <f t="shared" si="165"/>
        <v>43729</v>
      </c>
      <c r="Y284"/>
      <c r="Z284"/>
      <c r="AA284"/>
    </row>
    <row r="285" spans="1:27" s="22" customFormat="1" hidden="1" outlineLevel="1" x14ac:dyDescent="0.25">
      <c r="A285" s="120">
        <f t="shared" si="158"/>
        <v>4</v>
      </c>
      <c r="B285" s="392">
        <v>43738</v>
      </c>
      <c r="C285" s="231" t="s">
        <v>58</v>
      </c>
      <c r="D285" s="76"/>
      <c r="E285" s="231"/>
      <c r="F285" s="231"/>
      <c r="G285" s="231"/>
      <c r="H285" s="76"/>
      <c r="I285" s="232"/>
      <c r="J285" s="76"/>
      <c r="K285" s="76">
        <f t="shared" si="159"/>
        <v>0</v>
      </c>
      <c r="L285" s="76">
        <f t="shared" si="160"/>
        <v>0</v>
      </c>
      <c r="M285" s="76"/>
      <c r="N285" s="76"/>
      <c r="O285" s="76"/>
      <c r="P285" s="76"/>
      <c r="Q285" s="76"/>
      <c r="R285" s="76">
        <f t="shared" si="161"/>
        <v>0</v>
      </c>
      <c r="S285" s="76">
        <f t="shared" si="162"/>
        <v>0</v>
      </c>
      <c r="T285" s="76">
        <f t="shared" si="163"/>
        <v>0</v>
      </c>
      <c r="U285" s="129"/>
      <c r="V285" s="120" t="str">
        <f t="shared" si="164"/>
        <v>SM:43738</v>
      </c>
      <c r="W285" s="265">
        <f t="shared" si="165"/>
        <v>43759</v>
      </c>
      <c r="Y285"/>
      <c r="Z285"/>
      <c r="AA285"/>
    </row>
    <row r="286" spans="1:27" s="22" customFormat="1" hidden="1" outlineLevel="1" x14ac:dyDescent="0.25">
      <c r="A286" s="120">
        <f t="shared" si="158"/>
        <v>5</v>
      </c>
      <c r="B286" s="392">
        <v>43769</v>
      </c>
      <c r="C286" s="231" t="s">
        <v>58</v>
      </c>
      <c r="D286" s="76"/>
      <c r="E286" s="231"/>
      <c r="F286" s="231"/>
      <c r="G286" s="231"/>
      <c r="H286" s="76"/>
      <c r="I286" s="232"/>
      <c r="J286" s="76"/>
      <c r="K286" s="76">
        <f t="shared" si="159"/>
        <v>0</v>
      </c>
      <c r="L286" s="76">
        <f t="shared" si="160"/>
        <v>0</v>
      </c>
      <c r="M286" s="76"/>
      <c r="N286" s="76"/>
      <c r="O286" s="76"/>
      <c r="P286" s="76"/>
      <c r="Q286" s="76"/>
      <c r="R286" s="76">
        <f t="shared" si="161"/>
        <v>0</v>
      </c>
      <c r="S286" s="76">
        <f t="shared" si="162"/>
        <v>0</v>
      </c>
      <c r="T286" s="76">
        <f t="shared" si="163"/>
        <v>0</v>
      </c>
      <c r="U286" s="129"/>
      <c r="V286" s="120" t="str">
        <f t="shared" si="164"/>
        <v>SM:43769</v>
      </c>
      <c r="W286" s="265">
        <f t="shared" si="165"/>
        <v>43790</v>
      </c>
      <c r="Y286"/>
      <c r="Z286"/>
      <c r="AA286"/>
    </row>
    <row r="287" spans="1:27" s="22" customFormat="1" hidden="1" outlineLevel="1" x14ac:dyDescent="0.25">
      <c r="A287" s="120">
        <f t="shared" si="158"/>
        <v>6</v>
      </c>
      <c r="B287" s="392">
        <v>43799</v>
      </c>
      <c r="C287" s="231" t="s">
        <v>58</v>
      </c>
      <c r="D287" s="76"/>
      <c r="E287" s="231"/>
      <c r="F287" s="231"/>
      <c r="G287" s="231"/>
      <c r="H287" s="76"/>
      <c r="I287" s="232"/>
      <c r="J287" s="76"/>
      <c r="K287" s="76">
        <f t="shared" si="159"/>
        <v>0</v>
      </c>
      <c r="L287" s="76">
        <f t="shared" si="160"/>
        <v>0</v>
      </c>
      <c r="M287" s="76"/>
      <c r="N287" s="76"/>
      <c r="O287" s="76"/>
      <c r="P287" s="76"/>
      <c r="Q287" s="76"/>
      <c r="R287" s="76">
        <f t="shared" si="161"/>
        <v>0</v>
      </c>
      <c r="S287" s="76">
        <f t="shared" si="162"/>
        <v>0</v>
      </c>
      <c r="T287" s="76">
        <f t="shared" si="163"/>
        <v>0</v>
      </c>
      <c r="U287" s="129"/>
      <c r="V287" s="120" t="str">
        <f t="shared" si="164"/>
        <v>SM:43799</v>
      </c>
      <c r="W287" s="265">
        <f t="shared" si="165"/>
        <v>43820</v>
      </c>
      <c r="Y287"/>
      <c r="Z287"/>
      <c r="AA287"/>
    </row>
    <row r="288" spans="1:27" s="22" customFormat="1" hidden="1" outlineLevel="1" x14ac:dyDescent="0.25">
      <c r="A288" s="120">
        <f t="shared" si="158"/>
        <v>7</v>
      </c>
      <c r="B288" s="392">
        <v>43830</v>
      </c>
      <c r="C288" s="231" t="s">
        <v>58</v>
      </c>
      <c r="D288" s="76"/>
      <c r="E288" s="231"/>
      <c r="F288" s="231"/>
      <c r="G288" s="231"/>
      <c r="H288" s="76"/>
      <c r="I288" s="232"/>
      <c r="J288" s="76"/>
      <c r="K288" s="76">
        <f t="shared" si="159"/>
        <v>0</v>
      </c>
      <c r="L288" s="76">
        <f t="shared" si="160"/>
        <v>0</v>
      </c>
      <c r="M288" s="76"/>
      <c r="N288" s="76"/>
      <c r="O288" s="76"/>
      <c r="P288" s="76"/>
      <c r="Q288" s="76"/>
      <c r="R288" s="76">
        <f t="shared" si="161"/>
        <v>0</v>
      </c>
      <c r="S288" s="76">
        <f t="shared" si="162"/>
        <v>0</v>
      </c>
      <c r="T288" s="76">
        <f t="shared" si="163"/>
        <v>0</v>
      </c>
      <c r="U288" s="129"/>
      <c r="V288" s="120" t="str">
        <f t="shared" si="164"/>
        <v>SM:43830</v>
      </c>
      <c r="W288" s="265">
        <f t="shared" si="165"/>
        <v>43851</v>
      </c>
      <c r="Y288"/>
      <c r="Z288"/>
      <c r="AA288"/>
    </row>
    <row r="289" spans="1:27" s="22" customFormat="1" hidden="1" outlineLevel="1" x14ac:dyDescent="0.25">
      <c r="A289" s="120">
        <f t="shared" ref="A289:A336" si="166">GETPAYMONTH(B289)</f>
        <v>8</v>
      </c>
      <c r="B289" s="392">
        <v>43861</v>
      </c>
      <c r="C289" s="231" t="s">
        <v>58</v>
      </c>
      <c r="D289" s="76"/>
      <c r="E289" s="231"/>
      <c r="F289" s="231"/>
      <c r="G289" s="231"/>
      <c r="H289" s="76"/>
      <c r="I289" s="232"/>
      <c r="J289" s="76"/>
      <c r="K289" s="76">
        <f t="shared" ref="K289:K341" si="167">ROUND($H289/11*10,2)</f>
        <v>0</v>
      </c>
      <c r="L289" s="76">
        <f t="shared" ref="L289:L341" si="168">ROUND($I289/11*10,2)</f>
        <v>0</v>
      </c>
      <c r="M289" s="76"/>
      <c r="N289" s="76"/>
      <c r="O289" s="76"/>
      <c r="P289" s="76"/>
      <c r="Q289" s="76"/>
      <c r="R289" s="76">
        <f t="shared" ref="R289:R336" si="169">H289+I289-K289-L289</f>
        <v>0</v>
      </c>
      <c r="S289" s="76">
        <f t="shared" ref="S289:S341" si="170">SUM($K289:$L289)</f>
        <v>0</v>
      </c>
      <c r="T289" s="76">
        <f t="shared" ref="T289:T336" si="171">SUM(K289:L289)+P289+R289</f>
        <v>0</v>
      </c>
      <c r="U289" s="129"/>
      <c r="V289" s="120" t="str">
        <f t="shared" ref="V289:V336" si="172">C289 &amp;":"&amp; B289</f>
        <v>SM:43861</v>
      </c>
      <c r="W289" s="265">
        <f t="shared" ref="W289:W336" si="173">DATE(YEAR(B289+1),MONTH(B289+1),VLOOKUP(C289,payEmpNames,4))</f>
        <v>43882</v>
      </c>
      <c r="Y289"/>
      <c r="Z289"/>
      <c r="AA289"/>
    </row>
    <row r="290" spans="1:27" s="22" customFormat="1" hidden="1" outlineLevel="1" x14ac:dyDescent="0.25">
      <c r="A290" s="120">
        <f t="shared" si="166"/>
        <v>9</v>
      </c>
      <c r="B290" s="392">
        <v>43889</v>
      </c>
      <c r="C290" s="231" t="s">
        <v>58</v>
      </c>
      <c r="D290" s="76"/>
      <c r="E290" s="231"/>
      <c r="F290" s="231"/>
      <c r="G290" s="231"/>
      <c r="H290" s="76"/>
      <c r="I290" s="232"/>
      <c r="J290" s="76"/>
      <c r="K290" s="76">
        <f t="shared" si="167"/>
        <v>0</v>
      </c>
      <c r="L290" s="76">
        <f t="shared" si="168"/>
        <v>0</v>
      </c>
      <c r="M290" s="76"/>
      <c r="N290" s="76"/>
      <c r="O290" s="76"/>
      <c r="P290" s="76"/>
      <c r="Q290" s="76"/>
      <c r="R290" s="76">
        <f t="shared" si="169"/>
        <v>0</v>
      </c>
      <c r="S290" s="76">
        <f t="shared" si="170"/>
        <v>0</v>
      </c>
      <c r="T290" s="76">
        <f t="shared" si="171"/>
        <v>0</v>
      </c>
      <c r="U290" s="129"/>
      <c r="V290" s="120" t="str">
        <f t="shared" si="172"/>
        <v>SM:43889</v>
      </c>
      <c r="W290" s="265">
        <f t="shared" si="173"/>
        <v>43882</v>
      </c>
      <c r="Y290"/>
      <c r="Z290"/>
      <c r="AA290"/>
    </row>
    <row r="291" spans="1:27" s="22" customFormat="1" hidden="1" outlineLevel="1" x14ac:dyDescent="0.25">
      <c r="A291" s="120">
        <f t="shared" si="166"/>
        <v>10</v>
      </c>
      <c r="B291" s="392">
        <v>43921</v>
      </c>
      <c r="C291" s="231" t="s">
        <v>58</v>
      </c>
      <c r="D291" s="76"/>
      <c r="E291" s="231"/>
      <c r="F291" s="231"/>
      <c r="G291" s="231"/>
      <c r="H291" s="76"/>
      <c r="I291" s="232"/>
      <c r="J291" s="76"/>
      <c r="K291" s="76">
        <f t="shared" si="167"/>
        <v>0</v>
      </c>
      <c r="L291" s="76">
        <f t="shared" si="168"/>
        <v>0</v>
      </c>
      <c r="M291" s="76"/>
      <c r="N291" s="76"/>
      <c r="O291" s="76"/>
      <c r="P291" s="76"/>
      <c r="Q291" s="76"/>
      <c r="R291" s="76">
        <f t="shared" si="169"/>
        <v>0</v>
      </c>
      <c r="S291" s="76">
        <f t="shared" si="170"/>
        <v>0</v>
      </c>
      <c r="T291" s="76">
        <f t="shared" si="171"/>
        <v>0</v>
      </c>
      <c r="U291" s="129"/>
      <c r="V291" s="120" t="str">
        <f t="shared" si="172"/>
        <v>SM:43921</v>
      </c>
      <c r="W291" s="265">
        <f t="shared" si="173"/>
        <v>43942</v>
      </c>
      <c r="Y291"/>
      <c r="Z291"/>
      <c r="AA291"/>
    </row>
    <row r="292" spans="1:27" s="22" customFormat="1" hidden="1" outlineLevel="1" x14ac:dyDescent="0.25">
      <c r="A292" s="120">
        <f t="shared" si="166"/>
        <v>11</v>
      </c>
      <c r="B292" s="392">
        <v>43951</v>
      </c>
      <c r="C292" s="231" t="s">
        <v>58</v>
      </c>
      <c r="D292" s="76"/>
      <c r="E292" s="231"/>
      <c r="F292" s="231"/>
      <c r="G292" s="231"/>
      <c r="H292" s="76"/>
      <c r="I292" s="232"/>
      <c r="J292" s="76"/>
      <c r="K292" s="76">
        <f t="shared" si="167"/>
        <v>0</v>
      </c>
      <c r="L292" s="76">
        <f t="shared" si="168"/>
        <v>0</v>
      </c>
      <c r="M292" s="76"/>
      <c r="N292" s="76"/>
      <c r="O292" s="76"/>
      <c r="P292" s="76"/>
      <c r="Q292" s="76"/>
      <c r="R292" s="76">
        <f t="shared" si="169"/>
        <v>0</v>
      </c>
      <c r="S292" s="76">
        <f t="shared" si="170"/>
        <v>0</v>
      </c>
      <c r="T292" s="76">
        <f t="shared" si="171"/>
        <v>0</v>
      </c>
      <c r="U292" s="129"/>
      <c r="V292" s="120" t="str">
        <f t="shared" si="172"/>
        <v>SM:43951</v>
      </c>
      <c r="W292" s="265">
        <f t="shared" si="173"/>
        <v>43972</v>
      </c>
      <c r="Y292"/>
      <c r="Z292"/>
      <c r="AA292"/>
    </row>
    <row r="293" spans="1:27" s="22" customFormat="1" hidden="1" outlineLevel="1" x14ac:dyDescent="0.25">
      <c r="A293" s="120">
        <f t="shared" si="166"/>
        <v>12</v>
      </c>
      <c r="B293" s="392">
        <v>43982</v>
      </c>
      <c r="C293" s="231" t="s">
        <v>58</v>
      </c>
      <c r="D293" s="76"/>
      <c r="E293" s="231"/>
      <c r="F293" s="231"/>
      <c r="G293" s="231"/>
      <c r="H293" s="76"/>
      <c r="I293" s="232"/>
      <c r="J293" s="76"/>
      <c r="K293" s="76">
        <f t="shared" si="167"/>
        <v>0</v>
      </c>
      <c r="L293" s="76">
        <f t="shared" si="168"/>
        <v>0</v>
      </c>
      <c r="M293" s="76"/>
      <c r="N293" s="76"/>
      <c r="O293" s="76"/>
      <c r="P293" s="76"/>
      <c r="Q293" s="76"/>
      <c r="R293" s="76">
        <f t="shared" si="169"/>
        <v>0</v>
      </c>
      <c r="S293" s="76">
        <f t="shared" si="170"/>
        <v>0</v>
      </c>
      <c r="T293" s="76">
        <f t="shared" si="171"/>
        <v>0</v>
      </c>
      <c r="U293" s="129"/>
      <c r="V293" s="120" t="str">
        <f t="shared" si="172"/>
        <v>SM:43982</v>
      </c>
      <c r="W293" s="265">
        <f t="shared" si="173"/>
        <v>44003</v>
      </c>
      <c r="Y293"/>
      <c r="Z293"/>
      <c r="AA293"/>
    </row>
    <row r="294" spans="1:27" s="22" customFormat="1" outlineLevel="1" x14ac:dyDescent="0.25">
      <c r="A294" s="120">
        <f t="shared" si="166"/>
        <v>1</v>
      </c>
      <c r="B294" s="392">
        <v>43646</v>
      </c>
      <c r="C294" s="231" t="s">
        <v>657</v>
      </c>
      <c r="D294" s="76"/>
      <c r="E294" s="231"/>
      <c r="F294" s="231"/>
      <c r="G294" s="231"/>
      <c r="H294" s="76"/>
      <c r="I294" s="232">
        <v>236.8</v>
      </c>
      <c r="J294" s="76"/>
      <c r="K294" s="76">
        <f t="shared" si="167"/>
        <v>0</v>
      </c>
      <c r="L294" s="76">
        <f t="shared" si="168"/>
        <v>215.27</v>
      </c>
      <c r="M294" s="76"/>
      <c r="N294" s="76"/>
      <c r="O294" s="76"/>
      <c r="P294" s="76"/>
      <c r="Q294" s="76"/>
      <c r="R294" s="76">
        <f t="shared" si="169"/>
        <v>21.53</v>
      </c>
      <c r="S294" s="76">
        <f t="shared" si="170"/>
        <v>215.27</v>
      </c>
      <c r="T294" s="76">
        <f t="shared" si="171"/>
        <v>236.8</v>
      </c>
      <c r="U294" s="129"/>
      <c r="V294" s="120" t="str">
        <f t="shared" si="172"/>
        <v>VAK:43646</v>
      </c>
      <c r="W294" s="265">
        <f t="shared" si="173"/>
        <v>43667</v>
      </c>
    </row>
    <row r="295" spans="1:27" s="22" customFormat="1" outlineLevel="1" x14ac:dyDescent="0.25">
      <c r="A295" s="120">
        <f t="shared" si="166"/>
        <v>2</v>
      </c>
      <c r="B295" s="392">
        <v>43677</v>
      </c>
      <c r="C295" s="231" t="s">
        <v>657</v>
      </c>
      <c r="D295" s="76"/>
      <c r="E295" s="231"/>
      <c r="F295" s="231"/>
      <c r="G295" s="231"/>
      <c r="H295" s="76"/>
      <c r="I295" s="232">
        <v>126.1</v>
      </c>
      <c r="J295" s="76"/>
      <c r="K295" s="76">
        <f t="shared" si="167"/>
        <v>0</v>
      </c>
      <c r="L295" s="76">
        <f t="shared" si="168"/>
        <v>114.64</v>
      </c>
      <c r="M295" s="76"/>
      <c r="N295" s="76"/>
      <c r="O295" s="76"/>
      <c r="P295" s="76"/>
      <c r="Q295" s="76"/>
      <c r="R295" s="76">
        <f t="shared" si="169"/>
        <v>11.459999999999994</v>
      </c>
      <c r="S295" s="76">
        <f t="shared" si="170"/>
        <v>114.64</v>
      </c>
      <c r="T295" s="76">
        <f t="shared" si="171"/>
        <v>126.1</v>
      </c>
      <c r="U295" s="129"/>
      <c r="V295" s="120" t="str">
        <f t="shared" si="172"/>
        <v>VAK:43677</v>
      </c>
      <c r="W295" s="265">
        <f t="shared" si="173"/>
        <v>43698</v>
      </c>
    </row>
    <row r="296" spans="1:27" s="22" customFormat="1" outlineLevel="1" x14ac:dyDescent="0.25">
      <c r="A296" s="120">
        <f t="shared" si="166"/>
        <v>3</v>
      </c>
      <c r="B296" s="392">
        <v>43708</v>
      </c>
      <c r="C296" s="231" t="s">
        <v>657</v>
      </c>
      <c r="D296" s="76"/>
      <c r="E296" s="231"/>
      <c r="F296" s="231"/>
      <c r="G296" s="231"/>
      <c r="H296" s="76"/>
      <c r="I296" s="232"/>
      <c r="J296" s="76"/>
      <c r="K296" s="76">
        <f t="shared" si="167"/>
        <v>0</v>
      </c>
      <c r="L296" s="76">
        <f t="shared" si="168"/>
        <v>0</v>
      </c>
      <c r="M296" s="76"/>
      <c r="N296" s="76"/>
      <c r="O296" s="76"/>
      <c r="P296" s="76"/>
      <c r="Q296" s="76"/>
      <c r="R296" s="76">
        <f t="shared" si="169"/>
        <v>0</v>
      </c>
      <c r="S296" s="76">
        <f t="shared" si="170"/>
        <v>0</v>
      </c>
      <c r="T296" s="76">
        <f t="shared" si="171"/>
        <v>0</v>
      </c>
      <c r="U296" s="129"/>
      <c r="V296" s="120" t="str">
        <f t="shared" si="172"/>
        <v>VAK:43708</v>
      </c>
      <c r="W296" s="265">
        <f t="shared" si="173"/>
        <v>43729</v>
      </c>
    </row>
    <row r="297" spans="1:27" s="22" customFormat="1" outlineLevel="1" x14ac:dyDescent="0.25">
      <c r="A297" s="120">
        <f t="shared" si="166"/>
        <v>4</v>
      </c>
      <c r="B297" s="392">
        <v>43738</v>
      </c>
      <c r="C297" s="231" t="s">
        <v>657</v>
      </c>
      <c r="D297" s="76"/>
      <c r="E297" s="231"/>
      <c r="F297" s="231"/>
      <c r="G297" s="231"/>
      <c r="H297" s="76"/>
      <c r="I297" s="232"/>
      <c r="J297" s="76"/>
      <c r="K297" s="76">
        <f t="shared" si="167"/>
        <v>0</v>
      </c>
      <c r="L297" s="76">
        <f t="shared" si="168"/>
        <v>0</v>
      </c>
      <c r="M297" s="76"/>
      <c r="N297" s="76"/>
      <c r="O297" s="76"/>
      <c r="P297" s="76"/>
      <c r="Q297" s="76"/>
      <c r="R297" s="76">
        <f t="shared" si="169"/>
        <v>0</v>
      </c>
      <c r="S297" s="76">
        <f t="shared" si="170"/>
        <v>0</v>
      </c>
      <c r="T297" s="76">
        <f t="shared" si="171"/>
        <v>0</v>
      </c>
      <c r="U297" s="129"/>
      <c r="V297" s="120" t="str">
        <f t="shared" si="172"/>
        <v>VAK:43738</v>
      </c>
      <c r="W297" s="265">
        <f t="shared" si="173"/>
        <v>43759</v>
      </c>
    </row>
    <row r="298" spans="1:27" s="22" customFormat="1" outlineLevel="1" x14ac:dyDescent="0.25">
      <c r="A298" s="120">
        <f t="shared" ref="A298:A321" si="174">GETPAYMONTH(B298)</f>
        <v>5</v>
      </c>
      <c r="B298" s="392">
        <v>43769</v>
      </c>
      <c r="C298" s="231" t="s">
        <v>657</v>
      </c>
      <c r="D298" s="76"/>
      <c r="E298" s="231"/>
      <c r="F298" s="231"/>
      <c r="G298" s="231"/>
      <c r="H298" s="76"/>
      <c r="I298" s="232"/>
      <c r="J298" s="76"/>
      <c r="K298" s="76">
        <f t="shared" si="167"/>
        <v>0</v>
      </c>
      <c r="L298" s="76">
        <f t="shared" si="168"/>
        <v>0</v>
      </c>
      <c r="M298" s="76"/>
      <c r="N298" s="76"/>
      <c r="O298" s="76"/>
      <c r="P298" s="76"/>
      <c r="Q298" s="76"/>
      <c r="R298" s="76">
        <f t="shared" ref="R298:R321" si="175">H298+I298-K298-L298</f>
        <v>0</v>
      </c>
      <c r="S298" s="76">
        <f t="shared" si="170"/>
        <v>0</v>
      </c>
      <c r="T298" s="76">
        <f t="shared" ref="T298:T321" si="176">SUM(K298:L298)+P298+R298</f>
        <v>0</v>
      </c>
      <c r="U298" s="129"/>
      <c r="V298" s="120" t="str">
        <f t="shared" ref="V298:V321" si="177">C298 &amp;":"&amp; B298</f>
        <v>VAK:43769</v>
      </c>
      <c r="W298" s="265">
        <f t="shared" ref="W298:W321" si="178">DATE(YEAR(B298+1),MONTH(B298+1),VLOOKUP(C298,payEmpNames,4))</f>
        <v>43790</v>
      </c>
    </row>
    <row r="299" spans="1:27" s="22" customFormat="1" outlineLevel="1" x14ac:dyDescent="0.25">
      <c r="A299" s="120">
        <f t="shared" si="174"/>
        <v>6</v>
      </c>
      <c r="B299" s="392">
        <v>43799</v>
      </c>
      <c r="C299" s="231" t="s">
        <v>657</v>
      </c>
      <c r="D299" s="76"/>
      <c r="E299" s="231"/>
      <c r="F299" s="231"/>
      <c r="G299" s="231"/>
      <c r="H299" s="76"/>
      <c r="I299" s="232"/>
      <c r="J299" s="76"/>
      <c r="K299" s="76">
        <f t="shared" si="167"/>
        <v>0</v>
      </c>
      <c r="L299" s="76">
        <f t="shared" si="168"/>
        <v>0</v>
      </c>
      <c r="M299" s="76"/>
      <c r="N299" s="76"/>
      <c r="O299" s="76"/>
      <c r="P299" s="76"/>
      <c r="Q299" s="76"/>
      <c r="R299" s="76">
        <f t="shared" si="175"/>
        <v>0</v>
      </c>
      <c r="S299" s="76">
        <f t="shared" si="170"/>
        <v>0</v>
      </c>
      <c r="T299" s="76">
        <f t="shared" si="176"/>
        <v>0</v>
      </c>
      <c r="U299" s="129"/>
      <c r="V299" s="120" t="str">
        <f t="shared" si="177"/>
        <v>VAK:43799</v>
      </c>
      <c r="W299" s="265">
        <f t="shared" si="178"/>
        <v>43820</v>
      </c>
    </row>
    <row r="300" spans="1:27" s="22" customFormat="1" outlineLevel="1" x14ac:dyDescent="0.25">
      <c r="A300" s="120">
        <f t="shared" si="174"/>
        <v>7</v>
      </c>
      <c r="B300" s="392">
        <v>43830</v>
      </c>
      <c r="C300" s="231" t="s">
        <v>657</v>
      </c>
      <c r="D300" s="76"/>
      <c r="E300" s="231"/>
      <c r="F300" s="231"/>
      <c r="G300" s="231"/>
      <c r="H300" s="76"/>
      <c r="I300" s="232"/>
      <c r="J300" s="76"/>
      <c r="K300" s="76">
        <f t="shared" si="167"/>
        <v>0</v>
      </c>
      <c r="L300" s="76">
        <f t="shared" si="168"/>
        <v>0</v>
      </c>
      <c r="M300" s="76"/>
      <c r="N300" s="76"/>
      <c r="O300" s="76"/>
      <c r="P300" s="76"/>
      <c r="Q300" s="76"/>
      <c r="R300" s="76">
        <f t="shared" si="175"/>
        <v>0</v>
      </c>
      <c r="S300" s="76">
        <f t="shared" si="170"/>
        <v>0</v>
      </c>
      <c r="T300" s="76">
        <f t="shared" si="176"/>
        <v>0</v>
      </c>
      <c r="U300" s="129"/>
      <c r="V300" s="120" t="str">
        <f t="shared" si="177"/>
        <v>VAK:43830</v>
      </c>
      <c r="W300" s="265">
        <f t="shared" si="178"/>
        <v>43851</v>
      </c>
    </row>
    <row r="301" spans="1:27" s="22" customFormat="1" outlineLevel="1" x14ac:dyDescent="0.25">
      <c r="A301" s="120">
        <f t="shared" si="174"/>
        <v>8</v>
      </c>
      <c r="B301" s="392">
        <v>43861</v>
      </c>
      <c r="C301" s="231" t="s">
        <v>657</v>
      </c>
      <c r="D301" s="76"/>
      <c r="E301" s="231"/>
      <c r="F301" s="231"/>
      <c r="G301" s="231"/>
      <c r="H301" s="76"/>
      <c r="I301" s="232"/>
      <c r="J301" s="76"/>
      <c r="K301" s="76">
        <f t="shared" si="167"/>
        <v>0</v>
      </c>
      <c r="L301" s="76">
        <f t="shared" si="168"/>
        <v>0</v>
      </c>
      <c r="M301" s="76"/>
      <c r="N301" s="76"/>
      <c r="O301" s="76"/>
      <c r="P301" s="76"/>
      <c r="Q301" s="76"/>
      <c r="R301" s="76">
        <f t="shared" si="175"/>
        <v>0</v>
      </c>
      <c r="S301" s="76">
        <f t="shared" si="170"/>
        <v>0</v>
      </c>
      <c r="T301" s="76">
        <f t="shared" si="176"/>
        <v>0</v>
      </c>
      <c r="U301" s="129"/>
      <c r="V301" s="120" t="str">
        <f t="shared" si="177"/>
        <v>VAK:43861</v>
      </c>
      <c r="W301" s="265">
        <f t="shared" si="178"/>
        <v>43882</v>
      </c>
    </row>
    <row r="302" spans="1:27" s="22" customFormat="1" outlineLevel="1" x14ac:dyDescent="0.25">
      <c r="A302" s="120">
        <f t="shared" si="174"/>
        <v>9</v>
      </c>
      <c r="B302" s="392">
        <v>43889</v>
      </c>
      <c r="C302" s="231" t="s">
        <v>657</v>
      </c>
      <c r="D302" s="76"/>
      <c r="E302" s="231"/>
      <c r="F302" s="231"/>
      <c r="G302" s="231"/>
      <c r="H302" s="76"/>
      <c r="I302" s="232"/>
      <c r="J302" s="76"/>
      <c r="K302" s="76">
        <f t="shared" si="167"/>
        <v>0</v>
      </c>
      <c r="L302" s="76">
        <f t="shared" si="168"/>
        <v>0</v>
      </c>
      <c r="M302" s="76"/>
      <c r="N302" s="76"/>
      <c r="O302" s="76"/>
      <c r="P302" s="76"/>
      <c r="Q302" s="76"/>
      <c r="R302" s="76">
        <f t="shared" si="175"/>
        <v>0</v>
      </c>
      <c r="S302" s="76">
        <f t="shared" si="170"/>
        <v>0</v>
      </c>
      <c r="T302" s="76">
        <f t="shared" si="176"/>
        <v>0</v>
      </c>
      <c r="U302" s="129"/>
      <c r="V302" s="120" t="str">
        <f t="shared" si="177"/>
        <v>VAK:43889</v>
      </c>
      <c r="W302" s="265">
        <f t="shared" si="178"/>
        <v>43882</v>
      </c>
    </row>
    <row r="303" spans="1:27" s="22" customFormat="1" outlineLevel="1" x14ac:dyDescent="0.25">
      <c r="A303" s="120">
        <f t="shared" si="174"/>
        <v>10</v>
      </c>
      <c r="B303" s="392">
        <v>43921</v>
      </c>
      <c r="C303" s="231" t="s">
        <v>657</v>
      </c>
      <c r="D303" s="76"/>
      <c r="E303" s="231"/>
      <c r="F303" s="231"/>
      <c r="G303" s="231"/>
      <c r="H303" s="76"/>
      <c r="I303" s="232"/>
      <c r="J303" s="76"/>
      <c r="K303" s="76">
        <f t="shared" si="167"/>
        <v>0</v>
      </c>
      <c r="L303" s="76">
        <f t="shared" si="168"/>
        <v>0</v>
      </c>
      <c r="M303" s="76"/>
      <c r="N303" s="76"/>
      <c r="O303" s="76"/>
      <c r="P303" s="76"/>
      <c r="Q303" s="76"/>
      <c r="R303" s="76">
        <f t="shared" si="175"/>
        <v>0</v>
      </c>
      <c r="S303" s="76">
        <f t="shared" si="170"/>
        <v>0</v>
      </c>
      <c r="T303" s="76">
        <f t="shared" si="176"/>
        <v>0</v>
      </c>
      <c r="U303" s="129"/>
      <c r="V303" s="120" t="str">
        <f t="shared" si="177"/>
        <v>VAK:43921</v>
      </c>
      <c r="W303" s="265">
        <f t="shared" si="178"/>
        <v>43942</v>
      </c>
    </row>
    <row r="304" spans="1:27" s="22" customFormat="1" outlineLevel="1" x14ac:dyDescent="0.25">
      <c r="A304" s="120">
        <f t="shared" si="174"/>
        <v>11</v>
      </c>
      <c r="B304" s="392">
        <v>43951</v>
      </c>
      <c r="C304" s="231" t="s">
        <v>657</v>
      </c>
      <c r="D304" s="76"/>
      <c r="E304" s="231"/>
      <c r="F304" s="231"/>
      <c r="G304" s="231"/>
      <c r="H304" s="76"/>
      <c r="I304" s="232"/>
      <c r="J304" s="76"/>
      <c r="K304" s="76">
        <f t="shared" si="167"/>
        <v>0</v>
      </c>
      <c r="L304" s="76">
        <f t="shared" si="168"/>
        <v>0</v>
      </c>
      <c r="M304" s="76"/>
      <c r="N304" s="76"/>
      <c r="O304" s="76"/>
      <c r="P304" s="76"/>
      <c r="Q304" s="76"/>
      <c r="R304" s="76">
        <f t="shared" si="175"/>
        <v>0</v>
      </c>
      <c r="S304" s="76">
        <f t="shared" si="170"/>
        <v>0</v>
      </c>
      <c r="T304" s="76">
        <f t="shared" si="176"/>
        <v>0</v>
      </c>
      <c r="U304" s="129"/>
      <c r="V304" s="120" t="str">
        <f t="shared" si="177"/>
        <v>VAK:43951</v>
      </c>
      <c r="W304" s="265">
        <f t="shared" si="178"/>
        <v>43972</v>
      </c>
    </row>
    <row r="305" spans="1:27" s="22" customFormat="1" outlineLevel="1" x14ac:dyDescent="0.25">
      <c r="A305" s="120">
        <f t="shared" si="174"/>
        <v>12</v>
      </c>
      <c r="B305" s="392">
        <v>43982</v>
      </c>
      <c r="C305" s="231" t="s">
        <v>657</v>
      </c>
      <c r="D305" s="76"/>
      <c r="E305" s="231"/>
      <c r="F305" s="231"/>
      <c r="G305" s="231"/>
      <c r="H305" s="76"/>
      <c r="I305" s="232"/>
      <c r="J305" s="76"/>
      <c r="K305" s="76">
        <f t="shared" si="167"/>
        <v>0</v>
      </c>
      <c r="L305" s="76">
        <f t="shared" si="168"/>
        <v>0</v>
      </c>
      <c r="M305" s="76"/>
      <c r="N305" s="76"/>
      <c r="O305" s="76"/>
      <c r="P305" s="76"/>
      <c r="Q305" s="76"/>
      <c r="R305" s="76">
        <f t="shared" si="175"/>
        <v>0</v>
      </c>
      <c r="S305" s="76">
        <f t="shared" si="170"/>
        <v>0</v>
      </c>
      <c r="T305" s="76">
        <f t="shared" si="176"/>
        <v>0</v>
      </c>
      <c r="U305" s="129"/>
      <c r="V305" s="120" t="str">
        <f t="shared" si="177"/>
        <v>VAK:43982</v>
      </c>
      <c r="W305" s="265">
        <f t="shared" si="178"/>
        <v>44003</v>
      </c>
      <c r="Y305" s="35"/>
      <c r="Z305" s="35"/>
      <c r="AA305" s="35"/>
    </row>
    <row r="306" spans="1:27" s="22" customFormat="1" hidden="1" outlineLevel="1" x14ac:dyDescent="0.25">
      <c r="A306" s="120">
        <f t="shared" si="174"/>
        <v>1</v>
      </c>
      <c r="B306" s="392">
        <v>43646</v>
      </c>
      <c r="C306" s="231" t="s">
        <v>658</v>
      </c>
      <c r="D306" s="76"/>
      <c r="E306" s="231"/>
      <c r="F306" s="231"/>
      <c r="G306" s="231"/>
      <c r="H306" s="76"/>
      <c r="I306" s="232">
        <v>57</v>
      </c>
      <c r="J306" s="76"/>
      <c r="K306" s="76">
        <f t="shared" si="167"/>
        <v>0</v>
      </c>
      <c r="L306" s="76">
        <f t="shared" si="168"/>
        <v>51.82</v>
      </c>
      <c r="M306" s="76"/>
      <c r="N306" s="76"/>
      <c r="O306" s="76"/>
      <c r="P306" s="76"/>
      <c r="Q306" s="76"/>
      <c r="R306" s="76">
        <f t="shared" si="175"/>
        <v>5.18</v>
      </c>
      <c r="S306" s="76">
        <f t="shared" si="170"/>
        <v>51.82</v>
      </c>
      <c r="T306" s="76">
        <f t="shared" si="176"/>
        <v>57</v>
      </c>
      <c r="U306" s="129"/>
      <c r="V306" s="120" t="str">
        <f t="shared" si="177"/>
        <v>ASW:43646</v>
      </c>
      <c r="W306" s="265">
        <f t="shared" si="178"/>
        <v>43667</v>
      </c>
      <c r="Y306"/>
      <c r="Z306"/>
      <c r="AA306"/>
    </row>
    <row r="307" spans="1:27" s="22" customFormat="1" hidden="1" outlineLevel="1" x14ac:dyDescent="0.25">
      <c r="A307" s="120">
        <f t="shared" si="174"/>
        <v>2</v>
      </c>
      <c r="B307" s="392">
        <v>43677</v>
      </c>
      <c r="C307" s="231" t="s">
        <v>658</v>
      </c>
      <c r="D307" s="76"/>
      <c r="E307" s="231"/>
      <c r="F307" s="231"/>
      <c r="G307" s="231"/>
      <c r="H307" s="76"/>
      <c r="I307" s="232">
        <v>61.6</v>
      </c>
      <c r="J307" s="76"/>
      <c r="K307" s="76">
        <f t="shared" si="167"/>
        <v>0</v>
      </c>
      <c r="L307" s="76">
        <f t="shared" si="168"/>
        <v>56</v>
      </c>
      <c r="M307" s="76"/>
      <c r="N307" s="76"/>
      <c r="O307" s="76"/>
      <c r="P307" s="76"/>
      <c r="Q307" s="76"/>
      <c r="R307" s="76">
        <f t="shared" si="175"/>
        <v>5.6000000000000014</v>
      </c>
      <c r="S307" s="76">
        <f t="shared" si="170"/>
        <v>56</v>
      </c>
      <c r="T307" s="76">
        <f t="shared" si="176"/>
        <v>61.6</v>
      </c>
      <c r="U307" s="129"/>
      <c r="V307" s="120" t="str">
        <f t="shared" si="177"/>
        <v>ASW:43677</v>
      </c>
      <c r="W307" s="265">
        <f t="shared" si="178"/>
        <v>43698</v>
      </c>
      <c r="Y307"/>
      <c r="Z307"/>
      <c r="AA307"/>
    </row>
    <row r="308" spans="1:27" s="22" customFormat="1" hidden="1" outlineLevel="1" x14ac:dyDescent="0.25">
      <c r="A308" s="120">
        <f t="shared" si="174"/>
        <v>3</v>
      </c>
      <c r="B308" s="392">
        <v>43708</v>
      </c>
      <c r="C308" s="231" t="s">
        <v>658</v>
      </c>
      <c r="D308" s="76"/>
      <c r="E308" s="231"/>
      <c r="F308" s="231"/>
      <c r="G308" s="231"/>
      <c r="H308" s="76"/>
      <c r="I308" s="232"/>
      <c r="J308" s="76"/>
      <c r="K308" s="76">
        <f t="shared" si="167"/>
        <v>0</v>
      </c>
      <c r="L308" s="76">
        <f>ROUND($I308/11*10,2)</f>
        <v>0</v>
      </c>
      <c r="M308" s="76"/>
      <c r="N308" s="76"/>
      <c r="O308" s="76"/>
      <c r="P308" s="76"/>
      <c r="Q308" s="76"/>
      <c r="R308" s="76">
        <f t="shared" si="175"/>
        <v>0</v>
      </c>
      <c r="S308" s="76">
        <f t="shared" si="170"/>
        <v>0</v>
      </c>
      <c r="T308" s="76">
        <f t="shared" si="176"/>
        <v>0</v>
      </c>
      <c r="U308" s="129"/>
      <c r="V308" s="120" t="str">
        <f t="shared" si="177"/>
        <v>ASW:43708</v>
      </c>
      <c r="W308" s="265">
        <f t="shared" si="178"/>
        <v>43729</v>
      </c>
      <c r="Y308"/>
      <c r="Z308"/>
      <c r="AA308"/>
    </row>
    <row r="309" spans="1:27" s="22" customFormat="1" hidden="1" outlineLevel="1" x14ac:dyDescent="0.25">
      <c r="A309" s="120">
        <f t="shared" si="174"/>
        <v>4</v>
      </c>
      <c r="B309" s="392">
        <v>43738</v>
      </c>
      <c r="C309" s="231" t="s">
        <v>658</v>
      </c>
      <c r="D309" s="76"/>
      <c r="E309" s="231"/>
      <c r="F309" s="231"/>
      <c r="G309" s="231"/>
      <c r="H309" s="76"/>
      <c r="I309" s="232"/>
      <c r="J309" s="76"/>
      <c r="K309" s="76">
        <f t="shared" si="167"/>
        <v>0</v>
      </c>
      <c r="L309" s="76">
        <f t="shared" si="168"/>
        <v>0</v>
      </c>
      <c r="M309" s="76"/>
      <c r="N309" s="76"/>
      <c r="O309" s="76"/>
      <c r="P309" s="76"/>
      <c r="Q309" s="76"/>
      <c r="R309" s="76">
        <f t="shared" si="175"/>
        <v>0</v>
      </c>
      <c r="S309" s="76">
        <f t="shared" si="170"/>
        <v>0</v>
      </c>
      <c r="T309" s="76">
        <f t="shared" si="176"/>
        <v>0</v>
      </c>
      <c r="U309" s="129"/>
      <c r="V309" s="120" t="str">
        <f t="shared" si="177"/>
        <v>ASW:43738</v>
      </c>
      <c r="W309" s="265">
        <f t="shared" si="178"/>
        <v>43759</v>
      </c>
      <c r="Y309"/>
      <c r="Z309"/>
      <c r="AA309"/>
    </row>
    <row r="310" spans="1:27" s="22" customFormat="1" hidden="1" outlineLevel="1" x14ac:dyDescent="0.25">
      <c r="A310" s="120">
        <f t="shared" si="174"/>
        <v>5</v>
      </c>
      <c r="B310" s="392">
        <v>43769</v>
      </c>
      <c r="C310" s="231" t="s">
        <v>658</v>
      </c>
      <c r="D310" s="76"/>
      <c r="E310" s="231"/>
      <c r="F310" s="231"/>
      <c r="G310" s="231"/>
      <c r="H310" s="76"/>
      <c r="I310" s="232"/>
      <c r="J310" s="76"/>
      <c r="K310" s="76">
        <f t="shared" si="167"/>
        <v>0</v>
      </c>
      <c r="L310" s="76">
        <f t="shared" si="168"/>
        <v>0</v>
      </c>
      <c r="M310" s="76"/>
      <c r="N310" s="76"/>
      <c r="O310" s="76"/>
      <c r="P310" s="76"/>
      <c r="Q310" s="76"/>
      <c r="R310" s="76">
        <f t="shared" si="175"/>
        <v>0</v>
      </c>
      <c r="S310" s="76">
        <f t="shared" si="170"/>
        <v>0</v>
      </c>
      <c r="T310" s="76">
        <f t="shared" si="176"/>
        <v>0</v>
      </c>
      <c r="U310" s="129"/>
      <c r="V310" s="120" t="str">
        <f t="shared" si="177"/>
        <v>ASW:43769</v>
      </c>
      <c r="W310" s="265">
        <f t="shared" si="178"/>
        <v>43790</v>
      </c>
      <c r="Y310"/>
      <c r="Z310"/>
      <c r="AA310"/>
    </row>
    <row r="311" spans="1:27" s="22" customFormat="1" hidden="1" outlineLevel="1" x14ac:dyDescent="0.25">
      <c r="A311" s="120">
        <f t="shared" si="174"/>
        <v>6</v>
      </c>
      <c r="B311" s="392">
        <v>43799</v>
      </c>
      <c r="C311" s="231" t="s">
        <v>658</v>
      </c>
      <c r="D311" s="76"/>
      <c r="E311" s="231"/>
      <c r="F311" s="231"/>
      <c r="G311" s="231"/>
      <c r="H311" s="76"/>
      <c r="I311" s="232"/>
      <c r="J311" s="76"/>
      <c r="K311" s="76">
        <f t="shared" si="167"/>
        <v>0</v>
      </c>
      <c r="L311" s="76">
        <f t="shared" si="168"/>
        <v>0</v>
      </c>
      <c r="M311" s="76"/>
      <c r="N311" s="76"/>
      <c r="O311" s="76"/>
      <c r="P311" s="76"/>
      <c r="Q311" s="76"/>
      <c r="R311" s="76">
        <f t="shared" si="175"/>
        <v>0</v>
      </c>
      <c r="S311" s="76">
        <f t="shared" si="170"/>
        <v>0</v>
      </c>
      <c r="T311" s="76">
        <f t="shared" si="176"/>
        <v>0</v>
      </c>
      <c r="U311" s="129"/>
      <c r="V311" s="120" t="str">
        <f t="shared" si="177"/>
        <v>ASW:43799</v>
      </c>
      <c r="W311" s="265">
        <f t="shared" si="178"/>
        <v>43820</v>
      </c>
      <c r="Y311"/>
      <c r="Z311"/>
      <c r="AA311"/>
    </row>
    <row r="312" spans="1:27" s="22" customFormat="1" hidden="1" outlineLevel="1" x14ac:dyDescent="0.25">
      <c r="A312" s="120">
        <f t="shared" si="174"/>
        <v>7</v>
      </c>
      <c r="B312" s="392">
        <v>43830</v>
      </c>
      <c r="C312" s="231" t="s">
        <v>658</v>
      </c>
      <c r="D312" s="76"/>
      <c r="E312" s="231"/>
      <c r="F312" s="231"/>
      <c r="G312" s="231"/>
      <c r="H312" s="76"/>
      <c r="I312" s="232"/>
      <c r="J312" s="76"/>
      <c r="K312" s="76">
        <f t="shared" si="167"/>
        <v>0</v>
      </c>
      <c r="L312" s="76">
        <f t="shared" si="168"/>
        <v>0</v>
      </c>
      <c r="M312" s="76"/>
      <c r="N312" s="76"/>
      <c r="O312" s="76"/>
      <c r="P312" s="76"/>
      <c r="Q312" s="76"/>
      <c r="R312" s="76">
        <f t="shared" si="175"/>
        <v>0</v>
      </c>
      <c r="S312" s="76">
        <f t="shared" si="170"/>
        <v>0</v>
      </c>
      <c r="T312" s="76">
        <f t="shared" si="176"/>
        <v>0</v>
      </c>
      <c r="U312" s="129"/>
      <c r="V312" s="120" t="str">
        <f t="shared" si="177"/>
        <v>ASW:43830</v>
      </c>
      <c r="W312" s="265">
        <f t="shared" si="178"/>
        <v>43851</v>
      </c>
      <c r="Y312"/>
      <c r="Z312"/>
      <c r="AA312"/>
    </row>
    <row r="313" spans="1:27" s="22" customFormat="1" hidden="1" outlineLevel="1" x14ac:dyDescent="0.25">
      <c r="A313" s="120">
        <f t="shared" si="174"/>
        <v>8</v>
      </c>
      <c r="B313" s="392">
        <v>43861</v>
      </c>
      <c r="C313" s="231" t="s">
        <v>658</v>
      </c>
      <c r="D313" s="76"/>
      <c r="E313" s="231"/>
      <c r="F313" s="231"/>
      <c r="G313" s="231"/>
      <c r="H313" s="76"/>
      <c r="I313" s="232"/>
      <c r="J313" s="76"/>
      <c r="K313" s="76">
        <f t="shared" si="167"/>
        <v>0</v>
      </c>
      <c r="L313" s="76">
        <f t="shared" si="168"/>
        <v>0</v>
      </c>
      <c r="M313" s="76"/>
      <c r="N313" s="76"/>
      <c r="O313" s="76"/>
      <c r="P313" s="76"/>
      <c r="Q313" s="76"/>
      <c r="R313" s="76">
        <f t="shared" si="175"/>
        <v>0</v>
      </c>
      <c r="S313" s="76">
        <f t="shared" si="170"/>
        <v>0</v>
      </c>
      <c r="T313" s="76">
        <f t="shared" si="176"/>
        <v>0</v>
      </c>
      <c r="U313" s="129"/>
      <c r="V313" s="120" t="str">
        <f t="shared" si="177"/>
        <v>ASW:43861</v>
      </c>
      <c r="W313" s="265">
        <f t="shared" si="178"/>
        <v>43882</v>
      </c>
      <c r="Y313"/>
      <c r="Z313"/>
      <c r="AA313"/>
    </row>
    <row r="314" spans="1:27" s="22" customFormat="1" hidden="1" outlineLevel="1" x14ac:dyDescent="0.25">
      <c r="A314" s="120">
        <f t="shared" si="174"/>
        <v>9</v>
      </c>
      <c r="B314" s="392">
        <v>43889</v>
      </c>
      <c r="C314" s="231" t="s">
        <v>658</v>
      </c>
      <c r="D314" s="76"/>
      <c r="E314" s="231"/>
      <c r="F314" s="231"/>
      <c r="G314" s="231"/>
      <c r="H314" s="76"/>
      <c r="I314" s="232"/>
      <c r="J314" s="76"/>
      <c r="K314" s="76">
        <f t="shared" si="167"/>
        <v>0</v>
      </c>
      <c r="L314" s="76">
        <f t="shared" si="168"/>
        <v>0</v>
      </c>
      <c r="M314" s="76"/>
      <c r="N314" s="76"/>
      <c r="O314" s="76"/>
      <c r="P314" s="76"/>
      <c r="Q314" s="76"/>
      <c r="R314" s="76">
        <f t="shared" si="175"/>
        <v>0</v>
      </c>
      <c r="S314" s="76">
        <f t="shared" si="170"/>
        <v>0</v>
      </c>
      <c r="T314" s="76">
        <f t="shared" si="176"/>
        <v>0</v>
      </c>
      <c r="U314" s="129"/>
      <c r="V314" s="120" t="str">
        <f t="shared" si="177"/>
        <v>ASW:43889</v>
      </c>
      <c r="W314" s="265">
        <f t="shared" si="178"/>
        <v>43882</v>
      </c>
      <c r="Y314"/>
      <c r="Z314"/>
      <c r="AA314"/>
    </row>
    <row r="315" spans="1:27" s="22" customFormat="1" hidden="1" outlineLevel="1" x14ac:dyDescent="0.25">
      <c r="A315" s="120">
        <f t="shared" si="174"/>
        <v>10</v>
      </c>
      <c r="B315" s="392">
        <v>43921</v>
      </c>
      <c r="C315" s="231" t="s">
        <v>658</v>
      </c>
      <c r="D315" s="76"/>
      <c r="E315" s="231"/>
      <c r="F315" s="231"/>
      <c r="G315" s="231"/>
      <c r="H315" s="76"/>
      <c r="I315" s="232"/>
      <c r="J315" s="76"/>
      <c r="K315" s="76">
        <f t="shared" si="167"/>
        <v>0</v>
      </c>
      <c r="L315" s="76">
        <f t="shared" si="168"/>
        <v>0</v>
      </c>
      <c r="M315" s="76"/>
      <c r="N315" s="76"/>
      <c r="O315" s="76"/>
      <c r="P315" s="76"/>
      <c r="Q315" s="76"/>
      <c r="R315" s="76">
        <f t="shared" si="175"/>
        <v>0</v>
      </c>
      <c r="S315" s="76">
        <f t="shared" si="170"/>
        <v>0</v>
      </c>
      <c r="T315" s="76">
        <f t="shared" si="176"/>
        <v>0</v>
      </c>
      <c r="U315" s="129"/>
      <c r="V315" s="120" t="str">
        <f t="shared" si="177"/>
        <v>ASW:43921</v>
      </c>
      <c r="W315" s="265">
        <f t="shared" si="178"/>
        <v>43942</v>
      </c>
      <c r="Y315"/>
      <c r="Z315"/>
      <c r="AA315"/>
    </row>
    <row r="316" spans="1:27" s="22" customFormat="1" hidden="1" outlineLevel="1" x14ac:dyDescent="0.25">
      <c r="A316" s="120">
        <f t="shared" si="174"/>
        <v>11</v>
      </c>
      <c r="B316" s="392">
        <v>43951</v>
      </c>
      <c r="C316" s="231" t="s">
        <v>658</v>
      </c>
      <c r="D316" s="76"/>
      <c r="E316" s="231"/>
      <c r="F316" s="231"/>
      <c r="G316" s="231"/>
      <c r="H316" s="76"/>
      <c r="I316" s="232"/>
      <c r="J316" s="76"/>
      <c r="K316" s="76">
        <f t="shared" si="167"/>
        <v>0</v>
      </c>
      <c r="L316" s="76">
        <f t="shared" si="168"/>
        <v>0</v>
      </c>
      <c r="M316" s="76"/>
      <c r="N316" s="76"/>
      <c r="O316" s="76"/>
      <c r="P316" s="76"/>
      <c r="Q316" s="76"/>
      <c r="R316" s="76">
        <f t="shared" si="175"/>
        <v>0</v>
      </c>
      <c r="S316" s="76">
        <f t="shared" si="170"/>
        <v>0</v>
      </c>
      <c r="T316" s="76">
        <f t="shared" si="176"/>
        <v>0</v>
      </c>
      <c r="U316" s="129"/>
      <c r="V316" s="120" t="str">
        <f t="shared" si="177"/>
        <v>ASW:43951</v>
      </c>
      <c r="W316" s="265">
        <f t="shared" si="178"/>
        <v>43972</v>
      </c>
      <c r="Y316"/>
      <c r="Z316"/>
      <c r="AA316"/>
    </row>
    <row r="317" spans="1:27" s="22" customFormat="1" hidden="1" outlineLevel="1" x14ac:dyDescent="0.25">
      <c r="A317" s="120">
        <f t="shared" si="174"/>
        <v>12</v>
      </c>
      <c r="B317" s="392">
        <v>43982</v>
      </c>
      <c r="C317" s="231" t="s">
        <v>658</v>
      </c>
      <c r="D317" s="76"/>
      <c r="E317" s="231"/>
      <c r="F317" s="231"/>
      <c r="G317" s="231"/>
      <c r="H317" s="76"/>
      <c r="I317" s="232"/>
      <c r="J317" s="76"/>
      <c r="K317" s="76">
        <f t="shared" si="167"/>
        <v>0</v>
      </c>
      <c r="L317" s="76">
        <f t="shared" si="168"/>
        <v>0</v>
      </c>
      <c r="M317" s="76"/>
      <c r="N317" s="76"/>
      <c r="O317" s="76"/>
      <c r="P317" s="76"/>
      <c r="Q317" s="76"/>
      <c r="R317" s="76">
        <f t="shared" si="175"/>
        <v>0</v>
      </c>
      <c r="S317" s="76">
        <f t="shared" si="170"/>
        <v>0</v>
      </c>
      <c r="T317" s="76">
        <f t="shared" si="176"/>
        <v>0</v>
      </c>
      <c r="U317" s="129"/>
      <c r="V317" s="120" t="str">
        <f t="shared" si="177"/>
        <v>ASW:43982</v>
      </c>
      <c r="W317" s="265">
        <f t="shared" si="178"/>
        <v>44003</v>
      </c>
      <c r="Y317"/>
      <c r="Z317"/>
      <c r="AA317"/>
    </row>
    <row r="318" spans="1:27" s="22" customFormat="1" hidden="1" outlineLevel="1" x14ac:dyDescent="0.25">
      <c r="A318" s="120">
        <f t="shared" si="174"/>
        <v>2</v>
      </c>
      <c r="B318" s="392">
        <v>43681</v>
      </c>
      <c r="C318" s="231" t="s">
        <v>669</v>
      </c>
      <c r="D318" s="76"/>
      <c r="E318" s="231"/>
      <c r="F318" s="336"/>
      <c r="G318" s="231"/>
      <c r="H318" s="76"/>
      <c r="I318" s="232">
        <v>669</v>
      </c>
      <c r="J318" s="76"/>
      <c r="K318" s="76">
        <f t="shared" si="167"/>
        <v>0</v>
      </c>
      <c r="L318" s="76">
        <f t="shared" si="168"/>
        <v>608.17999999999995</v>
      </c>
      <c r="M318" s="76"/>
      <c r="N318" s="76"/>
      <c r="O318" s="76"/>
      <c r="P318" s="76"/>
      <c r="Q318" s="76"/>
      <c r="R318" s="76">
        <f t="shared" si="175"/>
        <v>60.82000000000005</v>
      </c>
      <c r="S318" s="76">
        <f t="shared" si="170"/>
        <v>608.17999999999995</v>
      </c>
      <c r="T318" s="76">
        <f t="shared" si="176"/>
        <v>669</v>
      </c>
      <c r="U318" s="129"/>
      <c r="V318" s="120" t="str">
        <f t="shared" si="177"/>
        <v>DP:43681</v>
      </c>
      <c r="W318" s="265">
        <f t="shared" si="178"/>
        <v>43698</v>
      </c>
    </row>
    <row r="319" spans="1:27" s="22" customFormat="1" hidden="1" outlineLevel="1" x14ac:dyDescent="0.25">
      <c r="A319" s="120">
        <f t="shared" si="174"/>
        <v>3</v>
      </c>
      <c r="B319" s="392">
        <v>43709</v>
      </c>
      <c r="C319" s="231" t="s">
        <v>669</v>
      </c>
      <c r="D319" s="76"/>
      <c r="E319" s="231"/>
      <c r="F319" s="336"/>
      <c r="G319" s="231"/>
      <c r="H319" s="76"/>
      <c r="I319" s="232">
        <v>575</v>
      </c>
      <c r="J319" s="76"/>
      <c r="K319" s="76">
        <f t="shared" si="167"/>
        <v>0</v>
      </c>
      <c r="L319" s="76">
        <f t="shared" si="168"/>
        <v>522.73</v>
      </c>
      <c r="M319" s="76"/>
      <c r="N319" s="76"/>
      <c r="O319" s="76"/>
      <c r="P319" s="76"/>
      <c r="Q319" s="76"/>
      <c r="R319" s="76">
        <f t="shared" si="175"/>
        <v>52.269999999999982</v>
      </c>
      <c r="S319" s="76">
        <f t="shared" si="170"/>
        <v>522.73</v>
      </c>
      <c r="T319" s="76">
        <f t="shared" si="176"/>
        <v>575</v>
      </c>
      <c r="U319" s="129"/>
      <c r="V319" s="120" t="str">
        <f t="shared" si="177"/>
        <v>DP:43709</v>
      </c>
      <c r="W319" s="265">
        <f t="shared" si="178"/>
        <v>43729</v>
      </c>
    </row>
    <row r="320" spans="1:27" s="22" customFormat="1" hidden="1" outlineLevel="1" x14ac:dyDescent="0.25">
      <c r="A320" s="120">
        <f t="shared" si="174"/>
        <v>0</v>
      </c>
      <c r="B320" s="392"/>
      <c r="C320" s="231" t="s">
        <v>669</v>
      </c>
      <c r="D320" s="76"/>
      <c r="E320" s="231"/>
      <c r="F320" s="336"/>
      <c r="G320" s="231"/>
      <c r="H320" s="76"/>
      <c r="I320" s="232"/>
      <c r="J320" s="76"/>
      <c r="K320" s="76">
        <f t="shared" si="167"/>
        <v>0</v>
      </c>
      <c r="L320" s="76">
        <f t="shared" si="168"/>
        <v>0</v>
      </c>
      <c r="M320" s="76"/>
      <c r="N320" s="76"/>
      <c r="O320" s="76"/>
      <c r="P320" s="76"/>
      <c r="Q320" s="76"/>
      <c r="R320" s="76">
        <f t="shared" si="175"/>
        <v>0</v>
      </c>
      <c r="S320" s="76">
        <f t="shared" si="170"/>
        <v>0</v>
      </c>
      <c r="T320" s="76">
        <f t="shared" si="176"/>
        <v>0</v>
      </c>
      <c r="U320" s="129"/>
      <c r="V320" s="120" t="str">
        <f t="shared" si="177"/>
        <v>DP:</v>
      </c>
      <c r="W320" s="265">
        <f t="shared" si="178"/>
        <v>21</v>
      </c>
    </row>
    <row r="321" spans="1:27" s="22" customFormat="1" hidden="1" outlineLevel="1" x14ac:dyDescent="0.25">
      <c r="A321" s="120">
        <f t="shared" si="174"/>
        <v>0</v>
      </c>
      <c r="B321" s="392"/>
      <c r="C321" s="231" t="s">
        <v>669</v>
      </c>
      <c r="D321" s="76"/>
      <c r="E321" s="231"/>
      <c r="F321" s="336"/>
      <c r="G321" s="231"/>
      <c r="H321" s="76"/>
      <c r="I321" s="232"/>
      <c r="J321" s="76"/>
      <c r="K321" s="76">
        <f t="shared" si="167"/>
        <v>0</v>
      </c>
      <c r="L321" s="76">
        <f t="shared" si="168"/>
        <v>0</v>
      </c>
      <c r="M321" s="76"/>
      <c r="N321" s="76"/>
      <c r="O321" s="76"/>
      <c r="P321" s="76"/>
      <c r="Q321" s="76"/>
      <c r="R321" s="76">
        <f t="shared" si="175"/>
        <v>0</v>
      </c>
      <c r="S321" s="76">
        <f t="shared" si="170"/>
        <v>0</v>
      </c>
      <c r="T321" s="76">
        <f t="shared" si="176"/>
        <v>0</v>
      </c>
      <c r="U321" s="129"/>
      <c r="V321" s="120" t="str">
        <f t="shared" si="177"/>
        <v>DP:</v>
      </c>
      <c r="W321" s="265">
        <f t="shared" si="178"/>
        <v>21</v>
      </c>
    </row>
    <row r="322" spans="1:27" s="22" customFormat="1" hidden="1" outlineLevel="1" x14ac:dyDescent="0.25">
      <c r="A322" s="120">
        <f t="shared" si="166"/>
        <v>5</v>
      </c>
      <c r="B322" s="392">
        <v>43773</v>
      </c>
      <c r="C322" s="231" t="s">
        <v>669</v>
      </c>
      <c r="D322" s="76"/>
      <c r="E322" s="231"/>
      <c r="F322" s="336"/>
      <c r="G322" s="231"/>
      <c r="H322" s="76"/>
      <c r="I322" s="232"/>
      <c r="J322" s="76"/>
      <c r="K322" s="76">
        <f t="shared" si="167"/>
        <v>0</v>
      </c>
      <c r="L322" s="76">
        <f t="shared" si="168"/>
        <v>0</v>
      </c>
      <c r="M322" s="76"/>
      <c r="N322" s="76"/>
      <c r="O322" s="76"/>
      <c r="P322" s="76"/>
      <c r="Q322" s="76"/>
      <c r="R322" s="76">
        <f t="shared" si="169"/>
        <v>0</v>
      </c>
      <c r="S322" s="76">
        <f t="shared" si="170"/>
        <v>0</v>
      </c>
      <c r="T322" s="76">
        <f t="shared" si="171"/>
        <v>0</v>
      </c>
      <c r="U322" s="129"/>
      <c r="V322" s="120" t="str">
        <f t="shared" si="172"/>
        <v>DP:43773</v>
      </c>
      <c r="W322" s="265">
        <f t="shared" si="173"/>
        <v>43790</v>
      </c>
    </row>
    <row r="323" spans="1:27" s="22" customFormat="1" hidden="1" outlineLevel="1" x14ac:dyDescent="0.25">
      <c r="A323" s="120">
        <f t="shared" si="166"/>
        <v>6</v>
      </c>
      <c r="B323" s="392">
        <v>43801</v>
      </c>
      <c r="C323" s="231" t="s">
        <v>669</v>
      </c>
      <c r="D323" s="76"/>
      <c r="E323" s="231"/>
      <c r="F323" s="336"/>
      <c r="G323" s="231"/>
      <c r="H323" s="76"/>
      <c r="I323" s="232"/>
      <c r="J323" s="76"/>
      <c r="K323" s="76">
        <f t="shared" si="167"/>
        <v>0</v>
      </c>
      <c r="L323" s="76">
        <f t="shared" si="168"/>
        <v>0</v>
      </c>
      <c r="M323" s="76"/>
      <c r="N323" s="76"/>
      <c r="O323" s="76"/>
      <c r="P323" s="76"/>
      <c r="Q323" s="76"/>
      <c r="R323" s="76">
        <f t="shared" si="169"/>
        <v>0</v>
      </c>
      <c r="S323" s="76">
        <f t="shared" si="170"/>
        <v>0</v>
      </c>
      <c r="T323" s="76">
        <f t="shared" si="171"/>
        <v>0</v>
      </c>
      <c r="U323" s="129"/>
      <c r="V323" s="120" t="str">
        <f t="shared" si="172"/>
        <v>DP:43801</v>
      </c>
      <c r="W323" s="265">
        <f t="shared" si="173"/>
        <v>43820</v>
      </c>
    </row>
    <row r="324" spans="1:27" s="22" customFormat="1" hidden="1" outlineLevel="1" x14ac:dyDescent="0.25">
      <c r="A324" s="120">
        <f t="shared" si="166"/>
        <v>8</v>
      </c>
      <c r="B324" s="392">
        <v>43871</v>
      </c>
      <c r="C324" s="231" t="s">
        <v>669</v>
      </c>
      <c r="D324" s="76"/>
      <c r="E324" s="231"/>
      <c r="F324" s="336"/>
      <c r="G324" s="231"/>
      <c r="H324" s="76"/>
      <c r="I324" s="232"/>
      <c r="J324" s="76"/>
      <c r="K324" s="76">
        <f t="shared" si="167"/>
        <v>0</v>
      </c>
      <c r="L324" s="76">
        <f t="shared" si="168"/>
        <v>0</v>
      </c>
      <c r="M324" s="76"/>
      <c r="N324" s="76"/>
      <c r="O324" s="76"/>
      <c r="P324" s="76"/>
      <c r="Q324" s="76"/>
      <c r="R324" s="76">
        <f t="shared" si="169"/>
        <v>0</v>
      </c>
      <c r="S324" s="76">
        <f t="shared" si="170"/>
        <v>0</v>
      </c>
      <c r="T324" s="76">
        <f t="shared" si="171"/>
        <v>0</v>
      </c>
      <c r="U324" s="129"/>
      <c r="V324" s="120" t="str">
        <f t="shared" si="172"/>
        <v>DP:43871</v>
      </c>
      <c r="W324" s="265">
        <f t="shared" si="173"/>
        <v>43882</v>
      </c>
    </row>
    <row r="325" spans="1:27" s="22" customFormat="1" hidden="1" outlineLevel="1" x14ac:dyDescent="0.25">
      <c r="A325" s="120">
        <f t="shared" si="166"/>
        <v>8</v>
      </c>
      <c r="B325" s="392">
        <v>43861</v>
      </c>
      <c r="C325" s="231" t="s">
        <v>669</v>
      </c>
      <c r="D325" s="76"/>
      <c r="E325" s="231"/>
      <c r="F325" s="336"/>
      <c r="G325" s="231"/>
      <c r="H325" s="76"/>
      <c r="I325" s="232"/>
      <c r="J325" s="76"/>
      <c r="K325" s="76">
        <f t="shared" si="167"/>
        <v>0</v>
      </c>
      <c r="L325" s="76">
        <f t="shared" si="168"/>
        <v>0</v>
      </c>
      <c r="M325" s="76"/>
      <c r="N325" s="76"/>
      <c r="O325" s="76"/>
      <c r="P325" s="76"/>
      <c r="Q325" s="76"/>
      <c r="R325" s="76">
        <f t="shared" si="169"/>
        <v>0</v>
      </c>
      <c r="S325" s="76">
        <f t="shared" si="170"/>
        <v>0</v>
      </c>
      <c r="T325" s="76">
        <f t="shared" si="171"/>
        <v>0</v>
      </c>
      <c r="U325" s="129"/>
      <c r="V325" s="120" t="str">
        <f t="shared" si="172"/>
        <v>DP:43861</v>
      </c>
      <c r="W325" s="265">
        <f t="shared" si="173"/>
        <v>43882</v>
      </c>
    </row>
    <row r="326" spans="1:27" s="22" customFormat="1" hidden="1" outlineLevel="1" x14ac:dyDescent="0.25">
      <c r="A326" s="120">
        <f t="shared" si="166"/>
        <v>9</v>
      </c>
      <c r="B326" s="392">
        <v>43900</v>
      </c>
      <c r="C326" s="231" t="s">
        <v>669</v>
      </c>
      <c r="D326" s="76"/>
      <c r="E326" s="231"/>
      <c r="F326" s="336"/>
      <c r="G326" s="231"/>
      <c r="H326" s="76"/>
      <c r="I326" s="232"/>
      <c r="J326" s="76"/>
      <c r="K326" s="76">
        <f t="shared" si="167"/>
        <v>0</v>
      </c>
      <c r="L326" s="76">
        <f t="shared" si="168"/>
        <v>0</v>
      </c>
      <c r="M326" s="76"/>
      <c r="N326" s="76"/>
      <c r="O326" s="76"/>
      <c r="P326" s="76"/>
      <c r="Q326" s="76"/>
      <c r="R326" s="76">
        <f t="shared" si="169"/>
        <v>0</v>
      </c>
      <c r="S326" s="76">
        <f t="shared" si="170"/>
        <v>0</v>
      </c>
      <c r="T326" s="76">
        <f t="shared" si="171"/>
        <v>0</v>
      </c>
      <c r="U326" s="129"/>
      <c r="V326" s="120" t="str">
        <f t="shared" si="172"/>
        <v>DP:43900</v>
      </c>
      <c r="W326" s="265">
        <f t="shared" si="173"/>
        <v>43911</v>
      </c>
    </row>
    <row r="327" spans="1:27" s="22" customFormat="1" hidden="1" outlineLevel="1" x14ac:dyDescent="0.25">
      <c r="A327" s="120">
        <f t="shared" si="166"/>
        <v>10</v>
      </c>
      <c r="B327" s="392">
        <v>43928</v>
      </c>
      <c r="C327" s="231" t="s">
        <v>669</v>
      </c>
      <c r="D327" s="76"/>
      <c r="E327" s="231"/>
      <c r="F327" s="336"/>
      <c r="G327" s="231"/>
      <c r="H327" s="76"/>
      <c r="I327" s="232"/>
      <c r="J327" s="76"/>
      <c r="K327" s="76">
        <f t="shared" si="167"/>
        <v>0</v>
      </c>
      <c r="L327" s="76">
        <f t="shared" si="168"/>
        <v>0</v>
      </c>
      <c r="M327" s="76"/>
      <c r="N327" s="76"/>
      <c r="O327" s="76"/>
      <c r="P327" s="76"/>
      <c r="Q327" s="76"/>
      <c r="R327" s="76">
        <f t="shared" si="169"/>
        <v>0</v>
      </c>
      <c r="S327" s="76">
        <f t="shared" si="170"/>
        <v>0</v>
      </c>
      <c r="T327" s="76">
        <f t="shared" si="171"/>
        <v>0</v>
      </c>
      <c r="U327" s="129"/>
      <c r="V327" s="120" t="str">
        <f t="shared" si="172"/>
        <v>DP:43928</v>
      </c>
      <c r="W327" s="265">
        <f t="shared" si="173"/>
        <v>43942</v>
      </c>
    </row>
    <row r="328" spans="1:27" s="22" customFormat="1" hidden="1" outlineLevel="1" x14ac:dyDescent="0.25">
      <c r="A328" s="120">
        <f t="shared" si="166"/>
        <v>11</v>
      </c>
      <c r="B328" s="392">
        <v>43970</v>
      </c>
      <c r="C328" s="231" t="s">
        <v>669</v>
      </c>
      <c r="D328" s="76"/>
      <c r="E328" s="231"/>
      <c r="F328" s="336"/>
      <c r="G328" s="231"/>
      <c r="H328" s="76"/>
      <c r="I328" s="232"/>
      <c r="J328" s="76"/>
      <c r="K328" s="76">
        <f t="shared" si="167"/>
        <v>0</v>
      </c>
      <c r="L328" s="76">
        <f t="shared" si="168"/>
        <v>0</v>
      </c>
      <c r="M328" s="76"/>
      <c r="N328" s="76"/>
      <c r="O328" s="76"/>
      <c r="P328" s="76"/>
      <c r="Q328" s="76"/>
      <c r="R328" s="76">
        <f t="shared" si="169"/>
        <v>0</v>
      </c>
      <c r="S328" s="76">
        <f t="shared" si="170"/>
        <v>0</v>
      </c>
      <c r="T328" s="76">
        <f t="shared" si="171"/>
        <v>0</v>
      </c>
      <c r="U328" s="129"/>
      <c r="V328" s="120" t="str">
        <f t="shared" si="172"/>
        <v>DP:43970</v>
      </c>
      <c r="W328" s="265">
        <f t="shared" si="173"/>
        <v>43972</v>
      </c>
    </row>
    <row r="329" spans="1:27" s="22" customFormat="1" hidden="1" outlineLevel="1" x14ac:dyDescent="0.25">
      <c r="A329" s="120">
        <f t="shared" si="166"/>
        <v>12</v>
      </c>
      <c r="B329" s="392">
        <v>43982</v>
      </c>
      <c r="C329" s="231" t="s">
        <v>669</v>
      </c>
      <c r="D329" s="76"/>
      <c r="E329" s="231"/>
      <c r="F329" s="336"/>
      <c r="G329" s="231"/>
      <c r="H329" s="76"/>
      <c r="I329" s="232"/>
      <c r="J329" s="76"/>
      <c r="K329" s="76">
        <f t="shared" si="167"/>
        <v>0</v>
      </c>
      <c r="L329" s="76">
        <f t="shared" si="168"/>
        <v>0</v>
      </c>
      <c r="M329" s="76"/>
      <c r="N329" s="76"/>
      <c r="O329" s="76"/>
      <c r="P329" s="76"/>
      <c r="Q329" s="76"/>
      <c r="R329" s="76">
        <f t="shared" si="169"/>
        <v>0</v>
      </c>
      <c r="S329" s="76">
        <f t="shared" si="170"/>
        <v>0</v>
      </c>
      <c r="T329" s="76">
        <f t="shared" si="171"/>
        <v>0</v>
      </c>
      <c r="U329" s="129"/>
      <c r="V329" s="120" t="str">
        <f t="shared" si="172"/>
        <v>DP:43982</v>
      </c>
      <c r="W329" s="265">
        <f t="shared" si="173"/>
        <v>44003</v>
      </c>
      <c r="Y329" s="35"/>
      <c r="Z329" s="35"/>
      <c r="AA329" s="35"/>
    </row>
    <row r="330" spans="1:27" s="22" customFormat="1" hidden="1" outlineLevel="1" x14ac:dyDescent="0.25">
      <c r="A330" s="120">
        <f t="shared" ref="A330:A333" si="179">GETPAYMONTH(B330)</f>
        <v>2</v>
      </c>
      <c r="B330" s="392">
        <v>43681</v>
      </c>
      <c r="C330" s="231" t="s">
        <v>678</v>
      </c>
      <c r="D330" s="76"/>
      <c r="E330" s="231"/>
      <c r="F330" s="231"/>
      <c r="G330" s="231"/>
      <c r="H330" s="76"/>
      <c r="I330" s="232">
        <v>680</v>
      </c>
      <c r="J330" s="76"/>
      <c r="K330" s="76">
        <f t="shared" si="167"/>
        <v>0</v>
      </c>
      <c r="L330" s="76">
        <f t="shared" si="168"/>
        <v>618.17999999999995</v>
      </c>
      <c r="M330" s="76"/>
      <c r="N330" s="76"/>
      <c r="O330" s="76"/>
      <c r="P330" s="76"/>
      <c r="Q330" s="76"/>
      <c r="R330" s="76">
        <f t="shared" ref="R330:R333" si="180">H330+I330-K330-L330</f>
        <v>61.82000000000005</v>
      </c>
      <c r="S330" s="76">
        <f t="shared" si="170"/>
        <v>618.17999999999995</v>
      </c>
      <c r="T330" s="76">
        <f t="shared" ref="T330:T333" si="181">SUM(K330:L330)+P330+R330</f>
        <v>680</v>
      </c>
      <c r="U330" s="129"/>
      <c r="V330" s="120" t="str">
        <f t="shared" ref="V330:V333" si="182">C330 &amp;":"&amp; B330</f>
        <v>ANK:43681</v>
      </c>
      <c r="W330" s="265">
        <f t="shared" ref="W330:W333" si="183">DATE(YEAR(B330+1),MONTH(B330+1),VLOOKUP(C330,payEmpNames,4))</f>
        <v>43698</v>
      </c>
      <c r="Y330"/>
      <c r="Z330"/>
      <c r="AA330"/>
    </row>
    <row r="331" spans="1:27" s="22" customFormat="1" hidden="1" outlineLevel="1" x14ac:dyDescent="0.25">
      <c r="A331" s="120">
        <f t="shared" si="179"/>
        <v>3</v>
      </c>
      <c r="B331" s="392">
        <v>43709</v>
      </c>
      <c r="C331" s="231" t="s">
        <v>678</v>
      </c>
      <c r="D331" s="76"/>
      <c r="E331" s="231"/>
      <c r="F331" s="231"/>
      <c r="G331" s="231"/>
      <c r="H331" s="76"/>
      <c r="I331" s="232">
        <v>551</v>
      </c>
      <c r="J331" s="76"/>
      <c r="K331" s="76">
        <f t="shared" si="167"/>
        <v>0</v>
      </c>
      <c r="L331" s="76">
        <f t="shared" si="168"/>
        <v>500.91</v>
      </c>
      <c r="M331" s="76"/>
      <c r="N331" s="76"/>
      <c r="O331" s="76"/>
      <c r="P331" s="76"/>
      <c r="Q331" s="76"/>
      <c r="R331" s="76">
        <f t="shared" si="180"/>
        <v>50.089999999999975</v>
      </c>
      <c r="S331" s="76">
        <f t="shared" si="170"/>
        <v>500.91</v>
      </c>
      <c r="T331" s="76">
        <f t="shared" si="181"/>
        <v>551</v>
      </c>
      <c r="U331" s="129"/>
      <c r="V331" s="120" t="str">
        <f t="shared" si="182"/>
        <v>ANK:43709</v>
      </c>
      <c r="W331" s="265">
        <f t="shared" si="183"/>
        <v>43729</v>
      </c>
      <c r="Y331"/>
      <c r="Z331"/>
      <c r="AA331"/>
    </row>
    <row r="332" spans="1:27" s="22" customFormat="1" hidden="1" outlineLevel="1" x14ac:dyDescent="0.25">
      <c r="A332" s="120">
        <f t="shared" si="179"/>
        <v>0</v>
      </c>
      <c r="B332" s="392"/>
      <c r="C332" s="231" t="s">
        <v>678</v>
      </c>
      <c r="D332" s="76"/>
      <c r="E332" s="231"/>
      <c r="F332" s="231"/>
      <c r="G332" s="231"/>
      <c r="H332" s="76"/>
      <c r="I332" s="232"/>
      <c r="J332" s="76"/>
      <c r="K332" s="76">
        <f t="shared" si="167"/>
        <v>0</v>
      </c>
      <c r="L332" s="76">
        <f t="shared" si="168"/>
        <v>0</v>
      </c>
      <c r="M332" s="76"/>
      <c r="N332" s="76"/>
      <c r="O332" s="76"/>
      <c r="P332" s="76"/>
      <c r="Q332" s="76"/>
      <c r="R332" s="76">
        <f t="shared" si="180"/>
        <v>0</v>
      </c>
      <c r="S332" s="76">
        <f t="shared" si="170"/>
        <v>0</v>
      </c>
      <c r="T332" s="76">
        <f t="shared" si="181"/>
        <v>0</v>
      </c>
      <c r="U332" s="129"/>
      <c r="V332" s="120" t="str">
        <f t="shared" si="182"/>
        <v>ANK:</v>
      </c>
      <c r="W332" s="265">
        <f t="shared" si="183"/>
        <v>21</v>
      </c>
      <c r="Y332"/>
      <c r="Z332"/>
      <c r="AA332"/>
    </row>
    <row r="333" spans="1:27" s="22" customFormat="1" hidden="1" outlineLevel="1" x14ac:dyDescent="0.25">
      <c r="A333" s="120">
        <f t="shared" si="179"/>
        <v>0</v>
      </c>
      <c r="B333" s="392"/>
      <c r="C333" s="231" t="s">
        <v>678</v>
      </c>
      <c r="D333" s="76"/>
      <c r="E333" s="231"/>
      <c r="F333" s="231"/>
      <c r="G333" s="231"/>
      <c r="H333" s="76"/>
      <c r="I333" s="232"/>
      <c r="J333" s="76"/>
      <c r="K333" s="76">
        <f t="shared" si="167"/>
        <v>0</v>
      </c>
      <c r="L333" s="76">
        <f t="shared" si="168"/>
        <v>0</v>
      </c>
      <c r="M333" s="76"/>
      <c r="N333" s="76"/>
      <c r="O333" s="76"/>
      <c r="P333" s="76"/>
      <c r="Q333" s="76"/>
      <c r="R333" s="76">
        <f t="shared" si="180"/>
        <v>0</v>
      </c>
      <c r="S333" s="76">
        <f t="shared" si="170"/>
        <v>0</v>
      </c>
      <c r="T333" s="76">
        <f t="shared" si="181"/>
        <v>0</v>
      </c>
      <c r="U333" s="129"/>
      <c r="V333" s="120" t="str">
        <f t="shared" si="182"/>
        <v>ANK:</v>
      </c>
      <c r="W333" s="265">
        <f t="shared" si="183"/>
        <v>21</v>
      </c>
      <c r="Y333"/>
      <c r="Z333"/>
      <c r="AA333"/>
    </row>
    <row r="334" spans="1:27" s="22" customFormat="1" hidden="1" outlineLevel="1" x14ac:dyDescent="0.25">
      <c r="A334" s="120">
        <f t="shared" si="166"/>
        <v>5</v>
      </c>
      <c r="B334" s="392">
        <v>43773</v>
      </c>
      <c r="C334" s="231" t="s">
        <v>678</v>
      </c>
      <c r="D334" s="76"/>
      <c r="E334" s="231"/>
      <c r="F334" s="231"/>
      <c r="G334" s="231"/>
      <c r="H334" s="76"/>
      <c r="I334" s="232"/>
      <c r="J334" s="76"/>
      <c r="K334" s="76">
        <f t="shared" si="167"/>
        <v>0</v>
      </c>
      <c r="L334" s="76">
        <f t="shared" si="168"/>
        <v>0</v>
      </c>
      <c r="M334" s="76"/>
      <c r="N334" s="76"/>
      <c r="O334" s="76"/>
      <c r="P334" s="76"/>
      <c r="Q334" s="76"/>
      <c r="R334" s="76">
        <f t="shared" si="169"/>
        <v>0</v>
      </c>
      <c r="S334" s="76">
        <f t="shared" si="170"/>
        <v>0</v>
      </c>
      <c r="T334" s="76">
        <f t="shared" si="171"/>
        <v>0</v>
      </c>
      <c r="U334" s="129"/>
      <c r="V334" s="120" t="str">
        <f t="shared" si="172"/>
        <v>ANK:43773</v>
      </c>
      <c r="W334" s="265">
        <f t="shared" si="173"/>
        <v>43790</v>
      </c>
      <c r="Y334"/>
      <c r="Z334"/>
      <c r="AA334"/>
    </row>
    <row r="335" spans="1:27" s="22" customFormat="1" hidden="1" outlineLevel="1" x14ac:dyDescent="0.25">
      <c r="A335" s="120">
        <f t="shared" si="166"/>
        <v>6</v>
      </c>
      <c r="B335" s="392">
        <v>43801</v>
      </c>
      <c r="C335" s="231" t="s">
        <v>678</v>
      </c>
      <c r="D335" s="76"/>
      <c r="E335" s="231"/>
      <c r="F335" s="231"/>
      <c r="G335" s="231"/>
      <c r="H335" s="76"/>
      <c r="I335" s="232"/>
      <c r="J335" s="76"/>
      <c r="K335" s="76">
        <f t="shared" si="167"/>
        <v>0</v>
      </c>
      <c r="L335" s="76">
        <f t="shared" si="168"/>
        <v>0</v>
      </c>
      <c r="M335" s="76"/>
      <c r="N335" s="76"/>
      <c r="O335" s="76"/>
      <c r="P335" s="76"/>
      <c r="Q335" s="76"/>
      <c r="R335" s="76">
        <f t="shared" si="169"/>
        <v>0</v>
      </c>
      <c r="S335" s="76">
        <f t="shared" si="170"/>
        <v>0</v>
      </c>
      <c r="T335" s="76">
        <f t="shared" si="171"/>
        <v>0</v>
      </c>
      <c r="U335" s="129"/>
      <c r="V335" s="120" t="str">
        <f t="shared" si="172"/>
        <v>ANK:43801</v>
      </c>
      <c r="W335" s="265">
        <f t="shared" si="173"/>
        <v>43820</v>
      </c>
      <c r="Y335"/>
      <c r="Z335"/>
      <c r="AA335"/>
    </row>
    <row r="336" spans="1:27" s="22" customFormat="1" hidden="1" outlineLevel="1" x14ac:dyDescent="0.25">
      <c r="A336" s="120">
        <f t="shared" si="166"/>
        <v>8</v>
      </c>
      <c r="B336" s="392">
        <v>43871</v>
      </c>
      <c r="C336" s="231" t="s">
        <v>678</v>
      </c>
      <c r="D336" s="76"/>
      <c r="E336" s="231"/>
      <c r="F336" s="231"/>
      <c r="G336" s="231"/>
      <c r="H336" s="76"/>
      <c r="I336" s="232"/>
      <c r="J336" s="76"/>
      <c r="K336" s="76">
        <f t="shared" si="167"/>
        <v>0</v>
      </c>
      <c r="L336" s="76">
        <f t="shared" si="168"/>
        <v>0</v>
      </c>
      <c r="M336" s="76"/>
      <c r="N336" s="76"/>
      <c r="O336" s="76"/>
      <c r="P336" s="76"/>
      <c r="Q336" s="76"/>
      <c r="R336" s="76">
        <f t="shared" si="169"/>
        <v>0</v>
      </c>
      <c r="S336" s="76">
        <f t="shared" si="170"/>
        <v>0</v>
      </c>
      <c r="T336" s="76">
        <f t="shared" si="171"/>
        <v>0</v>
      </c>
      <c r="U336" s="129"/>
      <c r="V336" s="120" t="str">
        <f t="shared" si="172"/>
        <v>ANK:43871</v>
      </c>
      <c r="W336" s="265">
        <f t="shared" si="173"/>
        <v>43882</v>
      </c>
      <c r="Y336"/>
      <c r="Z336"/>
      <c r="AA336"/>
    </row>
    <row r="337" spans="1:27" s="22" customFormat="1" hidden="1" outlineLevel="1" x14ac:dyDescent="0.25">
      <c r="A337" s="120">
        <f t="shared" ref="A337:A341" si="184">GETPAYMONTH(B337)</f>
        <v>8</v>
      </c>
      <c r="B337" s="392">
        <v>43861</v>
      </c>
      <c r="C337" s="231" t="s">
        <v>678</v>
      </c>
      <c r="D337" s="76"/>
      <c r="E337" s="231"/>
      <c r="F337" s="231"/>
      <c r="G337" s="231"/>
      <c r="H337" s="76"/>
      <c r="I337" s="232"/>
      <c r="J337" s="76"/>
      <c r="K337" s="76">
        <f t="shared" si="167"/>
        <v>0</v>
      </c>
      <c r="L337" s="76">
        <f t="shared" si="168"/>
        <v>0</v>
      </c>
      <c r="M337" s="76"/>
      <c r="N337" s="76"/>
      <c r="O337" s="76"/>
      <c r="P337" s="76"/>
      <c r="Q337" s="76"/>
      <c r="R337" s="76">
        <f t="shared" ref="R337:R341" si="185">H337+I337-K337-L337</f>
        <v>0</v>
      </c>
      <c r="S337" s="76">
        <f t="shared" si="170"/>
        <v>0</v>
      </c>
      <c r="T337" s="76">
        <f t="shared" ref="T337:T341" si="186">SUM(K337:L337)+P337+R337</f>
        <v>0</v>
      </c>
      <c r="U337" s="129"/>
      <c r="V337" s="120" t="str">
        <f t="shared" ref="V337:V341" si="187">C337 &amp;":"&amp; B337</f>
        <v>ANK:43861</v>
      </c>
      <c r="W337" s="265">
        <f t="shared" ref="W337:W341" si="188">DATE(YEAR(B337+1),MONTH(B337+1),VLOOKUP(C337,payEmpNames,4))</f>
        <v>43882</v>
      </c>
      <c r="Y337"/>
      <c r="Z337"/>
      <c r="AA337"/>
    </row>
    <row r="338" spans="1:27" s="22" customFormat="1" hidden="1" outlineLevel="1" x14ac:dyDescent="0.25">
      <c r="A338" s="120">
        <f t="shared" si="184"/>
        <v>9</v>
      </c>
      <c r="B338" s="392">
        <v>43900</v>
      </c>
      <c r="C338" s="231" t="s">
        <v>678</v>
      </c>
      <c r="D338" s="76"/>
      <c r="E338" s="231"/>
      <c r="F338" s="231"/>
      <c r="G338" s="231"/>
      <c r="H338" s="76"/>
      <c r="I338" s="232"/>
      <c r="J338" s="76"/>
      <c r="K338" s="76">
        <f t="shared" si="167"/>
        <v>0</v>
      </c>
      <c r="L338" s="76">
        <f t="shared" si="168"/>
        <v>0</v>
      </c>
      <c r="M338" s="76"/>
      <c r="N338" s="76"/>
      <c r="O338" s="76"/>
      <c r="P338" s="76"/>
      <c r="Q338" s="76"/>
      <c r="R338" s="76">
        <f t="shared" si="185"/>
        <v>0</v>
      </c>
      <c r="S338" s="76">
        <f t="shared" si="170"/>
        <v>0</v>
      </c>
      <c r="T338" s="76">
        <f t="shared" si="186"/>
        <v>0</v>
      </c>
      <c r="U338" s="129"/>
      <c r="V338" s="120" t="str">
        <f t="shared" si="187"/>
        <v>ANK:43900</v>
      </c>
      <c r="W338" s="265">
        <f t="shared" si="188"/>
        <v>43911</v>
      </c>
      <c r="Y338"/>
      <c r="Z338"/>
      <c r="AA338"/>
    </row>
    <row r="339" spans="1:27" s="22" customFormat="1" hidden="1" outlineLevel="1" x14ac:dyDescent="0.25">
      <c r="A339" s="120">
        <f t="shared" si="184"/>
        <v>10</v>
      </c>
      <c r="B339" s="392">
        <v>43928</v>
      </c>
      <c r="C339" s="231" t="s">
        <v>678</v>
      </c>
      <c r="D339" s="76"/>
      <c r="E339" s="231"/>
      <c r="F339" s="231"/>
      <c r="G339" s="231"/>
      <c r="H339" s="76"/>
      <c r="I339" s="232"/>
      <c r="J339" s="76"/>
      <c r="K339" s="76">
        <f t="shared" si="167"/>
        <v>0</v>
      </c>
      <c r="L339" s="76">
        <f t="shared" si="168"/>
        <v>0</v>
      </c>
      <c r="M339" s="76"/>
      <c r="N339" s="76"/>
      <c r="O339" s="76"/>
      <c r="P339" s="76"/>
      <c r="Q339" s="76"/>
      <c r="R339" s="76">
        <f t="shared" si="185"/>
        <v>0</v>
      </c>
      <c r="S339" s="76">
        <f t="shared" si="170"/>
        <v>0</v>
      </c>
      <c r="T339" s="76">
        <f t="shared" si="186"/>
        <v>0</v>
      </c>
      <c r="U339" s="129"/>
      <c r="V339" s="120" t="str">
        <f t="shared" si="187"/>
        <v>ANK:43928</v>
      </c>
      <c r="W339" s="265">
        <f t="shared" si="188"/>
        <v>43942</v>
      </c>
      <c r="Y339"/>
      <c r="Z339"/>
      <c r="AA339"/>
    </row>
    <row r="340" spans="1:27" s="22" customFormat="1" hidden="1" outlineLevel="1" x14ac:dyDescent="0.25">
      <c r="A340" s="120">
        <f t="shared" si="184"/>
        <v>11</v>
      </c>
      <c r="B340" s="392">
        <v>43970</v>
      </c>
      <c r="C340" s="231" t="s">
        <v>678</v>
      </c>
      <c r="D340" s="76"/>
      <c r="E340" s="231"/>
      <c r="F340" s="231"/>
      <c r="G340" s="231"/>
      <c r="H340" s="76"/>
      <c r="I340" s="232"/>
      <c r="J340" s="76"/>
      <c r="K340" s="76">
        <f t="shared" si="167"/>
        <v>0</v>
      </c>
      <c r="L340" s="76">
        <f t="shared" si="168"/>
        <v>0</v>
      </c>
      <c r="M340" s="76"/>
      <c r="N340" s="76"/>
      <c r="O340" s="76"/>
      <c r="P340" s="76"/>
      <c r="Q340" s="76"/>
      <c r="R340" s="76">
        <f t="shared" si="185"/>
        <v>0</v>
      </c>
      <c r="S340" s="76">
        <f t="shared" si="170"/>
        <v>0</v>
      </c>
      <c r="T340" s="76">
        <f t="shared" si="186"/>
        <v>0</v>
      </c>
      <c r="U340" s="129"/>
      <c r="V340" s="120" t="str">
        <f t="shared" si="187"/>
        <v>ANK:43970</v>
      </c>
      <c r="W340" s="265">
        <f t="shared" si="188"/>
        <v>43972</v>
      </c>
      <c r="Y340"/>
      <c r="Z340"/>
      <c r="AA340"/>
    </row>
    <row r="341" spans="1:27" s="22" customFormat="1" hidden="1" outlineLevel="1" x14ac:dyDescent="0.25">
      <c r="A341" s="120">
        <f t="shared" si="184"/>
        <v>12</v>
      </c>
      <c r="B341" s="392">
        <v>43982</v>
      </c>
      <c r="C341" s="231" t="s">
        <v>678</v>
      </c>
      <c r="D341" s="76"/>
      <c r="E341" s="231"/>
      <c r="F341" s="231"/>
      <c r="G341" s="231"/>
      <c r="H341" s="76"/>
      <c r="I341" s="232"/>
      <c r="J341" s="76"/>
      <c r="K341" s="76">
        <f t="shared" si="167"/>
        <v>0</v>
      </c>
      <c r="L341" s="76">
        <f t="shared" si="168"/>
        <v>0</v>
      </c>
      <c r="M341" s="76"/>
      <c r="N341" s="76"/>
      <c r="O341" s="76"/>
      <c r="P341" s="76"/>
      <c r="Q341" s="76"/>
      <c r="R341" s="76">
        <f t="shared" si="185"/>
        <v>0</v>
      </c>
      <c r="S341" s="76">
        <f t="shared" si="170"/>
        <v>0</v>
      </c>
      <c r="T341" s="76">
        <f t="shared" si="186"/>
        <v>0</v>
      </c>
      <c r="U341" s="129"/>
      <c r="V341" s="120" t="str">
        <f t="shared" si="187"/>
        <v>ANK:43982</v>
      </c>
      <c r="W341" s="265">
        <f t="shared" si="188"/>
        <v>44003</v>
      </c>
      <c r="Y341"/>
      <c r="Z341"/>
      <c r="AA341"/>
    </row>
    <row r="342" spans="1:27" hidden="1" outlineLevel="1" x14ac:dyDescent="0.25">
      <c r="A342" s="120">
        <f t="shared" ref="A342:A357" si="189">GETPAYMONTH(B342)</f>
        <v>1</v>
      </c>
      <c r="B342" s="392">
        <v>43646</v>
      </c>
      <c r="C342" s="231" t="s">
        <v>622</v>
      </c>
      <c r="D342" s="76"/>
      <c r="E342" s="231"/>
      <c r="F342" s="231"/>
      <c r="G342" s="231"/>
      <c r="H342" s="76"/>
      <c r="I342" s="232">
        <v>178.9</v>
      </c>
      <c r="J342" s="76"/>
      <c r="K342" s="76">
        <f t="shared" ref="K342:K357" si="190">ROUND($H342/11*10,2)</f>
        <v>0</v>
      </c>
      <c r="L342" s="76">
        <f t="shared" ref="L342:L357" si="191">ROUND($I342/11*10,2)</f>
        <v>162.63999999999999</v>
      </c>
      <c r="M342" s="76"/>
      <c r="N342" s="76"/>
      <c r="O342" s="76"/>
      <c r="P342" s="76"/>
      <c r="Q342" s="76"/>
      <c r="R342" s="76">
        <f t="shared" ref="R342:R357" si="192">H342+I342-K342-L342</f>
        <v>16.260000000000019</v>
      </c>
      <c r="S342" s="76">
        <f t="shared" ref="S342:S357" si="193">SUM($K342:$L342)</f>
        <v>162.63999999999999</v>
      </c>
      <c r="T342" s="76">
        <f t="shared" ref="T342:T357" si="194">SUM(K342:L342)+P342+R342</f>
        <v>178.9</v>
      </c>
      <c r="U342" s="129"/>
      <c r="V342" s="120" t="str">
        <f t="shared" ref="V342:V357" si="195">C342 &amp;":"&amp; B342</f>
        <v>GEO:43646</v>
      </c>
      <c r="W342" s="265">
        <f t="shared" ref="W342:W357" si="196">DATE(YEAR(B342+1),MONTH(B342+1),VLOOKUP(C342,payEmpNames,4))</f>
        <v>43667</v>
      </c>
    </row>
    <row r="343" spans="1:27" hidden="1" outlineLevel="1" x14ac:dyDescent="0.25">
      <c r="A343" s="120">
        <f t="shared" si="189"/>
        <v>2</v>
      </c>
      <c r="B343" s="392">
        <v>43677</v>
      </c>
      <c r="C343" s="231" t="s">
        <v>622</v>
      </c>
      <c r="D343" s="76"/>
      <c r="E343" s="231"/>
      <c r="F343" s="231"/>
      <c r="G343" s="231"/>
      <c r="H343" s="76"/>
      <c r="I343" s="232">
        <v>178.9</v>
      </c>
      <c r="J343" s="76"/>
      <c r="K343" s="76">
        <f t="shared" si="190"/>
        <v>0</v>
      </c>
      <c r="L343" s="76">
        <f t="shared" si="191"/>
        <v>162.63999999999999</v>
      </c>
      <c r="M343" s="76"/>
      <c r="N343" s="76"/>
      <c r="O343" s="76"/>
      <c r="P343" s="76"/>
      <c r="Q343" s="76"/>
      <c r="R343" s="76">
        <f t="shared" si="192"/>
        <v>16.260000000000019</v>
      </c>
      <c r="S343" s="76">
        <f t="shared" si="193"/>
        <v>162.63999999999999</v>
      </c>
      <c r="T343" s="76">
        <f t="shared" si="194"/>
        <v>178.9</v>
      </c>
      <c r="U343" s="129"/>
      <c r="V343" s="120" t="str">
        <f t="shared" si="195"/>
        <v>GEO:43677</v>
      </c>
      <c r="W343" s="265">
        <f t="shared" si="196"/>
        <v>43698</v>
      </c>
    </row>
    <row r="344" spans="1:27" hidden="1" outlineLevel="1" x14ac:dyDescent="0.25">
      <c r="A344" s="120">
        <f t="shared" si="189"/>
        <v>3</v>
      </c>
      <c r="B344" s="392">
        <v>43708</v>
      </c>
      <c r="C344" s="231" t="s">
        <v>622</v>
      </c>
      <c r="D344" s="76"/>
      <c r="E344" s="231"/>
      <c r="F344" s="231"/>
      <c r="G344" s="231"/>
      <c r="H344" s="76"/>
      <c r="I344" s="232"/>
      <c r="J344" s="76"/>
      <c r="K344" s="76">
        <f t="shared" si="190"/>
        <v>0</v>
      </c>
      <c r="L344" s="76">
        <f t="shared" si="191"/>
        <v>0</v>
      </c>
      <c r="M344" s="76"/>
      <c r="N344" s="76"/>
      <c r="O344" s="76"/>
      <c r="P344" s="76"/>
      <c r="Q344" s="76"/>
      <c r="R344" s="76">
        <f t="shared" si="192"/>
        <v>0</v>
      </c>
      <c r="S344" s="76">
        <f t="shared" si="193"/>
        <v>0</v>
      </c>
      <c r="T344" s="76">
        <f t="shared" si="194"/>
        <v>0</v>
      </c>
      <c r="U344" s="129"/>
      <c r="V344" s="120" t="str">
        <f t="shared" si="195"/>
        <v>GEO:43708</v>
      </c>
      <c r="W344" s="265">
        <f t="shared" si="196"/>
        <v>43729</v>
      </c>
    </row>
    <row r="345" spans="1:27" hidden="1" outlineLevel="1" x14ac:dyDescent="0.25">
      <c r="A345" s="120">
        <f t="shared" si="189"/>
        <v>4</v>
      </c>
      <c r="B345" s="392">
        <v>43738</v>
      </c>
      <c r="C345" s="231" t="s">
        <v>622</v>
      </c>
      <c r="D345" s="76"/>
      <c r="E345" s="231"/>
      <c r="F345" s="231"/>
      <c r="G345" s="231"/>
      <c r="H345" s="76"/>
      <c r="I345" s="232"/>
      <c r="J345" s="76"/>
      <c r="K345" s="76">
        <f t="shared" si="190"/>
        <v>0</v>
      </c>
      <c r="L345" s="76">
        <f t="shared" si="191"/>
        <v>0</v>
      </c>
      <c r="M345" s="76"/>
      <c r="N345" s="76"/>
      <c r="O345" s="76"/>
      <c r="P345" s="76"/>
      <c r="Q345" s="76"/>
      <c r="R345" s="76">
        <f t="shared" si="192"/>
        <v>0</v>
      </c>
      <c r="S345" s="76">
        <f t="shared" si="193"/>
        <v>0</v>
      </c>
      <c r="T345" s="76">
        <f t="shared" si="194"/>
        <v>0</v>
      </c>
      <c r="U345" s="129"/>
      <c r="V345" s="120" t="str">
        <f t="shared" si="195"/>
        <v>GEO:43738</v>
      </c>
      <c r="W345" s="265">
        <f t="shared" si="196"/>
        <v>43759</v>
      </c>
    </row>
    <row r="346" spans="1:27" hidden="1" outlineLevel="1" x14ac:dyDescent="0.25">
      <c r="A346" s="120">
        <f t="shared" si="189"/>
        <v>5</v>
      </c>
      <c r="B346" s="392">
        <v>43769</v>
      </c>
      <c r="C346" s="231" t="s">
        <v>622</v>
      </c>
      <c r="D346" s="76"/>
      <c r="E346" s="231"/>
      <c r="F346" s="231"/>
      <c r="G346" s="231"/>
      <c r="H346" s="76"/>
      <c r="I346" s="232"/>
      <c r="J346" s="76"/>
      <c r="K346" s="76">
        <f t="shared" si="190"/>
        <v>0</v>
      </c>
      <c r="L346" s="76">
        <f t="shared" si="191"/>
        <v>0</v>
      </c>
      <c r="M346" s="76"/>
      <c r="N346" s="76"/>
      <c r="O346" s="76"/>
      <c r="P346" s="76"/>
      <c r="Q346" s="76"/>
      <c r="R346" s="76">
        <f t="shared" si="192"/>
        <v>0</v>
      </c>
      <c r="S346" s="76">
        <f t="shared" si="193"/>
        <v>0</v>
      </c>
      <c r="T346" s="76">
        <f t="shared" si="194"/>
        <v>0</v>
      </c>
      <c r="U346" s="129"/>
      <c r="V346" s="120" t="str">
        <f t="shared" si="195"/>
        <v>GEO:43769</v>
      </c>
      <c r="W346" s="265">
        <f t="shared" si="196"/>
        <v>43790</v>
      </c>
    </row>
    <row r="347" spans="1:27" hidden="1" outlineLevel="1" x14ac:dyDescent="0.25">
      <c r="A347" s="120">
        <f t="shared" si="189"/>
        <v>6</v>
      </c>
      <c r="B347" s="392">
        <v>43799</v>
      </c>
      <c r="C347" s="231" t="s">
        <v>622</v>
      </c>
      <c r="D347" s="76"/>
      <c r="E347" s="231"/>
      <c r="F347" s="231"/>
      <c r="G347" s="231"/>
      <c r="H347" s="76"/>
      <c r="I347" s="232"/>
      <c r="J347" s="76"/>
      <c r="K347" s="76">
        <f t="shared" si="190"/>
        <v>0</v>
      </c>
      <c r="L347" s="76">
        <f t="shared" si="191"/>
        <v>0</v>
      </c>
      <c r="M347" s="76"/>
      <c r="N347" s="76"/>
      <c r="O347" s="76"/>
      <c r="P347" s="76"/>
      <c r="Q347" s="76"/>
      <c r="R347" s="76">
        <f t="shared" si="192"/>
        <v>0</v>
      </c>
      <c r="S347" s="76">
        <f t="shared" si="193"/>
        <v>0</v>
      </c>
      <c r="T347" s="76">
        <f t="shared" si="194"/>
        <v>0</v>
      </c>
      <c r="U347" s="129"/>
      <c r="V347" s="120" t="str">
        <f t="shared" si="195"/>
        <v>GEO:43799</v>
      </c>
      <c r="W347" s="265">
        <f t="shared" si="196"/>
        <v>43820</v>
      </c>
    </row>
    <row r="348" spans="1:27" hidden="1" outlineLevel="1" x14ac:dyDescent="0.25">
      <c r="A348" s="120">
        <f t="shared" si="189"/>
        <v>7</v>
      </c>
      <c r="B348" s="392">
        <v>43830</v>
      </c>
      <c r="C348" s="231" t="s">
        <v>622</v>
      </c>
      <c r="D348" s="76"/>
      <c r="E348" s="231"/>
      <c r="F348" s="231"/>
      <c r="G348" s="231"/>
      <c r="H348" s="76"/>
      <c r="I348" s="232"/>
      <c r="J348" s="76"/>
      <c r="K348" s="76">
        <f t="shared" si="190"/>
        <v>0</v>
      </c>
      <c r="L348" s="76">
        <f t="shared" si="191"/>
        <v>0</v>
      </c>
      <c r="M348" s="76"/>
      <c r="N348" s="76"/>
      <c r="O348" s="76"/>
      <c r="P348" s="76"/>
      <c r="Q348" s="76"/>
      <c r="R348" s="76">
        <f t="shared" si="192"/>
        <v>0</v>
      </c>
      <c r="S348" s="76">
        <f t="shared" si="193"/>
        <v>0</v>
      </c>
      <c r="T348" s="76">
        <f t="shared" si="194"/>
        <v>0</v>
      </c>
      <c r="U348" s="129"/>
      <c r="V348" s="120" t="str">
        <f t="shared" si="195"/>
        <v>GEO:43830</v>
      </c>
      <c r="W348" s="265">
        <f t="shared" si="196"/>
        <v>43851</v>
      </c>
    </row>
    <row r="349" spans="1:27" hidden="1" outlineLevel="1" x14ac:dyDescent="0.25">
      <c r="A349" s="120">
        <f t="shared" si="189"/>
        <v>8</v>
      </c>
      <c r="B349" s="392">
        <v>43861</v>
      </c>
      <c r="C349" s="231" t="s">
        <v>622</v>
      </c>
      <c r="D349" s="76"/>
      <c r="E349" s="231"/>
      <c r="F349" s="231"/>
      <c r="G349" s="231"/>
      <c r="H349" s="76"/>
      <c r="I349" s="232"/>
      <c r="J349" s="76"/>
      <c r="K349" s="76">
        <f t="shared" si="190"/>
        <v>0</v>
      </c>
      <c r="L349" s="76">
        <f t="shared" si="191"/>
        <v>0</v>
      </c>
      <c r="M349" s="76"/>
      <c r="N349" s="76"/>
      <c r="O349" s="76"/>
      <c r="P349" s="76"/>
      <c r="Q349" s="76"/>
      <c r="R349" s="76">
        <f t="shared" si="192"/>
        <v>0</v>
      </c>
      <c r="S349" s="76">
        <f t="shared" si="193"/>
        <v>0</v>
      </c>
      <c r="T349" s="76">
        <f t="shared" si="194"/>
        <v>0</v>
      </c>
      <c r="U349" s="129"/>
      <c r="V349" s="120" t="str">
        <f t="shared" si="195"/>
        <v>GEO:43861</v>
      </c>
      <c r="W349" s="265">
        <f t="shared" si="196"/>
        <v>43882</v>
      </c>
    </row>
    <row r="350" spans="1:27" hidden="1" outlineLevel="1" x14ac:dyDescent="0.25">
      <c r="A350" s="120">
        <f t="shared" si="189"/>
        <v>9</v>
      </c>
      <c r="B350" s="392">
        <v>43889</v>
      </c>
      <c r="C350" s="231" t="s">
        <v>622</v>
      </c>
      <c r="D350" s="76"/>
      <c r="E350" s="231"/>
      <c r="F350" s="231"/>
      <c r="G350" s="231"/>
      <c r="H350" s="76"/>
      <c r="I350" s="232"/>
      <c r="J350" s="76"/>
      <c r="K350" s="76">
        <f t="shared" si="190"/>
        <v>0</v>
      </c>
      <c r="L350" s="76">
        <f t="shared" si="191"/>
        <v>0</v>
      </c>
      <c r="M350" s="76"/>
      <c r="N350" s="76"/>
      <c r="O350" s="76"/>
      <c r="P350" s="76"/>
      <c r="Q350" s="76"/>
      <c r="R350" s="76">
        <f t="shared" si="192"/>
        <v>0</v>
      </c>
      <c r="S350" s="76">
        <f t="shared" si="193"/>
        <v>0</v>
      </c>
      <c r="T350" s="76">
        <f t="shared" si="194"/>
        <v>0</v>
      </c>
      <c r="U350" s="129"/>
      <c r="V350" s="120" t="str">
        <f t="shared" si="195"/>
        <v>GEO:43889</v>
      </c>
      <c r="W350" s="265">
        <f t="shared" si="196"/>
        <v>43882</v>
      </c>
    </row>
    <row r="351" spans="1:27" hidden="1" outlineLevel="1" x14ac:dyDescent="0.25">
      <c r="A351" s="120">
        <f>GETPAYMONTH(B351)</f>
        <v>10</v>
      </c>
      <c r="B351" s="392">
        <v>43921</v>
      </c>
      <c r="C351" s="231" t="s">
        <v>622</v>
      </c>
      <c r="D351" s="76"/>
      <c r="E351" s="231"/>
      <c r="F351" s="231"/>
      <c r="G351" s="231"/>
      <c r="H351" s="76"/>
      <c r="I351" s="232"/>
      <c r="J351" s="76"/>
      <c r="K351" s="76">
        <f t="shared" si="190"/>
        <v>0</v>
      </c>
      <c r="L351" s="76">
        <f t="shared" si="191"/>
        <v>0</v>
      </c>
      <c r="M351" s="76"/>
      <c r="N351" s="76"/>
      <c r="O351" s="76"/>
      <c r="P351" s="76"/>
      <c r="Q351" s="76"/>
      <c r="R351" s="76">
        <f>H351+I351-K351-L351</f>
        <v>0</v>
      </c>
      <c r="S351" s="76">
        <f t="shared" si="193"/>
        <v>0</v>
      </c>
      <c r="T351" s="76">
        <f>SUM(K351:L351)+P351+R351</f>
        <v>0</v>
      </c>
      <c r="U351" s="129"/>
      <c r="V351" s="120" t="str">
        <f>C351 &amp;":"&amp; B351</f>
        <v>GEO:43921</v>
      </c>
      <c r="W351" s="265">
        <f>DATE(YEAR(B351+1),MONTH(B351+1),VLOOKUP(C351,payEmpNames,4))</f>
        <v>43942</v>
      </c>
    </row>
    <row r="352" spans="1:27" hidden="1" outlineLevel="1" x14ac:dyDescent="0.25">
      <c r="A352" s="120">
        <f>GETPAYMONTH(B352)</f>
        <v>11</v>
      </c>
      <c r="B352" s="392">
        <v>43951</v>
      </c>
      <c r="C352" s="231" t="s">
        <v>622</v>
      </c>
      <c r="D352" s="76"/>
      <c r="E352" s="231"/>
      <c r="F352" s="231"/>
      <c r="G352" s="231"/>
      <c r="H352" s="76"/>
      <c r="I352" s="232"/>
      <c r="J352" s="76"/>
      <c r="K352" s="76">
        <f t="shared" si="190"/>
        <v>0</v>
      </c>
      <c r="L352" s="76">
        <f t="shared" si="191"/>
        <v>0</v>
      </c>
      <c r="M352" s="76"/>
      <c r="N352" s="76"/>
      <c r="O352" s="76"/>
      <c r="P352" s="76"/>
      <c r="Q352" s="76"/>
      <c r="R352" s="76">
        <f>H352+I352-K352-L352</f>
        <v>0</v>
      </c>
      <c r="S352" s="76">
        <f t="shared" si="193"/>
        <v>0</v>
      </c>
      <c r="T352" s="76">
        <f>SUM(K352:L352)+P352+R352</f>
        <v>0</v>
      </c>
      <c r="U352" s="129"/>
      <c r="V352" s="120" t="str">
        <f>C352 &amp;":"&amp; B352</f>
        <v>GEO:43951</v>
      </c>
      <c r="W352" s="265">
        <f>DATE(YEAR(B352+1),MONTH(B352+1),VLOOKUP(C352,payEmpNames,4))</f>
        <v>43972</v>
      </c>
      <c r="Y352" s="35"/>
      <c r="Z352" s="35"/>
      <c r="AA352" s="35"/>
    </row>
    <row r="353" spans="1:27" hidden="1" outlineLevel="1" x14ac:dyDescent="0.25">
      <c r="A353" s="120">
        <f>GETPAYMONTH(B353)</f>
        <v>12</v>
      </c>
      <c r="B353" s="392">
        <v>43982</v>
      </c>
      <c r="C353" s="231" t="s">
        <v>622</v>
      </c>
      <c r="D353" s="76"/>
      <c r="E353" s="231"/>
      <c r="F353" s="231"/>
      <c r="G353" s="231"/>
      <c r="H353" s="76"/>
      <c r="I353" s="232"/>
      <c r="J353" s="76"/>
      <c r="K353" s="76">
        <f t="shared" si="190"/>
        <v>0</v>
      </c>
      <c r="L353" s="76">
        <f t="shared" si="191"/>
        <v>0</v>
      </c>
      <c r="M353" s="76"/>
      <c r="N353" s="76"/>
      <c r="O353" s="76"/>
      <c r="P353" s="76"/>
      <c r="Q353" s="76"/>
      <c r="R353" s="76">
        <f>H353+I353-K353-L353</f>
        <v>0</v>
      </c>
      <c r="S353" s="76">
        <f t="shared" si="193"/>
        <v>0</v>
      </c>
      <c r="T353" s="76">
        <f>SUM(K353:L353)+P353+R353</f>
        <v>0</v>
      </c>
      <c r="U353" s="129"/>
      <c r="V353" s="120" t="str">
        <f>C353 &amp;":"&amp; B353</f>
        <v>GEO:43982</v>
      </c>
      <c r="W353" s="265">
        <f>DATE(YEAR(B353+1),MONTH(B353+1),VLOOKUP(C353,payEmpNames,4))</f>
        <v>44003</v>
      </c>
      <c r="Y353" s="35"/>
      <c r="Z353" s="35"/>
      <c r="AA353" s="35"/>
    </row>
    <row r="354" spans="1:27" hidden="1" outlineLevel="1" x14ac:dyDescent="0.25">
      <c r="A354" s="120">
        <f t="shared" si="189"/>
        <v>0</v>
      </c>
      <c r="B354" s="392"/>
      <c r="C354" s="231"/>
      <c r="D354" s="76"/>
      <c r="E354" s="231"/>
      <c r="F354" s="231"/>
      <c r="G354" s="231"/>
      <c r="H354" s="76"/>
      <c r="I354" s="232"/>
      <c r="J354" s="76"/>
      <c r="K354" s="76">
        <f t="shared" si="190"/>
        <v>0</v>
      </c>
      <c r="L354" s="76">
        <f t="shared" si="191"/>
        <v>0</v>
      </c>
      <c r="M354" s="76"/>
      <c r="N354" s="76"/>
      <c r="O354" s="76"/>
      <c r="P354" s="76"/>
      <c r="Q354" s="76"/>
      <c r="R354" s="76">
        <f t="shared" si="192"/>
        <v>0</v>
      </c>
      <c r="S354" s="76">
        <f t="shared" si="193"/>
        <v>0</v>
      </c>
      <c r="T354" s="76">
        <f t="shared" si="194"/>
        <v>0</v>
      </c>
      <c r="U354" s="129"/>
      <c r="V354" s="120" t="str">
        <f t="shared" si="195"/>
        <v>:</v>
      </c>
      <c r="W354" s="265" t="e">
        <f t="shared" si="196"/>
        <v>#N/A</v>
      </c>
    </row>
    <row r="355" spans="1:27" hidden="1" outlineLevel="1" x14ac:dyDescent="0.25">
      <c r="A355" s="120">
        <f t="shared" si="189"/>
        <v>0</v>
      </c>
      <c r="B355" s="392"/>
      <c r="C355" s="231"/>
      <c r="D355" s="76"/>
      <c r="E355" s="231"/>
      <c r="F355" s="231"/>
      <c r="G355" s="231"/>
      <c r="H355" s="76"/>
      <c r="I355" s="232"/>
      <c r="J355" s="76"/>
      <c r="K355" s="76">
        <f t="shared" si="190"/>
        <v>0</v>
      </c>
      <c r="L355" s="76">
        <f t="shared" si="191"/>
        <v>0</v>
      </c>
      <c r="M355" s="76"/>
      <c r="N355" s="76"/>
      <c r="O355" s="76"/>
      <c r="P355" s="76"/>
      <c r="Q355" s="76"/>
      <c r="R355" s="76">
        <f t="shared" si="192"/>
        <v>0</v>
      </c>
      <c r="S355" s="76">
        <f t="shared" si="193"/>
        <v>0</v>
      </c>
      <c r="T355" s="76">
        <f t="shared" si="194"/>
        <v>0</v>
      </c>
      <c r="U355" s="129"/>
      <c r="V355" s="120" t="str">
        <f t="shared" si="195"/>
        <v>:</v>
      </c>
      <c r="W355" s="265" t="e">
        <f t="shared" si="196"/>
        <v>#N/A</v>
      </c>
      <c r="Y355" s="35"/>
      <c r="Z355" s="35"/>
      <c r="AA355" s="35"/>
    </row>
    <row r="356" spans="1:27" hidden="1" outlineLevel="1" x14ac:dyDescent="0.25">
      <c r="A356" s="120">
        <f t="shared" si="189"/>
        <v>0</v>
      </c>
      <c r="B356" s="392"/>
      <c r="C356" s="231"/>
      <c r="D356" s="76"/>
      <c r="E356" s="231"/>
      <c r="F356" s="231"/>
      <c r="G356" s="231"/>
      <c r="H356" s="76"/>
      <c r="I356" s="232"/>
      <c r="J356" s="76"/>
      <c r="K356" s="76">
        <f t="shared" si="190"/>
        <v>0</v>
      </c>
      <c r="L356" s="76">
        <f t="shared" si="191"/>
        <v>0</v>
      </c>
      <c r="M356" s="76"/>
      <c r="N356" s="76"/>
      <c r="O356" s="76"/>
      <c r="P356" s="76"/>
      <c r="Q356" s="76"/>
      <c r="R356" s="76">
        <f t="shared" si="192"/>
        <v>0</v>
      </c>
      <c r="S356" s="76">
        <f t="shared" si="193"/>
        <v>0</v>
      </c>
      <c r="T356" s="76">
        <f t="shared" si="194"/>
        <v>0</v>
      </c>
      <c r="U356" s="129"/>
      <c r="V356" s="120" t="str">
        <f t="shared" si="195"/>
        <v>:</v>
      </c>
      <c r="W356" s="265" t="e">
        <f t="shared" si="196"/>
        <v>#N/A</v>
      </c>
      <c r="Y356" s="35"/>
      <c r="Z356" s="35"/>
      <c r="AA356" s="35"/>
    </row>
    <row r="357" spans="1:27" hidden="1" x14ac:dyDescent="0.25">
      <c r="A357" s="120">
        <f t="shared" si="189"/>
        <v>0</v>
      </c>
      <c r="B357" s="231"/>
      <c r="C357" s="231"/>
      <c r="D357" s="76"/>
      <c r="E357" s="231"/>
      <c r="F357" s="231"/>
      <c r="G357" s="231"/>
      <c r="H357" s="76"/>
      <c r="I357" s="232"/>
      <c r="J357" s="76"/>
      <c r="K357" s="76">
        <f t="shared" si="190"/>
        <v>0</v>
      </c>
      <c r="L357" s="76">
        <f t="shared" si="191"/>
        <v>0</v>
      </c>
      <c r="M357" s="76"/>
      <c r="N357" s="76"/>
      <c r="O357" s="76"/>
      <c r="P357" s="76"/>
      <c r="Q357" s="76"/>
      <c r="R357" s="76">
        <f t="shared" si="192"/>
        <v>0</v>
      </c>
      <c r="S357" s="76">
        <f t="shared" si="193"/>
        <v>0</v>
      </c>
      <c r="T357" s="76">
        <f t="shared" si="194"/>
        <v>0</v>
      </c>
      <c r="U357" s="129"/>
      <c r="V357" s="120" t="str">
        <f t="shared" si="195"/>
        <v>:</v>
      </c>
      <c r="W357" s="265" t="e">
        <f t="shared" si="196"/>
        <v>#N/A</v>
      </c>
      <c r="Y357" s="35"/>
      <c r="Z357" s="35"/>
      <c r="AA357" s="35"/>
    </row>
    <row r="358" spans="1:27" s="35" customFormat="1" hidden="1" x14ac:dyDescent="0.25">
      <c r="A358" s="131"/>
      <c r="B358" s="235"/>
      <c r="C358" s="235"/>
      <c r="D358" s="235"/>
      <c r="E358" s="235"/>
      <c r="F358" s="235"/>
      <c r="G358" s="235"/>
      <c r="H358" s="235"/>
      <c r="I358" s="132"/>
      <c r="J358" s="132"/>
      <c r="K358" s="132"/>
      <c r="L358" s="132"/>
      <c r="M358" s="132"/>
      <c r="N358" s="132"/>
      <c r="O358" s="132"/>
      <c r="P358" s="132"/>
      <c r="Q358" s="132"/>
      <c r="R358" s="132"/>
      <c r="S358" s="132"/>
      <c r="T358" s="132"/>
      <c r="U358" s="129"/>
    </row>
    <row r="359" spans="1:27" hidden="1" x14ac:dyDescent="0.25">
      <c r="F359"/>
      <c r="U359" s="129"/>
    </row>
    <row r="360" spans="1:27" x14ac:dyDescent="0.25">
      <c r="A360" s="254"/>
      <c r="B360" s="255"/>
      <c r="C360" s="256" t="str">
        <f>EmpID</f>
        <v>VAK</v>
      </c>
      <c r="D360" s="255" t="s">
        <v>518</v>
      </c>
      <c r="E360" s="219"/>
      <c r="F360" s="379"/>
      <c r="G360" s="256"/>
      <c r="H360" s="256"/>
      <c r="U360" s="129"/>
      <c r="V360" s="66" t="s">
        <v>465</v>
      </c>
    </row>
    <row r="361" spans="1:27" ht="13.8" thickBot="1" x14ac:dyDescent="0.3">
      <c r="A361" s="266"/>
      <c r="B361" s="219" t="s">
        <v>648</v>
      </c>
      <c r="C361" s="256" t="str">
        <f>EmpID</f>
        <v>VAK</v>
      </c>
      <c r="D361" s="219" t="s">
        <v>519</v>
      </c>
      <c r="E361" s="219" t="s">
        <v>642</v>
      </c>
      <c r="F361" s="379"/>
      <c r="G361" s="256"/>
      <c r="H361" s="256"/>
      <c r="U361" s="129"/>
      <c r="V361" s="156" t="s">
        <v>508</v>
      </c>
    </row>
    <row r="362" spans="1:27" ht="12.75" hidden="1" customHeight="1" x14ac:dyDescent="0.25">
      <c r="A362" s="267">
        <v>1</v>
      </c>
      <c r="B362" s="393">
        <v>43625</v>
      </c>
      <c r="C362" s="75" t="s">
        <v>55</v>
      </c>
      <c r="D362" s="268" t="s">
        <v>659</v>
      </c>
      <c r="E362" s="74">
        <v>5</v>
      </c>
      <c r="F362" s="74"/>
      <c r="G362" s="74"/>
      <c r="H362" s="75">
        <v>320122</v>
      </c>
      <c r="J362" s="138"/>
      <c r="U362" s="129"/>
      <c r="V362" s="120" t="str">
        <f t="shared" ref="V362:V379" si="197">C362 &amp;":"&amp; A362</f>
        <v>MAM:1</v>
      </c>
    </row>
    <row r="363" spans="1:27" ht="12.75" hidden="1" customHeight="1" x14ac:dyDescent="0.25">
      <c r="A363" s="120">
        <f t="shared" ref="A363:A402" si="198">GETPAYMONTH(DATE(YEAR(B363),MONTH(B363-4)+1,1))</f>
        <v>1</v>
      </c>
      <c r="B363" s="392">
        <v>43632</v>
      </c>
      <c r="C363" s="77" t="s">
        <v>55</v>
      </c>
      <c r="D363" s="231" t="s">
        <v>659</v>
      </c>
      <c r="E363" s="76">
        <v>4</v>
      </c>
      <c r="F363" s="76"/>
      <c r="G363" s="76"/>
      <c r="H363" s="77">
        <v>320122</v>
      </c>
      <c r="J363" s="138"/>
      <c r="U363" s="129"/>
      <c r="V363" s="120" t="str">
        <f t="shared" si="197"/>
        <v>MAM:1</v>
      </c>
    </row>
    <row r="364" spans="1:27" ht="12.75" hidden="1" customHeight="1" x14ac:dyDescent="0.25">
      <c r="A364" s="120">
        <f t="shared" si="198"/>
        <v>1</v>
      </c>
      <c r="B364" s="392">
        <v>43639</v>
      </c>
      <c r="C364" s="77" t="s">
        <v>55</v>
      </c>
      <c r="D364" s="231" t="s">
        <v>659</v>
      </c>
      <c r="E364" s="76">
        <v>5</v>
      </c>
      <c r="F364" s="76"/>
      <c r="G364" s="76"/>
      <c r="H364" s="77">
        <v>320123</v>
      </c>
      <c r="J364" s="138"/>
      <c r="U364" s="129"/>
      <c r="V364" s="120" t="str">
        <f t="shared" si="197"/>
        <v>MAM:1</v>
      </c>
    </row>
    <row r="365" spans="1:27" ht="12.75" hidden="1" customHeight="1" x14ac:dyDescent="0.25">
      <c r="A365" s="123">
        <f t="shared" si="198"/>
        <v>1</v>
      </c>
      <c r="B365" s="394">
        <v>43646</v>
      </c>
      <c r="C365" s="79" t="s">
        <v>55</v>
      </c>
      <c r="D365" s="269" t="s">
        <v>659</v>
      </c>
      <c r="E365" s="78">
        <v>5</v>
      </c>
      <c r="F365" s="78"/>
      <c r="G365" s="78"/>
      <c r="H365" s="79">
        <v>320123</v>
      </c>
      <c r="J365" s="138"/>
      <c r="U365" s="129"/>
      <c r="V365" s="120" t="str">
        <f t="shared" si="197"/>
        <v>MAM:1</v>
      </c>
    </row>
    <row r="366" spans="1:27" ht="12.75" hidden="1" customHeight="1" x14ac:dyDescent="0.25">
      <c r="A366" s="267">
        <f t="shared" ref="A366:A369" si="199">GETPAYMONTH(DATE(YEAR(B366),MONTH(B366-4)+1,1))</f>
        <v>2</v>
      </c>
      <c r="B366" s="393">
        <v>43653</v>
      </c>
      <c r="C366" s="75" t="s">
        <v>55</v>
      </c>
      <c r="D366" s="268" t="s">
        <v>659</v>
      </c>
      <c r="E366" s="74">
        <v>1</v>
      </c>
      <c r="F366" s="74"/>
      <c r="G366" s="74"/>
      <c r="H366" s="75">
        <v>320124</v>
      </c>
      <c r="J366" s="138"/>
      <c r="U366" s="129"/>
      <c r="V366" s="120" t="str">
        <f t="shared" ref="V366:V369" si="200">C366 &amp;":"&amp; A366</f>
        <v>MAM:2</v>
      </c>
    </row>
    <row r="367" spans="1:27" ht="12.75" hidden="1" customHeight="1" x14ac:dyDescent="0.25">
      <c r="A367" s="120">
        <f t="shared" si="199"/>
        <v>2</v>
      </c>
      <c r="B367" s="392">
        <v>43660</v>
      </c>
      <c r="C367" s="77" t="s">
        <v>55</v>
      </c>
      <c r="D367" s="231" t="s">
        <v>659</v>
      </c>
      <c r="E367" s="76">
        <v>1</v>
      </c>
      <c r="F367" s="76"/>
      <c r="G367" s="76"/>
      <c r="H367" s="77">
        <v>320124</v>
      </c>
      <c r="J367" s="138"/>
      <c r="U367" s="129"/>
      <c r="V367" s="120" t="str">
        <f t="shared" si="200"/>
        <v>MAM:2</v>
      </c>
    </row>
    <row r="368" spans="1:27" ht="12.75" hidden="1" customHeight="1" x14ac:dyDescent="0.25">
      <c r="A368" s="120">
        <f t="shared" si="199"/>
        <v>2</v>
      </c>
      <c r="B368" s="392">
        <v>43667</v>
      </c>
      <c r="C368" s="77" t="s">
        <v>55</v>
      </c>
      <c r="D368" s="231" t="s">
        <v>659</v>
      </c>
      <c r="E368" s="76"/>
      <c r="F368" s="76"/>
      <c r="G368" s="76"/>
      <c r="H368" s="77"/>
      <c r="I368" t="s">
        <v>813</v>
      </c>
      <c r="J368" s="138"/>
      <c r="U368" s="129"/>
      <c r="V368" s="120" t="str">
        <f t="shared" si="200"/>
        <v>MAM:2</v>
      </c>
    </row>
    <row r="369" spans="1:22" ht="12.75" hidden="1" customHeight="1" x14ac:dyDescent="0.25">
      <c r="A369" s="123">
        <f t="shared" si="199"/>
        <v>2</v>
      </c>
      <c r="B369" s="394">
        <v>43674</v>
      </c>
      <c r="C369" s="79" t="s">
        <v>55</v>
      </c>
      <c r="D369" s="269" t="s">
        <v>659</v>
      </c>
      <c r="E369" s="78">
        <v>1.5</v>
      </c>
      <c r="F369" s="78"/>
      <c r="G369" s="78"/>
      <c r="H369" s="79">
        <v>320125</v>
      </c>
      <c r="J369" s="138"/>
      <c r="U369" s="129"/>
      <c r="V369" s="120" t="str">
        <f t="shared" si="200"/>
        <v>MAM:2</v>
      </c>
    </row>
    <row r="370" spans="1:22" ht="12.75" hidden="1" customHeight="1" x14ac:dyDescent="0.25">
      <c r="A370" s="267">
        <f t="shared" si="198"/>
        <v>2</v>
      </c>
      <c r="B370" s="393">
        <v>43653</v>
      </c>
      <c r="C370" s="75" t="s">
        <v>55</v>
      </c>
      <c r="D370" s="268" t="s">
        <v>504</v>
      </c>
      <c r="E370" s="74">
        <v>4</v>
      </c>
      <c r="F370" s="74"/>
      <c r="G370" s="74"/>
      <c r="H370" s="75">
        <v>270301</v>
      </c>
      <c r="J370" s="138"/>
      <c r="U370" s="129"/>
      <c r="V370" s="120" t="str">
        <f t="shared" si="197"/>
        <v>MAM:2</v>
      </c>
    </row>
    <row r="371" spans="1:22" ht="12.75" hidden="1" customHeight="1" x14ac:dyDescent="0.25">
      <c r="A371" s="120">
        <f t="shared" si="198"/>
        <v>2</v>
      </c>
      <c r="B371" s="392">
        <v>43660</v>
      </c>
      <c r="C371" s="77" t="s">
        <v>55</v>
      </c>
      <c r="D371" s="231" t="s">
        <v>504</v>
      </c>
      <c r="E371" s="76">
        <v>4</v>
      </c>
      <c r="F371" s="76"/>
      <c r="G371" s="76"/>
      <c r="H371" s="77">
        <v>270302</v>
      </c>
      <c r="J371" s="138"/>
      <c r="U371" s="129"/>
      <c r="V371" s="120" t="str">
        <f t="shared" si="197"/>
        <v>MAM:2</v>
      </c>
    </row>
    <row r="372" spans="1:22" ht="12.75" hidden="1" customHeight="1" x14ac:dyDescent="0.25">
      <c r="A372" s="120">
        <f t="shared" si="198"/>
        <v>2</v>
      </c>
      <c r="B372" s="392">
        <v>43667</v>
      </c>
      <c r="C372" s="77" t="s">
        <v>55</v>
      </c>
      <c r="D372" s="231" t="s">
        <v>504</v>
      </c>
      <c r="E372" s="76"/>
      <c r="F372" s="76"/>
      <c r="G372" s="76"/>
      <c r="H372" s="77"/>
      <c r="I372" t="s">
        <v>813</v>
      </c>
      <c r="J372" s="138"/>
      <c r="U372" s="129"/>
      <c r="V372" s="120" t="str">
        <f t="shared" si="197"/>
        <v>MAM:2</v>
      </c>
    </row>
    <row r="373" spans="1:22" ht="12.75" hidden="1" customHeight="1" x14ac:dyDescent="0.25">
      <c r="A373" s="123">
        <f t="shared" si="198"/>
        <v>2</v>
      </c>
      <c r="B373" s="394">
        <v>43674</v>
      </c>
      <c r="C373" s="79" t="s">
        <v>55</v>
      </c>
      <c r="D373" s="269" t="s">
        <v>504</v>
      </c>
      <c r="E373" s="78">
        <v>4</v>
      </c>
      <c r="F373" s="78"/>
      <c r="G373" s="78"/>
      <c r="H373" s="79">
        <v>270303</v>
      </c>
      <c r="J373" s="138"/>
      <c r="U373" s="129"/>
      <c r="V373" s="120" t="str">
        <f t="shared" si="197"/>
        <v>MAM:2</v>
      </c>
    </row>
    <row r="374" spans="1:22" ht="12.75" hidden="1" customHeight="1" x14ac:dyDescent="0.25">
      <c r="A374" s="267">
        <f t="shared" ref="A374:A378" si="201">GETPAYMONTH(DATE(YEAR(B374),MONTH(B374-4)+1,1))</f>
        <v>2</v>
      </c>
      <c r="B374" s="393">
        <v>43681</v>
      </c>
      <c r="C374" s="75" t="s">
        <v>55</v>
      </c>
      <c r="D374" s="268" t="s">
        <v>659</v>
      </c>
      <c r="E374" s="74">
        <v>1</v>
      </c>
      <c r="F374" s="74"/>
      <c r="G374" s="74"/>
      <c r="H374" s="75">
        <v>320126</v>
      </c>
      <c r="J374" s="138"/>
      <c r="U374" s="129"/>
      <c r="V374" s="120" t="str">
        <f t="shared" ref="V374:V378" si="202">C374 &amp;":"&amp; A374</f>
        <v>MAM:2</v>
      </c>
    </row>
    <row r="375" spans="1:22" ht="12.75" hidden="1" customHeight="1" x14ac:dyDescent="0.25">
      <c r="A375" s="120">
        <f t="shared" si="201"/>
        <v>3</v>
      </c>
      <c r="B375" s="392">
        <v>43688</v>
      </c>
      <c r="C375" s="77" t="s">
        <v>55</v>
      </c>
      <c r="D375" s="231" t="s">
        <v>659</v>
      </c>
      <c r="E375" s="76">
        <v>2</v>
      </c>
      <c r="F375" s="76"/>
      <c r="G375" s="76"/>
      <c r="H375" s="77">
        <v>320126</v>
      </c>
      <c r="I375" t="s">
        <v>814</v>
      </c>
      <c r="J375" s="138"/>
      <c r="U375" s="129"/>
      <c r="V375" s="120" t="str">
        <f t="shared" si="202"/>
        <v>MAM:3</v>
      </c>
    </row>
    <row r="376" spans="1:22" ht="12.75" hidden="1" customHeight="1" x14ac:dyDescent="0.25">
      <c r="A376" s="120">
        <f t="shared" si="201"/>
        <v>3</v>
      </c>
      <c r="B376" s="392">
        <v>43695</v>
      </c>
      <c r="C376" s="77" t="s">
        <v>55</v>
      </c>
      <c r="D376" s="231" t="s">
        <v>659</v>
      </c>
      <c r="E376" s="76">
        <v>1.5</v>
      </c>
      <c r="F376" s="76"/>
      <c r="G376" s="76"/>
      <c r="H376" s="77">
        <v>320127</v>
      </c>
      <c r="J376" s="138"/>
      <c r="U376" s="129"/>
      <c r="V376" s="120" t="str">
        <f t="shared" si="202"/>
        <v>MAM:3</v>
      </c>
    </row>
    <row r="377" spans="1:22" ht="12.75" hidden="1" customHeight="1" x14ac:dyDescent="0.3">
      <c r="A377" s="120">
        <f t="shared" si="201"/>
        <v>3</v>
      </c>
      <c r="B377" s="392">
        <v>43702</v>
      </c>
      <c r="C377" s="77" t="s">
        <v>55</v>
      </c>
      <c r="D377" s="231" t="s">
        <v>659</v>
      </c>
      <c r="E377" s="76">
        <v>1</v>
      </c>
      <c r="F377" s="76"/>
      <c r="G377" s="76"/>
      <c r="H377" s="77">
        <v>320127</v>
      </c>
      <c r="J377" s="138"/>
      <c r="O377" s="270"/>
      <c r="U377" s="129"/>
      <c r="V377" s="120" t="str">
        <f t="shared" si="202"/>
        <v>MAM:3</v>
      </c>
    </row>
    <row r="378" spans="1:22" ht="12.75" hidden="1" customHeight="1" x14ac:dyDescent="0.3">
      <c r="A378" s="123">
        <f t="shared" si="201"/>
        <v>3</v>
      </c>
      <c r="B378" s="394">
        <v>43709</v>
      </c>
      <c r="C378" s="79" t="s">
        <v>55</v>
      </c>
      <c r="D378" s="269" t="s">
        <v>659</v>
      </c>
      <c r="E378" s="78"/>
      <c r="F378" s="78"/>
      <c r="G378" s="78"/>
      <c r="H378" s="79"/>
      <c r="J378" s="138"/>
      <c r="O378" s="270"/>
      <c r="U378" s="129"/>
      <c r="V378" s="120" t="str">
        <f t="shared" si="202"/>
        <v>MAM:3</v>
      </c>
    </row>
    <row r="379" spans="1:22" ht="12.75" hidden="1" customHeight="1" x14ac:dyDescent="0.25">
      <c r="A379" s="267">
        <f t="shared" si="198"/>
        <v>2</v>
      </c>
      <c r="B379" s="393">
        <v>43681</v>
      </c>
      <c r="C379" s="75" t="s">
        <v>55</v>
      </c>
      <c r="D379" s="268" t="s">
        <v>504</v>
      </c>
      <c r="E379" s="74">
        <v>3.5</v>
      </c>
      <c r="F379" s="74"/>
      <c r="G379" s="74"/>
      <c r="H379" s="75">
        <v>270304</v>
      </c>
      <c r="J379" s="138"/>
      <c r="U379" s="129"/>
      <c r="V379" s="120" t="str">
        <f t="shared" si="197"/>
        <v>MAM:2</v>
      </c>
    </row>
    <row r="380" spans="1:22" ht="12.75" hidden="1" customHeight="1" x14ac:dyDescent="0.25">
      <c r="A380" s="120">
        <f t="shared" si="198"/>
        <v>3</v>
      </c>
      <c r="B380" s="392">
        <v>43688</v>
      </c>
      <c r="C380" s="77" t="s">
        <v>55</v>
      </c>
      <c r="D380" s="231" t="s">
        <v>504</v>
      </c>
      <c r="E380" s="76">
        <v>4</v>
      </c>
      <c r="F380" s="76"/>
      <c r="G380" s="76"/>
      <c r="H380" s="77">
        <v>270305</v>
      </c>
      <c r="J380" s="138"/>
      <c r="U380" s="129"/>
      <c r="V380" s="120" t="str">
        <f t="shared" ref="V380:V385" si="203">C380 &amp;":"&amp; A380</f>
        <v>MAM:3</v>
      </c>
    </row>
    <row r="381" spans="1:22" ht="12.75" hidden="1" customHeight="1" x14ac:dyDescent="0.25">
      <c r="A381" s="120">
        <f t="shared" si="198"/>
        <v>3</v>
      </c>
      <c r="B381" s="392">
        <v>43695</v>
      </c>
      <c r="C381" s="77" t="s">
        <v>55</v>
      </c>
      <c r="D381" s="231" t="s">
        <v>504</v>
      </c>
      <c r="E381" s="76">
        <v>4</v>
      </c>
      <c r="F381" s="76"/>
      <c r="G381" s="76"/>
      <c r="H381" s="77">
        <v>270306</v>
      </c>
      <c r="J381" s="138"/>
      <c r="U381" s="129"/>
      <c r="V381" s="120" t="str">
        <f t="shared" si="203"/>
        <v>MAM:3</v>
      </c>
    </row>
    <row r="382" spans="1:22" ht="12.75" hidden="1" customHeight="1" x14ac:dyDescent="0.3">
      <c r="A382" s="120">
        <f t="shared" si="198"/>
        <v>3</v>
      </c>
      <c r="B382" s="392">
        <v>43702</v>
      </c>
      <c r="C382" s="77" t="s">
        <v>55</v>
      </c>
      <c r="D382" s="231" t="s">
        <v>504</v>
      </c>
      <c r="E382" s="76">
        <v>4</v>
      </c>
      <c r="F382" s="76"/>
      <c r="G382" s="76"/>
      <c r="H382" s="77">
        <v>270307</v>
      </c>
      <c r="J382" s="138"/>
      <c r="O382" s="270"/>
      <c r="U382" s="129"/>
      <c r="V382" s="120" t="str">
        <f t="shared" si="203"/>
        <v>MAM:3</v>
      </c>
    </row>
    <row r="383" spans="1:22" ht="12.75" hidden="1" customHeight="1" x14ac:dyDescent="0.3">
      <c r="A383" s="123">
        <f t="shared" si="198"/>
        <v>3</v>
      </c>
      <c r="B383" s="394">
        <v>43709</v>
      </c>
      <c r="C383" s="79" t="s">
        <v>55</v>
      </c>
      <c r="D383" s="269" t="s">
        <v>504</v>
      </c>
      <c r="E383" s="78"/>
      <c r="F383" s="78"/>
      <c r="G383" s="78"/>
      <c r="H383" s="79"/>
      <c r="J383" s="138"/>
      <c r="O383" s="270"/>
      <c r="U383" s="129"/>
      <c r="V383" s="120" t="str">
        <f t="shared" si="203"/>
        <v>MAM:3</v>
      </c>
    </row>
    <row r="384" spans="1:22" ht="12.75" hidden="1" customHeight="1" x14ac:dyDescent="0.3">
      <c r="A384" s="267">
        <f t="shared" si="198"/>
        <v>4</v>
      </c>
      <c r="B384" s="393">
        <v>43716</v>
      </c>
      <c r="C384" s="75" t="s">
        <v>55</v>
      </c>
      <c r="D384" s="268"/>
      <c r="E384" s="74"/>
      <c r="F384" s="74"/>
      <c r="G384" s="74"/>
      <c r="H384" s="75"/>
      <c r="J384" s="138"/>
      <c r="O384" s="270"/>
      <c r="U384" s="129"/>
      <c r="V384" s="120" t="str">
        <f t="shared" si="203"/>
        <v>MAM:4</v>
      </c>
    </row>
    <row r="385" spans="1:22" ht="12.75" hidden="1" customHeight="1" x14ac:dyDescent="0.3">
      <c r="A385" s="120">
        <f t="shared" si="198"/>
        <v>4</v>
      </c>
      <c r="B385" s="392">
        <v>43723</v>
      </c>
      <c r="C385" s="77" t="s">
        <v>55</v>
      </c>
      <c r="D385" s="231"/>
      <c r="E385" s="76"/>
      <c r="F385" s="76"/>
      <c r="G385" s="76"/>
      <c r="H385" s="77"/>
      <c r="J385" s="138"/>
      <c r="O385" s="270"/>
      <c r="U385" s="129"/>
      <c r="V385" s="120" t="str">
        <f t="shared" si="203"/>
        <v>MAM:4</v>
      </c>
    </row>
    <row r="386" spans="1:22" ht="12.75" hidden="1" customHeight="1" x14ac:dyDescent="0.3">
      <c r="A386" s="120">
        <f t="shared" si="198"/>
        <v>4</v>
      </c>
      <c r="B386" s="392">
        <v>43730</v>
      </c>
      <c r="C386" s="77" t="s">
        <v>55</v>
      </c>
      <c r="D386" s="231"/>
      <c r="E386" s="76"/>
      <c r="F386" s="76"/>
      <c r="G386" s="76"/>
      <c r="H386" s="77"/>
      <c r="J386" s="138"/>
      <c r="O386" s="271"/>
      <c r="U386" s="129"/>
      <c r="V386" s="120" t="str">
        <f t="shared" ref="V386:V417" si="204">C386 &amp;":"&amp; A386</f>
        <v>MAM:4</v>
      </c>
    </row>
    <row r="387" spans="1:22" ht="12.75" hidden="1" customHeight="1" x14ac:dyDescent="0.25">
      <c r="A387" s="123">
        <f t="shared" si="198"/>
        <v>4</v>
      </c>
      <c r="B387" s="394">
        <v>43737</v>
      </c>
      <c r="C387" s="79" t="s">
        <v>55</v>
      </c>
      <c r="D387" s="269"/>
      <c r="E387" s="78"/>
      <c r="F387" s="78"/>
      <c r="G387" s="78"/>
      <c r="H387" s="79"/>
      <c r="J387" s="138"/>
      <c r="U387" s="129"/>
      <c r="V387" s="120" t="str">
        <f t="shared" si="204"/>
        <v>MAM:4</v>
      </c>
    </row>
    <row r="388" spans="1:22" ht="12.75" hidden="1" customHeight="1" x14ac:dyDescent="0.25">
      <c r="A388" s="267">
        <f t="shared" si="198"/>
        <v>5</v>
      </c>
      <c r="B388" s="393">
        <v>43744</v>
      </c>
      <c r="C388" s="75" t="s">
        <v>55</v>
      </c>
      <c r="D388" s="268"/>
      <c r="E388" s="74"/>
      <c r="F388" s="74"/>
      <c r="G388" s="74"/>
      <c r="H388" s="75"/>
      <c r="J388" s="138"/>
      <c r="U388" s="129"/>
      <c r="V388" s="120" t="str">
        <f t="shared" si="204"/>
        <v>MAM:5</v>
      </c>
    </row>
    <row r="389" spans="1:22" ht="12.75" hidden="1" customHeight="1" x14ac:dyDescent="0.25">
      <c r="A389" s="120">
        <f t="shared" si="198"/>
        <v>5</v>
      </c>
      <c r="B389" s="392">
        <v>43751</v>
      </c>
      <c r="C389" s="77" t="s">
        <v>55</v>
      </c>
      <c r="D389" s="231"/>
      <c r="E389" s="76"/>
      <c r="F389" s="76"/>
      <c r="G389" s="76"/>
      <c r="H389" s="77"/>
      <c r="J389" s="138"/>
      <c r="U389" s="129"/>
      <c r="V389" s="120" t="str">
        <f t="shared" si="204"/>
        <v>MAM:5</v>
      </c>
    </row>
    <row r="390" spans="1:22" ht="12.75" hidden="1" customHeight="1" x14ac:dyDescent="0.25">
      <c r="A390" s="120">
        <f t="shared" si="198"/>
        <v>5</v>
      </c>
      <c r="B390" s="392">
        <v>43758</v>
      </c>
      <c r="C390" s="77" t="s">
        <v>55</v>
      </c>
      <c r="D390" s="231"/>
      <c r="E390" s="76"/>
      <c r="F390" s="76"/>
      <c r="G390" s="76"/>
      <c r="H390" s="77"/>
      <c r="J390" s="138"/>
      <c r="U390" s="129"/>
      <c r="V390" s="120" t="str">
        <f t="shared" si="204"/>
        <v>MAM:5</v>
      </c>
    </row>
    <row r="391" spans="1:22" ht="12.75" hidden="1" customHeight="1" x14ac:dyDescent="0.25">
      <c r="A391" s="120">
        <f t="shared" si="198"/>
        <v>5</v>
      </c>
      <c r="B391" s="392">
        <v>43765</v>
      </c>
      <c r="C391" s="77" t="s">
        <v>55</v>
      </c>
      <c r="D391" s="231"/>
      <c r="E391" s="76"/>
      <c r="F391" s="76"/>
      <c r="G391" s="76"/>
      <c r="H391" s="77"/>
      <c r="J391" s="138"/>
      <c r="U391" s="129"/>
      <c r="V391" s="120" t="str">
        <f t="shared" si="204"/>
        <v>MAM:5</v>
      </c>
    </row>
    <row r="392" spans="1:22" ht="12.75" hidden="1" customHeight="1" x14ac:dyDescent="0.25">
      <c r="A392" s="123">
        <f t="shared" si="198"/>
        <v>5</v>
      </c>
      <c r="B392" s="394">
        <v>43772</v>
      </c>
      <c r="C392" s="79" t="s">
        <v>55</v>
      </c>
      <c r="D392" s="269"/>
      <c r="E392" s="78"/>
      <c r="F392" s="78"/>
      <c r="G392" s="78"/>
      <c r="H392" s="79"/>
      <c r="J392" s="138"/>
      <c r="U392" s="129"/>
      <c r="V392" s="120" t="str">
        <f t="shared" si="204"/>
        <v>MAM:5</v>
      </c>
    </row>
    <row r="393" spans="1:22" ht="12.75" hidden="1" customHeight="1" x14ac:dyDescent="0.25">
      <c r="A393" s="267">
        <f t="shared" si="198"/>
        <v>6</v>
      </c>
      <c r="B393" s="393">
        <v>43779</v>
      </c>
      <c r="C393" s="75" t="s">
        <v>55</v>
      </c>
      <c r="D393" s="268"/>
      <c r="E393" s="74"/>
      <c r="F393" s="74"/>
      <c r="G393" s="74"/>
      <c r="H393" s="75"/>
      <c r="J393" s="138"/>
      <c r="U393" s="129"/>
      <c r="V393" s="120" t="str">
        <f t="shared" si="204"/>
        <v>MAM:6</v>
      </c>
    </row>
    <row r="394" spans="1:22" ht="12.75" hidden="1" customHeight="1" x14ac:dyDescent="0.25">
      <c r="A394" s="120">
        <f t="shared" si="198"/>
        <v>6</v>
      </c>
      <c r="B394" s="392">
        <v>43786</v>
      </c>
      <c r="C394" s="77" t="s">
        <v>55</v>
      </c>
      <c r="D394" s="231"/>
      <c r="E394" s="76"/>
      <c r="F394" s="76"/>
      <c r="G394" s="76"/>
      <c r="H394" s="77"/>
      <c r="J394" s="138"/>
      <c r="U394" s="129"/>
      <c r="V394" s="120" t="str">
        <f t="shared" si="204"/>
        <v>MAM:6</v>
      </c>
    </row>
    <row r="395" spans="1:22" ht="12.75" hidden="1" customHeight="1" x14ac:dyDescent="0.25">
      <c r="A395" s="120">
        <f t="shared" si="198"/>
        <v>6</v>
      </c>
      <c r="B395" s="392">
        <v>43793</v>
      </c>
      <c r="C395" s="77" t="s">
        <v>55</v>
      </c>
      <c r="D395" s="231"/>
      <c r="E395" s="76"/>
      <c r="F395" s="76"/>
      <c r="G395" s="76"/>
      <c r="H395" s="77"/>
      <c r="J395" s="138"/>
      <c r="U395" s="129"/>
      <c r="V395" s="120" t="str">
        <f t="shared" si="204"/>
        <v>MAM:6</v>
      </c>
    </row>
    <row r="396" spans="1:22" ht="12.75" hidden="1" customHeight="1" x14ac:dyDescent="0.25">
      <c r="A396" s="123">
        <f t="shared" si="198"/>
        <v>6</v>
      </c>
      <c r="B396" s="394">
        <v>43800</v>
      </c>
      <c r="C396" s="79" t="s">
        <v>55</v>
      </c>
      <c r="D396" s="269"/>
      <c r="E396" s="78"/>
      <c r="F396" s="78"/>
      <c r="G396" s="78"/>
      <c r="H396" s="79"/>
      <c r="J396" s="138"/>
      <c r="U396" s="129"/>
      <c r="V396" s="120" t="str">
        <f t="shared" si="204"/>
        <v>MAM:6</v>
      </c>
    </row>
    <row r="397" spans="1:22" ht="12.75" hidden="1" customHeight="1" x14ac:dyDescent="0.25">
      <c r="A397" s="267">
        <f t="shared" si="198"/>
        <v>7</v>
      </c>
      <c r="B397" s="393">
        <v>43807</v>
      </c>
      <c r="C397" s="75" t="s">
        <v>55</v>
      </c>
      <c r="D397" s="268"/>
      <c r="E397" s="74"/>
      <c r="F397" s="74"/>
      <c r="G397" s="74"/>
      <c r="H397" s="75"/>
      <c r="J397" s="138"/>
      <c r="U397" s="129"/>
      <c r="V397" s="120" t="str">
        <f t="shared" si="204"/>
        <v>MAM:7</v>
      </c>
    </row>
    <row r="398" spans="1:22" ht="12.75" hidden="1" customHeight="1" x14ac:dyDescent="0.25">
      <c r="A398" s="120">
        <f t="shared" si="198"/>
        <v>7</v>
      </c>
      <c r="B398" s="392">
        <v>43814</v>
      </c>
      <c r="C398" s="77" t="s">
        <v>55</v>
      </c>
      <c r="D398" s="231"/>
      <c r="E398" s="76"/>
      <c r="F398" s="76"/>
      <c r="G398" s="76"/>
      <c r="H398" s="77"/>
      <c r="J398" s="138"/>
      <c r="U398" s="129"/>
      <c r="V398" s="120" t="str">
        <f t="shared" si="204"/>
        <v>MAM:7</v>
      </c>
    </row>
    <row r="399" spans="1:22" ht="12.75" hidden="1" customHeight="1" x14ac:dyDescent="0.25">
      <c r="A399" s="120">
        <f t="shared" si="198"/>
        <v>7</v>
      </c>
      <c r="B399" s="392">
        <v>43821</v>
      </c>
      <c r="C399" s="77" t="s">
        <v>55</v>
      </c>
      <c r="D399" s="231"/>
      <c r="E399" s="76"/>
      <c r="F399" s="76"/>
      <c r="G399" s="76"/>
      <c r="H399" s="77"/>
      <c r="J399" s="138"/>
      <c r="U399" s="129"/>
      <c r="V399" s="120" t="str">
        <f t="shared" si="204"/>
        <v>MAM:7</v>
      </c>
    </row>
    <row r="400" spans="1:22" ht="12.75" hidden="1" customHeight="1" x14ac:dyDescent="0.3">
      <c r="A400" s="123">
        <f t="shared" si="198"/>
        <v>7</v>
      </c>
      <c r="B400" s="394">
        <v>43828</v>
      </c>
      <c r="C400" s="79" t="s">
        <v>55</v>
      </c>
      <c r="D400" s="269"/>
      <c r="E400" s="78"/>
      <c r="F400" s="78"/>
      <c r="G400" s="78"/>
      <c r="H400" s="79"/>
      <c r="I400" s="328"/>
      <c r="J400" s="138"/>
      <c r="O400" s="270"/>
      <c r="U400" s="129"/>
      <c r="V400" s="120" t="str">
        <f t="shared" si="204"/>
        <v>MAM:7</v>
      </c>
    </row>
    <row r="401" spans="1:22" ht="12.75" hidden="1" customHeight="1" x14ac:dyDescent="0.3">
      <c r="A401" s="267">
        <f t="shared" si="198"/>
        <v>8</v>
      </c>
      <c r="B401" s="393">
        <v>43835</v>
      </c>
      <c r="C401" s="75" t="s">
        <v>55</v>
      </c>
      <c r="D401" s="268"/>
      <c r="E401" s="74"/>
      <c r="F401" s="74"/>
      <c r="G401" s="74"/>
      <c r="H401" s="75"/>
      <c r="I401" s="328"/>
      <c r="J401" s="138"/>
      <c r="O401" s="270"/>
      <c r="U401" s="129"/>
      <c r="V401" s="120" t="str">
        <f t="shared" si="204"/>
        <v>MAM:8</v>
      </c>
    </row>
    <row r="402" spans="1:22" ht="12.75" hidden="1" customHeight="1" x14ac:dyDescent="0.3">
      <c r="A402" s="120">
        <f t="shared" si="198"/>
        <v>8</v>
      </c>
      <c r="B402" s="392">
        <v>43842</v>
      </c>
      <c r="C402" s="77" t="s">
        <v>55</v>
      </c>
      <c r="D402" s="231"/>
      <c r="E402" s="76"/>
      <c r="F402" s="76"/>
      <c r="G402" s="76"/>
      <c r="H402" s="77"/>
      <c r="I402" s="328"/>
      <c r="J402" s="138"/>
      <c r="O402" s="270"/>
      <c r="U402" s="129"/>
      <c r="V402" s="120" t="str">
        <f t="shared" si="204"/>
        <v>MAM:8</v>
      </c>
    </row>
    <row r="403" spans="1:22" ht="12.75" hidden="1" customHeight="1" x14ac:dyDescent="0.3">
      <c r="A403" s="120">
        <f t="shared" ref="A403:A422" si="205">GETPAYMONTH(DATE(YEAR(B403),MONTH(B403-4)+1,1))</f>
        <v>8</v>
      </c>
      <c r="B403" s="392">
        <v>43849</v>
      </c>
      <c r="C403" s="77" t="s">
        <v>55</v>
      </c>
      <c r="D403" s="231"/>
      <c r="E403" s="76"/>
      <c r="F403" s="76"/>
      <c r="G403" s="76"/>
      <c r="H403" s="77"/>
      <c r="I403" s="384"/>
      <c r="J403" s="138"/>
      <c r="O403" s="271"/>
      <c r="U403" s="129"/>
      <c r="V403" s="120" t="str">
        <f t="shared" si="204"/>
        <v>MAM:8</v>
      </c>
    </row>
    <row r="404" spans="1:22" ht="12.75" hidden="1" customHeight="1" x14ac:dyDescent="0.25">
      <c r="A404" s="120">
        <f t="shared" si="205"/>
        <v>8</v>
      </c>
      <c r="B404" s="392">
        <v>43856</v>
      </c>
      <c r="C404" s="77" t="s">
        <v>55</v>
      </c>
      <c r="D404" s="231"/>
      <c r="E404" s="76"/>
      <c r="F404" s="76"/>
      <c r="G404" s="76"/>
      <c r="H404" s="77"/>
      <c r="J404" s="138"/>
      <c r="U404" s="129"/>
      <c r="V404" s="120" t="str">
        <f t="shared" si="204"/>
        <v>MAM:8</v>
      </c>
    </row>
    <row r="405" spans="1:22" ht="12.75" hidden="1" customHeight="1" x14ac:dyDescent="0.25">
      <c r="A405" s="123">
        <f t="shared" si="205"/>
        <v>8</v>
      </c>
      <c r="B405" s="394">
        <v>43863</v>
      </c>
      <c r="C405" s="79" t="s">
        <v>55</v>
      </c>
      <c r="D405" s="269"/>
      <c r="E405" s="78"/>
      <c r="F405" s="78"/>
      <c r="G405" s="78"/>
      <c r="H405" s="79"/>
      <c r="I405" s="328"/>
      <c r="J405" s="138"/>
      <c r="U405" s="129"/>
      <c r="V405" s="120" t="str">
        <f t="shared" si="204"/>
        <v>MAM:8</v>
      </c>
    </row>
    <row r="406" spans="1:22" ht="12.75" hidden="1" customHeight="1" x14ac:dyDescent="0.25">
      <c r="A406" s="267">
        <f t="shared" si="205"/>
        <v>9</v>
      </c>
      <c r="B406" s="393">
        <v>43870</v>
      </c>
      <c r="C406" s="75" t="s">
        <v>55</v>
      </c>
      <c r="D406" s="268"/>
      <c r="E406" s="74"/>
      <c r="F406" s="74"/>
      <c r="G406" s="74"/>
      <c r="H406" s="75"/>
      <c r="I406" s="328"/>
      <c r="J406" s="138"/>
      <c r="U406" s="129"/>
      <c r="V406" s="120" t="str">
        <f t="shared" si="204"/>
        <v>MAM:9</v>
      </c>
    </row>
    <row r="407" spans="1:22" ht="12.75" hidden="1" customHeight="1" x14ac:dyDescent="0.25">
      <c r="A407" s="120">
        <f t="shared" si="205"/>
        <v>9</v>
      </c>
      <c r="B407" s="392">
        <v>43877</v>
      </c>
      <c r="C407" s="77" t="s">
        <v>55</v>
      </c>
      <c r="D407" s="231"/>
      <c r="E407" s="76"/>
      <c r="F407" s="76"/>
      <c r="G407" s="76"/>
      <c r="H407" s="77"/>
      <c r="J407" s="138"/>
      <c r="U407" s="129"/>
      <c r="V407" s="120" t="str">
        <f t="shared" si="204"/>
        <v>MAM:9</v>
      </c>
    </row>
    <row r="408" spans="1:22" ht="12.75" hidden="1" customHeight="1" x14ac:dyDescent="0.25">
      <c r="A408" s="120">
        <f t="shared" si="205"/>
        <v>9</v>
      </c>
      <c r="B408" s="392">
        <v>43884</v>
      </c>
      <c r="C408" s="77" t="s">
        <v>55</v>
      </c>
      <c r="D408" s="231"/>
      <c r="E408" s="76"/>
      <c r="F408" s="76"/>
      <c r="G408" s="76"/>
      <c r="H408" s="77"/>
      <c r="J408" s="138"/>
      <c r="U408" s="129"/>
      <c r="V408" s="120" t="str">
        <f t="shared" si="204"/>
        <v>MAM:9</v>
      </c>
    </row>
    <row r="409" spans="1:22" ht="12.75" hidden="1" customHeight="1" x14ac:dyDescent="0.25">
      <c r="A409" s="123">
        <f t="shared" si="205"/>
        <v>9</v>
      </c>
      <c r="B409" s="394">
        <v>43891</v>
      </c>
      <c r="C409" s="79" t="s">
        <v>55</v>
      </c>
      <c r="D409" s="269"/>
      <c r="E409" s="78"/>
      <c r="F409" s="78"/>
      <c r="G409" s="78"/>
      <c r="H409" s="79"/>
      <c r="J409" s="138"/>
      <c r="U409" s="129"/>
      <c r="V409" s="120" t="str">
        <f t="shared" si="204"/>
        <v>MAM:9</v>
      </c>
    </row>
    <row r="410" spans="1:22" ht="12.75" hidden="1" customHeight="1" x14ac:dyDescent="0.25">
      <c r="A410" s="267">
        <f t="shared" si="205"/>
        <v>10</v>
      </c>
      <c r="B410" s="393">
        <v>43898</v>
      </c>
      <c r="C410" s="75" t="s">
        <v>55</v>
      </c>
      <c r="D410" s="268"/>
      <c r="E410" s="74"/>
      <c r="F410" s="74"/>
      <c r="G410" s="74"/>
      <c r="H410" s="75"/>
      <c r="J410" s="138"/>
      <c r="U410" s="129"/>
      <c r="V410" s="120" t="str">
        <f t="shared" si="204"/>
        <v>MAM:10</v>
      </c>
    </row>
    <row r="411" spans="1:22" ht="12.75" hidden="1" customHeight="1" x14ac:dyDescent="0.25">
      <c r="A411" s="120">
        <f t="shared" si="205"/>
        <v>10</v>
      </c>
      <c r="B411" s="392">
        <v>43905</v>
      </c>
      <c r="C411" s="77" t="s">
        <v>55</v>
      </c>
      <c r="D411" s="231"/>
      <c r="E411" s="76"/>
      <c r="F411" s="76"/>
      <c r="G411" s="76"/>
      <c r="H411" s="77"/>
      <c r="J411" s="138"/>
      <c r="U411" s="129"/>
      <c r="V411" s="120" t="str">
        <f t="shared" si="204"/>
        <v>MAM:10</v>
      </c>
    </row>
    <row r="412" spans="1:22" ht="12.75" hidden="1" customHeight="1" x14ac:dyDescent="0.25">
      <c r="A412" s="120">
        <f t="shared" si="205"/>
        <v>10</v>
      </c>
      <c r="B412" s="392">
        <v>43912</v>
      </c>
      <c r="C412" s="77" t="s">
        <v>55</v>
      </c>
      <c r="D412" s="231"/>
      <c r="E412" s="76"/>
      <c r="F412" s="76"/>
      <c r="G412" s="76"/>
      <c r="H412" s="77"/>
      <c r="J412" s="138"/>
      <c r="U412" s="129"/>
      <c r="V412" s="120" t="str">
        <f t="shared" si="204"/>
        <v>MAM:10</v>
      </c>
    </row>
    <row r="413" spans="1:22" ht="12.75" hidden="1" customHeight="1" x14ac:dyDescent="0.25">
      <c r="A413" s="123">
        <f t="shared" si="205"/>
        <v>10</v>
      </c>
      <c r="B413" s="394">
        <v>43919</v>
      </c>
      <c r="C413" s="79" t="s">
        <v>55</v>
      </c>
      <c r="D413" s="269"/>
      <c r="E413" s="78"/>
      <c r="F413" s="78"/>
      <c r="G413" s="78"/>
      <c r="H413" s="79"/>
      <c r="I413" s="328"/>
      <c r="J413" s="138"/>
      <c r="U413" s="129"/>
      <c r="V413" s="120" t="str">
        <f t="shared" si="204"/>
        <v>MAM:10</v>
      </c>
    </row>
    <row r="414" spans="1:22" ht="12.75" hidden="1" customHeight="1" x14ac:dyDescent="0.25">
      <c r="A414" s="267">
        <f t="shared" si="205"/>
        <v>11</v>
      </c>
      <c r="B414" s="393">
        <v>43926</v>
      </c>
      <c r="C414" s="75" t="s">
        <v>55</v>
      </c>
      <c r="D414" s="268"/>
      <c r="E414" s="74"/>
      <c r="F414" s="74"/>
      <c r="G414" s="74"/>
      <c r="H414" s="75"/>
      <c r="I414" s="328"/>
      <c r="J414" s="138"/>
      <c r="U414" s="129"/>
      <c r="V414" s="120" t="str">
        <f t="shared" si="204"/>
        <v>MAM:11</v>
      </c>
    </row>
    <row r="415" spans="1:22" ht="12.75" hidden="1" customHeight="1" x14ac:dyDescent="0.25">
      <c r="A415" s="120">
        <f t="shared" si="205"/>
        <v>11</v>
      </c>
      <c r="B415" s="392">
        <v>43933</v>
      </c>
      <c r="C415" s="77" t="s">
        <v>55</v>
      </c>
      <c r="D415" s="231"/>
      <c r="E415" s="76"/>
      <c r="F415" s="76"/>
      <c r="G415" s="76"/>
      <c r="H415" s="77"/>
      <c r="I415" s="328"/>
      <c r="J415" s="138"/>
      <c r="U415" s="129"/>
      <c r="V415" s="120" t="str">
        <f t="shared" si="204"/>
        <v>MAM:11</v>
      </c>
    </row>
    <row r="416" spans="1:22" ht="12.75" hidden="1" customHeight="1" x14ac:dyDescent="0.25">
      <c r="A416" s="120">
        <f t="shared" si="205"/>
        <v>11</v>
      </c>
      <c r="B416" s="392">
        <v>43940</v>
      </c>
      <c r="C416" s="77" t="s">
        <v>55</v>
      </c>
      <c r="D416" s="231"/>
      <c r="E416" s="76"/>
      <c r="F416" s="76"/>
      <c r="G416" s="76"/>
      <c r="H416" s="77"/>
      <c r="J416" s="138"/>
      <c r="U416" s="129"/>
      <c r="V416" s="120" t="str">
        <f t="shared" si="204"/>
        <v>MAM:11</v>
      </c>
    </row>
    <row r="417" spans="1:22" ht="12.75" hidden="1" customHeight="1" x14ac:dyDescent="0.25">
      <c r="A417" s="123">
        <f t="shared" si="205"/>
        <v>11</v>
      </c>
      <c r="B417" s="394">
        <v>43947</v>
      </c>
      <c r="C417" s="79" t="s">
        <v>55</v>
      </c>
      <c r="D417" s="269"/>
      <c r="E417" s="78"/>
      <c r="F417" s="78"/>
      <c r="G417" s="78"/>
      <c r="H417" s="79"/>
      <c r="J417" s="138"/>
      <c r="U417" s="129"/>
      <c r="V417" s="120" t="str">
        <f t="shared" si="204"/>
        <v>MAM:11</v>
      </c>
    </row>
    <row r="418" spans="1:22" ht="12.75" hidden="1" customHeight="1" x14ac:dyDescent="0.25">
      <c r="A418" s="267">
        <f t="shared" si="205"/>
        <v>11</v>
      </c>
      <c r="B418" s="393">
        <v>43954</v>
      </c>
      <c r="C418" s="75" t="s">
        <v>55</v>
      </c>
      <c r="D418" s="268"/>
      <c r="E418" s="74"/>
      <c r="F418" s="74"/>
      <c r="G418" s="74"/>
      <c r="H418" s="75"/>
      <c r="I418" s="328"/>
      <c r="J418" s="138"/>
      <c r="U418" s="129"/>
      <c r="V418" s="120" t="str">
        <f t="shared" ref="V418:V441" si="206">C418 &amp;":"&amp; A418</f>
        <v>MAM:11</v>
      </c>
    </row>
    <row r="419" spans="1:22" ht="12.75" hidden="1" customHeight="1" x14ac:dyDescent="0.25">
      <c r="A419" s="120">
        <f t="shared" si="205"/>
        <v>12</v>
      </c>
      <c r="B419" s="392">
        <v>43961</v>
      </c>
      <c r="C419" s="77" t="s">
        <v>55</v>
      </c>
      <c r="D419" s="231"/>
      <c r="E419" s="76"/>
      <c r="F419" s="76"/>
      <c r="G419" s="76"/>
      <c r="H419" s="77"/>
      <c r="J419" s="138"/>
      <c r="U419" s="129"/>
      <c r="V419" s="120" t="str">
        <f t="shared" si="206"/>
        <v>MAM:12</v>
      </c>
    </row>
    <row r="420" spans="1:22" ht="12.75" hidden="1" customHeight="1" x14ac:dyDescent="0.25">
      <c r="A420" s="120">
        <f t="shared" si="205"/>
        <v>12</v>
      </c>
      <c r="B420" s="392">
        <v>43968</v>
      </c>
      <c r="C420" s="77" t="s">
        <v>55</v>
      </c>
      <c r="D420" s="231"/>
      <c r="E420" s="76"/>
      <c r="F420" s="76"/>
      <c r="G420" s="76"/>
      <c r="H420" s="77"/>
      <c r="J420" s="138"/>
      <c r="L420" s="22"/>
      <c r="U420" s="129"/>
      <c r="V420" s="120" t="str">
        <f t="shared" si="206"/>
        <v>MAM:12</v>
      </c>
    </row>
    <row r="421" spans="1:22" ht="12.75" hidden="1" customHeight="1" x14ac:dyDescent="0.25">
      <c r="A421" s="120">
        <f t="shared" si="205"/>
        <v>12</v>
      </c>
      <c r="B421" s="392">
        <v>43975</v>
      </c>
      <c r="C421" s="77" t="s">
        <v>55</v>
      </c>
      <c r="D421" s="231"/>
      <c r="E421" s="76"/>
      <c r="F421" s="76"/>
      <c r="G421" s="76"/>
      <c r="H421" s="77"/>
      <c r="J421" s="138"/>
      <c r="U421" s="129"/>
      <c r="V421" s="120" t="str">
        <f t="shared" si="206"/>
        <v>MAM:12</v>
      </c>
    </row>
    <row r="422" spans="1:22" ht="12.75" hidden="1" customHeight="1" x14ac:dyDescent="0.25">
      <c r="A422" s="123">
        <f t="shared" si="205"/>
        <v>12</v>
      </c>
      <c r="B422" s="394">
        <v>43982</v>
      </c>
      <c r="C422" s="79" t="s">
        <v>55</v>
      </c>
      <c r="D422" s="269"/>
      <c r="E422" s="78"/>
      <c r="F422" s="78"/>
      <c r="G422" s="78"/>
      <c r="H422" s="79"/>
      <c r="J422" s="138"/>
      <c r="L422" s="22"/>
      <c r="U422" s="129"/>
      <c r="V422" s="120" t="str">
        <f t="shared" si="206"/>
        <v>MAM:12</v>
      </c>
    </row>
    <row r="423" spans="1:22" ht="12.75" hidden="1" customHeight="1" x14ac:dyDescent="0.25">
      <c r="A423" s="120">
        <v>1</v>
      </c>
      <c r="B423" s="392">
        <v>43625</v>
      </c>
      <c r="C423" s="77" t="s">
        <v>57</v>
      </c>
      <c r="D423" s="231"/>
      <c r="E423" s="76">
        <v>5</v>
      </c>
      <c r="F423" s="76"/>
      <c r="G423" s="76"/>
      <c r="H423" s="77">
        <v>551011</v>
      </c>
      <c r="I423" t="s">
        <v>689</v>
      </c>
      <c r="J423" s="138"/>
      <c r="U423" s="129"/>
      <c r="V423" s="120" t="str">
        <f t="shared" si="206"/>
        <v>CRP:1</v>
      </c>
    </row>
    <row r="424" spans="1:22" ht="12.75" hidden="1" customHeight="1" x14ac:dyDescent="0.25">
      <c r="A424" s="120">
        <f t="shared" ref="A424:A454" si="207">GETPAYMONTH(DATE(YEAR(B424),MONTH(B424-4)+1,1))</f>
        <v>1</v>
      </c>
      <c r="B424" s="392">
        <v>43632</v>
      </c>
      <c r="C424" s="77" t="s">
        <v>57</v>
      </c>
      <c r="D424" s="231"/>
      <c r="E424" s="76">
        <v>6</v>
      </c>
      <c r="F424" s="76"/>
      <c r="G424" s="76"/>
      <c r="H424" s="77">
        <v>551012</v>
      </c>
      <c r="I424" t="s">
        <v>690</v>
      </c>
      <c r="J424" s="138"/>
      <c r="K424" s="22"/>
      <c r="U424" s="129"/>
      <c r="V424" s="120" t="str">
        <f t="shared" si="206"/>
        <v>CRP:1</v>
      </c>
    </row>
    <row r="425" spans="1:22" ht="12.75" hidden="1" customHeight="1" x14ac:dyDescent="0.25">
      <c r="A425" s="120">
        <f t="shared" si="207"/>
        <v>1</v>
      </c>
      <c r="B425" s="392">
        <v>43639</v>
      </c>
      <c r="C425" s="77" t="s">
        <v>57</v>
      </c>
      <c r="D425" s="231"/>
      <c r="E425" s="76">
        <v>5</v>
      </c>
      <c r="F425" s="76"/>
      <c r="G425" s="76"/>
      <c r="H425" s="77">
        <v>551012</v>
      </c>
      <c r="J425" s="138"/>
      <c r="U425" s="129"/>
      <c r="V425" s="120" t="str">
        <f t="shared" si="206"/>
        <v>CRP:1</v>
      </c>
    </row>
    <row r="426" spans="1:22" ht="12.75" hidden="1" customHeight="1" x14ac:dyDescent="0.25">
      <c r="A426" s="120">
        <f t="shared" si="207"/>
        <v>1</v>
      </c>
      <c r="B426" s="392">
        <v>43646</v>
      </c>
      <c r="C426" s="77" t="s">
        <v>57</v>
      </c>
      <c r="D426" s="231"/>
      <c r="E426" s="76">
        <v>5</v>
      </c>
      <c r="F426" s="76"/>
      <c r="G426" s="76"/>
      <c r="H426" s="77">
        <v>551013</v>
      </c>
      <c r="J426" s="138"/>
      <c r="U426" s="129"/>
      <c r="V426" s="120" t="str">
        <f t="shared" si="206"/>
        <v>CRP:1</v>
      </c>
    </row>
    <row r="427" spans="1:22" ht="12.75" hidden="1" customHeight="1" x14ac:dyDescent="0.25">
      <c r="A427" s="123">
        <f t="shared" si="207"/>
        <v>1</v>
      </c>
      <c r="B427" s="394">
        <v>43646</v>
      </c>
      <c r="C427" s="79" t="s">
        <v>58</v>
      </c>
      <c r="D427" s="269"/>
      <c r="E427" s="316">
        <f>SUM(E423:E426)</f>
        <v>21</v>
      </c>
      <c r="F427" s="316"/>
      <c r="G427" s="316"/>
      <c r="H427" s="315"/>
      <c r="J427" s="138"/>
      <c r="V427" s="120" t="str">
        <f t="shared" si="206"/>
        <v>SM:1</v>
      </c>
    </row>
    <row r="428" spans="1:22" ht="12.75" hidden="1" customHeight="1" x14ac:dyDescent="0.25">
      <c r="A428" s="120">
        <f t="shared" si="207"/>
        <v>2</v>
      </c>
      <c r="B428" s="392">
        <v>43653</v>
      </c>
      <c r="C428" s="77" t="s">
        <v>57</v>
      </c>
      <c r="D428" s="231"/>
      <c r="E428" s="74">
        <v>4</v>
      </c>
      <c r="F428" s="74"/>
      <c r="G428" s="74"/>
      <c r="H428" s="75">
        <v>551013</v>
      </c>
      <c r="I428" s="383" t="s">
        <v>696</v>
      </c>
      <c r="J428" s="138"/>
      <c r="V428" s="120" t="str">
        <f t="shared" si="206"/>
        <v>CRP:2</v>
      </c>
    </row>
    <row r="429" spans="1:22" ht="12.75" hidden="1" customHeight="1" x14ac:dyDescent="0.25">
      <c r="A429" s="120">
        <f t="shared" si="207"/>
        <v>2</v>
      </c>
      <c r="B429" s="392">
        <v>43660</v>
      </c>
      <c r="C429" s="77" t="s">
        <v>57</v>
      </c>
      <c r="D429" s="231"/>
      <c r="E429" s="76">
        <v>6</v>
      </c>
      <c r="F429" s="76"/>
      <c r="G429" s="76"/>
      <c r="H429" s="77">
        <v>551014</v>
      </c>
      <c r="I429" t="s">
        <v>690</v>
      </c>
      <c r="J429" s="138"/>
      <c r="V429" s="120" t="str">
        <f t="shared" si="206"/>
        <v>CRP:2</v>
      </c>
    </row>
    <row r="430" spans="1:22" ht="12.75" hidden="1" customHeight="1" x14ac:dyDescent="0.25">
      <c r="A430" s="120">
        <f t="shared" si="207"/>
        <v>2</v>
      </c>
      <c r="B430" s="392">
        <v>43667</v>
      </c>
      <c r="C430" s="77" t="s">
        <v>57</v>
      </c>
      <c r="D430" s="231"/>
      <c r="E430" s="76">
        <v>7</v>
      </c>
      <c r="F430" s="76"/>
      <c r="G430" s="76"/>
      <c r="H430" s="77">
        <v>551014</v>
      </c>
      <c r="J430" s="138"/>
      <c r="U430" s="129"/>
      <c r="V430" s="120" t="str">
        <f t="shared" si="206"/>
        <v>CRP:2</v>
      </c>
    </row>
    <row r="431" spans="1:22" ht="12.75" hidden="1" customHeight="1" x14ac:dyDescent="0.25">
      <c r="A431" s="120">
        <f t="shared" si="207"/>
        <v>2</v>
      </c>
      <c r="B431" s="392">
        <v>43674</v>
      </c>
      <c r="C431" s="77" t="s">
        <v>57</v>
      </c>
      <c r="D431" s="231"/>
      <c r="E431" s="78">
        <v>6.5</v>
      </c>
      <c r="F431" s="78"/>
      <c r="G431" s="78"/>
      <c r="H431" s="79">
        <v>551015</v>
      </c>
      <c r="I431" t="s">
        <v>810</v>
      </c>
      <c r="J431" s="138"/>
      <c r="V431" s="120" t="str">
        <f t="shared" si="206"/>
        <v>CRP:2</v>
      </c>
    </row>
    <row r="432" spans="1:22" ht="12.75" hidden="1" customHeight="1" x14ac:dyDescent="0.25">
      <c r="A432" s="123">
        <f t="shared" si="207"/>
        <v>2</v>
      </c>
      <c r="B432" s="394">
        <v>43674</v>
      </c>
      <c r="C432" s="79" t="s">
        <v>58</v>
      </c>
      <c r="D432" s="269"/>
      <c r="E432" s="78">
        <f>SUM(E428:E431)</f>
        <v>23.5</v>
      </c>
      <c r="F432" s="78"/>
      <c r="G432" s="78"/>
      <c r="H432" s="79"/>
      <c r="J432" s="138"/>
      <c r="V432" s="120" t="str">
        <f t="shared" si="206"/>
        <v>SM:2</v>
      </c>
    </row>
    <row r="433" spans="1:22" ht="12.75" hidden="1" customHeight="1" x14ac:dyDescent="0.25">
      <c r="A433" s="120">
        <f t="shared" ref="A433" si="208">GETPAYMONTH(DATE(YEAR(B433),MONTH(B433-4)+1,1))</f>
        <v>2</v>
      </c>
      <c r="B433" s="392">
        <v>43681</v>
      </c>
      <c r="C433" s="77" t="s">
        <v>57</v>
      </c>
      <c r="D433" s="231"/>
      <c r="E433" s="74">
        <v>6.5</v>
      </c>
      <c r="F433" s="74"/>
      <c r="G433" s="74"/>
      <c r="H433" s="75">
        <v>551015</v>
      </c>
      <c r="I433" t="s">
        <v>811</v>
      </c>
      <c r="J433" s="138"/>
      <c r="V433" s="120" t="str">
        <f t="shared" ref="V433" si="209">C433 &amp;":"&amp; A433</f>
        <v>CRP:2</v>
      </c>
    </row>
    <row r="434" spans="1:22" ht="12.75" hidden="1" customHeight="1" x14ac:dyDescent="0.25">
      <c r="A434" s="120">
        <f t="shared" si="207"/>
        <v>3</v>
      </c>
      <c r="B434" s="392">
        <v>43688</v>
      </c>
      <c r="C434" s="77" t="s">
        <v>57</v>
      </c>
      <c r="D434" s="231"/>
      <c r="E434" s="76">
        <v>7</v>
      </c>
      <c r="F434" s="76"/>
      <c r="G434" s="76"/>
      <c r="H434" s="77">
        <v>551016</v>
      </c>
      <c r="J434" s="138"/>
      <c r="U434" s="129"/>
      <c r="V434" s="120" t="str">
        <f t="shared" si="206"/>
        <v>CRP:3</v>
      </c>
    </row>
    <row r="435" spans="1:22" ht="12.75" hidden="1" customHeight="1" x14ac:dyDescent="0.25">
      <c r="A435" s="120">
        <f t="shared" si="207"/>
        <v>3</v>
      </c>
      <c r="B435" s="392">
        <v>43695</v>
      </c>
      <c r="C435" s="77" t="s">
        <v>57</v>
      </c>
      <c r="D435" s="231"/>
      <c r="E435" s="76">
        <v>5</v>
      </c>
      <c r="F435" s="76"/>
      <c r="G435" s="76"/>
      <c r="H435" s="77">
        <v>551016</v>
      </c>
      <c r="J435" s="138"/>
      <c r="V435" s="120" t="str">
        <f t="shared" si="206"/>
        <v>CRP:3</v>
      </c>
    </row>
    <row r="436" spans="1:22" ht="12.75" hidden="1" customHeight="1" x14ac:dyDescent="0.25">
      <c r="A436" s="120">
        <f t="shared" si="207"/>
        <v>3</v>
      </c>
      <c r="B436" s="392">
        <v>43702</v>
      </c>
      <c r="C436" s="77" t="s">
        <v>57</v>
      </c>
      <c r="D436" s="231"/>
      <c r="E436" s="76">
        <v>7</v>
      </c>
      <c r="F436" s="76"/>
      <c r="G436" s="76"/>
      <c r="H436" s="77">
        <v>551017</v>
      </c>
      <c r="J436" s="138"/>
      <c r="V436" s="120" t="str">
        <f t="shared" si="206"/>
        <v>CRP:3</v>
      </c>
    </row>
    <row r="437" spans="1:22" ht="12.75" hidden="1" customHeight="1" x14ac:dyDescent="0.25">
      <c r="A437" s="120">
        <f t="shared" si="207"/>
        <v>3</v>
      </c>
      <c r="B437" s="392">
        <v>43709</v>
      </c>
      <c r="C437" s="77" t="s">
        <v>57</v>
      </c>
      <c r="D437" s="231"/>
      <c r="E437" s="78">
        <v>7</v>
      </c>
      <c r="F437" s="78"/>
      <c r="G437" s="78"/>
      <c r="H437" s="79">
        <v>551017</v>
      </c>
      <c r="J437" s="138"/>
      <c r="U437" s="129"/>
      <c r="V437" s="120" t="str">
        <f t="shared" si="206"/>
        <v>CRP:3</v>
      </c>
    </row>
    <row r="438" spans="1:22" ht="12.75" hidden="1" customHeight="1" x14ac:dyDescent="0.25">
      <c r="A438" s="123">
        <f t="shared" si="207"/>
        <v>3</v>
      </c>
      <c r="B438" s="394">
        <v>43709</v>
      </c>
      <c r="C438" s="79" t="s">
        <v>58</v>
      </c>
      <c r="D438" s="269"/>
      <c r="E438" s="78">
        <f>SUM(E433:E437)</f>
        <v>32.5</v>
      </c>
      <c r="F438" s="78"/>
      <c r="G438" s="78"/>
      <c r="H438" s="79"/>
      <c r="J438" s="138"/>
      <c r="V438" s="120" t="str">
        <f t="shared" si="206"/>
        <v>SM:3</v>
      </c>
    </row>
    <row r="439" spans="1:22" ht="12.75" hidden="1" customHeight="1" x14ac:dyDescent="0.25">
      <c r="A439" s="120">
        <f t="shared" si="207"/>
        <v>4</v>
      </c>
      <c r="B439" s="392">
        <v>43716</v>
      </c>
      <c r="C439" s="77" t="s">
        <v>57</v>
      </c>
      <c r="D439" s="231"/>
      <c r="E439" s="76"/>
      <c r="F439" s="76"/>
      <c r="G439" s="76"/>
      <c r="H439" s="77"/>
      <c r="J439" s="138"/>
      <c r="V439" s="120" t="str">
        <f t="shared" si="206"/>
        <v>CRP:4</v>
      </c>
    </row>
    <row r="440" spans="1:22" ht="12.75" hidden="1" customHeight="1" x14ac:dyDescent="0.25">
      <c r="A440" s="120">
        <f t="shared" si="207"/>
        <v>4</v>
      </c>
      <c r="B440" s="392">
        <v>43723</v>
      </c>
      <c r="C440" s="77" t="s">
        <v>57</v>
      </c>
      <c r="D440" s="231"/>
      <c r="E440" s="76"/>
      <c r="F440" s="76"/>
      <c r="G440" s="76"/>
      <c r="H440" s="77"/>
      <c r="J440" s="138"/>
      <c r="V440" s="120" t="str">
        <f t="shared" si="206"/>
        <v>CRP:4</v>
      </c>
    </row>
    <row r="441" spans="1:22" ht="12.75" hidden="1" customHeight="1" x14ac:dyDescent="0.25">
      <c r="A441" s="120">
        <f t="shared" si="207"/>
        <v>4</v>
      </c>
      <c r="B441" s="392">
        <v>43730</v>
      </c>
      <c r="C441" s="77" t="s">
        <v>57</v>
      </c>
      <c r="D441" s="231"/>
      <c r="E441" s="76"/>
      <c r="F441" s="76"/>
      <c r="G441" s="76"/>
      <c r="H441" s="77"/>
      <c r="J441" s="138"/>
      <c r="U441" s="129"/>
      <c r="V441" s="120" t="str">
        <f t="shared" si="206"/>
        <v>CRP:4</v>
      </c>
    </row>
    <row r="442" spans="1:22" ht="12.75" hidden="1" customHeight="1" x14ac:dyDescent="0.25">
      <c r="A442" s="120">
        <f t="shared" si="207"/>
        <v>4</v>
      </c>
      <c r="B442" s="392">
        <v>43737</v>
      </c>
      <c r="C442" s="77" t="s">
        <v>57</v>
      </c>
      <c r="D442" s="231"/>
      <c r="E442" s="78"/>
      <c r="F442" s="78"/>
      <c r="G442" s="78"/>
      <c r="H442" s="79"/>
      <c r="J442" s="138"/>
      <c r="V442" s="120" t="str">
        <f t="shared" ref="V442:V464" si="210">C442 &amp;":"&amp; A442</f>
        <v>CRP:4</v>
      </c>
    </row>
    <row r="443" spans="1:22" ht="12.75" hidden="1" customHeight="1" x14ac:dyDescent="0.25">
      <c r="A443" s="123">
        <f t="shared" si="207"/>
        <v>4</v>
      </c>
      <c r="B443" s="394">
        <v>43737</v>
      </c>
      <c r="C443" s="79" t="s">
        <v>58</v>
      </c>
      <c r="D443" s="269"/>
      <c r="E443" s="78">
        <f>SUM(E439:E442)</f>
        <v>0</v>
      </c>
      <c r="F443" s="78"/>
      <c r="G443" s="78"/>
      <c r="H443" s="79"/>
      <c r="J443" s="138"/>
      <c r="V443" s="120" t="str">
        <f t="shared" si="210"/>
        <v>SM:4</v>
      </c>
    </row>
    <row r="444" spans="1:22" ht="12.75" hidden="1" customHeight="1" x14ac:dyDescent="0.25">
      <c r="A444" s="120">
        <f t="shared" si="207"/>
        <v>5</v>
      </c>
      <c r="B444" s="392">
        <v>43744</v>
      </c>
      <c r="C444" s="77" t="s">
        <v>57</v>
      </c>
      <c r="D444" s="231"/>
      <c r="E444" s="74"/>
      <c r="F444" s="74"/>
      <c r="G444" s="74"/>
      <c r="H444" s="75"/>
      <c r="I444" s="328"/>
      <c r="J444" s="138"/>
      <c r="V444" s="120" t="str">
        <f t="shared" si="210"/>
        <v>CRP:5</v>
      </c>
    </row>
    <row r="445" spans="1:22" ht="12.75" hidden="1" customHeight="1" x14ac:dyDescent="0.25">
      <c r="A445" s="120">
        <f t="shared" si="207"/>
        <v>5</v>
      </c>
      <c r="B445" s="392">
        <v>43751</v>
      </c>
      <c r="C445" s="77" t="s">
        <v>57</v>
      </c>
      <c r="D445" s="231"/>
      <c r="E445" s="76"/>
      <c r="F445" s="76"/>
      <c r="G445" s="76"/>
      <c r="H445" s="77"/>
      <c r="J445" s="138"/>
      <c r="U445" s="129"/>
      <c r="V445" s="120" t="str">
        <f t="shared" si="210"/>
        <v>CRP:5</v>
      </c>
    </row>
    <row r="446" spans="1:22" ht="12.75" hidden="1" customHeight="1" x14ac:dyDescent="0.25">
      <c r="A446" s="120">
        <f t="shared" si="207"/>
        <v>5</v>
      </c>
      <c r="B446" s="392">
        <v>43758</v>
      </c>
      <c r="C446" s="77" t="s">
        <v>57</v>
      </c>
      <c r="D446" s="231"/>
      <c r="E446" s="76"/>
      <c r="F446" s="76"/>
      <c r="G446" s="76"/>
      <c r="H446" s="77"/>
      <c r="J446" s="138"/>
      <c r="V446" s="120" t="str">
        <f t="shared" si="210"/>
        <v>CRP:5</v>
      </c>
    </row>
    <row r="447" spans="1:22" ht="12.75" hidden="1" customHeight="1" x14ac:dyDescent="0.25">
      <c r="A447" s="120">
        <f t="shared" si="207"/>
        <v>5</v>
      </c>
      <c r="B447" s="392">
        <v>43765</v>
      </c>
      <c r="C447" s="77" t="s">
        <v>57</v>
      </c>
      <c r="D447" s="231"/>
      <c r="E447" s="76"/>
      <c r="F447" s="76"/>
      <c r="G447" s="76"/>
      <c r="H447" s="77"/>
      <c r="J447" s="138"/>
      <c r="V447" s="120" t="str">
        <f t="shared" si="210"/>
        <v>CRP:5</v>
      </c>
    </row>
    <row r="448" spans="1:22" ht="12.75" hidden="1" customHeight="1" x14ac:dyDescent="0.25">
      <c r="A448" s="120">
        <f t="shared" si="207"/>
        <v>5</v>
      </c>
      <c r="B448" s="392">
        <v>43772</v>
      </c>
      <c r="C448" s="77" t="s">
        <v>57</v>
      </c>
      <c r="D448" s="231"/>
      <c r="E448" s="78"/>
      <c r="F448" s="78"/>
      <c r="G448" s="78"/>
      <c r="H448" s="79"/>
      <c r="J448" s="138"/>
      <c r="V448" s="120" t="str">
        <f>C448 &amp;":"&amp; A448</f>
        <v>CRP:5</v>
      </c>
    </row>
    <row r="449" spans="1:22" ht="12.75" hidden="1" customHeight="1" x14ac:dyDescent="0.25">
      <c r="A449" s="123">
        <f t="shared" si="207"/>
        <v>5</v>
      </c>
      <c r="B449" s="394">
        <v>43765</v>
      </c>
      <c r="C449" s="79" t="s">
        <v>58</v>
      </c>
      <c r="D449" s="269"/>
      <c r="E449" s="316">
        <f>SUM(E444:E448)</f>
        <v>0</v>
      </c>
      <c r="F449" s="316"/>
      <c r="G449" s="316"/>
      <c r="H449" s="315"/>
      <c r="J449" s="138"/>
      <c r="V449" s="120" t="str">
        <f t="shared" si="210"/>
        <v>SM:5</v>
      </c>
    </row>
    <row r="450" spans="1:22" ht="12.75" hidden="1" customHeight="1" x14ac:dyDescent="0.25">
      <c r="A450" s="120">
        <f t="shared" si="207"/>
        <v>6</v>
      </c>
      <c r="B450" s="392">
        <v>43779</v>
      </c>
      <c r="C450" s="77" t="s">
        <v>57</v>
      </c>
      <c r="D450" s="231"/>
      <c r="E450" s="76"/>
      <c r="F450" s="76"/>
      <c r="G450" s="76"/>
      <c r="H450" s="77"/>
      <c r="J450" s="138"/>
      <c r="U450" s="129"/>
      <c r="V450" s="120" t="str">
        <f t="shared" si="210"/>
        <v>CRP:6</v>
      </c>
    </row>
    <row r="451" spans="1:22" ht="12.75" hidden="1" customHeight="1" x14ac:dyDescent="0.25">
      <c r="A451" s="120">
        <f t="shared" si="207"/>
        <v>6</v>
      </c>
      <c r="B451" s="392">
        <v>43786</v>
      </c>
      <c r="C451" s="77" t="s">
        <v>57</v>
      </c>
      <c r="D451" s="231"/>
      <c r="E451" s="76"/>
      <c r="F451" s="76"/>
      <c r="G451" s="76"/>
      <c r="H451" s="77"/>
      <c r="I451" s="383"/>
      <c r="J451" s="138"/>
      <c r="V451" s="120" t="str">
        <f t="shared" si="210"/>
        <v>CRP:6</v>
      </c>
    </row>
    <row r="452" spans="1:22" ht="12.75" hidden="1" customHeight="1" x14ac:dyDescent="0.25">
      <c r="A452" s="120">
        <f t="shared" si="207"/>
        <v>6</v>
      </c>
      <c r="B452" s="392">
        <v>43793</v>
      </c>
      <c r="C452" s="77" t="s">
        <v>57</v>
      </c>
      <c r="D452" s="231"/>
      <c r="E452" s="76"/>
      <c r="F452" s="76"/>
      <c r="G452" s="76"/>
      <c r="H452" s="77"/>
      <c r="J452" s="138"/>
      <c r="V452" s="120" t="str">
        <f t="shared" si="210"/>
        <v>CRP:6</v>
      </c>
    </row>
    <row r="453" spans="1:22" ht="12.75" hidden="1" customHeight="1" x14ac:dyDescent="0.25">
      <c r="A453" s="120">
        <f>GETPAYMONTH(DATE(YEAR(B453),MONTH(B453-4)+1,1))</f>
        <v>6</v>
      </c>
      <c r="B453" s="392">
        <v>43800</v>
      </c>
      <c r="C453" s="77" t="s">
        <v>57</v>
      </c>
      <c r="D453" s="231"/>
      <c r="E453" s="78"/>
      <c r="F453" s="78"/>
      <c r="G453" s="78"/>
      <c r="H453" s="79"/>
      <c r="J453" s="138"/>
      <c r="V453" s="120" t="str">
        <f>C453 &amp;":"&amp; A453</f>
        <v>CRP:6</v>
      </c>
    </row>
    <row r="454" spans="1:22" ht="12.75" hidden="1" customHeight="1" x14ac:dyDescent="0.25">
      <c r="A454" s="123">
        <f t="shared" si="207"/>
        <v>6</v>
      </c>
      <c r="B454" s="394">
        <v>43800</v>
      </c>
      <c r="C454" s="79" t="s">
        <v>58</v>
      </c>
      <c r="D454" s="269"/>
      <c r="E454" s="316">
        <f>SUM(E450:E453)</f>
        <v>0</v>
      </c>
      <c r="F454" s="316"/>
      <c r="G454" s="316"/>
      <c r="H454" s="315"/>
      <c r="J454" s="138"/>
      <c r="U454" s="129"/>
      <c r="V454" s="120" t="str">
        <f t="shared" si="210"/>
        <v>SM:6</v>
      </c>
    </row>
    <row r="455" spans="1:22" ht="12.75" hidden="1" customHeight="1" x14ac:dyDescent="0.25">
      <c r="A455" s="120">
        <f t="shared" ref="A455:A508" si="211">GETPAYMONTH(DATE(YEAR(B455),MONTH(B455-4)+1,1))</f>
        <v>7</v>
      </c>
      <c r="B455" s="392">
        <v>43807</v>
      </c>
      <c r="C455" s="77" t="s">
        <v>57</v>
      </c>
      <c r="D455" s="231"/>
      <c r="E455" s="76"/>
      <c r="F455" s="76"/>
      <c r="G455" s="76"/>
      <c r="H455" s="77"/>
      <c r="J455" s="138"/>
      <c r="V455" s="120" t="str">
        <f t="shared" si="210"/>
        <v>CRP:7</v>
      </c>
    </row>
    <row r="456" spans="1:22" ht="12.75" hidden="1" customHeight="1" x14ac:dyDescent="0.25">
      <c r="A456" s="120">
        <f t="shared" si="211"/>
        <v>7</v>
      </c>
      <c r="B456" s="392">
        <v>43814</v>
      </c>
      <c r="C456" s="77" t="s">
        <v>57</v>
      </c>
      <c r="D456" s="231"/>
      <c r="E456" s="76"/>
      <c r="F456" s="76"/>
      <c r="G456" s="76"/>
      <c r="H456" s="77"/>
      <c r="J456" s="138"/>
      <c r="V456" s="120" t="str">
        <f t="shared" si="210"/>
        <v>CRP:7</v>
      </c>
    </row>
    <row r="457" spans="1:22" ht="12.75" hidden="1" customHeight="1" x14ac:dyDescent="0.25">
      <c r="A457" s="120">
        <f t="shared" si="211"/>
        <v>7</v>
      </c>
      <c r="B457" s="392">
        <v>43821</v>
      </c>
      <c r="C457" s="77" t="s">
        <v>57</v>
      </c>
      <c r="D457" s="231"/>
      <c r="E457" s="76"/>
      <c r="F457" s="76"/>
      <c r="G457" s="76"/>
      <c r="H457" s="77"/>
      <c r="J457" s="138"/>
      <c r="V457" s="120" t="str">
        <f t="shared" si="210"/>
        <v>CRP:7</v>
      </c>
    </row>
    <row r="458" spans="1:22" ht="12.75" hidden="1" customHeight="1" x14ac:dyDescent="0.25">
      <c r="A458" s="120">
        <f t="shared" si="211"/>
        <v>7</v>
      </c>
      <c r="B458" s="392">
        <v>43828</v>
      </c>
      <c r="C458" s="77" t="s">
        <v>57</v>
      </c>
      <c r="D458" s="231"/>
      <c r="E458" s="78"/>
      <c r="F458" s="78"/>
      <c r="G458" s="78"/>
      <c r="H458" s="79"/>
      <c r="I458" s="328"/>
      <c r="J458" s="138"/>
      <c r="V458" s="120" t="str">
        <f t="shared" si="210"/>
        <v>CRP:7</v>
      </c>
    </row>
    <row r="459" spans="1:22" ht="12.75" hidden="1" customHeight="1" x14ac:dyDescent="0.25">
      <c r="A459" s="123">
        <f t="shared" si="211"/>
        <v>7</v>
      </c>
      <c r="B459" s="394">
        <v>43828</v>
      </c>
      <c r="C459" s="79" t="s">
        <v>58</v>
      </c>
      <c r="D459" s="269"/>
      <c r="E459" s="78">
        <f>SUM(E455:E458)</f>
        <v>0</v>
      </c>
      <c r="F459" s="78"/>
      <c r="G459" s="78"/>
      <c r="H459" s="79"/>
      <c r="J459" s="138"/>
      <c r="V459" s="120" t="str">
        <f t="shared" si="210"/>
        <v>SM:7</v>
      </c>
    </row>
    <row r="460" spans="1:22" ht="12.75" hidden="1" customHeight="1" x14ac:dyDescent="0.25">
      <c r="A460" s="120">
        <f t="shared" si="211"/>
        <v>8</v>
      </c>
      <c r="B460" s="392">
        <v>43836</v>
      </c>
      <c r="C460" s="77" t="s">
        <v>57</v>
      </c>
      <c r="D460" s="231"/>
      <c r="E460" s="74"/>
      <c r="F460" s="74"/>
      <c r="G460" s="74"/>
      <c r="H460" s="75"/>
      <c r="I460" s="328"/>
      <c r="J460" s="138"/>
      <c r="V460" s="120" t="str">
        <f t="shared" si="210"/>
        <v>CRP:8</v>
      </c>
    </row>
    <row r="461" spans="1:22" ht="12.75" hidden="1" customHeight="1" x14ac:dyDescent="0.25">
      <c r="A461" s="120">
        <f t="shared" ref="A461" si="212">GETPAYMONTH(DATE(YEAR(B461),MONTH(B461-4)+1,1))</f>
        <v>8</v>
      </c>
      <c r="B461" s="392">
        <v>43842</v>
      </c>
      <c r="C461" s="77" t="s">
        <v>57</v>
      </c>
      <c r="D461" s="231"/>
      <c r="E461" s="76"/>
      <c r="F461" s="76"/>
      <c r="G461" s="76"/>
      <c r="H461" s="77"/>
      <c r="J461" s="138"/>
      <c r="V461" s="120" t="str">
        <f t="shared" ref="V461" si="213">C461 &amp;":"&amp; A461</f>
        <v>CRP:8</v>
      </c>
    </row>
    <row r="462" spans="1:22" ht="12.75" hidden="1" customHeight="1" x14ac:dyDescent="0.25">
      <c r="A462" s="120">
        <f t="shared" si="211"/>
        <v>8</v>
      </c>
      <c r="B462" s="392">
        <v>43842</v>
      </c>
      <c r="C462" s="77" t="s">
        <v>57</v>
      </c>
      <c r="D462" s="231"/>
      <c r="E462" s="76"/>
      <c r="F462" s="76"/>
      <c r="G462" s="76"/>
      <c r="H462" s="77"/>
      <c r="I462" s="384"/>
      <c r="J462" s="138"/>
      <c r="V462" s="120" t="str">
        <f t="shared" si="210"/>
        <v>CRP:8</v>
      </c>
    </row>
    <row r="463" spans="1:22" ht="12.75" hidden="1" customHeight="1" x14ac:dyDescent="0.25">
      <c r="A463" s="120">
        <f t="shared" si="211"/>
        <v>8</v>
      </c>
      <c r="B463" s="392">
        <v>43849</v>
      </c>
      <c r="C463" s="77" t="s">
        <v>57</v>
      </c>
      <c r="D463" s="231"/>
      <c r="E463" s="76"/>
      <c r="F463" s="76"/>
      <c r="G463" s="76"/>
      <c r="H463" s="77"/>
      <c r="I463" s="384"/>
      <c r="J463" s="138"/>
      <c r="V463" s="120" t="str">
        <f t="shared" si="210"/>
        <v>CRP:8</v>
      </c>
    </row>
    <row r="464" spans="1:22" ht="12.75" hidden="1" customHeight="1" x14ac:dyDescent="0.25">
      <c r="A464" s="120">
        <f t="shared" si="211"/>
        <v>8</v>
      </c>
      <c r="B464" s="392">
        <v>43856</v>
      </c>
      <c r="C464" s="77" t="s">
        <v>57</v>
      </c>
      <c r="D464" s="231"/>
      <c r="E464" s="76"/>
      <c r="F464" s="76"/>
      <c r="G464" s="76"/>
      <c r="H464" s="77"/>
      <c r="I464" s="22"/>
      <c r="J464" s="138"/>
      <c r="V464" s="120" t="str">
        <f t="shared" si="210"/>
        <v>CRP:8</v>
      </c>
    </row>
    <row r="465" spans="1:22" ht="12.75" hidden="1" customHeight="1" x14ac:dyDescent="0.25">
      <c r="A465" s="120">
        <f>GETPAYMONTH(DATE(YEAR(B465),MONTH(B465-4)+1,1))</f>
        <v>8</v>
      </c>
      <c r="B465" s="392">
        <v>43863</v>
      </c>
      <c r="C465" s="77" t="s">
        <v>57</v>
      </c>
      <c r="D465" s="238"/>
      <c r="E465" s="78"/>
      <c r="F465" s="78"/>
      <c r="G465" s="78"/>
      <c r="H465" s="79"/>
      <c r="J465" s="138"/>
      <c r="V465" s="120" t="str">
        <f>C465 &amp;":"&amp; A465</f>
        <v>CRP:8</v>
      </c>
    </row>
    <row r="466" spans="1:22" ht="12.75" hidden="1" customHeight="1" x14ac:dyDescent="0.25">
      <c r="A466" s="123">
        <f>GETPAYMONTH(DATE(YEAR(B466),MONTH(B466-4)+1,1))</f>
        <v>8</v>
      </c>
      <c r="B466" s="394">
        <v>43863</v>
      </c>
      <c r="C466" s="79" t="s">
        <v>58</v>
      </c>
      <c r="D466" s="269"/>
      <c r="E466" s="78">
        <f>SUM(E460:E465)</f>
        <v>0</v>
      </c>
      <c r="F466" s="78"/>
      <c r="G466" s="78"/>
      <c r="H466" s="79"/>
      <c r="J466" s="138"/>
      <c r="V466" s="120" t="str">
        <f t="shared" ref="V466:V470" si="214">C466 &amp;":"&amp; A466</f>
        <v>SM:8</v>
      </c>
    </row>
    <row r="467" spans="1:22" ht="12.75" hidden="1" customHeight="1" x14ac:dyDescent="0.25">
      <c r="A467" s="120">
        <f t="shared" si="211"/>
        <v>9</v>
      </c>
      <c r="B467" s="392">
        <v>43870</v>
      </c>
      <c r="C467" s="77" t="s">
        <v>57</v>
      </c>
      <c r="D467" s="238"/>
      <c r="E467" s="76"/>
      <c r="F467" s="76"/>
      <c r="G467" s="76"/>
      <c r="H467" s="77"/>
      <c r="J467" s="138"/>
      <c r="V467" s="120" t="str">
        <f t="shared" si="214"/>
        <v>CRP:9</v>
      </c>
    </row>
    <row r="468" spans="1:22" ht="12.75" hidden="1" customHeight="1" x14ac:dyDescent="0.25">
      <c r="A468" s="120">
        <f t="shared" ref="A468" si="215">GETPAYMONTH(DATE(YEAR(B468),MONTH(B468-4)+1,1))</f>
        <v>9</v>
      </c>
      <c r="B468" s="392">
        <v>43877</v>
      </c>
      <c r="C468" s="77" t="s">
        <v>57</v>
      </c>
      <c r="D468" s="238"/>
      <c r="E468" s="76"/>
      <c r="F468" s="76"/>
      <c r="G468" s="76"/>
      <c r="H468" s="77"/>
      <c r="J468" s="138"/>
      <c r="V468" s="120" t="str">
        <f t="shared" si="214"/>
        <v>CRP:9</v>
      </c>
    </row>
    <row r="469" spans="1:22" ht="12.75" hidden="1" customHeight="1" x14ac:dyDescent="0.25">
      <c r="A469" s="120">
        <f t="shared" si="211"/>
        <v>9</v>
      </c>
      <c r="B469" s="392">
        <v>43884</v>
      </c>
      <c r="C469" s="77" t="s">
        <v>57</v>
      </c>
      <c r="D469" s="238"/>
      <c r="E469" s="76"/>
      <c r="F469" s="76"/>
      <c r="G469" s="76"/>
      <c r="H469" s="77"/>
      <c r="J469" s="138"/>
      <c r="V469" s="120" t="str">
        <f t="shared" si="214"/>
        <v>CRP:9</v>
      </c>
    </row>
    <row r="470" spans="1:22" ht="12.75" hidden="1" customHeight="1" x14ac:dyDescent="0.25">
      <c r="A470" s="120">
        <f t="shared" si="211"/>
        <v>9</v>
      </c>
      <c r="B470" s="392">
        <v>43891</v>
      </c>
      <c r="C470" s="77" t="s">
        <v>57</v>
      </c>
      <c r="D470" s="238"/>
      <c r="E470" s="78"/>
      <c r="F470" s="78"/>
      <c r="G470" s="78"/>
      <c r="H470" s="79"/>
      <c r="J470" s="138"/>
      <c r="V470" s="120" t="str">
        <f t="shared" si="214"/>
        <v>CRP:9</v>
      </c>
    </row>
    <row r="471" spans="1:22" ht="12.75" hidden="1" customHeight="1" x14ac:dyDescent="0.25">
      <c r="A471" s="123">
        <f t="shared" si="211"/>
        <v>9</v>
      </c>
      <c r="B471" s="394">
        <v>43891</v>
      </c>
      <c r="C471" s="79" t="s">
        <v>58</v>
      </c>
      <c r="D471" s="269"/>
      <c r="E471" s="78">
        <f>SUM(E467:E470)</f>
        <v>0</v>
      </c>
      <c r="F471" s="78"/>
      <c r="G471" s="78"/>
      <c r="H471" s="79"/>
      <c r="J471" s="138"/>
      <c r="V471" s="120" t="str">
        <f t="shared" ref="V471:V673" si="216">C471 &amp;":"&amp; A471</f>
        <v>SM:9</v>
      </c>
    </row>
    <row r="472" spans="1:22" ht="12.75" hidden="1" customHeight="1" x14ac:dyDescent="0.25">
      <c r="A472" s="120">
        <f t="shared" si="211"/>
        <v>10</v>
      </c>
      <c r="B472" s="392">
        <v>43898</v>
      </c>
      <c r="C472" s="77" t="s">
        <v>57</v>
      </c>
      <c r="D472" s="238"/>
      <c r="E472" s="74"/>
      <c r="F472" s="74"/>
      <c r="G472" s="74"/>
      <c r="H472" s="75"/>
      <c r="J472" s="138"/>
      <c r="V472" s="120" t="str">
        <f t="shared" si="216"/>
        <v>CRP:10</v>
      </c>
    </row>
    <row r="473" spans="1:22" ht="12.75" hidden="1" customHeight="1" x14ac:dyDescent="0.25">
      <c r="A473" s="120">
        <f t="shared" si="211"/>
        <v>10</v>
      </c>
      <c r="B473" s="392">
        <v>43905</v>
      </c>
      <c r="C473" s="77" t="s">
        <v>57</v>
      </c>
      <c r="D473" s="231"/>
      <c r="E473" s="76"/>
      <c r="F473" s="76"/>
      <c r="G473" s="76"/>
      <c r="H473" s="77"/>
      <c r="J473" s="138"/>
      <c r="K473" s="62"/>
      <c r="V473" s="120" t="str">
        <f t="shared" si="216"/>
        <v>CRP:10</v>
      </c>
    </row>
    <row r="474" spans="1:22" ht="12.75" hidden="1" customHeight="1" x14ac:dyDescent="0.25">
      <c r="A474" s="120">
        <f t="shared" si="211"/>
        <v>10</v>
      </c>
      <c r="B474" s="392">
        <v>43912</v>
      </c>
      <c r="C474" s="77" t="s">
        <v>57</v>
      </c>
      <c r="D474" s="231"/>
      <c r="E474" s="76"/>
      <c r="F474" s="76"/>
      <c r="G474" s="76"/>
      <c r="H474" s="77"/>
      <c r="J474" s="138"/>
      <c r="V474" s="120" t="str">
        <f t="shared" si="216"/>
        <v>CRP:10</v>
      </c>
    </row>
    <row r="475" spans="1:22" ht="12.75" hidden="1" customHeight="1" x14ac:dyDescent="0.25">
      <c r="A475" s="120">
        <f t="shared" ref="A475" si="217">GETPAYMONTH(DATE(YEAR(B475),MONTH(B475-4)+1,1))</f>
        <v>10</v>
      </c>
      <c r="B475" s="392">
        <v>43919</v>
      </c>
      <c r="C475" s="77" t="s">
        <v>57</v>
      </c>
      <c r="D475" s="231"/>
      <c r="E475" s="78"/>
      <c r="F475" s="78"/>
      <c r="G475" s="78"/>
      <c r="H475" s="79"/>
      <c r="J475" s="138"/>
      <c r="V475" s="120" t="str">
        <f t="shared" si="216"/>
        <v>CRP:10</v>
      </c>
    </row>
    <row r="476" spans="1:22" ht="12.75" hidden="1" customHeight="1" x14ac:dyDescent="0.25">
      <c r="A476" s="123">
        <f>GETPAYMONTH(DATE(YEAR(B476),MONTH(B476-4)+1,1))</f>
        <v>10</v>
      </c>
      <c r="B476" s="394">
        <v>43919</v>
      </c>
      <c r="C476" s="79" t="s">
        <v>58</v>
      </c>
      <c r="D476" s="269"/>
      <c r="E476" s="78">
        <f>SUM(E472:E475)</f>
        <v>0</v>
      </c>
      <c r="F476" s="78"/>
      <c r="G476" s="78"/>
      <c r="H476" s="79"/>
      <c r="J476" s="138"/>
      <c r="V476" s="120" t="str">
        <f>C476 &amp;":"&amp; A476</f>
        <v>SM:10</v>
      </c>
    </row>
    <row r="477" spans="1:22" ht="12.75" hidden="1" customHeight="1" x14ac:dyDescent="0.25">
      <c r="A477" s="120">
        <f t="shared" si="211"/>
        <v>11</v>
      </c>
      <c r="B477" s="392">
        <v>43926</v>
      </c>
      <c r="C477" s="77" t="s">
        <v>57</v>
      </c>
      <c r="D477" s="231"/>
      <c r="E477" s="76"/>
      <c r="F477" s="76"/>
      <c r="G477" s="76"/>
      <c r="H477" s="77"/>
      <c r="J477" s="138"/>
      <c r="V477" s="120" t="str">
        <f t="shared" si="216"/>
        <v>CRP:11</v>
      </c>
    </row>
    <row r="478" spans="1:22" ht="12.75" hidden="1" customHeight="1" x14ac:dyDescent="0.25">
      <c r="A478" s="120">
        <f t="shared" ref="A478" si="218">GETPAYMONTH(DATE(YEAR(B478),MONTH(B478-4)+1,1))</f>
        <v>11</v>
      </c>
      <c r="B478" s="392">
        <v>43933</v>
      </c>
      <c r="C478" s="77" t="s">
        <v>57</v>
      </c>
      <c r="D478" s="231"/>
      <c r="E478" s="76"/>
      <c r="F478" s="76"/>
      <c r="G478" s="76"/>
      <c r="H478" s="77"/>
      <c r="J478" s="138"/>
      <c r="V478" s="120" t="str">
        <f t="shared" ref="V478" si="219">C478 &amp;":"&amp; A478</f>
        <v>CRP:11</v>
      </c>
    </row>
    <row r="479" spans="1:22" ht="12.75" hidden="1" customHeight="1" x14ac:dyDescent="0.25">
      <c r="A479" s="120">
        <f t="shared" si="211"/>
        <v>11</v>
      </c>
      <c r="B479" s="392">
        <v>43940</v>
      </c>
      <c r="C479" s="77" t="s">
        <v>57</v>
      </c>
      <c r="D479" s="231"/>
      <c r="E479" s="76"/>
      <c r="F479" s="76"/>
      <c r="G479" s="76"/>
      <c r="H479" s="77"/>
      <c r="J479" s="138"/>
      <c r="V479" s="120" t="str">
        <f t="shared" si="216"/>
        <v>CRP:11</v>
      </c>
    </row>
    <row r="480" spans="1:22" ht="12.75" hidden="1" customHeight="1" x14ac:dyDescent="0.25">
      <c r="A480" s="120">
        <f t="shared" si="211"/>
        <v>11</v>
      </c>
      <c r="B480" s="392">
        <v>43947</v>
      </c>
      <c r="C480" s="77" t="s">
        <v>57</v>
      </c>
      <c r="D480" s="231"/>
      <c r="E480" s="78"/>
      <c r="F480" s="78"/>
      <c r="G480" s="78"/>
      <c r="H480" s="79"/>
      <c r="J480" s="138"/>
      <c r="V480" s="120" t="str">
        <f t="shared" si="216"/>
        <v>CRP:11</v>
      </c>
    </row>
    <row r="481" spans="1:22" ht="12.75" hidden="1" customHeight="1" x14ac:dyDescent="0.25">
      <c r="A481" s="123">
        <f t="shared" si="211"/>
        <v>11</v>
      </c>
      <c r="B481" s="394">
        <v>43947</v>
      </c>
      <c r="C481" s="79" t="s">
        <v>58</v>
      </c>
      <c r="D481" s="269"/>
      <c r="E481" s="78">
        <f>SUM(E477:E480)</f>
        <v>0</v>
      </c>
      <c r="F481" s="78"/>
      <c r="G481" s="78"/>
      <c r="H481" s="79"/>
      <c r="J481" s="138"/>
      <c r="V481" s="120" t="str">
        <f t="shared" si="216"/>
        <v>SM:11</v>
      </c>
    </row>
    <row r="482" spans="1:22" ht="12.75" hidden="1" customHeight="1" x14ac:dyDescent="0.25">
      <c r="A482" s="120">
        <f t="shared" si="211"/>
        <v>11</v>
      </c>
      <c r="B482" s="392">
        <v>43954</v>
      </c>
      <c r="C482" s="77" t="s">
        <v>57</v>
      </c>
      <c r="D482" s="231"/>
      <c r="E482" s="74"/>
      <c r="F482" s="74"/>
      <c r="G482" s="74"/>
      <c r="H482" s="75"/>
      <c r="J482" s="138"/>
      <c r="K482" s="253"/>
      <c r="V482" s="120" t="str">
        <f t="shared" si="216"/>
        <v>CRP:11</v>
      </c>
    </row>
    <row r="483" spans="1:22" ht="12.75" hidden="1" customHeight="1" x14ac:dyDescent="0.25">
      <c r="A483" s="120">
        <f t="shared" si="211"/>
        <v>12</v>
      </c>
      <c r="B483" s="392">
        <v>43961</v>
      </c>
      <c r="C483" s="77" t="s">
        <v>57</v>
      </c>
      <c r="D483" s="231"/>
      <c r="E483" s="76"/>
      <c r="F483" s="76"/>
      <c r="G483" s="76"/>
      <c r="H483" s="77"/>
      <c r="J483" s="138"/>
      <c r="K483" s="253"/>
      <c r="V483" s="120" t="str">
        <f t="shared" si="216"/>
        <v>CRP:12</v>
      </c>
    </row>
    <row r="484" spans="1:22" ht="12.75" hidden="1" customHeight="1" x14ac:dyDescent="0.25">
      <c r="A484" s="120">
        <f t="shared" si="211"/>
        <v>12</v>
      </c>
      <c r="B484" s="392">
        <v>43968</v>
      </c>
      <c r="C484" s="77" t="s">
        <v>57</v>
      </c>
      <c r="D484" s="231"/>
      <c r="E484" s="76"/>
      <c r="F484" s="76"/>
      <c r="G484" s="76"/>
      <c r="H484" s="77"/>
      <c r="J484" s="138"/>
      <c r="K484" s="353"/>
      <c r="L484" s="161"/>
      <c r="M484" s="161"/>
      <c r="V484" s="120" t="str">
        <f t="shared" si="216"/>
        <v>CRP:12</v>
      </c>
    </row>
    <row r="485" spans="1:22" ht="12.75" hidden="1" customHeight="1" x14ac:dyDescent="0.25">
      <c r="A485" s="120">
        <f t="shared" si="211"/>
        <v>12</v>
      </c>
      <c r="B485" s="392">
        <v>43975</v>
      </c>
      <c r="C485" s="77" t="s">
        <v>57</v>
      </c>
      <c r="D485" s="231"/>
      <c r="E485" s="76"/>
      <c r="F485" s="76"/>
      <c r="G485" s="76"/>
      <c r="H485" s="77"/>
      <c r="J485" s="138"/>
      <c r="K485" s="253"/>
      <c r="V485" s="120" t="str">
        <f t="shared" si="216"/>
        <v>CRP:12</v>
      </c>
    </row>
    <row r="486" spans="1:22" ht="12.75" hidden="1" customHeight="1" x14ac:dyDescent="0.25">
      <c r="A486" s="120">
        <f t="shared" si="211"/>
        <v>12</v>
      </c>
      <c r="B486" s="392">
        <v>43982</v>
      </c>
      <c r="C486" s="77" t="s">
        <v>57</v>
      </c>
      <c r="D486" s="231"/>
      <c r="E486" s="78"/>
      <c r="F486" s="78"/>
      <c r="G486" s="78"/>
      <c r="H486" s="79"/>
      <c r="J486" s="138"/>
      <c r="K486" s="253"/>
      <c r="V486" s="120" t="str">
        <f t="shared" si="216"/>
        <v>CRP:12</v>
      </c>
    </row>
    <row r="487" spans="1:22" ht="12.75" hidden="1" customHeight="1" x14ac:dyDescent="0.25">
      <c r="A487" s="123">
        <f t="shared" si="211"/>
        <v>12</v>
      </c>
      <c r="B487" s="394">
        <v>43982</v>
      </c>
      <c r="C487" s="79" t="s">
        <v>58</v>
      </c>
      <c r="D487" s="269"/>
      <c r="E487" s="78">
        <f>SUM(E482:E486)</f>
        <v>0</v>
      </c>
      <c r="F487" s="78"/>
      <c r="G487" s="78"/>
      <c r="H487" s="79"/>
      <c r="J487" s="138"/>
      <c r="K487" s="253"/>
      <c r="V487" s="120" t="str">
        <f t="shared" si="216"/>
        <v>SM:12</v>
      </c>
    </row>
    <row r="488" spans="1:22" ht="12.75" customHeight="1" x14ac:dyDescent="0.25">
      <c r="A488" s="120">
        <v>1</v>
      </c>
      <c r="B488" s="392">
        <v>43625</v>
      </c>
      <c r="C488" s="77" t="s">
        <v>657</v>
      </c>
      <c r="D488" s="231">
        <v>43640</v>
      </c>
      <c r="E488" s="76">
        <v>5</v>
      </c>
      <c r="F488" s="76"/>
      <c r="G488" s="76"/>
      <c r="H488" s="77">
        <v>590143</v>
      </c>
      <c r="J488" s="138"/>
      <c r="U488" s="129"/>
      <c r="V488" s="120" t="str">
        <f t="shared" si="216"/>
        <v>VAK:1</v>
      </c>
    </row>
    <row r="489" spans="1:22" ht="12.75" customHeight="1" x14ac:dyDescent="0.25">
      <c r="A489" s="120">
        <f t="shared" ref="A489:A497" si="220">GETPAYMONTH(DATE(YEAR(B489),MONTH(B489-4)+1,1))</f>
        <v>1</v>
      </c>
      <c r="B489" s="392">
        <v>43632</v>
      </c>
      <c r="C489" s="77" t="s">
        <v>657</v>
      </c>
      <c r="D489" s="231">
        <v>43647</v>
      </c>
      <c r="E489" s="76">
        <v>5.5</v>
      </c>
      <c r="F489" s="76"/>
      <c r="G489" s="76"/>
      <c r="H489" s="77">
        <v>590144</v>
      </c>
      <c r="J489" s="138"/>
      <c r="K489" s="22"/>
      <c r="U489" s="129"/>
      <c r="V489" s="120" t="str">
        <f t="shared" si="216"/>
        <v>VAK:1</v>
      </c>
    </row>
    <row r="490" spans="1:22" ht="12.75" customHeight="1" x14ac:dyDescent="0.25">
      <c r="A490" s="120">
        <f t="shared" si="220"/>
        <v>1</v>
      </c>
      <c r="B490" s="392">
        <v>43639</v>
      </c>
      <c r="C490" s="77" t="s">
        <v>657</v>
      </c>
      <c r="D490" s="231">
        <v>43654</v>
      </c>
      <c r="E490" s="76">
        <v>5</v>
      </c>
      <c r="F490" s="76"/>
      <c r="G490" s="76"/>
      <c r="H490" s="77">
        <v>590145</v>
      </c>
      <c r="J490" s="138"/>
      <c r="U490" s="129"/>
      <c r="V490" s="120" t="str">
        <f t="shared" si="216"/>
        <v>VAK:1</v>
      </c>
    </row>
    <row r="491" spans="1:22" ht="12.75" customHeight="1" x14ac:dyDescent="0.25">
      <c r="A491" s="120">
        <f t="shared" si="220"/>
        <v>1</v>
      </c>
      <c r="B491" s="392">
        <v>43646</v>
      </c>
      <c r="C491" s="77" t="s">
        <v>657</v>
      </c>
      <c r="D491" s="231">
        <v>43661</v>
      </c>
      <c r="E491" s="76">
        <v>5</v>
      </c>
      <c r="F491" s="76"/>
      <c r="G491" s="76"/>
      <c r="H491" s="77">
        <v>590146</v>
      </c>
      <c r="J491" s="138"/>
      <c r="U491" s="129"/>
      <c r="V491" s="120" t="str">
        <f t="shared" si="216"/>
        <v>VAK:1</v>
      </c>
    </row>
    <row r="492" spans="1:22" ht="12.75" hidden="1" customHeight="1" x14ac:dyDescent="0.25">
      <c r="A492" s="123">
        <f t="shared" si="220"/>
        <v>1</v>
      </c>
      <c r="B492" s="394">
        <v>43646</v>
      </c>
      <c r="C492" s="79" t="s">
        <v>658</v>
      </c>
      <c r="D492" s="269"/>
      <c r="E492" s="316">
        <f>SUM(E488:E491)</f>
        <v>20.5</v>
      </c>
      <c r="F492" s="316"/>
      <c r="G492" s="316"/>
      <c r="H492" s="315"/>
      <c r="J492" s="138"/>
      <c r="V492" s="120" t="str">
        <f t="shared" si="216"/>
        <v>ASW:1</v>
      </c>
    </row>
    <row r="493" spans="1:22" ht="12.75" customHeight="1" x14ac:dyDescent="0.25">
      <c r="A493" s="120">
        <f t="shared" si="220"/>
        <v>2</v>
      </c>
      <c r="B493" s="392">
        <v>43653</v>
      </c>
      <c r="C493" s="77" t="s">
        <v>657</v>
      </c>
      <c r="D493" s="231">
        <v>43668</v>
      </c>
      <c r="E493" s="74">
        <v>5</v>
      </c>
      <c r="F493" s="74"/>
      <c r="G493" s="74"/>
      <c r="H493" s="75">
        <v>590247</v>
      </c>
      <c r="J493" s="138"/>
      <c r="V493" s="120" t="str">
        <f t="shared" si="216"/>
        <v>VAK:2</v>
      </c>
    </row>
    <row r="494" spans="1:22" ht="12.75" customHeight="1" x14ac:dyDescent="0.25">
      <c r="A494" s="120">
        <f t="shared" si="220"/>
        <v>2</v>
      </c>
      <c r="B494" s="392">
        <v>43660</v>
      </c>
      <c r="C494" s="77" t="s">
        <v>657</v>
      </c>
      <c r="D494" s="231">
        <v>43675</v>
      </c>
      <c r="E494" s="76">
        <v>5</v>
      </c>
      <c r="F494" s="76"/>
      <c r="G494" s="76"/>
      <c r="H494" s="77">
        <v>590248</v>
      </c>
      <c r="J494" s="138"/>
      <c r="V494" s="120" t="str">
        <f t="shared" si="216"/>
        <v>VAK:2</v>
      </c>
    </row>
    <row r="495" spans="1:22" ht="12.75" customHeight="1" x14ac:dyDescent="0.25">
      <c r="A495" s="120">
        <f t="shared" si="220"/>
        <v>2</v>
      </c>
      <c r="B495" s="392">
        <v>43667</v>
      </c>
      <c r="C495" s="77" t="s">
        <v>657</v>
      </c>
      <c r="D495" s="231">
        <v>43682</v>
      </c>
      <c r="E495" s="76">
        <v>5</v>
      </c>
      <c r="F495" s="76"/>
      <c r="G495" s="76"/>
      <c r="H495" s="77">
        <v>590249</v>
      </c>
      <c r="J495" s="138"/>
      <c r="U495" s="129"/>
      <c r="V495" s="120" t="str">
        <f t="shared" si="216"/>
        <v>VAK:2</v>
      </c>
    </row>
    <row r="496" spans="1:22" ht="12.75" customHeight="1" x14ac:dyDescent="0.25">
      <c r="A496" s="120">
        <f t="shared" si="220"/>
        <v>2</v>
      </c>
      <c r="B496" s="392">
        <v>43674</v>
      </c>
      <c r="C496" s="77" t="s">
        <v>657</v>
      </c>
      <c r="D496" s="231">
        <v>43689</v>
      </c>
      <c r="E496" s="78">
        <v>5</v>
      </c>
      <c r="F496" s="78"/>
      <c r="G496" s="78"/>
      <c r="H496" s="79">
        <v>590250</v>
      </c>
      <c r="J496" s="138"/>
      <c r="V496" s="120" t="str">
        <f t="shared" si="216"/>
        <v>VAK:2</v>
      </c>
    </row>
    <row r="497" spans="1:22" ht="12.75" hidden="1" customHeight="1" x14ac:dyDescent="0.25">
      <c r="A497" s="123">
        <f t="shared" si="220"/>
        <v>2</v>
      </c>
      <c r="B497" s="394">
        <v>43674</v>
      </c>
      <c r="C497" s="79" t="s">
        <v>658</v>
      </c>
      <c r="D497" s="269"/>
      <c r="E497" s="78">
        <f>SUM(E493:E496)</f>
        <v>20</v>
      </c>
      <c r="F497" s="78"/>
      <c r="G497" s="78"/>
      <c r="H497" s="79"/>
      <c r="J497" s="138"/>
      <c r="V497" s="120" t="str">
        <f t="shared" si="216"/>
        <v>ASW:2</v>
      </c>
    </row>
    <row r="498" spans="1:22" ht="12.75" customHeight="1" x14ac:dyDescent="0.25">
      <c r="A498" s="120">
        <f t="shared" si="211"/>
        <v>2</v>
      </c>
      <c r="B498" s="392">
        <v>43681</v>
      </c>
      <c r="C498" s="77" t="s">
        <v>657</v>
      </c>
      <c r="D498" s="231">
        <v>43696</v>
      </c>
      <c r="E498" s="74">
        <v>5</v>
      </c>
      <c r="F498" s="74"/>
      <c r="G498" s="74"/>
      <c r="H498" s="75">
        <v>590251</v>
      </c>
      <c r="J498" s="138"/>
      <c r="V498" s="120" t="str">
        <f t="shared" si="216"/>
        <v>VAK:2</v>
      </c>
    </row>
    <row r="499" spans="1:22" ht="12.75" customHeight="1" x14ac:dyDescent="0.25">
      <c r="A499" s="120">
        <f t="shared" si="211"/>
        <v>3</v>
      </c>
      <c r="B499" s="392">
        <v>43688</v>
      </c>
      <c r="C499" s="77" t="s">
        <v>657</v>
      </c>
      <c r="D499" s="231">
        <v>43703</v>
      </c>
      <c r="E499" s="76">
        <v>5</v>
      </c>
      <c r="F499" s="76"/>
      <c r="G499" s="76"/>
      <c r="H499" s="77">
        <v>590252</v>
      </c>
      <c r="I499" s="328"/>
      <c r="J499" s="138"/>
      <c r="U499" s="129"/>
      <c r="V499" s="120" t="str">
        <f t="shared" si="216"/>
        <v>VAK:3</v>
      </c>
    </row>
    <row r="500" spans="1:22" ht="12.75" customHeight="1" x14ac:dyDescent="0.25">
      <c r="A500" s="120">
        <f t="shared" si="211"/>
        <v>3</v>
      </c>
      <c r="B500" s="392">
        <v>43695</v>
      </c>
      <c r="C500" s="77" t="s">
        <v>657</v>
      </c>
      <c r="D500" s="231">
        <v>43710</v>
      </c>
      <c r="E500" s="76">
        <v>5</v>
      </c>
      <c r="F500" s="76"/>
      <c r="G500" s="76"/>
      <c r="H500" s="77">
        <v>590253</v>
      </c>
      <c r="I500" s="328"/>
      <c r="J500" s="138"/>
      <c r="V500" s="120" t="str">
        <f t="shared" si="216"/>
        <v>VAK:3</v>
      </c>
    </row>
    <row r="501" spans="1:22" ht="12.75" customHeight="1" x14ac:dyDescent="0.25">
      <c r="A501" s="120">
        <f t="shared" si="211"/>
        <v>3</v>
      </c>
      <c r="B501" s="392">
        <v>43702</v>
      </c>
      <c r="C501" s="77" t="s">
        <v>657</v>
      </c>
      <c r="D501" s="231"/>
      <c r="E501" s="76">
        <v>5</v>
      </c>
      <c r="F501" s="76"/>
      <c r="G501" s="76"/>
      <c r="H501" s="77">
        <v>590254</v>
      </c>
      <c r="J501" s="138"/>
      <c r="V501" s="120" t="str">
        <f t="shared" si="216"/>
        <v>VAK:3</v>
      </c>
    </row>
    <row r="502" spans="1:22" ht="12.75" customHeight="1" x14ac:dyDescent="0.25">
      <c r="A502" s="120">
        <f t="shared" si="211"/>
        <v>3</v>
      </c>
      <c r="B502" s="392">
        <v>43709</v>
      </c>
      <c r="C502" s="77" t="s">
        <v>657</v>
      </c>
      <c r="D502" s="231"/>
      <c r="E502" s="78"/>
      <c r="F502" s="78"/>
      <c r="G502" s="78"/>
      <c r="H502" s="79"/>
      <c r="J502" s="138"/>
      <c r="U502" s="129"/>
      <c r="V502" s="120" t="str">
        <f t="shared" si="216"/>
        <v>VAK:3</v>
      </c>
    </row>
    <row r="503" spans="1:22" ht="12.75" hidden="1" customHeight="1" x14ac:dyDescent="0.25">
      <c r="A503" s="123">
        <f t="shared" si="211"/>
        <v>3</v>
      </c>
      <c r="B503" s="394">
        <v>43709</v>
      </c>
      <c r="C503" s="79" t="s">
        <v>658</v>
      </c>
      <c r="D503" s="269"/>
      <c r="E503" s="78">
        <f>SUM(E498:E502)</f>
        <v>20</v>
      </c>
      <c r="F503" s="78"/>
      <c r="G503" s="78"/>
      <c r="H503" s="79"/>
      <c r="J503" s="138"/>
      <c r="V503" s="120" t="str">
        <f t="shared" si="216"/>
        <v>ASW:3</v>
      </c>
    </row>
    <row r="504" spans="1:22" ht="12.75" customHeight="1" x14ac:dyDescent="0.25">
      <c r="A504" s="120">
        <f t="shared" si="211"/>
        <v>4</v>
      </c>
      <c r="B504" s="392">
        <v>43716</v>
      </c>
      <c r="C504" s="77" t="s">
        <v>657</v>
      </c>
      <c r="D504" s="231"/>
      <c r="E504" s="76"/>
      <c r="F504" s="76"/>
      <c r="G504" s="76"/>
      <c r="H504" s="77"/>
      <c r="J504" s="138"/>
      <c r="V504" s="120" t="str">
        <f t="shared" si="216"/>
        <v>VAK:4</v>
      </c>
    </row>
    <row r="505" spans="1:22" ht="12.75" customHeight="1" x14ac:dyDescent="0.25">
      <c r="A505" s="120">
        <f t="shared" si="211"/>
        <v>4</v>
      </c>
      <c r="B505" s="392">
        <v>43723</v>
      </c>
      <c r="C505" s="77" t="s">
        <v>657</v>
      </c>
      <c r="D505" s="231"/>
      <c r="E505" s="76"/>
      <c r="F505" s="76"/>
      <c r="G505" s="76"/>
      <c r="H505" s="77"/>
      <c r="J505" s="138"/>
      <c r="V505" s="120" t="str">
        <f t="shared" si="216"/>
        <v>VAK:4</v>
      </c>
    </row>
    <row r="506" spans="1:22" ht="12.75" customHeight="1" x14ac:dyDescent="0.25">
      <c r="A506" s="120">
        <f t="shared" si="211"/>
        <v>4</v>
      </c>
      <c r="B506" s="392">
        <v>43730</v>
      </c>
      <c r="C506" s="77" t="s">
        <v>657</v>
      </c>
      <c r="D506" s="231"/>
      <c r="E506" s="76"/>
      <c r="F506" s="76"/>
      <c r="G506" s="76"/>
      <c r="H506" s="77"/>
      <c r="J506" s="138"/>
      <c r="U506" s="129"/>
      <c r="V506" s="120" t="str">
        <f t="shared" si="216"/>
        <v>VAK:4</v>
      </c>
    </row>
    <row r="507" spans="1:22" ht="12.75" customHeight="1" x14ac:dyDescent="0.25">
      <c r="A507" s="120">
        <f t="shared" si="211"/>
        <v>4</v>
      </c>
      <c r="B507" s="392">
        <v>43737</v>
      </c>
      <c r="C507" s="77" t="s">
        <v>657</v>
      </c>
      <c r="D507" s="231"/>
      <c r="E507" s="78"/>
      <c r="F507" s="78"/>
      <c r="G507" s="78"/>
      <c r="H507" s="79"/>
      <c r="J507" s="138"/>
      <c r="V507" s="120" t="str">
        <f t="shared" si="216"/>
        <v>VAK:4</v>
      </c>
    </row>
    <row r="508" spans="1:22" ht="12.75" hidden="1" customHeight="1" x14ac:dyDescent="0.25">
      <c r="A508" s="123">
        <f t="shared" si="211"/>
        <v>4</v>
      </c>
      <c r="B508" s="394">
        <v>43737</v>
      </c>
      <c r="C508" s="79" t="s">
        <v>658</v>
      </c>
      <c r="D508" s="269"/>
      <c r="E508" s="78">
        <f>SUM(E504:E507)</f>
        <v>0</v>
      </c>
      <c r="F508" s="78"/>
      <c r="G508" s="78"/>
      <c r="H508" s="79"/>
      <c r="J508" s="138"/>
      <c r="V508" s="120" t="str">
        <f t="shared" si="216"/>
        <v>ASW:4</v>
      </c>
    </row>
    <row r="509" spans="1:22" ht="12.75" customHeight="1" x14ac:dyDescent="0.25">
      <c r="A509" s="120">
        <f t="shared" ref="A509:A517" si="221">GETPAYMONTH(DATE(YEAR(B509),MONTH(B509-4)+1,1))</f>
        <v>5</v>
      </c>
      <c r="B509" s="392">
        <v>43744</v>
      </c>
      <c r="C509" s="77" t="s">
        <v>657</v>
      </c>
      <c r="D509" s="231"/>
      <c r="E509" s="74"/>
      <c r="F509" s="74"/>
      <c r="G509" s="74"/>
      <c r="H509" s="75"/>
      <c r="J509" s="138"/>
      <c r="V509" s="120" t="str">
        <f t="shared" ref="V509:V517" si="222">C509 &amp;":"&amp; A509</f>
        <v>VAK:5</v>
      </c>
    </row>
    <row r="510" spans="1:22" ht="12.75" customHeight="1" x14ac:dyDescent="0.25">
      <c r="A510" s="120">
        <f t="shared" si="221"/>
        <v>5</v>
      </c>
      <c r="B510" s="392">
        <v>43751</v>
      </c>
      <c r="C510" s="77" t="s">
        <v>657</v>
      </c>
      <c r="D510" s="231"/>
      <c r="E510" s="76"/>
      <c r="F510" s="76"/>
      <c r="G510" s="76"/>
      <c r="H510" s="77"/>
      <c r="J510" s="138"/>
      <c r="U510" s="129"/>
      <c r="V510" s="120" t="str">
        <f t="shared" si="222"/>
        <v>VAK:5</v>
      </c>
    </row>
    <row r="511" spans="1:22" ht="12.75" customHeight="1" x14ac:dyDescent="0.25">
      <c r="A511" s="120">
        <f t="shared" si="221"/>
        <v>5</v>
      </c>
      <c r="B511" s="392">
        <v>43758</v>
      </c>
      <c r="C511" s="77" t="s">
        <v>657</v>
      </c>
      <c r="D511" s="231"/>
      <c r="E511" s="76"/>
      <c r="F511" s="76"/>
      <c r="G511" s="76"/>
      <c r="H511" s="77"/>
      <c r="J511" s="138"/>
      <c r="V511" s="120" t="str">
        <f t="shared" si="222"/>
        <v>VAK:5</v>
      </c>
    </row>
    <row r="512" spans="1:22" ht="12.75" customHeight="1" x14ac:dyDescent="0.25">
      <c r="A512" s="120">
        <f t="shared" si="221"/>
        <v>5</v>
      </c>
      <c r="B512" s="392">
        <v>43765</v>
      </c>
      <c r="C512" s="77" t="s">
        <v>657</v>
      </c>
      <c r="D512" s="231"/>
      <c r="E512" s="78"/>
      <c r="F512" s="78"/>
      <c r="G512" s="78"/>
      <c r="H512" s="79"/>
      <c r="J512" s="138"/>
      <c r="V512" s="120" t="str">
        <f t="shared" si="222"/>
        <v>VAK:5</v>
      </c>
    </row>
    <row r="513" spans="1:22" ht="12.75" hidden="1" customHeight="1" x14ac:dyDescent="0.25">
      <c r="A513" s="123">
        <f t="shared" si="221"/>
        <v>5</v>
      </c>
      <c r="B513" s="394">
        <v>43765</v>
      </c>
      <c r="C513" s="79" t="s">
        <v>658</v>
      </c>
      <c r="D513" s="269"/>
      <c r="E513" s="316">
        <f>SUM(E509:E512)</f>
        <v>0</v>
      </c>
      <c r="F513" s="316"/>
      <c r="G513" s="316"/>
      <c r="H513" s="315"/>
      <c r="J513" s="138"/>
      <c r="V513" s="120" t="str">
        <f t="shared" si="222"/>
        <v>ASW:5</v>
      </c>
    </row>
    <row r="514" spans="1:22" ht="12.75" customHeight="1" x14ac:dyDescent="0.25">
      <c r="A514" s="120">
        <f t="shared" si="221"/>
        <v>5</v>
      </c>
      <c r="B514" s="392">
        <v>43772</v>
      </c>
      <c r="C514" s="77" t="s">
        <v>657</v>
      </c>
      <c r="D514" s="231"/>
      <c r="E514" s="74"/>
      <c r="F514" s="74"/>
      <c r="G514" s="74"/>
      <c r="H514" s="75"/>
      <c r="J514" s="138"/>
      <c r="V514" s="120" t="str">
        <f t="shared" si="222"/>
        <v>VAK:5</v>
      </c>
    </row>
    <row r="515" spans="1:22" ht="12.75" customHeight="1" x14ac:dyDescent="0.25">
      <c r="A515" s="120">
        <f t="shared" si="221"/>
        <v>6</v>
      </c>
      <c r="B515" s="392">
        <v>43779</v>
      </c>
      <c r="C515" s="77" t="s">
        <v>657</v>
      </c>
      <c r="D515" s="231"/>
      <c r="E515" s="76"/>
      <c r="F515" s="76"/>
      <c r="G515" s="76"/>
      <c r="H515" s="77"/>
      <c r="J515" s="138"/>
      <c r="U515" s="129"/>
      <c r="V515" s="120" t="str">
        <f t="shared" si="222"/>
        <v>VAK:6</v>
      </c>
    </row>
    <row r="516" spans="1:22" ht="12.75" customHeight="1" x14ac:dyDescent="0.25">
      <c r="A516" s="120">
        <f t="shared" si="221"/>
        <v>6</v>
      </c>
      <c r="B516" s="392">
        <v>43786</v>
      </c>
      <c r="C516" s="77" t="s">
        <v>657</v>
      </c>
      <c r="D516" s="231"/>
      <c r="E516" s="76"/>
      <c r="F516" s="76"/>
      <c r="G516" s="76"/>
      <c r="H516" s="77"/>
      <c r="J516" s="138"/>
      <c r="V516" s="120" t="str">
        <f t="shared" si="222"/>
        <v>VAK:6</v>
      </c>
    </row>
    <row r="517" spans="1:22" ht="12.75" customHeight="1" x14ac:dyDescent="0.25">
      <c r="A517" s="120">
        <f t="shared" si="221"/>
        <v>6</v>
      </c>
      <c r="B517" s="392">
        <v>43793</v>
      </c>
      <c r="C517" s="77" t="s">
        <v>657</v>
      </c>
      <c r="D517" s="231"/>
      <c r="E517" s="78"/>
      <c r="F517" s="78"/>
      <c r="G517" s="78"/>
      <c r="H517" s="79"/>
      <c r="J517" s="138"/>
      <c r="V517" s="120" t="str">
        <f t="shared" si="222"/>
        <v>VAK:6</v>
      </c>
    </row>
    <row r="518" spans="1:22" ht="12.75" hidden="1" customHeight="1" x14ac:dyDescent="0.25">
      <c r="A518" s="123">
        <f>GETPAYMONTH(DATE(YEAR(B518),MONTH(B518-4)+1,1))</f>
        <v>6</v>
      </c>
      <c r="B518" s="394">
        <v>43800</v>
      </c>
      <c r="C518" s="79" t="s">
        <v>658</v>
      </c>
      <c r="D518" s="269"/>
      <c r="E518" s="78">
        <f>SUM(E514:E517)</f>
        <v>0</v>
      </c>
      <c r="F518" s="78"/>
      <c r="G518" s="78"/>
      <c r="H518" s="79"/>
      <c r="J518" s="138"/>
      <c r="U518" s="129"/>
      <c r="V518" s="120" t="str">
        <f>C518 &amp;":"&amp; A518</f>
        <v>ASW:6</v>
      </c>
    </row>
    <row r="519" spans="1:22" ht="12.75" customHeight="1" x14ac:dyDescent="0.25">
      <c r="A519" s="123">
        <f>GETPAYMONTH(DATE(YEAR(B519),MONTH(B519-4)+1,1))</f>
        <v>6</v>
      </c>
      <c r="B519" s="392">
        <v>43800</v>
      </c>
      <c r="C519" s="77" t="s">
        <v>657</v>
      </c>
      <c r="D519" s="231"/>
      <c r="E519" s="76"/>
      <c r="F519" s="76"/>
      <c r="G519" s="76"/>
      <c r="H519" s="77"/>
      <c r="J519" s="138"/>
      <c r="V519" s="120" t="str">
        <f>C519 &amp;":"&amp; A519</f>
        <v>VAK:6</v>
      </c>
    </row>
    <row r="520" spans="1:22" ht="12.75" customHeight="1" x14ac:dyDescent="0.25">
      <c r="A520" s="120">
        <f t="shared" ref="A520:A566" si="223">GETPAYMONTH(DATE(YEAR(B520),MONTH(B520-4)+1,1))</f>
        <v>7</v>
      </c>
      <c r="B520" s="392">
        <v>43807</v>
      </c>
      <c r="C520" s="77" t="s">
        <v>657</v>
      </c>
      <c r="D520" s="231"/>
      <c r="E520" s="76"/>
      <c r="F520" s="76"/>
      <c r="G520" s="76"/>
      <c r="H520" s="77"/>
      <c r="J520" s="138"/>
      <c r="V520" s="120" t="str">
        <f t="shared" ref="V520:V528" si="224">C520 &amp;":"&amp; A520</f>
        <v>VAK:7</v>
      </c>
    </row>
    <row r="521" spans="1:22" ht="12.75" customHeight="1" x14ac:dyDescent="0.25">
      <c r="A521" s="120">
        <f t="shared" si="223"/>
        <v>7</v>
      </c>
      <c r="B521" s="392">
        <v>43814</v>
      </c>
      <c r="C521" s="77" t="s">
        <v>657</v>
      </c>
      <c r="D521" s="231"/>
      <c r="E521" s="76"/>
      <c r="F521" s="76"/>
      <c r="G521" s="76"/>
      <c r="H521" s="77"/>
      <c r="J521" s="138"/>
      <c r="V521" s="120" t="str">
        <f t="shared" si="224"/>
        <v>VAK:7</v>
      </c>
    </row>
    <row r="522" spans="1:22" ht="12.75" customHeight="1" x14ac:dyDescent="0.25">
      <c r="A522" s="120">
        <f t="shared" si="223"/>
        <v>7</v>
      </c>
      <c r="B522" s="392">
        <v>43821</v>
      </c>
      <c r="C522" s="77" t="s">
        <v>657</v>
      </c>
      <c r="D522" s="231"/>
      <c r="E522" s="76"/>
      <c r="F522" s="76"/>
      <c r="G522" s="76"/>
      <c r="H522" s="77"/>
      <c r="J522" s="138"/>
      <c r="V522" s="120" t="str">
        <f t="shared" si="224"/>
        <v>VAK:7</v>
      </c>
    </row>
    <row r="523" spans="1:22" ht="12.75" customHeight="1" x14ac:dyDescent="0.25">
      <c r="A523" s="120">
        <f t="shared" si="223"/>
        <v>7</v>
      </c>
      <c r="B523" s="392">
        <v>43828</v>
      </c>
      <c r="C523" s="77" t="s">
        <v>657</v>
      </c>
      <c r="D523" s="231"/>
      <c r="E523" s="78"/>
      <c r="F523" s="78"/>
      <c r="G523" s="78"/>
      <c r="H523" s="79"/>
      <c r="J523" s="138"/>
      <c r="V523" s="120" t="str">
        <f t="shared" si="224"/>
        <v>VAK:7</v>
      </c>
    </row>
    <row r="524" spans="1:22" ht="12.75" hidden="1" customHeight="1" x14ac:dyDescent="0.25">
      <c r="A524" s="123">
        <f t="shared" si="223"/>
        <v>7</v>
      </c>
      <c r="B524" s="394">
        <v>43828</v>
      </c>
      <c r="C524" s="79" t="s">
        <v>658</v>
      </c>
      <c r="D524" s="269"/>
      <c r="E524" s="78">
        <f>SUM(E519:E523)</f>
        <v>0</v>
      </c>
      <c r="F524" s="78"/>
      <c r="G524" s="78"/>
      <c r="H524" s="79"/>
      <c r="J524" s="138"/>
      <c r="V524" s="120" t="str">
        <f t="shared" si="224"/>
        <v>ASW:7</v>
      </c>
    </row>
    <row r="525" spans="1:22" ht="12.75" customHeight="1" x14ac:dyDescent="0.25">
      <c r="A525" s="120">
        <f t="shared" si="223"/>
        <v>8</v>
      </c>
      <c r="B525" s="392">
        <v>43836</v>
      </c>
      <c r="C525" s="77" t="s">
        <v>657</v>
      </c>
      <c r="D525" s="231"/>
      <c r="E525" s="74"/>
      <c r="F525" s="74"/>
      <c r="G525" s="74"/>
      <c r="H525" s="75"/>
      <c r="J525" s="138"/>
      <c r="V525" s="120" t="str">
        <f t="shared" si="224"/>
        <v>VAK:8</v>
      </c>
    </row>
    <row r="526" spans="1:22" ht="12.75" customHeight="1" x14ac:dyDescent="0.25">
      <c r="A526" s="120">
        <f t="shared" si="223"/>
        <v>8</v>
      </c>
      <c r="B526" s="392">
        <v>43842</v>
      </c>
      <c r="C526" s="77" t="s">
        <v>657</v>
      </c>
      <c r="D526" s="231"/>
      <c r="E526" s="76"/>
      <c r="F526" s="76"/>
      <c r="G526" s="76"/>
      <c r="H526" s="77"/>
      <c r="J526" s="138"/>
      <c r="V526" s="120" t="str">
        <f t="shared" si="224"/>
        <v>VAK:8</v>
      </c>
    </row>
    <row r="527" spans="1:22" ht="12.75" customHeight="1" x14ac:dyDescent="0.25">
      <c r="A527" s="120">
        <f t="shared" si="223"/>
        <v>8</v>
      </c>
      <c r="B527" s="392">
        <v>43849</v>
      </c>
      <c r="C527" s="77" t="s">
        <v>657</v>
      </c>
      <c r="D527" s="231"/>
      <c r="E527" s="76"/>
      <c r="F527" s="76"/>
      <c r="G527" s="76"/>
      <c r="H527" s="77"/>
      <c r="J527" s="138"/>
      <c r="V527" s="120" t="str">
        <f t="shared" si="224"/>
        <v>VAK:8</v>
      </c>
    </row>
    <row r="528" spans="1:22" ht="12.75" customHeight="1" x14ac:dyDescent="0.25">
      <c r="A528" s="120">
        <f t="shared" si="223"/>
        <v>8</v>
      </c>
      <c r="B528" s="392">
        <v>43856</v>
      </c>
      <c r="C528" s="77" t="s">
        <v>657</v>
      </c>
      <c r="D528" s="231"/>
      <c r="E528" s="78"/>
      <c r="F528" s="78"/>
      <c r="G528" s="78"/>
      <c r="H528" s="79"/>
      <c r="I528" s="22"/>
      <c r="J528" s="138"/>
      <c r="V528" s="120" t="str">
        <f t="shared" si="224"/>
        <v>VAK:8</v>
      </c>
    </row>
    <row r="529" spans="1:22" ht="12.75" hidden="1" customHeight="1" x14ac:dyDescent="0.25">
      <c r="A529" s="395">
        <f t="shared" si="223"/>
        <v>8</v>
      </c>
      <c r="B529" s="394">
        <v>43863</v>
      </c>
      <c r="C529" s="79" t="s">
        <v>658</v>
      </c>
      <c r="D529" s="269"/>
      <c r="E529" s="316">
        <f>SUM(E525:E528)</f>
        <v>0</v>
      </c>
      <c r="F529" s="316"/>
      <c r="G529" s="316"/>
      <c r="H529" s="315"/>
      <c r="J529" s="138"/>
      <c r="V529" s="120" t="str">
        <f>C529 &amp;":"&amp; A529</f>
        <v>ASW:8</v>
      </c>
    </row>
    <row r="530" spans="1:22" ht="12.75" customHeight="1" x14ac:dyDescent="0.25">
      <c r="A530" s="395">
        <f t="shared" si="223"/>
        <v>8</v>
      </c>
      <c r="B530" s="392">
        <v>43863</v>
      </c>
      <c r="C530" s="77" t="s">
        <v>657</v>
      </c>
      <c r="D530" s="231"/>
      <c r="E530" s="74"/>
      <c r="F530" s="74"/>
      <c r="G530" s="74"/>
      <c r="H530" s="75"/>
      <c r="J530" s="138"/>
      <c r="V530" s="120" t="str">
        <f>C530 &amp;":"&amp; A530</f>
        <v>VAK:8</v>
      </c>
    </row>
    <row r="531" spans="1:22" ht="12.75" customHeight="1" x14ac:dyDescent="0.25">
      <c r="A531" s="395">
        <f t="shared" si="223"/>
        <v>9</v>
      </c>
      <c r="B531" s="392">
        <v>43870</v>
      </c>
      <c r="C531" s="77" t="s">
        <v>657</v>
      </c>
      <c r="D531" s="231"/>
      <c r="E531" s="76"/>
      <c r="F531" s="76"/>
      <c r="G531" s="76"/>
      <c r="H531" s="77"/>
      <c r="J531" s="138"/>
      <c r="V531" s="120" t="str">
        <f t="shared" ref="V531:V539" si="225">C531 &amp;":"&amp; A531</f>
        <v>VAK:9</v>
      </c>
    </row>
    <row r="532" spans="1:22" ht="12.75" customHeight="1" x14ac:dyDescent="0.25">
      <c r="A532" s="395">
        <f t="shared" si="223"/>
        <v>9</v>
      </c>
      <c r="B532" s="392">
        <v>43877</v>
      </c>
      <c r="C532" s="77" t="s">
        <v>657</v>
      </c>
      <c r="D532" s="231"/>
      <c r="E532" s="76"/>
      <c r="F532" s="76"/>
      <c r="G532" s="76"/>
      <c r="H532" s="77"/>
      <c r="J532" s="138"/>
      <c r="V532" s="120" t="str">
        <f t="shared" si="225"/>
        <v>VAK:9</v>
      </c>
    </row>
    <row r="533" spans="1:22" ht="12.75" customHeight="1" x14ac:dyDescent="0.25">
      <c r="A533" s="395">
        <f t="shared" si="223"/>
        <v>9</v>
      </c>
      <c r="B533" s="392">
        <v>43884</v>
      </c>
      <c r="C533" s="77" t="s">
        <v>657</v>
      </c>
      <c r="D533" s="231"/>
      <c r="E533" s="78"/>
      <c r="F533" s="78"/>
      <c r="G533" s="78"/>
      <c r="H533" s="79"/>
      <c r="J533" s="138"/>
      <c r="V533" s="120" t="str">
        <f t="shared" si="225"/>
        <v>VAK:9</v>
      </c>
    </row>
    <row r="534" spans="1:22" ht="12.75" hidden="1" customHeight="1" x14ac:dyDescent="0.25">
      <c r="A534" s="395">
        <f t="shared" si="223"/>
        <v>9</v>
      </c>
      <c r="B534" s="394">
        <v>43884</v>
      </c>
      <c r="C534" s="79" t="s">
        <v>658</v>
      </c>
      <c r="D534" s="269"/>
      <c r="E534" s="78">
        <f>SUM(E530:E533)</f>
        <v>0</v>
      </c>
      <c r="F534" s="78"/>
      <c r="G534" s="78"/>
      <c r="H534" s="79"/>
      <c r="J534" s="138"/>
      <c r="V534" s="120" t="str">
        <f t="shared" si="225"/>
        <v>ASW:9</v>
      </c>
    </row>
    <row r="535" spans="1:22" ht="12.75" customHeight="1" x14ac:dyDescent="0.25">
      <c r="A535" s="395">
        <f t="shared" si="223"/>
        <v>9</v>
      </c>
      <c r="B535" s="392">
        <v>43891</v>
      </c>
      <c r="C535" s="77" t="s">
        <v>657</v>
      </c>
      <c r="D535" s="231"/>
      <c r="E535" s="74"/>
      <c r="F535" s="74"/>
      <c r="G535" s="74"/>
      <c r="H535" s="75"/>
      <c r="J535" s="138"/>
      <c r="V535" s="120" t="str">
        <f t="shared" si="225"/>
        <v>VAK:9</v>
      </c>
    </row>
    <row r="536" spans="1:22" ht="12.75" customHeight="1" x14ac:dyDescent="0.25">
      <c r="A536" s="395">
        <f t="shared" si="223"/>
        <v>10</v>
      </c>
      <c r="B536" s="392">
        <v>43898</v>
      </c>
      <c r="C536" s="77" t="s">
        <v>657</v>
      </c>
      <c r="D536" s="231"/>
      <c r="E536" s="76"/>
      <c r="F536" s="76"/>
      <c r="G536" s="76"/>
      <c r="H536" s="77"/>
      <c r="J536" s="138"/>
      <c r="K536" s="62"/>
      <c r="V536" s="120" t="str">
        <f t="shared" ref="V536" si="226">C536 &amp;":"&amp; A536</f>
        <v>VAK:10</v>
      </c>
    </row>
    <row r="537" spans="1:22" ht="12.75" customHeight="1" x14ac:dyDescent="0.25">
      <c r="A537" s="395">
        <f t="shared" si="223"/>
        <v>10</v>
      </c>
      <c r="B537" s="392">
        <v>43905</v>
      </c>
      <c r="C537" s="77" t="s">
        <v>657</v>
      </c>
      <c r="D537" s="231"/>
      <c r="E537" s="76"/>
      <c r="F537" s="76"/>
      <c r="G537" s="76"/>
      <c r="H537" s="77"/>
      <c r="J537" s="138"/>
      <c r="K537" s="62"/>
      <c r="V537" s="120" t="str">
        <f t="shared" si="225"/>
        <v>VAK:10</v>
      </c>
    </row>
    <row r="538" spans="1:22" ht="12.75" customHeight="1" x14ac:dyDescent="0.25">
      <c r="A538" s="395">
        <f t="shared" si="223"/>
        <v>10</v>
      </c>
      <c r="B538" s="392">
        <v>43912</v>
      </c>
      <c r="C538" s="77" t="s">
        <v>657</v>
      </c>
      <c r="D538" s="231"/>
      <c r="E538" s="76"/>
      <c r="F538" s="76"/>
      <c r="G538" s="76"/>
      <c r="H538" s="77"/>
      <c r="J538" s="138"/>
      <c r="V538" s="120" t="str">
        <f t="shared" si="225"/>
        <v>VAK:10</v>
      </c>
    </row>
    <row r="539" spans="1:22" ht="12.75" customHeight="1" x14ac:dyDescent="0.25">
      <c r="A539" s="395">
        <f t="shared" si="223"/>
        <v>10</v>
      </c>
      <c r="B539" s="392">
        <v>43919</v>
      </c>
      <c r="C539" s="77" t="s">
        <v>657</v>
      </c>
      <c r="D539" s="231"/>
      <c r="E539" s="78"/>
      <c r="F539" s="78"/>
      <c r="G539" s="78"/>
      <c r="H539" s="79"/>
      <c r="J539" s="138"/>
      <c r="V539" s="120" t="str">
        <f t="shared" si="225"/>
        <v>VAK:10</v>
      </c>
    </row>
    <row r="540" spans="1:22" ht="12.75" hidden="1" customHeight="1" x14ac:dyDescent="0.25">
      <c r="A540" s="395">
        <f t="shared" si="223"/>
        <v>10</v>
      </c>
      <c r="B540" s="394">
        <v>43919</v>
      </c>
      <c r="C540" s="79" t="s">
        <v>658</v>
      </c>
      <c r="D540" s="269"/>
      <c r="E540" s="78">
        <f>SUM(E535:E539)</f>
        <v>0</v>
      </c>
      <c r="F540" s="78"/>
      <c r="G540" s="78"/>
      <c r="H540" s="79"/>
      <c r="J540" s="138"/>
      <c r="V540" s="120" t="str">
        <f>C540 &amp;":"&amp; A540</f>
        <v>ASW:10</v>
      </c>
    </row>
    <row r="541" spans="1:22" ht="12.75" customHeight="1" x14ac:dyDescent="0.25">
      <c r="A541" s="395">
        <f t="shared" si="223"/>
        <v>11</v>
      </c>
      <c r="B541" s="392">
        <v>43926</v>
      </c>
      <c r="C541" s="77" t="s">
        <v>657</v>
      </c>
      <c r="D541" s="231"/>
      <c r="E541" s="76"/>
      <c r="F541" s="76"/>
      <c r="G541" s="76"/>
      <c r="H541" s="77"/>
      <c r="J541" s="138"/>
      <c r="V541" s="120" t="str">
        <f t="shared" ref="V541:V551" si="227">C541 &amp;":"&amp; A541</f>
        <v>VAK:11</v>
      </c>
    </row>
    <row r="542" spans="1:22" ht="12.75" customHeight="1" x14ac:dyDescent="0.25">
      <c r="A542" s="395">
        <f t="shared" si="223"/>
        <v>11</v>
      </c>
      <c r="B542" s="392">
        <v>43933</v>
      </c>
      <c r="C542" s="77" t="s">
        <v>657</v>
      </c>
      <c r="D542" s="231"/>
      <c r="E542" s="76"/>
      <c r="F542" s="76"/>
      <c r="G542" s="76"/>
      <c r="H542" s="77"/>
      <c r="J542" s="138"/>
      <c r="V542" s="120" t="str">
        <f t="shared" si="227"/>
        <v>VAK:11</v>
      </c>
    </row>
    <row r="543" spans="1:22" ht="12.75" customHeight="1" x14ac:dyDescent="0.25">
      <c r="A543" s="395">
        <f t="shared" si="223"/>
        <v>11</v>
      </c>
      <c r="B543" s="392">
        <v>43940</v>
      </c>
      <c r="C543" s="77" t="s">
        <v>657</v>
      </c>
      <c r="D543" s="231"/>
      <c r="E543" s="76"/>
      <c r="F543" s="76"/>
      <c r="G543" s="76"/>
      <c r="H543" s="77"/>
      <c r="J543" s="138"/>
      <c r="V543" s="120" t="str">
        <f t="shared" si="227"/>
        <v>VAK:11</v>
      </c>
    </row>
    <row r="544" spans="1:22" ht="12.75" customHeight="1" x14ac:dyDescent="0.25">
      <c r="A544" s="395">
        <f t="shared" si="223"/>
        <v>11</v>
      </c>
      <c r="B544" s="392">
        <v>43947</v>
      </c>
      <c r="C544" s="77" t="s">
        <v>657</v>
      </c>
      <c r="D544" s="231"/>
      <c r="E544" s="78"/>
      <c r="F544" s="78"/>
      <c r="G544" s="78"/>
      <c r="H544" s="79"/>
      <c r="J544" s="138"/>
      <c r="V544" s="120" t="str">
        <f t="shared" si="227"/>
        <v>VAK:11</v>
      </c>
    </row>
    <row r="545" spans="1:22" ht="12.75" hidden="1" customHeight="1" x14ac:dyDescent="0.25">
      <c r="A545" s="395">
        <f t="shared" si="223"/>
        <v>11</v>
      </c>
      <c r="B545" s="394">
        <v>43947</v>
      </c>
      <c r="C545" s="79" t="s">
        <v>658</v>
      </c>
      <c r="D545" s="269"/>
      <c r="E545" s="78">
        <f>SUM(E541:E544)</f>
        <v>0</v>
      </c>
      <c r="F545" s="78"/>
      <c r="G545" s="78"/>
      <c r="H545" s="79"/>
      <c r="J545" s="138"/>
      <c r="V545" s="120" t="str">
        <f t="shared" si="227"/>
        <v>ASW:11</v>
      </c>
    </row>
    <row r="546" spans="1:22" ht="12.75" customHeight="1" x14ac:dyDescent="0.25">
      <c r="A546" s="395">
        <f t="shared" si="223"/>
        <v>11</v>
      </c>
      <c r="B546" s="392">
        <v>43954</v>
      </c>
      <c r="C546" s="77" t="s">
        <v>657</v>
      </c>
      <c r="D546" s="231"/>
      <c r="E546" s="74"/>
      <c r="F546" s="74"/>
      <c r="G546" s="74"/>
      <c r="H546" s="75"/>
      <c r="J546" s="138"/>
      <c r="K546" s="253"/>
      <c r="V546" s="120" t="str">
        <f t="shared" si="227"/>
        <v>VAK:11</v>
      </c>
    </row>
    <row r="547" spans="1:22" ht="12.75" customHeight="1" x14ac:dyDescent="0.25">
      <c r="A547" s="395">
        <f t="shared" si="223"/>
        <v>12</v>
      </c>
      <c r="B547" s="392">
        <v>43961</v>
      </c>
      <c r="C547" s="77" t="s">
        <v>657</v>
      </c>
      <c r="D547" s="231"/>
      <c r="E547" s="76"/>
      <c r="F547" s="76"/>
      <c r="G547" s="76"/>
      <c r="H547" s="77"/>
      <c r="J547" s="138"/>
      <c r="K547" s="253"/>
      <c r="V547" s="120" t="str">
        <f t="shared" si="227"/>
        <v>VAK:12</v>
      </c>
    </row>
    <row r="548" spans="1:22" ht="12.75" customHeight="1" x14ac:dyDescent="0.25">
      <c r="A548" s="395">
        <f t="shared" si="223"/>
        <v>12</v>
      </c>
      <c r="B548" s="392">
        <v>43968</v>
      </c>
      <c r="C548" s="77" t="s">
        <v>657</v>
      </c>
      <c r="D548" s="231"/>
      <c r="E548" s="76"/>
      <c r="F548" s="76"/>
      <c r="G548" s="76"/>
      <c r="H548" s="77"/>
      <c r="J548" s="138"/>
      <c r="K548" s="353"/>
      <c r="L548" s="161"/>
      <c r="M548" s="161"/>
      <c r="V548" s="120" t="str">
        <f t="shared" si="227"/>
        <v>VAK:12</v>
      </c>
    </row>
    <row r="549" spans="1:22" ht="12.75" customHeight="1" x14ac:dyDescent="0.25">
      <c r="A549" s="395">
        <f t="shared" si="223"/>
        <v>12</v>
      </c>
      <c r="B549" s="392">
        <v>43975</v>
      </c>
      <c r="C549" s="77" t="s">
        <v>657</v>
      </c>
      <c r="D549" s="231"/>
      <c r="E549" s="76"/>
      <c r="F549" s="76"/>
      <c r="G549" s="76"/>
      <c r="H549" s="77"/>
      <c r="J549" s="138"/>
      <c r="K549" s="253"/>
      <c r="V549" s="120" t="str">
        <f t="shared" si="227"/>
        <v>VAK:12</v>
      </c>
    </row>
    <row r="550" spans="1:22" ht="12.75" customHeight="1" x14ac:dyDescent="0.25">
      <c r="A550" s="395">
        <f t="shared" si="223"/>
        <v>12</v>
      </c>
      <c r="B550" s="392">
        <v>43982</v>
      </c>
      <c r="C550" s="77" t="s">
        <v>657</v>
      </c>
      <c r="D550" s="231"/>
      <c r="E550" s="78"/>
      <c r="F550" s="78"/>
      <c r="G550" s="78"/>
      <c r="H550" s="79"/>
      <c r="J550" s="138"/>
      <c r="K550" s="253"/>
      <c r="V550" s="120" t="str">
        <f t="shared" si="227"/>
        <v>VAK:12</v>
      </c>
    </row>
    <row r="551" spans="1:22" ht="12.75" hidden="1" customHeight="1" x14ac:dyDescent="0.25">
      <c r="A551" s="395">
        <f t="shared" si="223"/>
        <v>12</v>
      </c>
      <c r="B551" s="394">
        <v>43982</v>
      </c>
      <c r="C551" s="79" t="s">
        <v>658</v>
      </c>
      <c r="D551" s="269"/>
      <c r="E551" s="78">
        <f>SUM(E546:E550)</f>
        <v>0</v>
      </c>
      <c r="F551" s="78"/>
      <c r="G551" s="78"/>
      <c r="H551" s="79"/>
      <c r="J551" s="138"/>
      <c r="K551" s="253"/>
      <c r="V551" s="120" t="str">
        <f t="shared" si="227"/>
        <v>ASW:12</v>
      </c>
    </row>
    <row r="552" spans="1:22" ht="12.75" hidden="1" customHeight="1" x14ac:dyDescent="0.25">
      <c r="A552" s="120">
        <f t="shared" ref="A552:A554" si="228">GETPAYMONTH(DATE(YEAR(B552),MONTH(B552-4)+1,1))</f>
        <v>1</v>
      </c>
      <c r="B552" s="392">
        <v>43646</v>
      </c>
      <c r="C552" s="77" t="s">
        <v>669</v>
      </c>
      <c r="D552" s="231">
        <v>43653</v>
      </c>
      <c r="E552" s="74">
        <v>4</v>
      </c>
      <c r="F552" s="378"/>
      <c r="G552" s="74"/>
      <c r="H552" s="75">
        <v>551113</v>
      </c>
      <c r="I552" s="383" t="s">
        <v>692</v>
      </c>
      <c r="J552" s="138"/>
      <c r="K552" s="253"/>
      <c r="V552" s="120" t="str">
        <f>C552 &amp;":"&amp; D552</f>
        <v>DP:43653</v>
      </c>
    </row>
    <row r="553" spans="1:22" ht="12.75" hidden="1" customHeight="1" x14ac:dyDescent="0.25">
      <c r="A553" s="120">
        <f t="shared" si="228"/>
        <v>2</v>
      </c>
      <c r="B553" s="392">
        <v>43653</v>
      </c>
      <c r="C553" s="77" t="s">
        <v>669</v>
      </c>
      <c r="D553" s="231">
        <v>43653</v>
      </c>
      <c r="E553" s="78">
        <v>4</v>
      </c>
      <c r="F553" s="340"/>
      <c r="G553" s="78"/>
      <c r="H553" s="79">
        <v>551113</v>
      </c>
      <c r="I553" s="383" t="s">
        <v>693</v>
      </c>
      <c r="J553" s="138"/>
      <c r="K553" s="253"/>
      <c r="V553" s="120" t="str">
        <f t="shared" ref="V553:V615" si="229">C553 &amp;":"&amp; D553</f>
        <v>DP:43653</v>
      </c>
    </row>
    <row r="554" spans="1:22" ht="12.75" hidden="1" customHeight="1" x14ac:dyDescent="0.25">
      <c r="A554" s="123">
        <f t="shared" si="228"/>
        <v>2</v>
      </c>
      <c r="B554" s="394">
        <v>43653</v>
      </c>
      <c r="C554" s="79" t="s">
        <v>678</v>
      </c>
      <c r="D554" s="269">
        <v>43653</v>
      </c>
      <c r="E554" s="316">
        <f>SUM(E552:E553)</f>
        <v>8</v>
      </c>
      <c r="F554" s="78"/>
      <c r="G554" s="78"/>
      <c r="H554" s="79"/>
      <c r="J554" s="138"/>
      <c r="K554" s="253"/>
      <c r="V554" s="120" t="str">
        <f t="shared" si="229"/>
        <v>ANK:43653</v>
      </c>
    </row>
    <row r="555" spans="1:22" ht="12.75" hidden="1" customHeight="1" x14ac:dyDescent="0.25">
      <c r="A555" s="120">
        <f>GETPAYMONTH(DATE(YEAR(B555),MONTH(B555-4)+1,1))</f>
        <v>2</v>
      </c>
      <c r="B555" s="392">
        <v>43660</v>
      </c>
      <c r="C555" s="77" t="s">
        <v>669</v>
      </c>
      <c r="D555" s="231">
        <v>43667</v>
      </c>
      <c r="E555" s="74">
        <v>6</v>
      </c>
      <c r="F555" s="378"/>
      <c r="G555" s="74"/>
      <c r="H555" s="75">
        <v>551114</v>
      </c>
      <c r="I555" s="383" t="s">
        <v>780</v>
      </c>
      <c r="J555" s="138"/>
      <c r="K555" s="253"/>
      <c r="V555" s="120" t="str">
        <f t="shared" si="229"/>
        <v>DP:43667</v>
      </c>
    </row>
    <row r="556" spans="1:22" ht="12.75" hidden="1" customHeight="1" x14ac:dyDescent="0.25">
      <c r="A556" s="120">
        <f>GETPAYMONTH(DATE(YEAR(B556),MONTH(B556-4)+1,1))</f>
        <v>2</v>
      </c>
      <c r="B556" s="392">
        <v>43667</v>
      </c>
      <c r="C556" s="77" t="s">
        <v>669</v>
      </c>
      <c r="D556" s="231">
        <v>43667</v>
      </c>
      <c r="E556" s="78">
        <v>7</v>
      </c>
      <c r="F556" s="340"/>
      <c r="G556" s="78"/>
      <c r="H556" s="79">
        <v>551114</v>
      </c>
      <c r="J556" s="138"/>
      <c r="K556" s="253"/>
      <c r="V556" s="120" t="str">
        <f t="shared" si="229"/>
        <v>DP:43667</v>
      </c>
    </row>
    <row r="557" spans="1:22" ht="12.75" hidden="1" customHeight="1" x14ac:dyDescent="0.25">
      <c r="A557" s="123">
        <f>GETPAYMONTH(DATE(YEAR(B557),MONTH(B557-4)+1,1))</f>
        <v>2</v>
      </c>
      <c r="B557" s="394">
        <v>43667</v>
      </c>
      <c r="C557" s="79" t="s">
        <v>678</v>
      </c>
      <c r="D557" s="269">
        <v>43667</v>
      </c>
      <c r="E557" s="316">
        <f>SUM(E555:E556)</f>
        <v>13</v>
      </c>
      <c r="F557" s="78"/>
      <c r="G557" s="78"/>
      <c r="H557" s="79"/>
      <c r="J557" s="138"/>
      <c r="K557" s="253"/>
      <c r="V557" s="120" t="str">
        <f t="shared" si="229"/>
        <v>ANK:43667</v>
      </c>
    </row>
    <row r="558" spans="1:22" ht="12.75" hidden="1" customHeight="1" x14ac:dyDescent="0.25">
      <c r="A558" s="120">
        <f t="shared" ref="A558:A560" si="230">GETPAYMONTH(DATE(YEAR(B558),MONTH(B558-4)+1,1))</f>
        <v>2</v>
      </c>
      <c r="B558" s="392">
        <v>43674</v>
      </c>
      <c r="C558" s="77" t="s">
        <v>669</v>
      </c>
      <c r="D558" s="231">
        <v>43681</v>
      </c>
      <c r="E558" s="74">
        <v>6.5</v>
      </c>
      <c r="F558" s="378"/>
      <c r="G558" s="74"/>
      <c r="H558" s="75">
        <v>551115</v>
      </c>
      <c r="I558" t="s">
        <v>810</v>
      </c>
      <c r="J558" s="138"/>
      <c r="K558" s="253"/>
      <c r="V558" s="120" t="str">
        <f t="shared" si="229"/>
        <v>DP:43681</v>
      </c>
    </row>
    <row r="559" spans="1:22" ht="12.75" hidden="1" customHeight="1" x14ac:dyDescent="0.25">
      <c r="A559" s="120">
        <f t="shared" si="230"/>
        <v>2</v>
      </c>
      <c r="B559" s="392">
        <v>43681</v>
      </c>
      <c r="C559" s="77" t="s">
        <v>669</v>
      </c>
      <c r="D559" s="231">
        <v>43681</v>
      </c>
      <c r="E559" s="78">
        <v>6</v>
      </c>
      <c r="F559" s="340"/>
      <c r="G559" s="78"/>
      <c r="H559" s="79">
        <v>551115</v>
      </c>
      <c r="I559" s="383" t="s">
        <v>780</v>
      </c>
      <c r="J559" s="138"/>
      <c r="K559" s="253"/>
      <c r="V559" s="120" t="str">
        <f t="shared" si="229"/>
        <v>DP:43681</v>
      </c>
    </row>
    <row r="560" spans="1:22" ht="12.75" hidden="1" customHeight="1" x14ac:dyDescent="0.25">
      <c r="A560" s="123">
        <f t="shared" si="230"/>
        <v>2</v>
      </c>
      <c r="B560" s="394">
        <v>43681</v>
      </c>
      <c r="C560" s="79" t="s">
        <v>678</v>
      </c>
      <c r="D560" s="269">
        <v>43681</v>
      </c>
      <c r="E560" s="316">
        <f>SUM(E558:E559)</f>
        <v>12.5</v>
      </c>
      <c r="F560" s="78"/>
      <c r="G560" s="78"/>
      <c r="H560" s="79"/>
      <c r="J560" s="138"/>
      <c r="K560" s="253"/>
      <c r="V560" s="120" t="str">
        <f t="shared" si="229"/>
        <v>ANK:43681</v>
      </c>
    </row>
    <row r="561" spans="1:22" ht="12.75" hidden="1" customHeight="1" x14ac:dyDescent="0.25">
      <c r="A561" s="120">
        <f>GETPAYMONTH(DATE(YEAR(B561),MONTH(B561-4)+1,1))</f>
        <v>3</v>
      </c>
      <c r="B561" s="392">
        <v>43688</v>
      </c>
      <c r="C561" s="77" t="s">
        <v>669</v>
      </c>
      <c r="D561" s="231">
        <v>43695</v>
      </c>
      <c r="E561" s="74">
        <v>6</v>
      </c>
      <c r="F561" s="378"/>
      <c r="G561" s="74"/>
      <c r="H561" s="75">
        <v>551116</v>
      </c>
      <c r="I561" s="383" t="s">
        <v>843</v>
      </c>
      <c r="J561" s="138"/>
      <c r="K561" s="253"/>
      <c r="V561" s="120" t="str">
        <f t="shared" si="229"/>
        <v>DP:43695</v>
      </c>
    </row>
    <row r="562" spans="1:22" ht="12.75" hidden="1" customHeight="1" x14ac:dyDescent="0.25">
      <c r="A562" s="120">
        <f>GETPAYMONTH(DATE(YEAR(B562),MONTH(B562-4)+1,1))</f>
        <v>3</v>
      </c>
      <c r="B562" s="392">
        <v>43695</v>
      </c>
      <c r="C562" s="77" t="s">
        <v>669</v>
      </c>
      <c r="D562" s="231">
        <v>43695</v>
      </c>
      <c r="E562" s="78">
        <v>5</v>
      </c>
      <c r="F562" s="340"/>
      <c r="G562" s="78"/>
      <c r="H562" s="79">
        <v>551116</v>
      </c>
      <c r="J562" s="138"/>
      <c r="K562" s="253"/>
      <c r="V562" s="120" t="str">
        <f t="shared" si="229"/>
        <v>DP:43695</v>
      </c>
    </row>
    <row r="563" spans="1:22" ht="12.75" hidden="1" customHeight="1" x14ac:dyDescent="0.25">
      <c r="A563" s="123">
        <f>GETPAYMONTH(DATE(YEAR(B563),MONTH(B563-4)+1,1))</f>
        <v>3</v>
      </c>
      <c r="B563" s="394">
        <v>43695</v>
      </c>
      <c r="C563" s="79" t="s">
        <v>678</v>
      </c>
      <c r="D563" s="269">
        <v>43695</v>
      </c>
      <c r="E563" s="316">
        <f>SUM(E561:E562)</f>
        <v>11</v>
      </c>
      <c r="F563" s="78"/>
      <c r="G563" s="78"/>
      <c r="H563" s="79"/>
      <c r="J563" s="138"/>
      <c r="K563" s="253"/>
      <c r="V563" s="120" t="str">
        <f t="shared" si="229"/>
        <v>ANK:43695</v>
      </c>
    </row>
    <row r="564" spans="1:22" ht="12.75" hidden="1" customHeight="1" x14ac:dyDescent="0.25">
      <c r="A564" s="120">
        <f t="shared" si="223"/>
        <v>3</v>
      </c>
      <c r="B564" s="392">
        <v>43702</v>
      </c>
      <c r="C564" s="77" t="s">
        <v>669</v>
      </c>
      <c r="D564" s="231">
        <v>43709</v>
      </c>
      <c r="E564" s="74">
        <v>7</v>
      </c>
      <c r="F564" s="378"/>
      <c r="G564" s="74"/>
      <c r="H564" s="75">
        <v>551117</v>
      </c>
      <c r="I564" s="383" t="s">
        <v>854</v>
      </c>
      <c r="J564" s="138"/>
      <c r="K564" s="253"/>
      <c r="V564" s="120" t="str">
        <f t="shared" si="229"/>
        <v>DP:43709</v>
      </c>
    </row>
    <row r="565" spans="1:22" ht="12.75" hidden="1" customHeight="1" x14ac:dyDescent="0.25">
      <c r="A565" s="120">
        <f t="shared" si="223"/>
        <v>3</v>
      </c>
      <c r="B565" s="392">
        <v>43709</v>
      </c>
      <c r="C565" s="77" t="s">
        <v>669</v>
      </c>
      <c r="D565" s="231">
        <v>43709</v>
      </c>
      <c r="E565" s="78">
        <v>6.5</v>
      </c>
      <c r="F565" s="340"/>
      <c r="G565" s="78"/>
      <c r="H565" s="79">
        <v>551117</v>
      </c>
      <c r="I565" s="383" t="s">
        <v>855</v>
      </c>
      <c r="J565" s="138"/>
      <c r="K565" s="253"/>
      <c r="V565" s="120" t="str">
        <f t="shared" si="229"/>
        <v>DP:43709</v>
      </c>
    </row>
    <row r="566" spans="1:22" ht="12.75" hidden="1" customHeight="1" x14ac:dyDescent="0.25">
      <c r="A566" s="123">
        <f t="shared" si="223"/>
        <v>3</v>
      </c>
      <c r="B566" s="394">
        <v>43709</v>
      </c>
      <c r="C566" s="79" t="s">
        <v>678</v>
      </c>
      <c r="D566" s="269">
        <v>43709</v>
      </c>
      <c r="E566" s="316">
        <f>SUM(E564:E565)</f>
        <v>13.5</v>
      </c>
      <c r="F566" s="78"/>
      <c r="G566" s="78"/>
      <c r="H566" s="79"/>
      <c r="J566" s="138"/>
      <c r="K566" s="253"/>
      <c r="V566" s="120" t="str">
        <f t="shared" si="229"/>
        <v>ANK:43709</v>
      </c>
    </row>
    <row r="567" spans="1:22" ht="12.75" hidden="1" customHeight="1" x14ac:dyDescent="0.25">
      <c r="A567" s="120">
        <f>GETPAYMONTH(DATE(YEAR(B567),MONTH(B567-4)+1,1))</f>
        <v>4</v>
      </c>
      <c r="B567" s="392">
        <v>43716</v>
      </c>
      <c r="C567" s="77" t="s">
        <v>669</v>
      </c>
      <c r="D567" s="231"/>
      <c r="E567" s="74"/>
      <c r="F567" s="378"/>
      <c r="G567" s="74"/>
      <c r="H567" s="75"/>
      <c r="J567" s="138"/>
      <c r="K567" s="253"/>
      <c r="V567" s="120" t="str">
        <f t="shared" si="229"/>
        <v>DP:</v>
      </c>
    </row>
    <row r="568" spans="1:22" ht="12.75" hidden="1" customHeight="1" x14ac:dyDescent="0.25">
      <c r="A568" s="120">
        <f>GETPAYMONTH(DATE(YEAR(B568),MONTH(B568-4)+1,1))</f>
        <v>4</v>
      </c>
      <c r="B568" s="392">
        <v>43723</v>
      </c>
      <c r="C568" s="77" t="s">
        <v>669</v>
      </c>
      <c r="D568" s="231"/>
      <c r="E568" s="78"/>
      <c r="F568" s="340"/>
      <c r="G568" s="78"/>
      <c r="H568" s="79"/>
      <c r="J568" s="138"/>
      <c r="K568" s="253"/>
      <c r="V568" s="120" t="str">
        <f t="shared" si="229"/>
        <v>DP:</v>
      </c>
    </row>
    <row r="569" spans="1:22" ht="12.75" hidden="1" customHeight="1" x14ac:dyDescent="0.25">
      <c r="A569" s="123">
        <f>GETPAYMONTH(DATE(YEAR(B569),MONTH(B569-4)+1,1))</f>
        <v>4</v>
      </c>
      <c r="B569" s="394">
        <v>43723</v>
      </c>
      <c r="C569" s="79" t="s">
        <v>678</v>
      </c>
      <c r="D569" s="269"/>
      <c r="E569" s="316">
        <f>SUM(E567:E568)</f>
        <v>0</v>
      </c>
      <c r="F569" s="78"/>
      <c r="G569" s="78"/>
      <c r="H569" s="79"/>
      <c r="J569" s="138"/>
      <c r="K569" s="253"/>
      <c r="V569" s="120" t="str">
        <f t="shared" si="229"/>
        <v>ANK:</v>
      </c>
    </row>
    <row r="570" spans="1:22" ht="12.75" hidden="1" customHeight="1" x14ac:dyDescent="0.25">
      <c r="A570" s="120">
        <f t="shared" ref="A570:A572" si="231">GETPAYMONTH(DATE(YEAR(B570),MONTH(B570-4)+1,1))</f>
        <v>4</v>
      </c>
      <c r="B570" s="392">
        <v>43730</v>
      </c>
      <c r="C570" s="77" t="s">
        <v>669</v>
      </c>
      <c r="D570" s="231"/>
      <c r="E570" s="74"/>
      <c r="F570" s="378"/>
      <c r="G570" s="74"/>
      <c r="H570" s="75"/>
      <c r="J570" s="138"/>
      <c r="K570" s="253"/>
      <c r="V570" s="120" t="str">
        <f t="shared" si="229"/>
        <v>DP:</v>
      </c>
    </row>
    <row r="571" spans="1:22" ht="12.75" hidden="1" customHeight="1" x14ac:dyDescent="0.25">
      <c r="A571" s="120">
        <f t="shared" si="231"/>
        <v>4</v>
      </c>
      <c r="B571" s="392">
        <v>43737</v>
      </c>
      <c r="C571" s="77" t="s">
        <v>669</v>
      </c>
      <c r="D571" s="231"/>
      <c r="E571" s="78"/>
      <c r="F571" s="340"/>
      <c r="G571" s="78"/>
      <c r="H571" s="79"/>
      <c r="J571" s="138"/>
      <c r="K571" s="253"/>
      <c r="V571" s="120" t="str">
        <f t="shared" si="229"/>
        <v>DP:</v>
      </c>
    </row>
    <row r="572" spans="1:22" ht="12.75" hidden="1" customHeight="1" x14ac:dyDescent="0.25">
      <c r="A572" s="123">
        <f t="shared" si="231"/>
        <v>4</v>
      </c>
      <c r="B572" s="394">
        <v>43737</v>
      </c>
      <c r="C572" s="79" t="s">
        <v>678</v>
      </c>
      <c r="D572" s="269"/>
      <c r="E572" s="316">
        <f>SUM(E570:E571)</f>
        <v>0</v>
      </c>
      <c r="F572" s="78"/>
      <c r="G572" s="78"/>
      <c r="H572" s="79"/>
      <c r="J572" s="138"/>
      <c r="K572" s="253"/>
      <c r="V572" s="120" t="str">
        <f t="shared" si="229"/>
        <v>ANK:</v>
      </c>
    </row>
    <row r="573" spans="1:22" ht="12.75" hidden="1" customHeight="1" x14ac:dyDescent="0.25">
      <c r="A573" s="120">
        <f>GETPAYMONTH(DATE(YEAR(B573),MONTH(B573-4)+1,1))</f>
        <v>5</v>
      </c>
      <c r="B573" s="392">
        <v>43744</v>
      </c>
      <c r="C573" s="77" t="s">
        <v>669</v>
      </c>
      <c r="D573" s="231"/>
      <c r="E573" s="74"/>
      <c r="F573" s="378"/>
      <c r="G573" s="74"/>
      <c r="H573" s="75"/>
      <c r="J573" s="138"/>
      <c r="K573" s="253"/>
      <c r="V573" s="120" t="str">
        <f t="shared" si="229"/>
        <v>DP:</v>
      </c>
    </row>
    <row r="574" spans="1:22" ht="12.75" hidden="1" customHeight="1" x14ac:dyDescent="0.25">
      <c r="A574" s="120">
        <f>GETPAYMONTH(DATE(YEAR(B574),MONTH(B574-4)+1,1))</f>
        <v>5</v>
      </c>
      <c r="B574" s="392">
        <v>43751</v>
      </c>
      <c r="C574" s="77" t="s">
        <v>669</v>
      </c>
      <c r="D574" s="231"/>
      <c r="E574" s="78"/>
      <c r="F574" s="340"/>
      <c r="G574" s="78"/>
      <c r="H574" s="79"/>
      <c r="J574" s="138"/>
      <c r="K574" s="253"/>
      <c r="V574" s="120" t="str">
        <f t="shared" si="229"/>
        <v>DP:</v>
      </c>
    </row>
    <row r="575" spans="1:22" ht="12.75" hidden="1" customHeight="1" x14ac:dyDescent="0.25">
      <c r="A575" s="123">
        <f>GETPAYMONTH(DATE(YEAR(B575),MONTH(B575-4)+1,1))</f>
        <v>5</v>
      </c>
      <c r="B575" s="394">
        <v>43751</v>
      </c>
      <c r="C575" s="79" t="s">
        <v>678</v>
      </c>
      <c r="D575" s="269"/>
      <c r="E575" s="316">
        <f>SUM(E573:E574)</f>
        <v>0</v>
      </c>
      <c r="F575" s="78"/>
      <c r="G575" s="78"/>
      <c r="H575" s="79"/>
      <c r="J575" s="138"/>
      <c r="K575" s="253"/>
      <c r="V575" s="120" t="str">
        <f t="shared" si="229"/>
        <v>ANK:</v>
      </c>
    </row>
    <row r="576" spans="1:22" ht="12.75" hidden="1" customHeight="1" x14ac:dyDescent="0.25">
      <c r="A576" s="120">
        <f t="shared" ref="A576:A578" si="232">GETPAYMONTH(DATE(YEAR(B576),MONTH(B576-4)+1,1))</f>
        <v>5</v>
      </c>
      <c r="B576" s="392">
        <v>43758</v>
      </c>
      <c r="C576" s="77" t="s">
        <v>669</v>
      </c>
      <c r="D576" s="231"/>
      <c r="E576" s="74"/>
      <c r="F576" s="378"/>
      <c r="G576" s="74"/>
      <c r="H576" s="75"/>
      <c r="J576" s="138"/>
      <c r="K576" s="253"/>
      <c r="V576" s="120" t="str">
        <f t="shared" si="229"/>
        <v>DP:</v>
      </c>
    </row>
    <row r="577" spans="1:22" ht="12.75" hidden="1" customHeight="1" x14ac:dyDescent="0.25">
      <c r="A577" s="120">
        <f t="shared" si="232"/>
        <v>5</v>
      </c>
      <c r="B577" s="392">
        <v>43765</v>
      </c>
      <c r="C577" s="77" t="s">
        <v>669</v>
      </c>
      <c r="D577" s="231"/>
      <c r="E577" s="78"/>
      <c r="F577" s="340"/>
      <c r="G577" s="78"/>
      <c r="H577" s="79"/>
      <c r="J577" s="138"/>
      <c r="K577" s="253"/>
      <c r="V577" s="120" t="str">
        <f t="shared" si="229"/>
        <v>DP:</v>
      </c>
    </row>
    <row r="578" spans="1:22" ht="12.75" hidden="1" customHeight="1" x14ac:dyDescent="0.25">
      <c r="A578" s="123">
        <f t="shared" si="232"/>
        <v>5</v>
      </c>
      <c r="B578" s="394">
        <v>43765</v>
      </c>
      <c r="C578" s="79" t="s">
        <v>678</v>
      </c>
      <c r="D578" s="269"/>
      <c r="E578" s="316">
        <f>SUM(E576:E577)</f>
        <v>0</v>
      </c>
      <c r="F578" s="78"/>
      <c r="G578" s="78"/>
      <c r="H578" s="79"/>
      <c r="J578" s="138"/>
      <c r="K578" s="253"/>
      <c r="V578" s="120" t="str">
        <f t="shared" si="229"/>
        <v>ANK:</v>
      </c>
    </row>
    <row r="579" spans="1:22" ht="12.75" hidden="1" customHeight="1" x14ac:dyDescent="0.25">
      <c r="A579" s="120">
        <f>GETPAYMONTH(DATE(YEAR(B579),MONTH(B579-4)+1,1))</f>
        <v>5</v>
      </c>
      <c r="B579" s="392">
        <v>43772</v>
      </c>
      <c r="C579" s="77" t="s">
        <v>669</v>
      </c>
      <c r="D579" s="231"/>
      <c r="E579" s="74"/>
      <c r="F579" s="378"/>
      <c r="G579" s="74"/>
      <c r="H579" s="75"/>
      <c r="J579" s="138"/>
      <c r="K579" s="253"/>
      <c r="V579" s="120" t="str">
        <f t="shared" si="229"/>
        <v>DP:</v>
      </c>
    </row>
    <row r="580" spans="1:22" ht="12.75" hidden="1" customHeight="1" x14ac:dyDescent="0.25">
      <c r="A580" s="120">
        <f>GETPAYMONTH(DATE(YEAR(B580),MONTH(B580-4)+1,1))</f>
        <v>6</v>
      </c>
      <c r="B580" s="392">
        <v>43779</v>
      </c>
      <c r="C580" s="77" t="s">
        <v>669</v>
      </c>
      <c r="D580" s="231"/>
      <c r="E580" s="78"/>
      <c r="F580" s="340"/>
      <c r="G580" s="78"/>
      <c r="H580" s="79"/>
      <c r="J580" s="138"/>
      <c r="K580" s="253"/>
      <c r="V580" s="120" t="str">
        <f t="shared" si="229"/>
        <v>DP:</v>
      </c>
    </row>
    <row r="581" spans="1:22" ht="12.75" hidden="1" customHeight="1" x14ac:dyDescent="0.25">
      <c r="A581" s="123">
        <f t="shared" ref="A581" si="233">GETPAYMONTH(DATE(YEAR(B581),MONTH(B581-4)+1,1))</f>
        <v>6</v>
      </c>
      <c r="B581" s="394">
        <v>43779</v>
      </c>
      <c r="C581" s="79" t="s">
        <v>678</v>
      </c>
      <c r="D581" s="269"/>
      <c r="E581" s="76">
        <f>SUM(E579:E580)</f>
        <v>0</v>
      </c>
      <c r="F581" s="76"/>
      <c r="G581" s="76"/>
      <c r="H581" s="77"/>
      <c r="J581" s="138"/>
      <c r="V581" s="120" t="str">
        <f t="shared" ref="V581:V625" si="234">C581 &amp;":"&amp; D581</f>
        <v>ANK:</v>
      </c>
    </row>
    <row r="582" spans="1:22" ht="12.75" hidden="1" customHeight="1" x14ac:dyDescent="0.25">
      <c r="A582" s="120">
        <f t="shared" ref="A582:A584" si="235">GETPAYMONTH(DATE(YEAR(B582),MONTH(B582-4)+1,1))</f>
        <v>6</v>
      </c>
      <c r="B582" s="392">
        <v>43786</v>
      </c>
      <c r="C582" s="77" t="s">
        <v>669</v>
      </c>
      <c r="D582" s="231"/>
      <c r="E582" s="74"/>
      <c r="F582" s="378"/>
      <c r="G582" s="74"/>
      <c r="H582" s="75"/>
      <c r="J582" s="138"/>
      <c r="V582" s="120" t="str">
        <f t="shared" si="229"/>
        <v>DP:</v>
      </c>
    </row>
    <row r="583" spans="1:22" ht="12.75" hidden="1" customHeight="1" x14ac:dyDescent="0.25">
      <c r="A583" s="120">
        <f t="shared" si="235"/>
        <v>6</v>
      </c>
      <c r="B583" s="392">
        <v>43793</v>
      </c>
      <c r="C583" s="77" t="s">
        <v>669</v>
      </c>
      <c r="D583" s="231"/>
      <c r="E583" s="78"/>
      <c r="F583" s="340"/>
      <c r="G583" s="78"/>
      <c r="H583" s="79"/>
      <c r="J583" s="138"/>
      <c r="V583" s="120" t="str">
        <f t="shared" si="229"/>
        <v>DP:</v>
      </c>
    </row>
    <row r="584" spans="1:22" ht="12.75" hidden="1" customHeight="1" x14ac:dyDescent="0.25">
      <c r="A584" s="123">
        <f t="shared" si="235"/>
        <v>6</v>
      </c>
      <c r="B584" s="394">
        <v>43793</v>
      </c>
      <c r="C584" s="79" t="s">
        <v>678</v>
      </c>
      <c r="D584" s="269"/>
      <c r="E584" s="76">
        <f>SUM(E582:E583)</f>
        <v>0</v>
      </c>
      <c r="F584" s="76"/>
      <c r="G584" s="76"/>
      <c r="H584" s="77"/>
      <c r="J584" s="138"/>
      <c r="U584" s="129"/>
      <c r="V584" s="120" t="str">
        <f t="shared" si="234"/>
        <v>ANK:</v>
      </c>
    </row>
    <row r="585" spans="1:22" ht="12.75" hidden="1" customHeight="1" x14ac:dyDescent="0.25">
      <c r="A585" s="120">
        <f t="shared" ref="A585:A626" si="236">GETPAYMONTH(DATE(YEAR(B585),MONTH(B585-4)+1,1))</f>
        <v>6</v>
      </c>
      <c r="B585" s="392">
        <v>43800</v>
      </c>
      <c r="C585" s="77" t="s">
        <v>669</v>
      </c>
      <c r="D585" s="231"/>
      <c r="E585" s="74"/>
      <c r="F585" s="378"/>
      <c r="G585" s="74"/>
      <c r="H585" s="75"/>
      <c r="J585" s="138"/>
      <c r="V585" s="120" t="str">
        <f t="shared" si="229"/>
        <v>DP:</v>
      </c>
    </row>
    <row r="586" spans="1:22" ht="12.75" hidden="1" customHeight="1" x14ac:dyDescent="0.25">
      <c r="A586" s="120">
        <f t="shared" si="236"/>
        <v>7</v>
      </c>
      <c r="B586" s="392">
        <v>43807</v>
      </c>
      <c r="C586" s="77" t="s">
        <v>669</v>
      </c>
      <c r="D586" s="231"/>
      <c r="E586" s="78"/>
      <c r="F586" s="340"/>
      <c r="G586" s="78"/>
      <c r="H586" s="79"/>
      <c r="J586" s="138"/>
      <c r="V586" s="120" t="str">
        <f t="shared" si="229"/>
        <v>DP:</v>
      </c>
    </row>
    <row r="587" spans="1:22" ht="12.75" hidden="1" customHeight="1" x14ac:dyDescent="0.25">
      <c r="A587" s="123">
        <f t="shared" si="236"/>
        <v>7</v>
      </c>
      <c r="B587" s="394">
        <v>43807</v>
      </c>
      <c r="C587" s="79" t="s">
        <v>678</v>
      </c>
      <c r="D587" s="269"/>
      <c r="E587" s="76">
        <f>SUM(E585:E586)</f>
        <v>0</v>
      </c>
      <c r="F587" s="76"/>
      <c r="G587" s="76"/>
      <c r="H587" s="77"/>
      <c r="J587" s="138"/>
      <c r="V587" s="120" t="str">
        <f t="shared" si="234"/>
        <v>ANK:</v>
      </c>
    </row>
    <row r="588" spans="1:22" ht="12.75" hidden="1" customHeight="1" x14ac:dyDescent="0.25">
      <c r="A588" s="120">
        <f t="shared" si="236"/>
        <v>7</v>
      </c>
      <c r="B588" s="392">
        <v>43814</v>
      </c>
      <c r="C588" s="77" t="s">
        <v>669</v>
      </c>
      <c r="D588" s="231"/>
      <c r="E588" s="74"/>
      <c r="F588" s="378"/>
      <c r="G588" s="74"/>
      <c r="H588" s="75"/>
      <c r="J588" s="138"/>
      <c r="V588" s="120" t="str">
        <f t="shared" si="229"/>
        <v>DP:</v>
      </c>
    </row>
    <row r="589" spans="1:22" ht="12.75" hidden="1" customHeight="1" x14ac:dyDescent="0.25">
      <c r="A589" s="120">
        <f t="shared" si="236"/>
        <v>7</v>
      </c>
      <c r="B589" s="392">
        <v>43821</v>
      </c>
      <c r="C589" s="77" t="s">
        <v>669</v>
      </c>
      <c r="D589" s="231"/>
      <c r="E589" s="78"/>
      <c r="F589" s="340"/>
      <c r="G589" s="78"/>
      <c r="H589" s="79"/>
      <c r="J589" s="138"/>
      <c r="V589" s="120" t="str">
        <f t="shared" si="229"/>
        <v>DP:</v>
      </c>
    </row>
    <row r="590" spans="1:22" ht="12.75" hidden="1" customHeight="1" x14ac:dyDescent="0.25">
      <c r="A590" s="123">
        <f t="shared" si="236"/>
        <v>7</v>
      </c>
      <c r="B590" s="394">
        <v>43821</v>
      </c>
      <c r="C590" s="79" t="s">
        <v>678</v>
      </c>
      <c r="D590" s="269"/>
      <c r="E590" s="76">
        <f>SUM(E588:E589)</f>
        <v>0</v>
      </c>
      <c r="F590" s="76"/>
      <c r="G590" s="76"/>
      <c r="H590" s="77"/>
      <c r="J590" s="138"/>
      <c r="V590" s="120" t="str">
        <f t="shared" si="234"/>
        <v>ANK:</v>
      </c>
    </row>
    <row r="591" spans="1:22" ht="12.75" hidden="1" customHeight="1" x14ac:dyDescent="0.25">
      <c r="A591" s="120">
        <f t="shared" si="236"/>
        <v>7</v>
      </c>
      <c r="B591" s="392">
        <v>43828</v>
      </c>
      <c r="C591" s="77" t="s">
        <v>669</v>
      </c>
      <c r="D591" s="231"/>
      <c r="E591" s="74"/>
      <c r="F591" s="378"/>
      <c r="G591" s="74"/>
      <c r="H591" s="75"/>
      <c r="I591" s="328"/>
      <c r="J591" s="138"/>
      <c r="V591" s="120" t="str">
        <f t="shared" si="229"/>
        <v>DP:</v>
      </c>
    </row>
    <row r="592" spans="1:22" ht="12.75" hidden="1" customHeight="1" x14ac:dyDescent="0.25">
      <c r="A592" s="120">
        <f t="shared" si="236"/>
        <v>8</v>
      </c>
      <c r="B592" s="392">
        <v>43835</v>
      </c>
      <c r="C592" s="77" t="s">
        <v>669</v>
      </c>
      <c r="D592" s="231"/>
      <c r="E592" s="78"/>
      <c r="F592" s="340"/>
      <c r="G592" s="78"/>
      <c r="H592" s="79"/>
      <c r="I592" s="328"/>
      <c r="J592" s="138"/>
      <c r="V592" s="120" t="str">
        <f t="shared" si="229"/>
        <v>DP:</v>
      </c>
    </row>
    <row r="593" spans="1:22" ht="12.75" hidden="1" customHeight="1" x14ac:dyDescent="0.25">
      <c r="A593" s="123">
        <f t="shared" si="236"/>
        <v>8</v>
      </c>
      <c r="B593" s="394">
        <v>43835</v>
      </c>
      <c r="C593" s="79" t="s">
        <v>678</v>
      </c>
      <c r="D593" s="269"/>
      <c r="E593" s="76">
        <f>SUM(E591:E592)</f>
        <v>0</v>
      </c>
      <c r="F593" s="76"/>
      <c r="G593" s="76"/>
      <c r="H593" s="77"/>
      <c r="I593" s="22"/>
      <c r="J593" s="138"/>
      <c r="V593" s="120" t="str">
        <f t="shared" si="234"/>
        <v>ANK:</v>
      </c>
    </row>
    <row r="594" spans="1:22" ht="12.75" hidden="1" customHeight="1" x14ac:dyDescent="0.25">
      <c r="A594" s="120">
        <f t="shared" ref="A594:A596" si="237">GETPAYMONTH(DATE(YEAR(B594),MONTH(B594-4)+1,1))</f>
        <v>8</v>
      </c>
      <c r="B594" s="392">
        <v>43842</v>
      </c>
      <c r="C594" s="77" t="s">
        <v>669</v>
      </c>
      <c r="D594" s="231"/>
      <c r="E594" s="74"/>
      <c r="F594" s="378"/>
      <c r="G594" s="74"/>
      <c r="H594" s="75"/>
      <c r="J594" s="138"/>
      <c r="V594" s="120" t="str">
        <f t="shared" si="229"/>
        <v>DP:</v>
      </c>
    </row>
    <row r="595" spans="1:22" ht="12.75" hidden="1" customHeight="1" x14ac:dyDescent="0.25">
      <c r="A595" s="120">
        <f t="shared" si="237"/>
        <v>8</v>
      </c>
      <c r="B595" s="392">
        <v>43849</v>
      </c>
      <c r="C595" s="77" t="s">
        <v>669</v>
      </c>
      <c r="D595" s="231"/>
      <c r="E595" s="78"/>
      <c r="F595" s="340"/>
      <c r="G595" s="78"/>
      <c r="H595" s="79"/>
      <c r="J595" s="138"/>
      <c r="V595" s="120" t="str">
        <f t="shared" si="229"/>
        <v>DP:</v>
      </c>
    </row>
    <row r="596" spans="1:22" ht="12.75" hidden="1" customHeight="1" x14ac:dyDescent="0.25">
      <c r="A596" s="123">
        <f t="shared" si="237"/>
        <v>8</v>
      </c>
      <c r="B596" s="394">
        <v>43849</v>
      </c>
      <c r="C596" s="79" t="s">
        <v>678</v>
      </c>
      <c r="D596" s="269"/>
      <c r="E596" s="76">
        <f>SUM(E594:E595)</f>
        <v>0</v>
      </c>
      <c r="F596" s="76"/>
      <c r="G596" s="76"/>
      <c r="H596" s="77"/>
      <c r="J596" s="138"/>
      <c r="V596" s="120" t="str">
        <f t="shared" ref="V596" si="238">C596 &amp;":"&amp; D596</f>
        <v>ANK:</v>
      </c>
    </row>
    <row r="597" spans="1:22" ht="12.75" hidden="1" customHeight="1" x14ac:dyDescent="0.25">
      <c r="A597" s="120">
        <f t="shared" si="236"/>
        <v>8</v>
      </c>
      <c r="B597" s="392">
        <v>43842</v>
      </c>
      <c r="C597" s="77" t="s">
        <v>669</v>
      </c>
      <c r="D597" s="231"/>
      <c r="E597" s="74"/>
      <c r="F597" s="378"/>
      <c r="G597" s="74"/>
      <c r="H597" s="75"/>
      <c r="J597" s="138"/>
      <c r="V597" s="120" t="str">
        <f t="shared" si="229"/>
        <v>DP:</v>
      </c>
    </row>
    <row r="598" spans="1:22" ht="12.75" hidden="1" customHeight="1" x14ac:dyDescent="0.25">
      <c r="A598" s="120">
        <f t="shared" si="236"/>
        <v>8</v>
      </c>
      <c r="B598" s="392">
        <v>43849</v>
      </c>
      <c r="C598" s="77" t="s">
        <v>669</v>
      </c>
      <c r="D598" s="231"/>
      <c r="E598" s="78"/>
      <c r="F598" s="340"/>
      <c r="G598" s="78"/>
      <c r="H598" s="79"/>
      <c r="J598" s="138"/>
      <c r="V598" s="120" t="str">
        <f t="shared" si="229"/>
        <v>DP:</v>
      </c>
    </row>
    <row r="599" spans="1:22" ht="12.75" hidden="1" customHeight="1" x14ac:dyDescent="0.25">
      <c r="A599" s="123">
        <f t="shared" si="236"/>
        <v>8</v>
      </c>
      <c r="B599" s="394">
        <v>43849</v>
      </c>
      <c r="C599" s="79" t="s">
        <v>678</v>
      </c>
      <c r="D599" s="269"/>
      <c r="E599" s="76">
        <f>SUM(E597:E598)</f>
        <v>0</v>
      </c>
      <c r="F599" s="76"/>
      <c r="G599" s="76"/>
      <c r="H599" s="77"/>
      <c r="J599" s="138"/>
      <c r="V599" s="120" t="str">
        <f t="shared" si="234"/>
        <v>ANK:</v>
      </c>
    </row>
    <row r="600" spans="1:22" ht="12.75" hidden="1" customHeight="1" x14ac:dyDescent="0.25">
      <c r="A600" s="120">
        <f t="shared" si="236"/>
        <v>8</v>
      </c>
      <c r="B600" s="392">
        <v>43856</v>
      </c>
      <c r="C600" s="77" t="s">
        <v>669</v>
      </c>
      <c r="D600" s="231"/>
      <c r="E600" s="74"/>
      <c r="F600" s="378"/>
      <c r="G600" s="74"/>
      <c r="H600" s="75"/>
      <c r="J600" s="138"/>
      <c r="V600" s="120" t="str">
        <f t="shared" si="229"/>
        <v>DP:</v>
      </c>
    </row>
    <row r="601" spans="1:22" ht="12.75" hidden="1" customHeight="1" x14ac:dyDescent="0.25">
      <c r="A601" s="120">
        <f t="shared" si="236"/>
        <v>8</v>
      </c>
      <c r="B601" s="392">
        <v>43863</v>
      </c>
      <c r="C601" s="77" t="s">
        <v>669</v>
      </c>
      <c r="D601" s="231"/>
      <c r="E601" s="78"/>
      <c r="F601" s="340"/>
      <c r="G601" s="78"/>
      <c r="H601" s="79"/>
      <c r="J601" s="138"/>
      <c r="V601" s="120" t="str">
        <f t="shared" si="229"/>
        <v>DP:</v>
      </c>
    </row>
    <row r="602" spans="1:22" ht="12.75" hidden="1" customHeight="1" x14ac:dyDescent="0.25">
      <c r="A602" s="123">
        <f t="shared" si="236"/>
        <v>8</v>
      </c>
      <c r="B602" s="394">
        <v>43863</v>
      </c>
      <c r="C602" s="79" t="s">
        <v>678</v>
      </c>
      <c r="D602" s="269"/>
      <c r="E602" s="76">
        <f>SUM(E600:E601)</f>
        <v>0</v>
      </c>
      <c r="F602" s="76"/>
      <c r="G602" s="76"/>
      <c r="H602" s="77"/>
      <c r="J602" s="138"/>
      <c r="V602" s="120" t="str">
        <f t="shared" si="234"/>
        <v>ANK:</v>
      </c>
    </row>
    <row r="603" spans="1:22" ht="12.75" hidden="1" customHeight="1" x14ac:dyDescent="0.25">
      <c r="A603" s="120">
        <f t="shared" si="236"/>
        <v>9</v>
      </c>
      <c r="B603" s="392">
        <v>43870</v>
      </c>
      <c r="C603" s="77" t="s">
        <v>669</v>
      </c>
      <c r="D603" s="231"/>
      <c r="E603" s="74"/>
      <c r="F603" s="378"/>
      <c r="G603" s="74"/>
      <c r="H603" s="75"/>
      <c r="J603" s="138"/>
      <c r="V603" s="120" t="str">
        <f t="shared" si="229"/>
        <v>DP:</v>
      </c>
    </row>
    <row r="604" spans="1:22" ht="12.75" hidden="1" customHeight="1" x14ac:dyDescent="0.25">
      <c r="A604" s="120">
        <f t="shared" si="236"/>
        <v>9</v>
      </c>
      <c r="B604" s="392">
        <v>43877</v>
      </c>
      <c r="C604" s="77" t="s">
        <v>669</v>
      </c>
      <c r="D604" s="231"/>
      <c r="E604" s="78"/>
      <c r="F604" s="340"/>
      <c r="G604" s="78"/>
      <c r="H604" s="79"/>
      <c r="J604" s="138"/>
      <c r="V604" s="120" t="str">
        <f t="shared" si="229"/>
        <v>DP:</v>
      </c>
    </row>
    <row r="605" spans="1:22" ht="12.75" hidden="1" customHeight="1" x14ac:dyDescent="0.25">
      <c r="A605" s="123">
        <f t="shared" si="236"/>
        <v>9</v>
      </c>
      <c r="B605" s="394">
        <v>43877</v>
      </c>
      <c r="C605" s="79" t="s">
        <v>678</v>
      </c>
      <c r="D605" s="269"/>
      <c r="E605" s="76">
        <f>SUM(E603:E604)</f>
        <v>0</v>
      </c>
      <c r="F605" s="76"/>
      <c r="G605" s="76"/>
      <c r="H605" s="77"/>
      <c r="J605" s="138"/>
      <c r="K605" s="62"/>
      <c r="V605" s="120" t="str">
        <f t="shared" si="234"/>
        <v>ANK:</v>
      </c>
    </row>
    <row r="606" spans="1:22" ht="12.75" hidden="1" customHeight="1" x14ac:dyDescent="0.25">
      <c r="A606" s="120">
        <f t="shared" si="236"/>
        <v>9</v>
      </c>
      <c r="B606" s="392">
        <v>43884</v>
      </c>
      <c r="C606" s="77" t="s">
        <v>669</v>
      </c>
      <c r="D606" s="231"/>
      <c r="E606" s="74"/>
      <c r="F606" s="378"/>
      <c r="G606" s="74"/>
      <c r="H606" s="75"/>
      <c r="J606" s="138"/>
      <c r="V606" s="120" t="str">
        <f t="shared" si="229"/>
        <v>DP:</v>
      </c>
    </row>
    <row r="607" spans="1:22" ht="12.75" hidden="1" customHeight="1" x14ac:dyDescent="0.25">
      <c r="A607" s="120">
        <f t="shared" si="236"/>
        <v>9</v>
      </c>
      <c r="B607" s="392">
        <v>43891</v>
      </c>
      <c r="C607" s="77" t="s">
        <v>669</v>
      </c>
      <c r="D607" s="231"/>
      <c r="E607" s="78"/>
      <c r="F607" s="340"/>
      <c r="G607" s="78"/>
      <c r="H607" s="79"/>
      <c r="I607" s="383"/>
      <c r="J607" s="138"/>
      <c r="V607" s="120" t="str">
        <f t="shared" si="229"/>
        <v>DP:</v>
      </c>
    </row>
    <row r="608" spans="1:22" ht="12.75" hidden="1" customHeight="1" x14ac:dyDescent="0.25">
      <c r="A608" s="123">
        <f t="shared" si="236"/>
        <v>9</v>
      </c>
      <c r="B608" s="394">
        <v>43891</v>
      </c>
      <c r="C608" s="79" t="s">
        <v>678</v>
      </c>
      <c r="D608" s="269"/>
      <c r="E608" s="76">
        <f>SUM(E606:E607)</f>
        <v>0</v>
      </c>
      <c r="F608" s="76"/>
      <c r="G608" s="76"/>
      <c r="H608" s="77"/>
      <c r="J608" s="138"/>
      <c r="V608" s="120" t="str">
        <f t="shared" si="234"/>
        <v>ANK:</v>
      </c>
    </row>
    <row r="609" spans="1:22" ht="12.75" hidden="1" customHeight="1" x14ac:dyDescent="0.25">
      <c r="A609" s="120">
        <f t="shared" si="236"/>
        <v>10</v>
      </c>
      <c r="B609" s="392">
        <v>43898</v>
      </c>
      <c r="C609" s="77" t="s">
        <v>669</v>
      </c>
      <c r="D609" s="231"/>
      <c r="E609" s="74"/>
      <c r="F609" s="378"/>
      <c r="G609" s="74"/>
      <c r="H609" s="75"/>
      <c r="J609" s="138"/>
      <c r="V609" s="120" t="str">
        <f t="shared" si="229"/>
        <v>DP:</v>
      </c>
    </row>
    <row r="610" spans="1:22" ht="12.75" hidden="1" customHeight="1" x14ac:dyDescent="0.25">
      <c r="A610" s="120">
        <f t="shared" si="236"/>
        <v>10</v>
      </c>
      <c r="B610" s="392">
        <v>43905</v>
      </c>
      <c r="C610" s="77" t="s">
        <v>669</v>
      </c>
      <c r="D610" s="231"/>
      <c r="E610" s="78"/>
      <c r="F610" s="340"/>
      <c r="G610" s="78"/>
      <c r="H610" s="79"/>
      <c r="J610" s="138"/>
      <c r="V610" s="120" t="str">
        <f t="shared" si="229"/>
        <v>DP:</v>
      </c>
    </row>
    <row r="611" spans="1:22" ht="12.75" hidden="1" customHeight="1" x14ac:dyDescent="0.25">
      <c r="A611" s="123">
        <f t="shared" si="236"/>
        <v>10</v>
      </c>
      <c r="B611" s="394">
        <v>43905</v>
      </c>
      <c r="C611" s="79" t="s">
        <v>678</v>
      </c>
      <c r="D611" s="269"/>
      <c r="E611" s="76">
        <f>SUM(E609:E610)</f>
        <v>0</v>
      </c>
      <c r="F611" s="76"/>
      <c r="G611" s="76"/>
      <c r="H611" s="77"/>
      <c r="J611" s="138"/>
      <c r="V611" s="120" t="str">
        <f t="shared" si="234"/>
        <v>ANK:</v>
      </c>
    </row>
    <row r="612" spans="1:22" ht="12.75" hidden="1" customHeight="1" x14ac:dyDescent="0.25">
      <c r="A612" s="120">
        <f t="shared" si="236"/>
        <v>10</v>
      </c>
      <c r="B612" s="392">
        <v>43912</v>
      </c>
      <c r="C612" s="77" t="s">
        <v>669</v>
      </c>
      <c r="D612" s="231"/>
      <c r="E612" s="74"/>
      <c r="F612" s="378"/>
      <c r="G612" s="74"/>
      <c r="H612" s="75"/>
      <c r="J612" s="138"/>
      <c r="V612" s="120" t="str">
        <f t="shared" si="229"/>
        <v>DP:</v>
      </c>
    </row>
    <row r="613" spans="1:22" ht="12.75" hidden="1" customHeight="1" x14ac:dyDescent="0.25">
      <c r="A613" s="120">
        <f t="shared" si="236"/>
        <v>10</v>
      </c>
      <c r="B613" s="392">
        <v>43919</v>
      </c>
      <c r="C613" s="77" t="s">
        <v>669</v>
      </c>
      <c r="D613" s="231"/>
      <c r="E613" s="78"/>
      <c r="F613" s="340"/>
      <c r="G613" s="78"/>
      <c r="H613" s="79"/>
      <c r="J613" s="138"/>
      <c r="V613" s="120" t="str">
        <f t="shared" si="229"/>
        <v>DP:</v>
      </c>
    </row>
    <row r="614" spans="1:22" ht="12.75" hidden="1" customHeight="1" x14ac:dyDescent="0.25">
      <c r="A614" s="123">
        <f t="shared" si="236"/>
        <v>10</v>
      </c>
      <c r="B614" s="394">
        <v>43919</v>
      </c>
      <c r="C614" s="79" t="s">
        <v>678</v>
      </c>
      <c r="D614" s="269"/>
      <c r="E614" s="76">
        <f>SUM(E612:E613)</f>
        <v>0</v>
      </c>
      <c r="F614" s="76"/>
      <c r="G614" s="76"/>
      <c r="H614" s="77"/>
      <c r="J614" s="138"/>
      <c r="K614" s="253"/>
      <c r="V614" s="120" t="str">
        <f t="shared" si="234"/>
        <v>ANK:</v>
      </c>
    </row>
    <row r="615" spans="1:22" ht="12.75" hidden="1" customHeight="1" x14ac:dyDescent="0.25">
      <c r="A615" s="120">
        <f t="shared" si="236"/>
        <v>11</v>
      </c>
      <c r="B615" s="392">
        <v>43926</v>
      </c>
      <c r="C615" s="77" t="s">
        <v>669</v>
      </c>
      <c r="D615" s="231"/>
      <c r="E615" s="74"/>
      <c r="F615" s="378"/>
      <c r="G615" s="74"/>
      <c r="H615" s="75"/>
      <c r="J615" s="138"/>
      <c r="K615" s="253"/>
      <c r="V615" s="120" t="str">
        <f t="shared" si="229"/>
        <v>DP:</v>
      </c>
    </row>
    <row r="616" spans="1:22" ht="12.75" hidden="1" customHeight="1" x14ac:dyDescent="0.25">
      <c r="A616" s="120">
        <f t="shared" si="236"/>
        <v>11</v>
      </c>
      <c r="B616" s="392">
        <v>43933</v>
      </c>
      <c r="C616" s="77" t="s">
        <v>669</v>
      </c>
      <c r="D616" s="231"/>
      <c r="E616" s="78"/>
      <c r="F616" s="340"/>
      <c r="G616" s="78"/>
      <c r="H616" s="79"/>
      <c r="J616" s="138"/>
      <c r="K616" s="353"/>
      <c r="L616" s="161"/>
      <c r="M616" s="161"/>
      <c r="V616" s="120" t="str">
        <f t="shared" ref="V616" si="239">C616 &amp;":"&amp; D616</f>
        <v>DP:</v>
      </c>
    </row>
    <row r="617" spans="1:22" ht="12.75" hidden="1" customHeight="1" x14ac:dyDescent="0.25">
      <c r="A617" s="123">
        <f t="shared" si="236"/>
        <v>11</v>
      </c>
      <c r="B617" s="394">
        <v>43933</v>
      </c>
      <c r="C617" s="79" t="s">
        <v>678</v>
      </c>
      <c r="D617" s="269"/>
      <c r="E617" s="76">
        <f>SUM(E615:E616)</f>
        <v>0</v>
      </c>
      <c r="F617" s="76"/>
      <c r="G617" s="76"/>
      <c r="H617" s="77"/>
      <c r="J617" s="138"/>
      <c r="K617" s="253"/>
      <c r="V617" s="120" t="str">
        <f t="shared" si="234"/>
        <v>ANK:</v>
      </c>
    </row>
    <row r="618" spans="1:22" ht="12.75" hidden="1" customHeight="1" x14ac:dyDescent="0.25">
      <c r="A618" s="120">
        <f t="shared" si="236"/>
        <v>11</v>
      </c>
      <c r="B618" s="392">
        <v>43940</v>
      </c>
      <c r="C618" s="77" t="s">
        <v>669</v>
      </c>
      <c r="D618" s="231"/>
      <c r="E618" s="74"/>
      <c r="F618" s="378"/>
      <c r="G618" s="74"/>
      <c r="H618" s="75"/>
      <c r="J618" s="138"/>
      <c r="K618" s="253"/>
      <c r="V618" s="120" t="str">
        <f t="shared" si="234"/>
        <v>DP:</v>
      </c>
    </row>
    <row r="619" spans="1:22" ht="12.75" hidden="1" customHeight="1" x14ac:dyDescent="0.25">
      <c r="A619" s="120">
        <f t="shared" si="236"/>
        <v>11</v>
      </c>
      <c r="B619" s="392">
        <v>43947</v>
      </c>
      <c r="C619" s="77" t="s">
        <v>669</v>
      </c>
      <c r="D619" s="231"/>
      <c r="E619" s="78"/>
      <c r="F619" s="340"/>
      <c r="G619" s="78"/>
      <c r="H619" s="79"/>
      <c r="J619" s="138"/>
      <c r="K619" s="253"/>
      <c r="V619" s="120" t="str">
        <f t="shared" si="234"/>
        <v>DP:</v>
      </c>
    </row>
    <row r="620" spans="1:22" ht="12.75" hidden="1" customHeight="1" x14ac:dyDescent="0.25">
      <c r="A620" s="123">
        <f t="shared" si="236"/>
        <v>11</v>
      </c>
      <c r="B620" s="394">
        <v>43948</v>
      </c>
      <c r="C620" s="79" t="s">
        <v>678</v>
      </c>
      <c r="D620" s="269"/>
      <c r="E620" s="76">
        <f>SUM(E618:E619)</f>
        <v>0</v>
      </c>
      <c r="F620" s="316"/>
      <c r="G620" s="316"/>
      <c r="H620" s="315"/>
      <c r="J620" s="138"/>
      <c r="K620" s="253"/>
      <c r="V620" s="120" t="str">
        <f t="shared" si="234"/>
        <v>ANK:</v>
      </c>
    </row>
    <row r="621" spans="1:22" ht="12.75" hidden="1" customHeight="1" x14ac:dyDescent="0.25">
      <c r="A621" s="120">
        <f t="shared" si="236"/>
        <v>11</v>
      </c>
      <c r="B621" s="392">
        <v>43954</v>
      </c>
      <c r="C621" s="77" t="s">
        <v>669</v>
      </c>
      <c r="D621" s="231"/>
      <c r="E621" s="74"/>
      <c r="F621" s="336"/>
      <c r="G621" s="76"/>
      <c r="H621" s="77"/>
      <c r="J621" s="138"/>
      <c r="K621" s="253"/>
      <c r="V621" s="120" t="str">
        <f t="shared" si="234"/>
        <v>DP:</v>
      </c>
    </row>
    <row r="622" spans="1:22" ht="12.75" hidden="1" customHeight="1" x14ac:dyDescent="0.25">
      <c r="A622" s="120">
        <f t="shared" si="236"/>
        <v>12</v>
      </c>
      <c r="B622" s="392">
        <v>43961</v>
      </c>
      <c r="C622" s="77" t="s">
        <v>669</v>
      </c>
      <c r="D622" s="231"/>
      <c r="E622" s="78"/>
      <c r="F622" s="340"/>
      <c r="G622" s="78"/>
      <c r="H622" s="79"/>
      <c r="J622" s="138"/>
      <c r="K622" s="253"/>
      <c r="V622" s="120" t="str">
        <f t="shared" si="234"/>
        <v>DP:</v>
      </c>
    </row>
    <row r="623" spans="1:22" ht="12.75" hidden="1" customHeight="1" x14ac:dyDescent="0.25">
      <c r="A623" s="123">
        <f t="shared" si="236"/>
        <v>12</v>
      </c>
      <c r="B623" s="394">
        <v>43961</v>
      </c>
      <c r="C623" s="79" t="s">
        <v>678</v>
      </c>
      <c r="D623" s="269"/>
      <c r="E623" s="76">
        <f>SUM(E621:E622)</f>
        <v>0</v>
      </c>
      <c r="F623" s="78"/>
      <c r="G623" s="78"/>
      <c r="H623" s="79"/>
      <c r="J623" s="138"/>
      <c r="K623" s="253"/>
      <c r="V623" s="120" t="str">
        <f t="shared" si="234"/>
        <v>ANK:</v>
      </c>
    </row>
    <row r="624" spans="1:22" ht="12.75" hidden="1" customHeight="1" x14ac:dyDescent="0.25">
      <c r="A624" s="120">
        <f t="shared" si="236"/>
        <v>12</v>
      </c>
      <c r="B624" s="392">
        <v>43968</v>
      </c>
      <c r="C624" s="77" t="s">
        <v>669</v>
      </c>
      <c r="D624" s="231"/>
      <c r="E624" s="74"/>
      <c r="F624" s="378"/>
      <c r="G624" s="74"/>
      <c r="H624" s="75"/>
      <c r="J624" s="138"/>
      <c r="K624" s="253"/>
      <c r="V624" s="120" t="str">
        <f t="shared" si="234"/>
        <v>DP:</v>
      </c>
    </row>
    <row r="625" spans="1:22" ht="12.75" hidden="1" customHeight="1" x14ac:dyDescent="0.25">
      <c r="A625" s="120">
        <f t="shared" si="236"/>
        <v>12</v>
      </c>
      <c r="B625" s="392">
        <v>43975</v>
      </c>
      <c r="C625" s="77" t="s">
        <v>669</v>
      </c>
      <c r="D625" s="231"/>
      <c r="E625" s="78"/>
      <c r="F625" s="340"/>
      <c r="G625" s="78"/>
      <c r="H625" s="79"/>
      <c r="J625" s="138"/>
      <c r="K625" s="253"/>
      <c r="V625" s="120" t="str">
        <f t="shared" si="234"/>
        <v>DP:</v>
      </c>
    </row>
    <row r="626" spans="1:22" ht="12.75" hidden="1" customHeight="1" x14ac:dyDescent="0.25">
      <c r="A626" s="123">
        <f t="shared" si="236"/>
        <v>12</v>
      </c>
      <c r="B626" s="394">
        <v>43975</v>
      </c>
      <c r="C626" s="79" t="s">
        <v>678</v>
      </c>
      <c r="D626" s="269"/>
      <c r="E626" s="316">
        <f>SUM(E624:E625)</f>
        <v>0</v>
      </c>
      <c r="F626" s="78"/>
      <c r="G626" s="78"/>
      <c r="H626" s="79"/>
      <c r="J626" s="138"/>
      <c r="K626" s="253"/>
      <c r="V626" s="120" t="str">
        <f t="shared" ref="V626" si="240">C626 &amp;":"&amp; D626</f>
        <v>ANK:</v>
      </c>
    </row>
    <row r="627" spans="1:22" ht="12.75" hidden="1" customHeight="1" x14ac:dyDescent="0.25">
      <c r="A627" s="120">
        <v>1</v>
      </c>
      <c r="B627" s="392">
        <v>43625</v>
      </c>
      <c r="C627" s="77" t="s">
        <v>622</v>
      </c>
      <c r="D627" s="231"/>
      <c r="E627" s="76">
        <v>2.5</v>
      </c>
      <c r="F627" s="76"/>
      <c r="G627" s="76"/>
      <c r="H627" s="77">
        <v>100253</v>
      </c>
      <c r="I627" t="s">
        <v>727</v>
      </c>
      <c r="J627" s="138"/>
      <c r="U627" s="129"/>
      <c r="V627" s="120" t="str">
        <f t="shared" si="216"/>
        <v>GEO:1</v>
      </c>
    </row>
    <row r="628" spans="1:22" ht="12.75" hidden="1" customHeight="1" x14ac:dyDescent="0.25">
      <c r="A628" s="120">
        <f t="shared" ref="A628:A678" si="241">GETPAYMONTH(DATE(YEAR(B628),MONTH(B628-4)+1,1))</f>
        <v>1</v>
      </c>
      <c r="B628" s="392">
        <v>43632</v>
      </c>
      <c r="C628" s="77" t="s">
        <v>622</v>
      </c>
      <c r="D628" s="231">
        <v>43635</v>
      </c>
      <c r="E628" s="76">
        <v>4</v>
      </c>
      <c r="F628" s="76"/>
      <c r="G628" s="76"/>
      <c r="H628" s="77">
        <v>100253</v>
      </c>
      <c r="J628" s="138"/>
      <c r="U628" s="129"/>
      <c r="V628" s="120" t="str">
        <f t="shared" si="216"/>
        <v>GEO:1</v>
      </c>
    </row>
    <row r="629" spans="1:22" ht="12.75" hidden="1" customHeight="1" x14ac:dyDescent="0.25">
      <c r="A629" s="120">
        <f t="shared" si="241"/>
        <v>1</v>
      </c>
      <c r="B629" s="392">
        <v>43639</v>
      </c>
      <c r="C629" s="77" t="s">
        <v>622</v>
      </c>
      <c r="D629" s="231"/>
      <c r="E629" s="76">
        <v>5</v>
      </c>
      <c r="F629" s="76"/>
      <c r="G629" s="76"/>
      <c r="H629" s="77">
        <v>100254</v>
      </c>
      <c r="J629" s="138"/>
      <c r="U629" s="129"/>
      <c r="V629" s="120" t="str">
        <f t="shared" si="216"/>
        <v>GEO:1</v>
      </c>
    </row>
    <row r="630" spans="1:22" ht="12.75" hidden="1" customHeight="1" x14ac:dyDescent="0.25">
      <c r="A630" s="123">
        <f t="shared" si="241"/>
        <v>1</v>
      </c>
      <c r="B630" s="394">
        <v>43646</v>
      </c>
      <c r="C630" s="79" t="s">
        <v>622</v>
      </c>
      <c r="D630" s="269">
        <v>43656</v>
      </c>
      <c r="E630" s="78">
        <v>5</v>
      </c>
      <c r="F630" s="78"/>
      <c r="G630" s="78"/>
      <c r="H630" s="79">
        <v>100254</v>
      </c>
      <c r="J630" s="138"/>
      <c r="U630" s="129"/>
      <c r="V630" s="120" t="str">
        <f t="shared" si="216"/>
        <v>GEO:1</v>
      </c>
    </row>
    <row r="631" spans="1:22" ht="12.75" hidden="1" customHeight="1" x14ac:dyDescent="0.25">
      <c r="A631" s="267">
        <f t="shared" si="241"/>
        <v>2</v>
      </c>
      <c r="B631" s="393">
        <v>43653</v>
      </c>
      <c r="C631" s="75" t="s">
        <v>622</v>
      </c>
      <c r="D631" s="268"/>
      <c r="E631" s="74">
        <v>5</v>
      </c>
      <c r="F631" s="74"/>
      <c r="G631" s="74"/>
      <c r="H631" s="75">
        <v>100255</v>
      </c>
      <c r="J631" s="138"/>
      <c r="U631" s="129"/>
      <c r="V631" s="120" t="str">
        <f t="shared" si="216"/>
        <v>GEO:2</v>
      </c>
    </row>
    <row r="632" spans="1:22" ht="12.75" hidden="1" customHeight="1" x14ac:dyDescent="0.25">
      <c r="A632" s="120">
        <f t="shared" si="241"/>
        <v>2</v>
      </c>
      <c r="B632" s="392">
        <v>43660</v>
      </c>
      <c r="C632" s="77" t="s">
        <v>622</v>
      </c>
      <c r="D632" s="231"/>
      <c r="E632" s="76">
        <v>4.5</v>
      </c>
      <c r="F632" s="76"/>
      <c r="G632" s="76"/>
      <c r="H632" s="77">
        <v>100255</v>
      </c>
      <c r="I632" t="s">
        <v>764</v>
      </c>
      <c r="J632" s="138"/>
      <c r="U632" s="129"/>
      <c r="V632" s="120" t="str">
        <f t="shared" si="216"/>
        <v>GEO:2</v>
      </c>
    </row>
    <row r="633" spans="1:22" ht="12.75" hidden="1" customHeight="1" x14ac:dyDescent="0.25">
      <c r="A633" s="120">
        <f t="shared" si="241"/>
        <v>2</v>
      </c>
      <c r="B633" s="392">
        <v>43667</v>
      </c>
      <c r="C633" s="77" t="s">
        <v>622</v>
      </c>
      <c r="D633" s="231"/>
      <c r="E633" s="76">
        <v>5</v>
      </c>
      <c r="F633" s="76"/>
      <c r="G633" s="76"/>
      <c r="H633" s="77">
        <v>100256</v>
      </c>
      <c r="J633" s="138"/>
      <c r="U633" s="129"/>
      <c r="V633" s="120" t="str">
        <f t="shared" si="216"/>
        <v>GEO:2</v>
      </c>
    </row>
    <row r="634" spans="1:22" ht="12.75" hidden="1" customHeight="1" x14ac:dyDescent="0.25">
      <c r="A634" s="123">
        <f t="shared" si="241"/>
        <v>2</v>
      </c>
      <c r="B634" s="394">
        <v>43674</v>
      </c>
      <c r="C634" s="79" t="s">
        <v>622</v>
      </c>
      <c r="D634" s="269"/>
      <c r="E634" s="78">
        <v>5</v>
      </c>
      <c r="F634" s="78"/>
      <c r="G634" s="78"/>
      <c r="H634" s="79">
        <v>100256</v>
      </c>
      <c r="J634" s="138"/>
      <c r="U634" s="129"/>
      <c r="V634" s="120" t="str">
        <f t="shared" si="216"/>
        <v>GEO:2</v>
      </c>
    </row>
    <row r="635" spans="1:22" ht="12.75" hidden="1" customHeight="1" x14ac:dyDescent="0.25">
      <c r="A635" s="267">
        <v>3</v>
      </c>
      <c r="B635" s="393">
        <v>43681</v>
      </c>
      <c r="C635" s="75" t="s">
        <v>622</v>
      </c>
      <c r="D635" s="268"/>
      <c r="E635" s="74">
        <v>5</v>
      </c>
      <c r="F635" s="74"/>
      <c r="G635" s="74"/>
      <c r="H635" s="75">
        <v>100257</v>
      </c>
      <c r="J635" s="138"/>
      <c r="U635" s="129"/>
      <c r="V635" s="120" t="str">
        <f t="shared" si="216"/>
        <v>GEO:3</v>
      </c>
    </row>
    <row r="636" spans="1:22" ht="12.75" hidden="1" customHeight="1" x14ac:dyDescent="0.25">
      <c r="A636" s="120">
        <f t="shared" si="241"/>
        <v>3</v>
      </c>
      <c r="B636" s="392">
        <v>43688</v>
      </c>
      <c r="C636" s="77" t="s">
        <v>622</v>
      </c>
      <c r="D636" s="231"/>
      <c r="E636" s="76">
        <v>5</v>
      </c>
      <c r="F636" s="76"/>
      <c r="G636" s="76"/>
      <c r="H636" s="77">
        <v>100257</v>
      </c>
      <c r="J636" s="138"/>
      <c r="U636" s="129"/>
      <c r="V636" s="120" t="str">
        <f t="shared" si="216"/>
        <v>GEO:3</v>
      </c>
    </row>
    <row r="637" spans="1:22" ht="12.75" hidden="1" customHeight="1" x14ac:dyDescent="0.25">
      <c r="A637" s="120">
        <f t="shared" si="241"/>
        <v>3</v>
      </c>
      <c r="B637" s="392">
        <v>43695</v>
      </c>
      <c r="C637" s="77" t="s">
        <v>622</v>
      </c>
      <c r="D637" s="231"/>
      <c r="E637" s="76">
        <v>5</v>
      </c>
      <c r="F637" s="76"/>
      <c r="G637" s="76"/>
      <c r="H637" s="77">
        <v>100257</v>
      </c>
      <c r="J637" s="138"/>
      <c r="U637" s="129"/>
      <c r="V637" s="120" t="str">
        <f t="shared" si="216"/>
        <v>GEO:3</v>
      </c>
    </row>
    <row r="638" spans="1:22" ht="12.75" hidden="1" customHeight="1" x14ac:dyDescent="0.3">
      <c r="A638" s="120">
        <f t="shared" si="241"/>
        <v>3</v>
      </c>
      <c r="B638" s="392">
        <v>43702</v>
      </c>
      <c r="C638" s="77" t="s">
        <v>622</v>
      </c>
      <c r="D638" s="231"/>
      <c r="E638" s="76">
        <v>2</v>
      </c>
      <c r="F638" s="76"/>
      <c r="G638" s="76"/>
      <c r="H638" s="77">
        <v>100257</v>
      </c>
      <c r="I638" t="s">
        <v>870</v>
      </c>
      <c r="J638" s="138"/>
      <c r="O638" s="270"/>
      <c r="U638" s="129"/>
      <c r="V638" s="120" t="str">
        <f t="shared" si="216"/>
        <v>GEO:3</v>
      </c>
    </row>
    <row r="639" spans="1:22" ht="12.75" hidden="1" customHeight="1" x14ac:dyDescent="0.3">
      <c r="A639" s="123">
        <f t="shared" si="241"/>
        <v>3</v>
      </c>
      <c r="B639" s="394">
        <v>43709</v>
      </c>
      <c r="C639" s="79" t="s">
        <v>622</v>
      </c>
      <c r="D639" s="269"/>
      <c r="E639" s="78"/>
      <c r="F639" s="78"/>
      <c r="G639" s="78"/>
      <c r="H639" s="79"/>
      <c r="J639" s="138"/>
      <c r="O639" s="270"/>
      <c r="U639" s="129"/>
      <c r="V639" s="120" t="str">
        <f t="shared" si="216"/>
        <v>GEO:3</v>
      </c>
    </row>
    <row r="640" spans="1:22" ht="12.75" hidden="1" customHeight="1" x14ac:dyDescent="0.3">
      <c r="A640" s="267">
        <f t="shared" si="241"/>
        <v>4</v>
      </c>
      <c r="B640" s="393">
        <v>43716</v>
      </c>
      <c r="C640" s="75" t="s">
        <v>622</v>
      </c>
      <c r="D640" s="268"/>
      <c r="E640" s="74"/>
      <c r="F640" s="74"/>
      <c r="G640" s="74"/>
      <c r="H640" s="75"/>
      <c r="J640" s="138"/>
      <c r="O640" s="270"/>
      <c r="U640" s="129"/>
      <c r="V640" s="120" t="str">
        <f t="shared" si="216"/>
        <v>GEO:4</v>
      </c>
    </row>
    <row r="641" spans="1:22" ht="12.75" hidden="1" customHeight="1" x14ac:dyDescent="0.3">
      <c r="A641" s="120">
        <f t="shared" si="241"/>
        <v>4</v>
      </c>
      <c r="B641" s="392">
        <v>43723</v>
      </c>
      <c r="C641" s="77" t="s">
        <v>622</v>
      </c>
      <c r="D641" s="231"/>
      <c r="E641" s="76"/>
      <c r="F641" s="76"/>
      <c r="G641" s="76"/>
      <c r="H641" s="77"/>
      <c r="J641" s="138"/>
      <c r="O641" s="270"/>
      <c r="U641" s="129"/>
      <c r="V641" s="120" t="str">
        <f t="shared" si="216"/>
        <v>GEO:4</v>
      </c>
    </row>
    <row r="642" spans="1:22" ht="12.75" hidden="1" customHeight="1" x14ac:dyDescent="0.3">
      <c r="A642" s="120">
        <f t="shared" si="241"/>
        <v>4</v>
      </c>
      <c r="B642" s="392">
        <v>43730</v>
      </c>
      <c r="C642" s="77" t="s">
        <v>622</v>
      </c>
      <c r="D642" s="231"/>
      <c r="E642" s="76"/>
      <c r="F642" s="76"/>
      <c r="G642" s="76"/>
      <c r="H642" s="77"/>
      <c r="J642" s="138"/>
      <c r="O642" s="271"/>
      <c r="U642" s="129"/>
      <c r="V642" s="120" t="str">
        <f t="shared" si="216"/>
        <v>GEO:4</v>
      </c>
    </row>
    <row r="643" spans="1:22" ht="12.75" hidden="1" customHeight="1" x14ac:dyDescent="0.25">
      <c r="A643" s="123">
        <f t="shared" si="241"/>
        <v>4</v>
      </c>
      <c r="B643" s="394">
        <v>43737</v>
      </c>
      <c r="C643" s="79" t="s">
        <v>622</v>
      </c>
      <c r="D643" s="269"/>
      <c r="E643" s="78"/>
      <c r="F643" s="78"/>
      <c r="G643" s="78"/>
      <c r="H643" s="79"/>
      <c r="J643" s="138"/>
      <c r="U643" s="129"/>
      <c r="V643" s="120" t="str">
        <f t="shared" si="216"/>
        <v>GEO:4</v>
      </c>
    </row>
    <row r="644" spans="1:22" ht="12.75" hidden="1" customHeight="1" x14ac:dyDescent="0.25">
      <c r="A644" s="267">
        <f t="shared" si="241"/>
        <v>5</v>
      </c>
      <c r="B644" s="393">
        <v>43744</v>
      </c>
      <c r="C644" s="75" t="s">
        <v>622</v>
      </c>
      <c r="D644" s="268"/>
      <c r="E644" s="74"/>
      <c r="F644" s="74"/>
      <c r="G644" s="74"/>
      <c r="H644" s="75"/>
      <c r="J644" s="138"/>
      <c r="U644" s="129"/>
      <c r="V644" s="120" t="str">
        <f t="shared" si="216"/>
        <v>GEO:5</v>
      </c>
    </row>
    <row r="645" spans="1:22" ht="12.75" hidden="1" customHeight="1" x14ac:dyDescent="0.25">
      <c r="A645" s="120">
        <f t="shared" si="241"/>
        <v>5</v>
      </c>
      <c r="B645" s="392">
        <v>43751</v>
      </c>
      <c r="C645" s="77" t="s">
        <v>622</v>
      </c>
      <c r="D645" s="231"/>
      <c r="E645" s="76"/>
      <c r="F645" s="76"/>
      <c r="G645" s="76"/>
      <c r="H645" s="77"/>
      <c r="J645" s="138"/>
      <c r="U645" s="129"/>
      <c r="V645" s="120" t="str">
        <f t="shared" si="216"/>
        <v>GEO:5</v>
      </c>
    </row>
    <row r="646" spans="1:22" ht="12.75" hidden="1" customHeight="1" x14ac:dyDescent="0.25">
      <c r="A646" s="120">
        <f t="shared" si="241"/>
        <v>5</v>
      </c>
      <c r="B646" s="392">
        <v>43758</v>
      </c>
      <c r="C646" s="77" t="s">
        <v>622</v>
      </c>
      <c r="D646" s="231"/>
      <c r="E646" s="76"/>
      <c r="F646" s="76"/>
      <c r="G646" s="76"/>
      <c r="H646" s="77"/>
      <c r="J646" s="138"/>
      <c r="U646" s="129"/>
      <c r="V646" s="120" t="str">
        <f t="shared" si="216"/>
        <v>GEO:5</v>
      </c>
    </row>
    <row r="647" spans="1:22" ht="12.75" hidden="1" customHeight="1" x14ac:dyDescent="0.25">
      <c r="A647" s="120">
        <f t="shared" si="241"/>
        <v>5</v>
      </c>
      <c r="B647" s="392">
        <v>43765</v>
      </c>
      <c r="C647" s="77" t="s">
        <v>622</v>
      </c>
      <c r="D647" s="231"/>
      <c r="E647" s="76"/>
      <c r="F647" s="76"/>
      <c r="G647" s="76"/>
      <c r="H647" s="77"/>
      <c r="J647" s="138"/>
      <c r="U647" s="129"/>
      <c r="V647" s="120" t="str">
        <f t="shared" si="216"/>
        <v>GEO:5</v>
      </c>
    </row>
    <row r="648" spans="1:22" ht="12.75" hidden="1" customHeight="1" x14ac:dyDescent="0.25">
      <c r="A648" s="123">
        <f t="shared" si="241"/>
        <v>5</v>
      </c>
      <c r="B648" s="394">
        <v>43772</v>
      </c>
      <c r="C648" s="79" t="s">
        <v>622</v>
      </c>
      <c r="D648" s="269"/>
      <c r="E648" s="78"/>
      <c r="F648" s="78"/>
      <c r="G648" s="78"/>
      <c r="H648" s="79"/>
      <c r="J648" s="138"/>
      <c r="U648" s="129"/>
      <c r="V648" s="120" t="str">
        <f t="shared" si="216"/>
        <v>GEO:5</v>
      </c>
    </row>
    <row r="649" spans="1:22" ht="12.75" hidden="1" customHeight="1" x14ac:dyDescent="0.25">
      <c r="A649" s="267">
        <f t="shared" si="241"/>
        <v>6</v>
      </c>
      <c r="B649" s="393">
        <v>43779</v>
      </c>
      <c r="C649" s="75" t="s">
        <v>622</v>
      </c>
      <c r="D649" s="268"/>
      <c r="E649" s="74"/>
      <c r="F649" s="74"/>
      <c r="G649" s="74"/>
      <c r="H649" s="75"/>
      <c r="J649" s="138"/>
      <c r="U649" s="129"/>
      <c r="V649" s="120" t="str">
        <f t="shared" si="216"/>
        <v>GEO:6</v>
      </c>
    </row>
    <row r="650" spans="1:22" ht="12.75" hidden="1" customHeight="1" x14ac:dyDescent="0.25">
      <c r="A650" s="120">
        <f t="shared" si="241"/>
        <v>6</v>
      </c>
      <c r="B650" s="392">
        <v>43786</v>
      </c>
      <c r="C650" s="77" t="s">
        <v>622</v>
      </c>
      <c r="D650" s="231"/>
      <c r="E650" s="76"/>
      <c r="F650" s="76"/>
      <c r="G650" s="76"/>
      <c r="H650" s="77"/>
      <c r="J650" s="138"/>
      <c r="U650" s="129"/>
      <c r="V650" s="120" t="str">
        <f t="shared" si="216"/>
        <v>GEO:6</v>
      </c>
    </row>
    <row r="651" spans="1:22" ht="12.75" hidden="1" customHeight="1" x14ac:dyDescent="0.25">
      <c r="A651" s="120">
        <f t="shared" si="241"/>
        <v>6</v>
      </c>
      <c r="B651" s="392">
        <v>43793</v>
      </c>
      <c r="C651" s="77" t="s">
        <v>622</v>
      </c>
      <c r="D651" s="231"/>
      <c r="E651" s="76"/>
      <c r="F651" s="76"/>
      <c r="G651" s="76"/>
      <c r="H651" s="77"/>
      <c r="J651" s="138"/>
      <c r="U651" s="129"/>
      <c r="V651" s="120" t="str">
        <f t="shared" si="216"/>
        <v>GEO:6</v>
      </c>
    </row>
    <row r="652" spans="1:22" ht="12.75" hidden="1" customHeight="1" x14ac:dyDescent="0.25">
      <c r="A652" s="123">
        <f t="shared" si="241"/>
        <v>6</v>
      </c>
      <c r="B652" s="394">
        <v>43800</v>
      </c>
      <c r="C652" s="79" t="s">
        <v>622</v>
      </c>
      <c r="D652" s="269"/>
      <c r="E652" s="78"/>
      <c r="F652" s="78"/>
      <c r="G652" s="78"/>
      <c r="H652" s="79"/>
      <c r="J652" s="138"/>
      <c r="U652" s="129"/>
      <c r="V652" s="120" t="str">
        <f t="shared" si="216"/>
        <v>GEO:6</v>
      </c>
    </row>
    <row r="653" spans="1:22" ht="12.75" hidden="1" customHeight="1" x14ac:dyDescent="0.25">
      <c r="A653" s="267">
        <f t="shared" si="241"/>
        <v>7</v>
      </c>
      <c r="B653" s="393">
        <v>43807</v>
      </c>
      <c r="C653" s="75" t="s">
        <v>622</v>
      </c>
      <c r="D653" s="268"/>
      <c r="E653" s="74"/>
      <c r="F653" s="74"/>
      <c r="G653" s="74"/>
      <c r="H653" s="75"/>
      <c r="J653" s="138"/>
      <c r="U653" s="129"/>
      <c r="V653" s="120" t="str">
        <f t="shared" si="216"/>
        <v>GEO:7</v>
      </c>
    </row>
    <row r="654" spans="1:22" ht="12.75" hidden="1" customHeight="1" x14ac:dyDescent="0.25">
      <c r="A654" s="120">
        <f t="shared" si="241"/>
        <v>7</v>
      </c>
      <c r="B654" s="392">
        <v>43814</v>
      </c>
      <c r="C654" s="77" t="s">
        <v>622</v>
      </c>
      <c r="D654" s="231"/>
      <c r="E654" s="76"/>
      <c r="F654" s="76"/>
      <c r="G654" s="76"/>
      <c r="H654" s="77"/>
      <c r="J654" s="138"/>
      <c r="U654" s="129"/>
      <c r="V654" s="120" t="str">
        <f t="shared" si="216"/>
        <v>GEO:7</v>
      </c>
    </row>
    <row r="655" spans="1:22" ht="12.75" hidden="1" customHeight="1" x14ac:dyDescent="0.25">
      <c r="A655" s="120">
        <f t="shared" si="241"/>
        <v>7</v>
      </c>
      <c r="B655" s="392">
        <v>43821</v>
      </c>
      <c r="C655" s="77" t="s">
        <v>622</v>
      </c>
      <c r="D655" s="231"/>
      <c r="E655" s="76"/>
      <c r="F655" s="76"/>
      <c r="G655" s="76"/>
      <c r="H655" s="77"/>
      <c r="J655" s="138"/>
      <c r="U655" s="129"/>
      <c r="V655" s="120" t="str">
        <f t="shared" si="216"/>
        <v>GEO:7</v>
      </c>
    </row>
    <row r="656" spans="1:22" ht="12.75" hidden="1" customHeight="1" x14ac:dyDescent="0.3">
      <c r="A656" s="123">
        <f t="shared" si="241"/>
        <v>7</v>
      </c>
      <c r="B656" s="394">
        <v>43828</v>
      </c>
      <c r="C656" s="79" t="s">
        <v>622</v>
      </c>
      <c r="D656" s="269"/>
      <c r="E656" s="78"/>
      <c r="F656" s="78"/>
      <c r="G656" s="78"/>
      <c r="H656" s="79"/>
      <c r="J656" s="138"/>
      <c r="O656" s="270"/>
      <c r="U656" s="129"/>
      <c r="V656" s="120" t="str">
        <f t="shared" si="216"/>
        <v>GEO:7</v>
      </c>
    </row>
    <row r="657" spans="1:22" ht="12.75" hidden="1" customHeight="1" x14ac:dyDescent="0.3">
      <c r="A657" s="267">
        <f t="shared" si="241"/>
        <v>8</v>
      </c>
      <c r="B657" s="393">
        <v>43835</v>
      </c>
      <c r="C657" s="75" t="s">
        <v>622</v>
      </c>
      <c r="D657" s="268"/>
      <c r="E657" s="74"/>
      <c r="F657" s="74"/>
      <c r="G657" s="74"/>
      <c r="H657" s="75"/>
      <c r="J657" s="138"/>
      <c r="O657" s="270"/>
      <c r="U657" s="129"/>
      <c r="V657" s="120" t="str">
        <f t="shared" si="216"/>
        <v>GEO:8</v>
      </c>
    </row>
    <row r="658" spans="1:22" ht="12.75" hidden="1" customHeight="1" x14ac:dyDescent="0.3">
      <c r="A658" s="120">
        <f t="shared" si="241"/>
        <v>8</v>
      </c>
      <c r="B658" s="392">
        <v>43842</v>
      </c>
      <c r="C658" s="77" t="s">
        <v>622</v>
      </c>
      <c r="D658" s="231"/>
      <c r="E658" s="76"/>
      <c r="F658" s="76"/>
      <c r="G658" s="76"/>
      <c r="H658" s="77"/>
      <c r="J658" s="138"/>
      <c r="O658" s="270"/>
      <c r="U658" s="129"/>
      <c r="V658" s="120" t="str">
        <f t="shared" si="216"/>
        <v>GEO:8</v>
      </c>
    </row>
    <row r="659" spans="1:22" ht="12.75" hidden="1" customHeight="1" x14ac:dyDescent="0.3">
      <c r="A659" s="120">
        <f t="shared" si="241"/>
        <v>8</v>
      </c>
      <c r="B659" s="392">
        <v>43849</v>
      </c>
      <c r="C659" s="77" t="s">
        <v>622</v>
      </c>
      <c r="D659" s="231"/>
      <c r="E659" s="76"/>
      <c r="F659" s="76"/>
      <c r="G659" s="76"/>
      <c r="H659" s="77"/>
      <c r="J659" s="138"/>
      <c r="O659" s="271"/>
      <c r="U659" s="129"/>
      <c r="V659" s="120" t="str">
        <f t="shared" si="216"/>
        <v>GEO:8</v>
      </c>
    </row>
    <row r="660" spans="1:22" ht="12.75" hidden="1" customHeight="1" x14ac:dyDescent="0.25">
      <c r="A660" s="120">
        <f t="shared" si="241"/>
        <v>8</v>
      </c>
      <c r="B660" s="392">
        <v>43856</v>
      </c>
      <c r="C660" s="77" t="s">
        <v>622</v>
      </c>
      <c r="D660" s="231"/>
      <c r="E660" s="76"/>
      <c r="F660" s="76"/>
      <c r="G660" s="76"/>
      <c r="H660" s="77"/>
      <c r="J660" s="138"/>
      <c r="U660" s="129"/>
      <c r="V660" s="120" t="str">
        <f t="shared" si="216"/>
        <v>GEO:8</v>
      </c>
    </row>
    <row r="661" spans="1:22" ht="12.75" hidden="1" customHeight="1" x14ac:dyDescent="0.25">
      <c r="A661" s="123">
        <f t="shared" si="241"/>
        <v>8</v>
      </c>
      <c r="B661" s="394">
        <v>43863</v>
      </c>
      <c r="C661" s="79" t="s">
        <v>622</v>
      </c>
      <c r="D661" s="269"/>
      <c r="E661" s="78"/>
      <c r="F661" s="78"/>
      <c r="G661" s="78"/>
      <c r="H661" s="79"/>
      <c r="J661" s="138"/>
      <c r="U661" s="129"/>
      <c r="V661" s="120" t="str">
        <f t="shared" si="216"/>
        <v>GEO:8</v>
      </c>
    </row>
    <row r="662" spans="1:22" ht="12.75" hidden="1" customHeight="1" x14ac:dyDescent="0.25">
      <c r="A662" s="267">
        <f t="shared" si="241"/>
        <v>9</v>
      </c>
      <c r="B662" s="393">
        <v>43870</v>
      </c>
      <c r="C662" s="75" t="s">
        <v>622</v>
      </c>
      <c r="D662" s="268"/>
      <c r="E662" s="74"/>
      <c r="F662" s="74"/>
      <c r="G662" s="74"/>
      <c r="H662" s="75"/>
      <c r="J662" s="138"/>
      <c r="U662" s="129"/>
      <c r="V662" s="120" t="str">
        <f t="shared" si="216"/>
        <v>GEO:9</v>
      </c>
    </row>
    <row r="663" spans="1:22" ht="12.75" hidden="1" customHeight="1" x14ac:dyDescent="0.25">
      <c r="A663" s="120">
        <f t="shared" si="241"/>
        <v>9</v>
      </c>
      <c r="B663" s="392">
        <v>43877</v>
      </c>
      <c r="C663" s="77" t="s">
        <v>622</v>
      </c>
      <c r="D663" s="231"/>
      <c r="E663" s="76"/>
      <c r="F663" s="76"/>
      <c r="G663" s="76"/>
      <c r="H663" s="77"/>
      <c r="J663" s="138"/>
      <c r="U663" s="129"/>
      <c r="V663" s="120" t="str">
        <f t="shared" si="216"/>
        <v>GEO:9</v>
      </c>
    </row>
    <row r="664" spans="1:22" ht="12.75" hidden="1" customHeight="1" x14ac:dyDescent="0.25">
      <c r="A664" s="120">
        <f t="shared" si="241"/>
        <v>9</v>
      </c>
      <c r="B664" s="392">
        <v>43884</v>
      </c>
      <c r="C664" s="77" t="s">
        <v>622</v>
      </c>
      <c r="D664" s="231"/>
      <c r="E664" s="76"/>
      <c r="F664" s="76"/>
      <c r="G664" s="76"/>
      <c r="H664" s="77"/>
      <c r="J664" s="138"/>
      <c r="U664" s="129"/>
      <c r="V664" s="120" t="str">
        <f t="shared" si="216"/>
        <v>GEO:9</v>
      </c>
    </row>
    <row r="665" spans="1:22" ht="12.75" hidden="1" customHeight="1" x14ac:dyDescent="0.25">
      <c r="A665" s="123">
        <f t="shared" si="241"/>
        <v>9</v>
      </c>
      <c r="B665" s="394">
        <v>43891</v>
      </c>
      <c r="C665" s="79" t="s">
        <v>622</v>
      </c>
      <c r="D665" s="269"/>
      <c r="E665" s="78"/>
      <c r="F665" s="78"/>
      <c r="G665" s="78"/>
      <c r="H665" s="79"/>
      <c r="J665" s="138"/>
      <c r="U665" s="129"/>
      <c r="V665" s="120" t="str">
        <f t="shared" si="216"/>
        <v>GEO:9</v>
      </c>
    </row>
    <row r="666" spans="1:22" ht="12.75" hidden="1" customHeight="1" x14ac:dyDescent="0.25">
      <c r="A666" s="267">
        <f t="shared" si="241"/>
        <v>10</v>
      </c>
      <c r="B666" s="393">
        <v>43898</v>
      </c>
      <c r="C666" s="75" t="s">
        <v>622</v>
      </c>
      <c r="D666" s="268"/>
      <c r="E666" s="74"/>
      <c r="F666" s="74"/>
      <c r="G666" s="74"/>
      <c r="H666" s="75"/>
      <c r="J666" s="138"/>
      <c r="U666" s="129"/>
      <c r="V666" s="120" t="str">
        <f t="shared" si="216"/>
        <v>GEO:10</v>
      </c>
    </row>
    <row r="667" spans="1:22" ht="12.75" hidden="1" customHeight="1" x14ac:dyDescent="0.25">
      <c r="A667" s="120">
        <f t="shared" si="241"/>
        <v>10</v>
      </c>
      <c r="B667" s="392">
        <v>43905</v>
      </c>
      <c r="C667" s="77" t="s">
        <v>622</v>
      </c>
      <c r="D667" s="231"/>
      <c r="E667" s="76"/>
      <c r="F667" s="76"/>
      <c r="G667" s="76"/>
      <c r="H667" s="77"/>
      <c r="J667" s="138"/>
      <c r="U667" s="129"/>
      <c r="V667" s="120" t="str">
        <f t="shared" si="216"/>
        <v>GEO:10</v>
      </c>
    </row>
    <row r="668" spans="1:22" ht="12.75" hidden="1" customHeight="1" x14ac:dyDescent="0.25">
      <c r="A668" s="120">
        <f t="shared" si="241"/>
        <v>10</v>
      </c>
      <c r="B668" s="392">
        <v>43912</v>
      </c>
      <c r="C668" s="77" t="s">
        <v>622</v>
      </c>
      <c r="D668" s="231"/>
      <c r="E668" s="76"/>
      <c r="F668" s="76"/>
      <c r="G668" s="76"/>
      <c r="H668" s="77"/>
      <c r="J668" s="138"/>
      <c r="U668" s="129"/>
      <c r="V668" s="120" t="str">
        <f t="shared" si="216"/>
        <v>GEO:10</v>
      </c>
    </row>
    <row r="669" spans="1:22" ht="12.75" hidden="1" customHeight="1" x14ac:dyDescent="0.25">
      <c r="A669" s="123">
        <f t="shared" si="241"/>
        <v>10</v>
      </c>
      <c r="B669" s="394">
        <v>43919</v>
      </c>
      <c r="C669" s="79" t="s">
        <v>622</v>
      </c>
      <c r="D669" s="269"/>
      <c r="E669" s="78"/>
      <c r="F669" s="78"/>
      <c r="G669" s="78"/>
      <c r="H669" s="79"/>
      <c r="I669" s="328"/>
      <c r="J669" s="138"/>
      <c r="U669" s="129"/>
      <c r="V669" s="120" t="str">
        <f t="shared" si="216"/>
        <v>GEO:10</v>
      </c>
    </row>
    <row r="670" spans="1:22" ht="12.75" hidden="1" customHeight="1" x14ac:dyDescent="0.25">
      <c r="A670" s="267">
        <f t="shared" si="241"/>
        <v>11</v>
      </c>
      <c r="B670" s="393">
        <v>43926</v>
      </c>
      <c r="C670" s="75" t="s">
        <v>622</v>
      </c>
      <c r="D670" s="268"/>
      <c r="E670" s="74"/>
      <c r="F670" s="74"/>
      <c r="G670" s="74"/>
      <c r="H670" s="75"/>
      <c r="I670" s="328"/>
      <c r="J670" s="138"/>
      <c r="U670" s="129"/>
      <c r="V670" s="120" t="str">
        <f t="shared" si="216"/>
        <v>GEO:11</v>
      </c>
    </row>
    <row r="671" spans="1:22" ht="12.75" hidden="1" customHeight="1" x14ac:dyDescent="0.25">
      <c r="A671" s="120">
        <f t="shared" si="241"/>
        <v>11</v>
      </c>
      <c r="B671" s="392">
        <v>43933</v>
      </c>
      <c r="C671" s="77" t="s">
        <v>622</v>
      </c>
      <c r="D671" s="231"/>
      <c r="E671" s="76"/>
      <c r="F671" s="76"/>
      <c r="G671" s="76"/>
      <c r="H671" s="77"/>
      <c r="I671" s="328"/>
      <c r="J671" s="138"/>
      <c r="U671" s="129"/>
      <c r="V671" s="120" t="str">
        <f t="shared" si="216"/>
        <v>GEO:11</v>
      </c>
    </row>
    <row r="672" spans="1:22" ht="12.75" hidden="1" customHeight="1" x14ac:dyDescent="0.25">
      <c r="A672" s="120">
        <f t="shared" si="241"/>
        <v>11</v>
      </c>
      <c r="B672" s="392">
        <v>43940</v>
      </c>
      <c r="C672" s="77" t="s">
        <v>622</v>
      </c>
      <c r="D672" s="231"/>
      <c r="E672" s="76"/>
      <c r="F672" s="76"/>
      <c r="G672" s="76"/>
      <c r="H672" s="77"/>
      <c r="J672" s="138"/>
      <c r="U672" s="129"/>
      <c r="V672" s="120" t="str">
        <f t="shared" si="216"/>
        <v>GEO:11</v>
      </c>
    </row>
    <row r="673" spans="1:22" ht="12.75" hidden="1" customHeight="1" x14ac:dyDescent="0.25">
      <c r="A673" s="123">
        <f t="shared" si="241"/>
        <v>11</v>
      </c>
      <c r="B673" s="394">
        <v>43947</v>
      </c>
      <c r="C673" s="79" t="s">
        <v>622</v>
      </c>
      <c r="D673" s="269"/>
      <c r="E673" s="78"/>
      <c r="F673" s="78"/>
      <c r="G673" s="78"/>
      <c r="H673" s="79"/>
      <c r="J673" s="138"/>
      <c r="U673" s="129"/>
      <c r="V673" s="120" t="str">
        <f t="shared" si="216"/>
        <v>GEO:11</v>
      </c>
    </row>
    <row r="674" spans="1:22" ht="12.75" hidden="1" customHeight="1" x14ac:dyDescent="0.25">
      <c r="A674" s="267">
        <f t="shared" si="241"/>
        <v>11</v>
      </c>
      <c r="B674" s="393">
        <v>43954</v>
      </c>
      <c r="C674" s="75" t="s">
        <v>622</v>
      </c>
      <c r="D674" s="268"/>
      <c r="E674" s="74"/>
      <c r="F674" s="74"/>
      <c r="G674" s="74"/>
      <c r="H674" s="75"/>
      <c r="I674" s="328"/>
      <c r="J674" s="138"/>
      <c r="U674" s="129"/>
      <c r="V674" s="120" t="str">
        <f t="shared" ref="V674:V678" si="242">C674 &amp;":"&amp; A674</f>
        <v>GEO:11</v>
      </c>
    </row>
    <row r="675" spans="1:22" ht="12.75" hidden="1" customHeight="1" x14ac:dyDescent="0.25">
      <c r="A675" s="120">
        <f t="shared" si="241"/>
        <v>12</v>
      </c>
      <c r="B675" s="392">
        <v>43961</v>
      </c>
      <c r="C675" s="77" t="s">
        <v>622</v>
      </c>
      <c r="D675" s="231"/>
      <c r="E675" s="76"/>
      <c r="F675" s="76"/>
      <c r="G675" s="76"/>
      <c r="H675" s="77"/>
      <c r="J675" s="138"/>
      <c r="U675" s="129"/>
      <c r="V675" s="120" t="str">
        <f t="shared" si="242"/>
        <v>GEO:12</v>
      </c>
    </row>
    <row r="676" spans="1:22" ht="12.75" hidden="1" customHeight="1" x14ac:dyDescent="0.25">
      <c r="A676" s="120">
        <f t="shared" si="241"/>
        <v>12</v>
      </c>
      <c r="B676" s="392">
        <v>43968</v>
      </c>
      <c r="C676" s="77" t="s">
        <v>622</v>
      </c>
      <c r="D676" s="231"/>
      <c r="E676" s="76"/>
      <c r="F676" s="76"/>
      <c r="G676" s="76"/>
      <c r="H676" s="77"/>
      <c r="J676" s="138"/>
      <c r="L676" s="22"/>
      <c r="U676" s="129"/>
      <c r="V676" s="120" t="str">
        <f t="shared" si="242"/>
        <v>GEO:12</v>
      </c>
    </row>
    <row r="677" spans="1:22" ht="12.75" hidden="1" customHeight="1" x14ac:dyDescent="0.25">
      <c r="A677" s="120">
        <f t="shared" si="241"/>
        <v>12</v>
      </c>
      <c r="B677" s="392">
        <v>43975</v>
      </c>
      <c r="C677" s="77" t="s">
        <v>622</v>
      </c>
      <c r="D677" s="231"/>
      <c r="E677" s="76"/>
      <c r="F677" s="76"/>
      <c r="G677" s="76"/>
      <c r="H677" s="77"/>
      <c r="J677" s="138"/>
      <c r="U677" s="129"/>
      <c r="V677" s="120" t="str">
        <f t="shared" si="242"/>
        <v>GEO:12</v>
      </c>
    </row>
    <row r="678" spans="1:22" ht="12.75" hidden="1" customHeight="1" x14ac:dyDescent="0.25">
      <c r="A678" s="123">
        <f t="shared" si="241"/>
        <v>12</v>
      </c>
      <c r="B678" s="394">
        <v>43982</v>
      </c>
      <c r="C678" s="79" t="s">
        <v>622</v>
      </c>
      <c r="D678" s="269"/>
      <c r="E678" s="78"/>
      <c r="F678" s="78"/>
      <c r="G678" s="78"/>
      <c r="H678" s="79"/>
      <c r="J678" s="138"/>
      <c r="L678" s="22"/>
      <c r="U678" s="129"/>
      <c r="V678" s="120" t="str">
        <f t="shared" si="242"/>
        <v>GEO:12</v>
      </c>
    </row>
  </sheetData>
  <autoFilter ref="C21:C678">
    <filterColumn colId="0">
      <filters>
        <filter val="VAK"/>
      </filters>
    </filterColumn>
  </autoFilter>
  <sortState ref="Y3:AB13">
    <sortCondition ref="Y3"/>
  </sortState>
  <conditionalFormatting sqref="B10:C10 H18:T19 B14:C14 B6:C6 H6:T6 B18:C19 E6:F6 E10:T10 H14:T14 E14:F14 E18:F19">
    <cfRule type="cellIs" dxfId="80" priority="32" operator="greaterThanOrEqual">
      <formula>0</formula>
    </cfRule>
    <cfRule type="cellIs" dxfId="79" priority="33" operator="lessThan">
      <formula>0</formula>
    </cfRule>
  </conditionalFormatting>
  <conditionalFormatting sqref="K286:L286 K279:L281 R279:R286">
    <cfRule type="expression" dxfId="78" priority="34">
      <formula>IF($W262=#REF!,1,0)</formula>
    </cfRule>
  </conditionalFormatting>
  <conditionalFormatting sqref="K282:L285">
    <cfRule type="expression" dxfId="77" priority="36">
      <formula>IF($W282=#REF!,1,0)</formula>
    </cfRule>
  </conditionalFormatting>
  <conditionalFormatting sqref="K273:L276">
    <cfRule type="expression" dxfId="76" priority="37">
      <formula>IF($W273=#REF!,1,0)</formula>
    </cfRule>
  </conditionalFormatting>
  <conditionalFormatting sqref="R290">
    <cfRule type="expression" dxfId="75" priority="38">
      <formula>IF($W290=#REF!,1,0)</formula>
    </cfRule>
  </conditionalFormatting>
  <conditionalFormatting sqref="K287:L289">
    <cfRule type="expression" dxfId="74" priority="39">
      <formula>IF($W287=#REF!,1,0)</formula>
    </cfRule>
  </conditionalFormatting>
  <conditionalFormatting sqref="K270:L270">
    <cfRule type="expression" dxfId="73" priority="40">
      <formula>IF($W270=#REF!,1,0)</formula>
    </cfRule>
  </conditionalFormatting>
  <conditionalFormatting sqref="K348:L349">
    <cfRule type="expression" dxfId="72" priority="41">
      <formula>IF($W348=#REF!,1,0)</formula>
    </cfRule>
  </conditionalFormatting>
  <conditionalFormatting sqref="K346:L347">
    <cfRule type="expression" dxfId="71" priority="42">
      <formula>IF($W346=#REF!,1,0)</formula>
    </cfRule>
  </conditionalFormatting>
  <conditionalFormatting sqref="K344:L345">
    <cfRule type="expression" dxfId="70" priority="70">
      <formula>IF($W344=#REF!,1,0)</formula>
    </cfRule>
  </conditionalFormatting>
  <conditionalFormatting sqref="K342:L343">
    <cfRule type="expression" dxfId="69" priority="71">
      <formula>IF($W342=#REF!,1,0)</formula>
    </cfRule>
  </conditionalFormatting>
  <conditionalFormatting sqref="K269:L269 R269">
    <cfRule type="expression" dxfId="68" priority="72">
      <formula>IF($W219=#REF!,1,0)</formula>
    </cfRule>
  </conditionalFormatting>
  <conditionalFormatting sqref="K354:L354 K357:L357 R354 R357">
    <cfRule type="expression" dxfId="67" priority="76">
      <formula>IF(#REF!=#REF!,1,0)</formula>
    </cfRule>
  </conditionalFormatting>
  <conditionalFormatting sqref="K356:L356 R356">
    <cfRule type="expression" dxfId="66" priority="81">
      <formula>IF(#REF!=#REF!,1,0)</formula>
    </cfRule>
  </conditionalFormatting>
  <conditionalFormatting sqref="K355:L355 R355">
    <cfRule type="expression" dxfId="65" priority="83">
      <formula>IF(#REF!=#REF!,1,0)</formula>
    </cfRule>
  </conditionalFormatting>
  <conditionalFormatting sqref="K351:L351 R351">
    <cfRule type="expression" dxfId="64" priority="28">
      <formula>IF(#REF!=#REF!,1,0)</formula>
    </cfRule>
  </conditionalFormatting>
  <conditionalFormatting sqref="K353:L353 R353">
    <cfRule type="expression" dxfId="63" priority="29">
      <formula>IF($W293=#REF!,1,0)</formula>
    </cfRule>
  </conditionalFormatting>
  <conditionalFormatting sqref="K352:L352 R352">
    <cfRule type="expression" dxfId="62" priority="30">
      <formula>IF($W291=#REF!,1,0)</formula>
    </cfRule>
  </conditionalFormatting>
  <conditionalFormatting sqref="R347:R350">
    <cfRule type="expression" dxfId="61" priority="84">
      <formula>IF($W342=#REF!,1,0)</formula>
    </cfRule>
  </conditionalFormatting>
  <conditionalFormatting sqref="K350:L350">
    <cfRule type="expression" dxfId="60" priority="85">
      <formula>IF(#REF!=#REF!,1,0)</formula>
    </cfRule>
  </conditionalFormatting>
  <conditionalFormatting sqref="R342:R343">
    <cfRule type="expression" dxfId="59" priority="86">
      <formula>IF($W285=#REF!,1,0)</formula>
    </cfRule>
  </conditionalFormatting>
  <conditionalFormatting sqref="R344:R345">
    <cfRule type="expression" dxfId="58" priority="87">
      <formula>IF($W286=#REF!,1,0)</formula>
    </cfRule>
  </conditionalFormatting>
  <conditionalFormatting sqref="K290:L293 R291:R293 R287:R289">
    <cfRule type="expression" dxfId="57" priority="140">
      <formula>IF(#REF!=#REF!,1,0)</formula>
    </cfRule>
  </conditionalFormatting>
  <conditionalFormatting sqref="R346">
    <cfRule type="expression" dxfId="56" priority="170">
      <formula>IF(#REF!=#REF!,1,0)</formula>
    </cfRule>
  </conditionalFormatting>
  <conditionalFormatting sqref="K299:L305 R299:R310">
    <cfRule type="expression" dxfId="55" priority="14">
      <formula>IF($W262=#REF!,1,0)</formula>
    </cfRule>
  </conditionalFormatting>
  <conditionalFormatting sqref="K297:L297 K322:L324">
    <cfRule type="expression" dxfId="54" priority="16">
      <formula>IF($W297=#REF!,1,0)</formula>
    </cfRule>
  </conditionalFormatting>
  <conditionalFormatting sqref="R338">
    <cfRule type="expression" dxfId="53" priority="17">
      <formula>IF($W338=#REF!,1,0)</formula>
    </cfRule>
  </conditionalFormatting>
  <conditionalFormatting sqref="K335:L337">
    <cfRule type="expression" dxfId="52" priority="18">
      <formula>IF($W335=#REF!,1,0)</formula>
    </cfRule>
  </conditionalFormatting>
  <conditionalFormatting sqref="K294:L294">
    <cfRule type="expression" dxfId="51" priority="19">
      <formula>IF($W294=#REF!,1,0)</formula>
    </cfRule>
  </conditionalFormatting>
  <conditionalFormatting sqref="K338:L341 R339:R341 R335:R337">
    <cfRule type="expression" dxfId="50" priority="20">
      <formula>IF(#REF!=#REF!,1,0)</formula>
    </cfRule>
  </conditionalFormatting>
  <conditionalFormatting sqref="K295:L297 R294:R297">
    <cfRule type="expression" dxfId="49" priority="173">
      <formula>IF($W277=#REF!,1,0)</formula>
    </cfRule>
  </conditionalFormatting>
  <conditionalFormatting sqref="K310:L310">
    <cfRule type="expression" dxfId="48" priority="8">
      <formula>IF($W273=#REF!,1,0)</formula>
    </cfRule>
  </conditionalFormatting>
  <conditionalFormatting sqref="K306:L309">
    <cfRule type="expression" dxfId="47" priority="9">
      <formula>IF($W306=#REF!,1,0)</formula>
    </cfRule>
  </conditionalFormatting>
  <conditionalFormatting sqref="K298:L300">
    <cfRule type="expression" dxfId="46" priority="10">
      <formula>IF($W298=#REF!,1,0)</formula>
    </cfRule>
  </conditionalFormatting>
  <conditionalFormatting sqref="R314">
    <cfRule type="expression" dxfId="45" priority="11">
      <formula>IF($W314=#REF!,1,0)</formula>
    </cfRule>
  </conditionalFormatting>
  <conditionalFormatting sqref="K311:L313">
    <cfRule type="expression" dxfId="44" priority="12">
      <formula>IF($W311=#REF!,1,0)</formula>
    </cfRule>
  </conditionalFormatting>
  <conditionalFormatting sqref="K314:L317 R315:R317 R311:R313">
    <cfRule type="expression" dxfId="43" priority="13">
      <formula>IF(#REF!=#REF!,1,0)</formula>
    </cfRule>
  </conditionalFormatting>
  <conditionalFormatting sqref="R334 K334:L334">
    <cfRule type="expression" dxfId="42" priority="177">
      <formula>IF($W293=#REF!,1,0)</formula>
    </cfRule>
  </conditionalFormatting>
  <conditionalFormatting sqref="K271:L276 R270:R276">
    <cfRule type="expression" dxfId="41" priority="178">
      <formula>IF($W231=#REF!,1,0)</formula>
    </cfRule>
  </conditionalFormatting>
  <conditionalFormatting sqref="K277:L278 R277:R278">
    <cfRule type="expression" dxfId="40" priority="179">
      <formula>IF($W250=#REF!,1,0)</formula>
    </cfRule>
  </conditionalFormatting>
  <conditionalFormatting sqref="K298:L298 R298">
    <cfRule type="expression" dxfId="39" priority="184">
      <formula>IF($W251=#REF!,1,0)</formula>
    </cfRule>
  </conditionalFormatting>
  <conditionalFormatting sqref="R322:R329 K322:L329">
    <cfRule type="expression" dxfId="38" priority="187">
      <formula>IF($W281=#REF!,1,0)</formula>
    </cfRule>
  </conditionalFormatting>
  <conditionalFormatting sqref="K318:L320">
    <cfRule type="expression" dxfId="37" priority="4">
      <formula>IF($W318=#REF!,1,0)</formula>
    </cfRule>
  </conditionalFormatting>
  <conditionalFormatting sqref="R318:R321 K318:L321">
    <cfRule type="expression" dxfId="36" priority="5">
      <formula>IF($W277=#REF!,1,0)</formula>
    </cfRule>
  </conditionalFormatting>
  <conditionalFormatting sqref="K331:L333">
    <cfRule type="expression" dxfId="35" priority="1">
      <formula>IF($W331=#REF!,1,0)</formula>
    </cfRule>
  </conditionalFormatting>
  <conditionalFormatting sqref="R331:R333">
    <cfRule type="expression" dxfId="34" priority="2">
      <formula>IF(#REF!=#REF!,1,0)</formula>
    </cfRule>
  </conditionalFormatting>
  <conditionalFormatting sqref="R330 K330:L330">
    <cfRule type="expression" dxfId="33" priority="3">
      <formula>IF($W289=#REF!,1,0)</formula>
    </cfRule>
  </conditionalFormatting>
  <pageMargins left="0.7" right="0.7" top="0.75" bottom="0.75" header="0.51180555555555496" footer="0.51180555555555496"/>
  <pageSetup paperSize="9" firstPageNumber="0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" r:id="rId4" name="cboEmpId">
          <controlPr autoLine="0" linkedCell="$C$1" listFillRange="payEmpNames" r:id="rId5">
            <anchor moveWithCells="1">
              <from>
                <xdr:col>2</xdr:col>
                <xdr:colOff>30480</xdr:colOff>
                <xdr:row>0</xdr:row>
                <xdr:rowOff>0</xdr:rowOff>
              </from>
              <to>
                <xdr:col>3</xdr:col>
                <xdr:colOff>106680</xdr:colOff>
                <xdr:row>1</xdr:row>
                <xdr:rowOff>45720</xdr:rowOff>
              </to>
            </anchor>
          </controlPr>
        </control>
      </mc:Choice>
      <mc:Fallback>
        <control shapeId="3076" r:id="rId4" name="cboEmpId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3" filterMode="1"/>
  <dimension ref="A1:AI687"/>
  <sheetViews>
    <sheetView showZeros="0" topLeftCell="A8" zoomScale="75" zoomScaleNormal="75" workbookViewId="0">
      <selection activeCell="R181" sqref="R181"/>
    </sheetView>
  </sheetViews>
  <sheetFormatPr defaultRowHeight="13.2" outlineLevelRow="1" x14ac:dyDescent="0.25"/>
  <cols>
    <col min="6" max="6" width="8.88671875" style="88"/>
    <col min="8" max="19" width="11.77734375" customWidth="1"/>
    <col min="20" max="21" width="9.109375" customWidth="1"/>
    <col min="22" max="22" width="13.44140625" customWidth="1"/>
    <col min="23" max="23" width="11.33203125" bestFit="1" customWidth="1"/>
  </cols>
  <sheetData>
    <row r="1" spans="1:27" ht="22.8" x14ac:dyDescent="0.4">
      <c r="A1" s="221" t="s">
        <v>462</v>
      </c>
      <c r="B1" s="219"/>
      <c r="C1" s="244" t="s">
        <v>678</v>
      </c>
      <c r="D1" s="220"/>
      <c r="E1" s="245" t="str">
        <f>VLOOKUP($C$1,payEmpNames,2)</f>
        <v>Adikeshavalu Naidu Krishnaveni</v>
      </c>
      <c r="F1" s="381"/>
      <c r="G1" s="219"/>
      <c r="H1" s="221"/>
      <c r="I1" s="66"/>
      <c r="J1" s="221" t="s">
        <v>463</v>
      </c>
      <c r="K1" s="66"/>
      <c r="L1" s="66"/>
      <c r="M1" s="66"/>
      <c r="N1" s="66"/>
      <c r="O1" s="66"/>
      <c r="P1" s="66"/>
      <c r="Q1" s="66"/>
      <c r="R1" s="66"/>
      <c r="S1" s="66"/>
      <c r="U1" s="66"/>
      <c r="X1" s="246"/>
      <c r="Y1" s="219"/>
      <c r="Z1" s="219"/>
      <c r="AA1" s="219"/>
    </row>
    <row r="2" spans="1:27" s="224" customFormat="1" ht="13.8" thickBot="1" x14ac:dyDescent="0.3">
      <c r="A2" s="222" t="s">
        <v>444</v>
      </c>
      <c r="B2" s="156" t="s">
        <v>445</v>
      </c>
      <c r="C2" s="223" t="s">
        <v>464</v>
      </c>
      <c r="D2" s="156" t="s">
        <v>446</v>
      </c>
      <c r="E2" s="156" t="s">
        <v>126</v>
      </c>
      <c r="F2" s="380" t="s">
        <v>445</v>
      </c>
      <c r="G2" s="156"/>
      <c r="H2" s="156" t="s">
        <v>448</v>
      </c>
      <c r="I2" s="156" t="s">
        <v>449</v>
      </c>
      <c r="J2" s="156" t="s">
        <v>450</v>
      </c>
      <c r="K2" s="156" t="s">
        <v>455</v>
      </c>
      <c r="L2" s="156" t="s">
        <v>452</v>
      </c>
      <c r="M2" s="156" t="s">
        <v>453</v>
      </c>
      <c r="N2" s="156" t="s">
        <v>454</v>
      </c>
      <c r="O2" s="156" t="s">
        <v>456</v>
      </c>
      <c r="P2" s="156" t="s">
        <v>457</v>
      </c>
      <c r="Q2" s="156" t="s">
        <v>458</v>
      </c>
      <c r="R2" s="156" t="s">
        <v>459</v>
      </c>
      <c r="S2" s="156" t="s">
        <v>460</v>
      </c>
      <c r="U2" s="222" t="s">
        <v>465</v>
      </c>
      <c r="X2" s="246" t="s">
        <v>466</v>
      </c>
      <c r="Y2" s="219" t="s">
        <v>467</v>
      </c>
      <c r="Z2" s="219"/>
      <c r="AA2" s="219" t="s">
        <v>468</v>
      </c>
    </row>
    <row r="3" spans="1:27" x14ac:dyDescent="0.25">
      <c r="A3" s="225">
        <v>1</v>
      </c>
      <c r="B3" s="226"/>
      <c r="C3" s="227"/>
      <c r="D3" s="228"/>
      <c r="E3" s="228">
        <f ca="1">SUMIF(payDet,$U3,E$23:OFFSET(E$23,ROWS(payDet)-1,0))</f>
        <v>21</v>
      </c>
      <c r="F3" s="375"/>
      <c r="G3" s="228"/>
      <c r="H3" s="228">
        <f ca="1">SUMIF(payDet,$U3,H$23:OFFSET(H$23,ROWS(payDet)-1,0))</f>
        <v>9450</v>
      </c>
      <c r="I3" s="247">
        <f ca="1">SUMIF(payDet,$U3,I$23:OFFSET(I$23,ROWS(payDet)-1,0))</f>
        <v>472.5</v>
      </c>
      <c r="J3" s="248">
        <f ca="1">SUMIF(payDet,$U3,J$23:OFFSET(J$23,ROWS(payDet)-1,0))</f>
        <v>8977.5</v>
      </c>
      <c r="K3" s="228">
        <f ca="1">SUMIF(payDet,$U3,K$23:OFFSET(K$23,ROWS(payDet)-1,0))</f>
        <v>85.289999999999992</v>
      </c>
      <c r="L3" s="228">
        <f ca="1">SUMIF(payDet,$U3,L$23:OFFSET(L$23,ROWS(payDet)-1,0))</f>
        <v>0</v>
      </c>
      <c r="M3" s="228">
        <f ca="1">SUMIF(payDet,$U3,M$23:OFFSET(M$23,ROWS(payDet)-1,0))</f>
        <v>778.87</v>
      </c>
      <c r="N3" s="228">
        <f ca="1">SUMIF(payDet,$U3,N$23:OFFSET(N$23,ROWS(payDet)-1,0))</f>
        <v>0</v>
      </c>
      <c r="O3" s="228">
        <f ca="1">SUMIF(payDet,$U3,O$23:OFFSET(O$23,ROWS(payDet)-1,0))</f>
        <v>0</v>
      </c>
      <c r="P3" s="228">
        <f ca="1">SUMIF(payDet,$U3,P$23:OFFSET(P$23,ROWS(payDet)-1,0))</f>
        <v>8113.34</v>
      </c>
      <c r="Q3" s="228">
        <f ca="1">SUMIF(payDet,$U3,Q$23:OFFSET(Q$23,ROWS(payDet)-1,0))</f>
        <v>2222</v>
      </c>
      <c r="R3" s="228">
        <f ca="1">SUMIF(payDet,$U3,R$23:OFFSET(R$23,ROWS(payDet)-1,0))</f>
        <v>5891.34</v>
      </c>
      <c r="S3" s="228">
        <f ca="1">SUMIF(payDet,$U3,S$23:OFFSET(S$23,ROWS(payDet)-1,0))</f>
        <v>0</v>
      </c>
      <c r="U3" s="225" t="str">
        <f>IF(ISBLANK(EmpID),A3,EmpID &amp;":"&amp; A3)</f>
        <v>ANK:1</v>
      </c>
      <c r="X3" s="249" t="s">
        <v>469</v>
      </c>
      <c r="Y3" s="37" t="s">
        <v>470</v>
      </c>
      <c r="Z3" s="37"/>
      <c r="AA3" s="37"/>
    </row>
    <row r="4" spans="1:27" x14ac:dyDescent="0.25">
      <c r="A4" s="120">
        <v>2</v>
      </c>
      <c r="B4" s="231"/>
      <c r="C4" s="77"/>
      <c r="D4" s="76"/>
      <c r="E4" s="76">
        <f ca="1">SUMIF(payDet,$U4,E$23:OFFSET(E$23,ROWS(payDet)-1,0))</f>
        <v>23.5</v>
      </c>
      <c r="F4" s="336"/>
      <c r="G4" s="76"/>
      <c r="H4" s="76">
        <f ca="1">SUMIF(payDet,$U4,H$23:OFFSET(H$23,ROWS(payDet)-1,0))</f>
        <v>10575</v>
      </c>
      <c r="I4" s="232">
        <f ca="1">SUMIF(payDet,$U4,I$23:OFFSET(I$23,ROWS(payDet)-1,0))</f>
        <v>528.75</v>
      </c>
      <c r="J4" s="76">
        <f ca="1">SUMIF(payDet,$U4,J$23:OFFSET(J$23,ROWS(payDet)-1,0))</f>
        <v>10046.25</v>
      </c>
      <c r="K4" s="76">
        <f ca="1">SUMIF(payDet,$U4,K$23:OFFSET(K$23,ROWS(payDet)-1,0))</f>
        <v>95.44</v>
      </c>
      <c r="L4" s="76">
        <f ca="1">SUMIF(payDet,$U4,L$23:OFFSET(L$23,ROWS(payDet)-1,0))</f>
        <v>618.17999999999995</v>
      </c>
      <c r="M4" s="76">
        <f ca="1">SUMIF(payDet,$U4,M$23:OFFSET(M$23,ROWS(payDet)-1,0))</f>
        <v>871.59</v>
      </c>
      <c r="N4" s="76">
        <f ca="1">SUMIF(payDet,$U4,N$23:OFFSET(N$23,ROWS(payDet)-1,0))</f>
        <v>0</v>
      </c>
      <c r="O4" s="76">
        <f ca="1">SUMIF(payDet,$U4,O$23:OFFSET(O$23,ROWS(payDet)-1,0))</f>
        <v>0</v>
      </c>
      <c r="P4" s="76">
        <f ca="1">SUMIF(payDet,$U4,P$23:OFFSET(P$23,ROWS(payDet)-1,0))</f>
        <v>8461.0400000000009</v>
      </c>
      <c r="Q4" s="76">
        <f ca="1">SUMIF(payDet,$U4,Q$23:OFFSET(Q$23,ROWS(payDet)-1,0))</f>
        <v>2340</v>
      </c>
      <c r="R4" s="76">
        <f ca="1">SUMIF(payDet,$U4,R$23:OFFSET(R$23,ROWS(payDet)-1,0))</f>
        <v>6121.0400000000009</v>
      </c>
      <c r="S4" s="76">
        <f ca="1">SUMIF(payDet,$U4,S$23:OFFSET(S$23,ROWS(payDet)-1,0))</f>
        <v>680</v>
      </c>
      <c r="U4" s="120" t="str">
        <f>IF(ISBLANK(EmpID),A4,EmpID &amp;":"&amp; A4)</f>
        <v>ANK:2</v>
      </c>
      <c r="X4" s="250" t="s">
        <v>678</v>
      </c>
      <c r="Y4" s="16" t="s">
        <v>679</v>
      </c>
      <c r="Z4" s="15"/>
      <c r="AA4" s="16">
        <v>21</v>
      </c>
    </row>
    <row r="5" spans="1:27" x14ac:dyDescent="0.25">
      <c r="A5" s="120">
        <v>3</v>
      </c>
      <c r="B5" s="231"/>
      <c r="C5" s="77"/>
      <c r="D5" s="78"/>
      <c r="E5" s="78">
        <f ca="1">SUMIF(payDet,$U5,E$23:OFFSET(E$23,ROWS(payDet)-1,0))</f>
        <v>25</v>
      </c>
      <c r="F5" s="340"/>
      <c r="G5" s="78"/>
      <c r="H5" s="78">
        <f ca="1">SUMIF(payDet,$U5,H$23:OFFSET(H$23,ROWS(payDet)-1,0))</f>
        <v>11250</v>
      </c>
      <c r="I5" s="232">
        <f ca="1">SUMIF(payDet,$U5,I$23:OFFSET(I$23,ROWS(payDet)-1,0))</f>
        <v>562.5</v>
      </c>
      <c r="J5" s="78">
        <f ca="1">SUMIF(payDet,$U5,J$23:OFFSET(J$23,ROWS(payDet)-1,0))</f>
        <v>10687.5</v>
      </c>
      <c r="K5" s="78">
        <f ca="1">SUMIF(payDet,$U5,K$23:OFFSET(K$23,ROWS(payDet)-1,0))</f>
        <v>101.53</v>
      </c>
      <c r="L5" s="78">
        <f ca="1">SUMIF(payDet,$U5,L$23:OFFSET(L$23,ROWS(payDet)-1,0))</f>
        <v>500.91</v>
      </c>
      <c r="M5" s="78">
        <f ca="1">SUMIF(payDet,$U5,M$23:OFFSET(M$23,ROWS(payDet)-1,0))</f>
        <v>927.22</v>
      </c>
      <c r="N5" s="78">
        <f ca="1">SUMIF(payDet,$U5,N$23:OFFSET(N$23,ROWS(payDet)-1,0))</f>
        <v>0</v>
      </c>
      <c r="O5" s="78">
        <f ca="1">SUMIF(payDet,$U5,O$23:OFFSET(O$23,ROWS(payDet)-1,0))</f>
        <v>0</v>
      </c>
      <c r="P5" s="78">
        <f ca="1">SUMIF(payDet,$U5,P$23:OFFSET(P$23,ROWS(payDet)-1,0))</f>
        <v>9157.84</v>
      </c>
      <c r="Q5" s="78">
        <f ca="1">SUMIF(payDet,$U5,Q$23:OFFSET(Q$23,ROWS(payDet)-1,0))</f>
        <v>2614</v>
      </c>
      <c r="R5" s="78">
        <f ca="1">SUMIF(payDet,$U5,R$23:OFFSET(R$23,ROWS(payDet)-1,0))</f>
        <v>6543.8399999999992</v>
      </c>
      <c r="S5" s="78">
        <f ca="1">SUMIF(payDet,$U5,S$23:OFFSET(S$23,ROWS(payDet)-1,0))</f>
        <v>551</v>
      </c>
      <c r="U5" s="123" t="str">
        <f>IF(ISBLANK(EmpID),A5,EmpID &amp;":"&amp; A5)</f>
        <v>ANK:3</v>
      </c>
      <c r="X5" s="250" t="s">
        <v>658</v>
      </c>
      <c r="Y5" s="16" t="s">
        <v>656</v>
      </c>
      <c r="Z5" s="15"/>
      <c r="AA5" s="16">
        <v>21</v>
      </c>
    </row>
    <row r="6" spans="1:27" x14ac:dyDescent="0.25">
      <c r="A6" s="131"/>
      <c r="B6" s="132"/>
      <c r="C6" s="132" t="s">
        <v>14</v>
      </c>
      <c r="D6" s="235"/>
      <c r="E6" s="190">
        <f ca="1">SUBTOTAL(9,E3:E5)</f>
        <v>69.5</v>
      </c>
      <c r="F6" s="377"/>
      <c r="G6" s="236"/>
      <c r="H6" s="190">
        <f t="shared" ref="H6:S6" ca="1" si="0">SUBTOTAL(9,H3:H5)</f>
        <v>31275</v>
      </c>
      <c r="I6" s="190">
        <f t="shared" ca="1" si="0"/>
        <v>1563.75</v>
      </c>
      <c r="J6" s="190">
        <f t="shared" ca="1" si="0"/>
        <v>29711.25</v>
      </c>
      <c r="K6" s="190">
        <f t="shared" ref="K6" ca="1" si="1">SUBTOTAL(9,K3:K5)</f>
        <v>282.26</v>
      </c>
      <c r="L6" s="190">
        <f t="shared" ca="1" si="0"/>
        <v>1119.0899999999999</v>
      </c>
      <c r="M6" s="190">
        <f t="shared" ca="1" si="0"/>
        <v>2577.6800000000003</v>
      </c>
      <c r="N6" s="190">
        <f t="shared" ca="1" si="0"/>
        <v>0</v>
      </c>
      <c r="O6" s="190">
        <f t="shared" ca="1" si="0"/>
        <v>0</v>
      </c>
      <c r="P6" s="190">
        <f t="shared" ca="1" si="0"/>
        <v>25732.22</v>
      </c>
      <c r="Q6" s="190">
        <f t="shared" ca="1" si="0"/>
        <v>7176</v>
      </c>
      <c r="R6" s="190">
        <f t="shared" ca="1" si="0"/>
        <v>18556.22</v>
      </c>
      <c r="S6" s="237">
        <f t="shared" ca="1" si="0"/>
        <v>1231</v>
      </c>
      <c r="U6" s="239"/>
      <c r="X6" s="250" t="s">
        <v>57</v>
      </c>
      <c r="Y6" s="16" t="s">
        <v>471</v>
      </c>
      <c r="Z6" s="15"/>
      <c r="AA6" s="16">
        <v>21</v>
      </c>
    </row>
    <row r="7" spans="1:27" x14ac:dyDescent="0.25">
      <c r="A7" s="120">
        <v>4</v>
      </c>
      <c r="B7" s="231"/>
      <c r="C7" s="77"/>
      <c r="D7" s="238"/>
      <c r="E7" s="74">
        <f ca="1">SUMIF(payDet,$U7,E$23:OFFSET(E$23,ROWS(payDet)-1,0))</f>
        <v>10</v>
      </c>
      <c r="F7" s="378"/>
      <c r="G7" s="74"/>
      <c r="H7" s="74">
        <f ca="1">SUMIF(payDet,$U7,H$23:OFFSET(H$23,ROWS(payDet)-1,0))</f>
        <v>4500</v>
      </c>
      <c r="I7" s="229">
        <f ca="1">SUMIF(payDet,$U7,I$23:OFFSET(I$23,ROWS(payDet)-1,0))</f>
        <v>225</v>
      </c>
      <c r="J7" s="230">
        <f ca="1">SUMIF(payDet,$U7,J$23:OFFSET(J$23,ROWS(payDet)-1,0))</f>
        <v>4275</v>
      </c>
      <c r="K7" s="74">
        <f ca="1">SUMIF(payDet,$U7,K$23:OFFSET(K$23,ROWS(payDet)-1,0))</f>
        <v>40.61</v>
      </c>
      <c r="L7" s="74">
        <f ca="1">SUMIF(payDet,$U7,L$23:OFFSET(L$23,ROWS(payDet)-1,0))</f>
        <v>478.18</v>
      </c>
      <c r="M7" s="74">
        <f ca="1">SUMIF(payDet,$U7,M$23:OFFSET(M$23,ROWS(payDet)-1,0))</f>
        <v>370.89</v>
      </c>
      <c r="N7" s="74">
        <f ca="1">SUMIF(payDet,$U7,N$23:OFFSET(N$23,ROWS(payDet)-1,0))</f>
        <v>0</v>
      </c>
      <c r="O7" s="74">
        <f ca="1">SUMIF(payDet,$U7,O$23:OFFSET(O$23,ROWS(payDet)-1,0))</f>
        <v>0</v>
      </c>
      <c r="P7" s="74">
        <f ca="1">SUMIF(payDet,$U7,P$23:OFFSET(P$23,ROWS(payDet)-1,0))</f>
        <v>3385.32</v>
      </c>
      <c r="Q7" s="74">
        <f ca="1">SUMIF(payDet,$U7,Q$23:OFFSET(Q$23,ROWS(payDet)-1,0))</f>
        <v>844</v>
      </c>
      <c r="R7" s="74">
        <f ca="1">SUMIF(payDet,$U7,R$23:OFFSET(R$23,ROWS(payDet)-1,0))</f>
        <v>2541.3200000000002</v>
      </c>
      <c r="S7" s="74">
        <f ca="1">SUMIF(payDet,$U7,S$23:OFFSET(S$23,ROWS(payDet)-1,0))</f>
        <v>526</v>
      </c>
      <c r="U7" s="267" t="str">
        <f>IF(ISBLANK(EmpID),A7,EmpID &amp;":"&amp; A7)</f>
        <v>ANK:4</v>
      </c>
      <c r="X7" s="250" t="s">
        <v>669</v>
      </c>
      <c r="Y7" s="16" t="s">
        <v>670</v>
      </c>
      <c r="Z7" s="15"/>
      <c r="AA7" s="16">
        <v>21</v>
      </c>
    </row>
    <row r="8" spans="1:27" x14ac:dyDescent="0.25">
      <c r="A8" s="120">
        <v>5</v>
      </c>
      <c r="B8" s="231"/>
      <c r="C8" s="77"/>
      <c r="D8" s="238"/>
      <c r="E8" s="76">
        <f ca="1">SUMIF(payDet,$U8,E$23:OFFSET(E$23,ROWS(payDet)-1,0))</f>
        <v>0</v>
      </c>
      <c r="F8" s="336"/>
      <c r="G8" s="76"/>
      <c r="H8" s="76">
        <f ca="1">SUMIF(payDet,$U8,H$23:OFFSET(H$23,ROWS(payDet)-1,0))</f>
        <v>0</v>
      </c>
      <c r="I8" s="232">
        <f ca="1">SUMIF(payDet,$U8,I$23:OFFSET(I$23,ROWS(payDet)-1,0))</f>
        <v>0</v>
      </c>
      <c r="J8" s="76">
        <f ca="1">SUMIF(payDet,$U8,J$23:OFFSET(J$23,ROWS(payDet)-1,0))</f>
        <v>0</v>
      </c>
      <c r="K8" s="76">
        <f ca="1">SUMIF(payDet,$U8,K$23:OFFSET(K$23,ROWS(payDet)-1,0))</f>
        <v>0</v>
      </c>
      <c r="L8" s="76">
        <f ca="1">SUMIF(payDet,$U8,L$23:OFFSET(L$23,ROWS(payDet)-1,0))</f>
        <v>0</v>
      </c>
      <c r="M8" s="76">
        <f ca="1">SUMIF(payDet,$U8,M$23:OFFSET(M$23,ROWS(payDet)-1,0))</f>
        <v>0</v>
      </c>
      <c r="N8" s="76">
        <f ca="1">SUMIF(payDet,$U8,N$23:OFFSET(N$23,ROWS(payDet)-1,0))</f>
        <v>0</v>
      </c>
      <c r="O8" s="76">
        <f ca="1">SUMIF(payDet,$U8,O$23:OFFSET(O$23,ROWS(payDet)-1,0))</f>
        <v>0</v>
      </c>
      <c r="P8" s="76">
        <f ca="1">SUMIF(payDet,$U8,P$23:OFFSET(P$23,ROWS(payDet)-1,0))</f>
        <v>0</v>
      </c>
      <c r="Q8" s="76">
        <f ca="1">SUMIF(payDet,$U8,Q$23:OFFSET(Q$23,ROWS(payDet)-1,0))</f>
        <v>0</v>
      </c>
      <c r="R8" s="76">
        <f ca="1">SUMIF(payDet,$U8,R$23:OFFSET(R$23,ROWS(payDet)-1,0))</f>
        <v>0</v>
      </c>
      <c r="S8" s="76">
        <f ca="1">SUMIF(payDet,$U8,S$23:OFFSET(S$23,ROWS(payDet)-1,0))</f>
        <v>0</v>
      </c>
      <c r="T8" s="251"/>
      <c r="U8" s="120" t="str">
        <f>IF(ISBLANK(EmpID),A8,EmpID &amp;":"&amp; A8)</f>
        <v>ANK:5</v>
      </c>
      <c r="X8" s="250" t="s">
        <v>622</v>
      </c>
      <c r="Y8" s="16" t="s">
        <v>629</v>
      </c>
      <c r="Z8" s="15"/>
      <c r="AA8" s="16">
        <v>21</v>
      </c>
    </row>
    <row r="9" spans="1:27" x14ac:dyDescent="0.25">
      <c r="A9" s="120">
        <v>6</v>
      </c>
      <c r="B9" s="231"/>
      <c r="C9" s="77"/>
      <c r="D9" s="238"/>
      <c r="E9" s="78">
        <f ca="1">SUMIF(payDet,$U9,E$23:OFFSET(E$23,ROWS(payDet)-1,0))</f>
        <v>0</v>
      </c>
      <c r="F9" s="340"/>
      <c r="G9" s="78"/>
      <c r="H9" s="78">
        <f ca="1">SUMIF(payDet,$U9,H$23:OFFSET(H$23,ROWS(payDet)-1,0))</f>
        <v>0</v>
      </c>
      <c r="I9" s="234">
        <f ca="1">SUMIF(payDet,$U9,I$23:OFFSET(I$23,ROWS(payDet)-1,0))</f>
        <v>0</v>
      </c>
      <c r="J9" s="78">
        <f ca="1">SUMIF(payDet,$U9,J$23:OFFSET(J$23,ROWS(payDet)-1,0))</f>
        <v>0</v>
      </c>
      <c r="K9" s="78">
        <f ca="1">SUMIF(payDet,$U9,K$23:OFFSET(K$23,ROWS(payDet)-1,0))</f>
        <v>0</v>
      </c>
      <c r="L9" s="78">
        <f ca="1">SUMIF(payDet,$U9,L$23:OFFSET(L$23,ROWS(payDet)-1,0))</f>
        <v>0</v>
      </c>
      <c r="M9" s="78">
        <f ca="1">SUMIF(payDet,$U9,M$23:OFFSET(M$23,ROWS(payDet)-1,0))</f>
        <v>0</v>
      </c>
      <c r="N9" s="78">
        <f ca="1">SUMIF(payDet,$U9,N$23:OFFSET(N$23,ROWS(payDet)-1,0))</f>
        <v>0</v>
      </c>
      <c r="O9" s="78">
        <f ca="1">SUMIF(payDet,$U9,O$23:OFFSET(O$23,ROWS(payDet)-1,0))</f>
        <v>0</v>
      </c>
      <c r="P9" s="78">
        <f ca="1">SUMIF(payDet,$U9,P$23:OFFSET(P$23,ROWS(payDet)-1,0))</f>
        <v>0</v>
      </c>
      <c r="Q9" s="78">
        <f ca="1">SUMIF(payDet,$U9,Q$23:OFFSET(Q$23,ROWS(payDet)-1,0))</f>
        <v>0</v>
      </c>
      <c r="R9" s="78">
        <f ca="1">SUMIF(payDet,$U9,R$23:OFFSET(R$23,ROWS(payDet)-1,0))</f>
        <v>0</v>
      </c>
      <c r="S9" s="78">
        <f ca="1">SUMIF(payDet,$U9,S$23:OFFSET(S$23,ROWS(payDet)-1,0))</f>
        <v>0</v>
      </c>
      <c r="U9" s="123" t="str">
        <f>IF(ISBLANK(EmpID),A9,EmpID &amp;":"&amp; A9)</f>
        <v>ANK:6</v>
      </c>
      <c r="X9" s="250" t="s">
        <v>55</v>
      </c>
      <c r="Y9" s="16" t="s">
        <v>68</v>
      </c>
      <c r="Z9" s="15"/>
      <c r="AA9" s="16">
        <v>21</v>
      </c>
    </row>
    <row r="10" spans="1:27" x14ac:dyDescent="0.25">
      <c r="A10" s="131"/>
      <c r="B10" s="132"/>
      <c r="C10" s="132" t="s">
        <v>18</v>
      </c>
      <c r="D10" s="235"/>
      <c r="E10" s="190">
        <f ca="1">SUBTOTAL(9,E7:E9)</f>
        <v>10</v>
      </c>
      <c r="F10" s="377"/>
      <c r="G10" s="190"/>
      <c r="H10" s="190">
        <f t="shared" ref="H10:S10" ca="1" si="2">SUBTOTAL(9,H7:H9)</f>
        <v>4500</v>
      </c>
      <c r="I10" s="190">
        <f t="shared" ca="1" si="2"/>
        <v>225</v>
      </c>
      <c r="J10" s="190">
        <f t="shared" ca="1" si="2"/>
        <v>4275</v>
      </c>
      <c r="K10" s="190">
        <f t="shared" ref="K10" ca="1" si="3">SUBTOTAL(9,K7:K9)</f>
        <v>40.61</v>
      </c>
      <c r="L10" s="190">
        <f t="shared" ca="1" si="2"/>
        <v>478.18</v>
      </c>
      <c r="M10" s="190">
        <f t="shared" ca="1" si="2"/>
        <v>370.89</v>
      </c>
      <c r="N10" s="190">
        <f t="shared" ca="1" si="2"/>
        <v>0</v>
      </c>
      <c r="O10" s="190">
        <f t="shared" ca="1" si="2"/>
        <v>0</v>
      </c>
      <c r="P10" s="190">
        <f t="shared" ca="1" si="2"/>
        <v>3385.32</v>
      </c>
      <c r="Q10" s="190">
        <f t="shared" ca="1" si="2"/>
        <v>844</v>
      </c>
      <c r="R10" s="190">
        <f t="shared" ca="1" si="2"/>
        <v>2541.3200000000002</v>
      </c>
      <c r="S10" s="237">
        <f t="shared" ca="1" si="2"/>
        <v>526</v>
      </c>
      <c r="U10" s="239"/>
      <c r="X10" s="250" t="s">
        <v>58</v>
      </c>
      <c r="Y10" s="16" t="s">
        <v>473</v>
      </c>
      <c r="Z10" s="15"/>
      <c r="AA10" s="16">
        <v>21</v>
      </c>
    </row>
    <row r="11" spans="1:27" x14ac:dyDescent="0.25">
      <c r="A11" s="120">
        <v>7</v>
      </c>
      <c r="B11" s="231"/>
      <c r="C11" s="77"/>
      <c r="D11" s="238"/>
      <c r="E11" s="74">
        <f ca="1">SUMIF(payDet,$U11,E$23:OFFSET(E$23,ROWS(payDet)-1,0))</f>
        <v>0</v>
      </c>
      <c r="F11" s="378"/>
      <c r="G11" s="74"/>
      <c r="H11" s="74">
        <f ca="1">SUMIF(payDet,$U11,H$23:OFFSET(H$23,ROWS(payDet)-1,0))</f>
        <v>0</v>
      </c>
      <c r="I11" s="229">
        <f ca="1">SUMIF(payDet,$U11,I$23:OFFSET(I$23,ROWS(payDet)-1,0))</f>
        <v>0</v>
      </c>
      <c r="J11" s="230">
        <f ca="1">SUMIF(payDet,$U11,J$23:OFFSET(J$23,ROWS(payDet)-1,0))</f>
        <v>0</v>
      </c>
      <c r="K11" s="74">
        <f ca="1">SUMIF(payDet,$U11,K$23:OFFSET(K$23,ROWS(payDet)-1,0))</f>
        <v>0</v>
      </c>
      <c r="L11" s="74">
        <f ca="1">SUMIF(payDet,$U11,L$23:OFFSET(L$23,ROWS(payDet)-1,0))</f>
        <v>0</v>
      </c>
      <c r="M11" s="74">
        <f ca="1">SUMIF(payDet,$U11,M$23:OFFSET(M$23,ROWS(payDet)-1,0))</f>
        <v>0</v>
      </c>
      <c r="N11" s="74">
        <f ca="1">SUMIF(payDet,$U11,N$23:OFFSET(N$23,ROWS(payDet)-1,0))</f>
        <v>0</v>
      </c>
      <c r="O11" s="74">
        <f ca="1">SUMIF(payDet,$U11,O$23:OFFSET(O$23,ROWS(payDet)-1,0))</f>
        <v>0</v>
      </c>
      <c r="P11" s="74">
        <f ca="1">SUMIF(payDet,$U11,P$23:OFFSET(P$23,ROWS(payDet)-1,0))</f>
        <v>0</v>
      </c>
      <c r="Q11" s="74">
        <f ca="1">SUMIF(payDet,$U11,Q$23:OFFSET(Q$23,ROWS(payDet)-1,0))</f>
        <v>0</v>
      </c>
      <c r="R11" s="74">
        <f ca="1">SUMIF(payDet,$U11,R$23:OFFSET(R$23,ROWS(payDet)-1,0))</f>
        <v>0</v>
      </c>
      <c r="S11" s="74">
        <f ca="1">SUMIF(payDet,$U11,S$23:OFFSET(S$23,ROWS(payDet)-1,0))</f>
        <v>0</v>
      </c>
      <c r="U11" s="267" t="str">
        <f>IF(ISBLANK(EmpID),A11,EmpID &amp;":"&amp; A11)</f>
        <v>ANK:7</v>
      </c>
      <c r="X11" s="250" t="s">
        <v>657</v>
      </c>
      <c r="Y11" s="16" t="s">
        <v>655</v>
      </c>
      <c r="Z11" s="15"/>
      <c r="AA11" s="16">
        <v>21</v>
      </c>
    </row>
    <row r="12" spans="1:27" x14ac:dyDescent="0.25">
      <c r="A12" s="120">
        <v>8</v>
      </c>
      <c r="B12" s="231"/>
      <c r="C12" s="77"/>
      <c r="D12" s="238"/>
      <c r="E12" s="76">
        <f ca="1">SUMIF(payDet,$U12,E$23:OFFSET(E$23,ROWS(payDet)-1,0))</f>
        <v>0</v>
      </c>
      <c r="F12" s="336"/>
      <c r="G12" s="76"/>
      <c r="H12" s="76">
        <f ca="1">SUMIF(payDet,$U12,H$23:OFFSET(H$23,ROWS(payDet)-1,0))</f>
        <v>0</v>
      </c>
      <c r="I12" s="232">
        <f ca="1">SUMIF(payDet,$U12,I$23:OFFSET(I$23,ROWS(payDet)-1,0))</f>
        <v>0</v>
      </c>
      <c r="J12" s="76">
        <f ca="1">SUMIF(payDet,$U12,J$23:OFFSET(J$23,ROWS(payDet)-1,0))</f>
        <v>0</v>
      </c>
      <c r="K12" s="76">
        <f ca="1">SUMIF(payDet,$U12,K$23:OFFSET(K$23,ROWS(payDet)-1,0))</f>
        <v>0</v>
      </c>
      <c r="L12" s="76">
        <f ca="1">SUMIF(payDet,$U12,L$23:OFFSET(L$23,ROWS(payDet)-1,0))</f>
        <v>0</v>
      </c>
      <c r="M12" s="76">
        <f ca="1">SUMIF(payDet,$U12,M$23:OFFSET(M$23,ROWS(payDet)-1,0))</f>
        <v>0</v>
      </c>
      <c r="N12" s="76"/>
      <c r="O12" s="76">
        <f ca="1">SUMIF(payDet,$U12,O$23:OFFSET(O$23,ROWS(payDet)-1,0))</f>
        <v>0</v>
      </c>
      <c r="P12" s="76">
        <f ca="1">SUMIF(payDet,$U12,P$23:OFFSET(P$23,ROWS(payDet)-1,0))</f>
        <v>0</v>
      </c>
      <c r="Q12" s="76">
        <f ca="1">SUMIF(payDet,$U12,Q$23:OFFSET(Q$23,ROWS(payDet)-1,0))</f>
        <v>0</v>
      </c>
      <c r="R12" s="76">
        <f ca="1">SUMIF(payDet,$U12,R$23:OFFSET(R$23,ROWS(payDet)-1,0))</f>
        <v>0</v>
      </c>
      <c r="S12" s="76">
        <f ca="1">SUMIF(payDet,$U12,S$23:OFFSET(S$23,ROWS(payDet)-1,0))</f>
        <v>0</v>
      </c>
      <c r="U12" s="120" t="str">
        <f>IF(ISBLANK(EmpID),A12,EmpID &amp;":"&amp; A12)</f>
        <v>ANK:8</v>
      </c>
      <c r="X12" s="250"/>
      <c r="Y12" s="16"/>
      <c r="Z12" s="15"/>
      <c r="AA12" s="16"/>
    </row>
    <row r="13" spans="1:27" x14ac:dyDescent="0.25">
      <c r="A13" s="120">
        <v>9</v>
      </c>
      <c r="B13" s="231"/>
      <c r="C13" s="77"/>
      <c r="D13" s="238"/>
      <c r="E13" s="78">
        <f ca="1">SUMIF(payDet,$U13,E$23:OFFSET(E$23,ROWS(payDet)-1,0))</f>
        <v>0</v>
      </c>
      <c r="F13" s="340"/>
      <c r="G13" s="78"/>
      <c r="H13" s="78">
        <f ca="1">SUMIF(payDet,$U13,H$23:OFFSET(H$23,ROWS(payDet)-1,0))</f>
        <v>0</v>
      </c>
      <c r="I13" s="234">
        <f ca="1">SUMIF(payDet,$U13,I$23:OFFSET(I$23,ROWS(payDet)-1,0))</f>
        <v>0</v>
      </c>
      <c r="J13" s="78">
        <f ca="1">SUMIF(payDet,$U13,J$23:OFFSET(J$23,ROWS(payDet)-1,0))</f>
        <v>0</v>
      </c>
      <c r="K13" s="78">
        <f ca="1">SUMIF(payDet,$U13,K$23:OFFSET(K$23,ROWS(payDet)-1,0))</f>
        <v>0</v>
      </c>
      <c r="L13" s="78">
        <f ca="1">SUMIF(payDet,$U13,L$23:OFFSET(L$23,ROWS(payDet)-1,0))</f>
        <v>0</v>
      </c>
      <c r="M13" s="78">
        <f ca="1">SUMIF(payDet,$U13,M$23:OFFSET(M$23,ROWS(payDet)-1,0))</f>
        <v>0</v>
      </c>
      <c r="N13" s="78">
        <f ca="1">SUMIF(payDet,$U13,N$23:OFFSET(N$23,ROWS(payDet)-1,0))</f>
        <v>0</v>
      </c>
      <c r="O13" s="78">
        <f ca="1">SUMIF(payDet,$U13,O$23:OFFSET(O$23,ROWS(payDet)-1,0))</f>
        <v>0</v>
      </c>
      <c r="P13" s="78">
        <f ca="1">SUMIF(payDet,$U13,P$23:OFFSET(P$23,ROWS(payDet)-1,0))</f>
        <v>0</v>
      </c>
      <c r="Q13" s="78">
        <f ca="1">SUMIF(payDet,$U13,Q$23:OFFSET(Q$23,ROWS(payDet)-1,0))</f>
        <v>0</v>
      </c>
      <c r="R13" s="78">
        <f ca="1">SUMIF(payDet,$U13,R$23:OFFSET(R$23,ROWS(payDet)-1,0))</f>
        <v>0</v>
      </c>
      <c r="S13" s="78">
        <f ca="1">SUMIF(payDet,$U13,S$23:OFFSET(S$23,ROWS(payDet)-1,0))</f>
        <v>0</v>
      </c>
      <c r="U13" s="123" t="str">
        <f>IF(ISBLANK(EmpID),A13,EmpID &amp;":"&amp; A13)</f>
        <v>ANK:9</v>
      </c>
      <c r="X13" s="250"/>
      <c r="Y13" s="16"/>
      <c r="Z13" s="15"/>
      <c r="AA13" s="16"/>
    </row>
    <row r="14" spans="1:27" x14ac:dyDescent="0.25">
      <c r="A14" s="131"/>
      <c r="B14" s="132"/>
      <c r="C14" s="132" t="s">
        <v>22</v>
      </c>
      <c r="D14" s="235"/>
      <c r="E14" s="190">
        <f ca="1">SUBTOTAL(9,E11:E13)</f>
        <v>0</v>
      </c>
      <c r="F14" s="377"/>
      <c r="G14" s="236"/>
      <c r="H14" s="190">
        <f t="shared" ref="H14:S14" ca="1" si="4">SUBTOTAL(9,H11:H13)</f>
        <v>0</v>
      </c>
      <c r="I14" s="190">
        <f t="shared" ca="1" si="4"/>
        <v>0</v>
      </c>
      <c r="J14" s="190">
        <f t="shared" ca="1" si="4"/>
        <v>0</v>
      </c>
      <c r="K14" s="190">
        <f t="shared" ref="K14" ca="1" si="5">SUBTOTAL(9,K11:K13)</f>
        <v>0</v>
      </c>
      <c r="L14" s="190">
        <f t="shared" ca="1" si="4"/>
        <v>0</v>
      </c>
      <c r="M14" s="190">
        <f t="shared" ca="1" si="4"/>
        <v>0</v>
      </c>
      <c r="N14" s="190">
        <f t="shared" ca="1" si="4"/>
        <v>0</v>
      </c>
      <c r="O14" s="190">
        <f t="shared" ca="1" si="4"/>
        <v>0</v>
      </c>
      <c r="P14" s="190">
        <f t="shared" ca="1" si="4"/>
        <v>0</v>
      </c>
      <c r="Q14" s="190">
        <f t="shared" ca="1" si="4"/>
        <v>0</v>
      </c>
      <c r="R14" s="190">
        <f t="shared" ca="1" si="4"/>
        <v>0</v>
      </c>
      <c r="S14" s="237">
        <f t="shared" ca="1" si="4"/>
        <v>0</v>
      </c>
      <c r="U14" s="239"/>
      <c r="X14" s="250"/>
      <c r="Y14" s="16"/>
      <c r="Z14" s="15"/>
      <c r="AA14" s="15"/>
    </row>
    <row r="15" spans="1:27" x14ac:dyDescent="0.25">
      <c r="A15" s="120">
        <v>10</v>
      </c>
      <c r="B15" s="231"/>
      <c r="C15" s="77"/>
      <c r="D15" s="238"/>
      <c r="E15" s="74">
        <f ca="1">SUMIF(payDet,$U15,E$23:OFFSET(E$23,ROWS(payDet)-1,0))</f>
        <v>0</v>
      </c>
      <c r="F15" s="378"/>
      <c r="G15" s="74"/>
      <c r="H15" s="74">
        <f ca="1">SUMIF(payDet,$U15,H$23:OFFSET(H$23,ROWS(payDet)-1,0))</f>
        <v>0</v>
      </c>
      <c r="I15" s="229">
        <f ca="1">SUMIF(payDet,$U15,I$23:OFFSET(I$23,ROWS(payDet)-1,0))</f>
        <v>0</v>
      </c>
      <c r="J15" s="230">
        <f ca="1">SUMIF(payDet,$U15,J$23:OFFSET(J$23,ROWS(payDet)-1,0))</f>
        <v>0</v>
      </c>
      <c r="K15" s="74">
        <f ca="1">SUMIF(payDet,$U15,K$23:OFFSET(K$23,ROWS(payDet)-1,0))</f>
        <v>0</v>
      </c>
      <c r="L15" s="74">
        <f ca="1">SUMIF(payDet,$U15,L$23:OFFSET(L$23,ROWS(payDet)-1,0))</f>
        <v>0</v>
      </c>
      <c r="M15" s="74">
        <f ca="1">SUMIF(payDet,$U15,M$23:OFFSET(M$23,ROWS(payDet)-1,0))</f>
        <v>0</v>
      </c>
      <c r="N15" s="74">
        <f ca="1">SUMIF(payDet,$U15,N$23:OFFSET(N$23,ROWS(payDet)-1,0))</f>
        <v>0</v>
      </c>
      <c r="O15" s="74">
        <f ca="1">SUMIF(payDet,$U15,O$23:OFFSET(O$23,ROWS(payDet)-1,0))</f>
        <v>0</v>
      </c>
      <c r="P15" s="74">
        <f ca="1">SUMIF(payDet,$U15,P$23:OFFSET(P$23,ROWS(payDet)-1,0))</f>
        <v>0</v>
      </c>
      <c r="Q15" s="74">
        <f ca="1">SUMIF(payDet,$U15,Q$23:OFFSET(Q$23,ROWS(payDet)-1,0))</f>
        <v>0</v>
      </c>
      <c r="R15" s="74">
        <f ca="1">SUMIF(payDet,$U15,R$23:OFFSET(R$23,ROWS(payDet)-1,0))</f>
        <v>0</v>
      </c>
      <c r="S15" s="74">
        <f ca="1">SUMIF(payDet,$U15,S$23:OFFSET(S$23,ROWS(payDet)-1,0))</f>
        <v>0</v>
      </c>
      <c r="U15" s="267" t="str">
        <f>IF(ISBLANK(EmpID),A15,EmpID &amp;":"&amp; A15)</f>
        <v>ANK:10</v>
      </c>
      <c r="X15" s="250"/>
      <c r="Y15" s="16"/>
      <c r="Z15" s="15"/>
      <c r="AA15" s="15"/>
    </row>
    <row r="16" spans="1:27" x14ac:dyDescent="0.25">
      <c r="A16" s="120">
        <v>11</v>
      </c>
      <c r="B16" s="231"/>
      <c r="C16" s="77"/>
      <c r="D16" s="238"/>
      <c r="E16" s="76">
        <f ca="1">SUMIF(payDet,$U16,E$23:OFFSET(E$23,ROWS(payDet)-1,0))</f>
        <v>0</v>
      </c>
      <c r="F16" s="336"/>
      <c r="G16" s="76"/>
      <c r="H16" s="76">
        <f ca="1">SUMIF(payDet,$U16,H$23:OFFSET(H$23,ROWS(payDet)-1,0))</f>
        <v>0</v>
      </c>
      <c r="I16" s="232">
        <f ca="1">SUMIF(payDet,$U16,I$23:OFFSET(I$23,ROWS(payDet)-1,0))</f>
        <v>0</v>
      </c>
      <c r="J16" s="76">
        <f ca="1">SUMIF(payDet,$U16,J$23:OFFSET(J$23,ROWS(payDet)-1,0))</f>
        <v>0</v>
      </c>
      <c r="K16" s="76">
        <f ca="1">SUMIF(payDet,$U16,K$23:OFFSET(K$23,ROWS(payDet)-1,0))</f>
        <v>0</v>
      </c>
      <c r="L16" s="76">
        <f ca="1">SUMIF(payDet,$U16,L$23:OFFSET(L$23,ROWS(payDet)-1,0))</f>
        <v>0</v>
      </c>
      <c r="M16" s="76">
        <f ca="1">SUMIF(payDet,$U16,M$23:OFFSET(M$23,ROWS(payDet)-1,0))</f>
        <v>0</v>
      </c>
      <c r="N16" s="76">
        <f ca="1">SUMIF(payDet,$U16,N$23:OFFSET(N$23,ROWS(payDet)-1,0))</f>
        <v>0</v>
      </c>
      <c r="O16" s="76">
        <f ca="1">SUMIF(payDet,$U16,O$23:OFFSET(O$23,ROWS(payDet)-1,0))</f>
        <v>0</v>
      </c>
      <c r="P16" s="76">
        <f ca="1">SUMIF(payDet,$U16,P$23:OFFSET(P$23,ROWS(payDet)-1,0))</f>
        <v>0</v>
      </c>
      <c r="Q16" s="76">
        <f ca="1">SUMIF(payDet,$U16,Q$23:OFFSET(Q$23,ROWS(payDet)-1,0))</f>
        <v>0</v>
      </c>
      <c r="R16" s="76">
        <f ca="1">SUMIF(payDet,$U16,R$23:OFFSET(R$23,ROWS(payDet)-1,0))</f>
        <v>0</v>
      </c>
      <c r="S16" s="76">
        <f ca="1">SUMIF(payDet,$U16,S$23:OFFSET(S$23,ROWS(payDet)-1,0))</f>
        <v>0</v>
      </c>
      <c r="T16" s="202"/>
      <c r="U16" s="120" t="str">
        <f>IF(ISBLANK(EmpID),A16,EmpID &amp;":"&amp; A16)</f>
        <v>ANK:11</v>
      </c>
    </row>
    <row r="17" spans="1:35" ht="12" customHeight="1" x14ac:dyDescent="0.25">
      <c r="A17" s="120">
        <v>12</v>
      </c>
      <c r="B17" s="231"/>
      <c r="C17" s="77"/>
      <c r="D17" s="238"/>
      <c r="E17" s="78">
        <f ca="1">SUMIF(payDet,$U17,E$23:OFFSET(E$23,ROWS(payDet)-1,0))</f>
        <v>0</v>
      </c>
      <c r="F17" s="340"/>
      <c r="G17" s="78"/>
      <c r="H17" s="78">
        <f ca="1">SUMIF(payDet,$U17,H$23:OFFSET(H$23,ROWS(payDet)-1,0))</f>
        <v>0</v>
      </c>
      <c r="I17" s="234">
        <f ca="1">SUMIF(payDet,$U17,I$23:OFFSET(I$23,ROWS(payDet)-1,0))</f>
        <v>0</v>
      </c>
      <c r="J17" s="78">
        <f ca="1">SUMIF(payDet,$U17,J$23:OFFSET(J$23,ROWS(payDet)-1,0))</f>
        <v>0</v>
      </c>
      <c r="K17" s="78">
        <f ca="1">SUMIF(payDet,$U17,K$23:OFFSET(K$23,ROWS(payDet)-1,0))</f>
        <v>0</v>
      </c>
      <c r="L17" s="78">
        <f ca="1">SUMIF(payDet,$U17,L$23:OFFSET(L$23,ROWS(payDet)-1,0))</f>
        <v>0</v>
      </c>
      <c r="M17" s="78">
        <f ca="1">SUMIF(payDet,$U17,M$23:OFFSET(M$23,ROWS(payDet)-1,0))</f>
        <v>0</v>
      </c>
      <c r="N17" s="78">
        <f ca="1">SUMIF(payDet,$U17,N$23:OFFSET(N$23,ROWS(payDet)-1,0))</f>
        <v>0</v>
      </c>
      <c r="O17" s="78">
        <f ca="1">SUMIF(payDet,$U17,O$23:OFFSET(O$23,ROWS(payDet)-1,0))</f>
        <v>0</v>
      </c>
      <c r="P17" s="78">
        <f ca="1">SUMIF(payDet,$U17,P$23:OFFSET(P$23,ROWS(payDet)-1,0))</f>
        <v>0</v>
      </c>
      <c r="Q17" s="78">
        <f ca="1">SUMIF(payDet,$U17,Q$23:OFFSET(Q$23,ROWS(payDet)-1,0))</f>
        <v>0</v>
      </c>
      <c r="R17" s="78">
        <f ca="1">SUMIF(payDet,$U17,R$23:OFFSET(R$23,ROWS(payDet)-1,0))</f>
        <v>0</v>
      </c>
      <c r="S17" s="78">
        <f ca="1">SUMIF(payDet,$U17,S$23:OFFSET(S$23,ROWS(payDet)-1,0))</f>
        <v>0</v>
      </c>
      <c r="U17" s="123" t="str">
        <f>IF(ISBLANK(EmpID),A17,EmpID &amp;":"&amp; A17)</f>
        <v>ANK:12</v>
      </c>
    </row>
    <row r="18" spans="1:35" ht="12" customHeight="1" thickBot="1" x14ac:dyDescent="0.3">
      <c r="A18" s="239"/>
      <c r="B18" s="190"/>
      <c r="C18" s="132" t="s">
        <v>26</v>
      </c>
      <c r="D18" s="236"/>
      <c r="E18" s="190">
        <f ca="1">SUBTOTAL(9,E15:E17)</f>
        <v>0</v>
      </c>
      <c r="F18" s="377"/>
      <c r="G18" s="236"/>
      <c r="H18" s="190">
        <f t="shared" ref="H18:S18" ca="1" si="6">SUBTOTAL(9,H15:H17)</f>
        <v>0</v>
      </c>
      <c r="I18" s="190">
        <f t="shared" ca="1" si="6"/>
        <v>0</v>
      </c>
      <c r="J18" s="190">
        <f t="shared" ca="1" si="6"/>
        <v>0</v>
      </c>
      <c r="K18" s="190">
        <f t="shared" ref="K18" ca="1" si="7">SUBTOTAL(9,K15:K17)</f>
        <v>0</v>
      </c>
      <c r="L18" s="190">
        <f t="shared" ca="1" si="6"/>
        <v>0</v>
      </c>
      <c r="M18" s="190">
        <f t="shared" ca="1" si="6"/>
        <v>0</v>
      </c>
      <c r="N18" s="190">
        <f t="shared" ca="1" si="6"/>
        <v>0</v>
      </c>
      <c r="O18" s="190">
        <f t="shared" ca="1" si="6"/>
        <v>0</v>
      </c>
      <c r="P18" s="190">
        <f t="shared" ca="1" si="6"/>
        <v>0</v>
      </c>
      <c r="Q18" s="190">
        <f t="shared" ca="1" si="6"/>
        <v>0</v>
      </c>
      <c r="R18" s="190">
        <f t="shared" ca="1" si="6"/>
        <v>0</v>
      </c>
      <c r="S18" s="237">
        <f t="shared" ca="1" si="6"/>
        <v>0</v>
      </c>
      <c r="U18" s="239"/>
    </row>
    <row r="19" spans="1:35" ht="12" customHeight="1" thickBot="1" x14ac:dyDescent="0.3">
      <c r="A19" s="240"/>
      <c r="B19" s="241"/>
      <c r="C19" s="241" t="s">
        <v>119</v>
      </c>
      <c r="D19" s="242"/>
      <c r="E19" s="241">
        <f ca="1">SUBTOTAL(9,E3:E18)</f>
        <v>79.5</v>
      </c>
      <c r="F19" s="376"/>
      <c r="G19" s="242"/>
      <c r="H19" s="241">
        <f t="shared" ref="H19:S19" ca="1" si="8">SUBTOTAL(9,H3:H18)</f>
        <v>35775</v>
      </c>
      <c r="I19" s="241">
        <f t="shared" ca="1" si="8"/>
        <v>1788.75</v>
      </c>
      <c r="J19" s="241">
        <f t="shared" ca="1" si="8"/>
        <v>33986.25</v>
      </c>
      <c r="K19" s="241">
        <f t="shared" ref="K19" ca="1" si="9">SUBTOTAL(9,K3:K18)</f>
        <v>322.87</v>
      </c>
      <c r="L19" s="241">
        <f t="shared" ca="1" si="8"/>
        <v>1597.27</v>
      </c>
      <c r="M19" s="241">
        <f t="shared" ca="1" si="8"/>
        <v>2948.57</v>
      </c>
      <c r="N19" s="241">
        <f t="shared" ca="1" si="8"/>
        <v>0</v>
      </c>
      <c r="O19" s="241">
        <f t="shared" ca="1" si="8"/>
        <v>0</v>
      </c>
      <c r="P19" s="241">
        <f t="shared" ca="1" si="8"/>
        <v>29117.54</v>
      </c>
      <c r="Q19" s="241">
        <f t="shared" ca="1" si="8"/>
        <v>8020</v>
      </c>
      <c r="R19" s="241">
        <f t="shared" ca="1" si="8"/>
        <v>21097.54</v>
      </c>
      <c r="S19" s="243">
        <f t="shared" ca="1" si="8"/>
        <v>1757</v>
      </c>
      <c r="U19" s="240"/>
    </row>
    <row r="20" spans="1:35" x14ac:dyDescent="0.25">
      <c r="B20" s="252"/>
      <c r="E20" s="253"/>
      <c r="T20" s="253"/>
    </row>
    <row r="21" spans="1:35" ht="23.25" customHeight="1" x14ac:dyDescent="0.4">
      <c r="A21" s="254"/>
      <c r="B21" s="255"/>
      <c r="C21" s="256" t="str">
        <f>EmpID</f>
        <v>ANK</v>
      </c>
      <c r="D21" s="255"/>
      <c r="E21" s="219"/>
      <c r="F21" s="145"/>
      <c r="G21" s="255"/>
      <c r="H21" s="219"/>
      <c r="I21" s="66"/>
      <c r="J21" s="221" t="s">
        <v>475</v>
      </c>
      <c r="K21" s="66"/>
      <c r="L21" s="66"/>
      <c r="M21" s="66"/>
      <c r="N21" s="66"/>
      <c r="O21" s="66"/>
      <c r="P21" s="66"/>
      <c r="Q21" s="66"/>
      <c r="R21" s="66"/>
      <c r="S21" s="66"/>
      <c r="T21" s="253"/>
      <c r="U21" s="66" t="s">
        <v>465</v>
      </c>
      <c r="V21" s="66" t="s">
        <v>465</v>
      </c>
      <c r="W21" s="66" t="s">
        <v>465</v>
      </c>
      <c r="X21" s="257" t="s">
        <v>476</v>
      </c>
      <c r="Y21" s="219"/>
      <c r="Z21" s="246"/>
      <c r="AA21" s="219"/>
      <c r="AB21" s="219" t="s">
        <v>138</v>
      </c>
      <c r="AC21" s="246" t="s">
        <v>138</v>
      </c>
      <c r="AD21" s="246" t="s">
        <v>477</v>
      </c>
      <c r="AE21" s="219" t="s">
        <v>477</v>
      </c>
      <c r="AF21" s="219"/>
      <c r="AG21" s="246"/>
      <c r="AH21" s="219" t="s">
        <v>478</v>
      </c>
      <c r="AI21" s="219"/>
    </row>
    <row r="22" spans="1:35" s="224" customFormat="1" ht="12.75" customHeight="1" thickBot="1" x14ac:dyDescent="0.3">
      <c r="A22" s="222"/>
      <c r="B22" s="156"/>
      <c r="C22" s="263" t="str">
        <f>EmpID</f>
        <v>ANK</v>
      </c>
      <c r="D22" s="156"/>
      <c r="E22" s="156"/>
      <c r="F22" s="156"/>
      <c r="G22" s="156"/>
      <c r="H22" s="156"/>
      <c r="I22" s="156"/>
      <c r="J22" s="156" t="s">
        <v>479</v>
      </c>
      <c r="K22" s="156" t="s">
        <v>482</v>
      </c>
      <c r="L22" s="156" t="s">
        <v>61</v>
      </c>
      <c r="M22" s="156" t="s">
        <v>480</v>
      </c>
      <c r="N22" s="156" t="s">
        <v>481</v>
      </c>
      <c r="O22" s="156" t="s">
        <v>483</v>
      </c>
      <c r="P22" s="156" t="s">
        <v>101</v>
      </c>
      <c r="Q22" s="156" t="s">
        <v>35</v>
      </c>
      <c r="R22" s="156" t="s">
        <v>484</v>
      </c>
      <c r="S22" s="156" t="s">
        <v>460</v>
      </c>
      <c r="T22" s="258"/>
      <c r="U22" s="222" t="s">
        <v>485</v>
      </c>
      <c r="V22" s="222" t="s">
        <v>486</v>
      </c>
      <c r="W22" s="222" t="s">
        <v>487</v>
      </c>
      <c r="X22" s="222" t="s">
        <v>477</v>
      </c>
      <c r="Y22" s="156" t="s">
        <v>138</v>
      </c>
      <c r="Z22" s="156" t="s">
        <v>445</v>
      </c>
      <c r="AA22" s="67" t="s">
        <v>488</v>
      </c>
      <c r="AB22" s="67" t="s">
        <v>128</v>
      </c>
      <c r="AC22" s="67" t="s">
        <v>489</v>
      </c>
      <c r="AD22" s="67" t="s">
        <v>128</v>
      </c>
      <c r="AE22" s="67" t="s">
        <v>489</v>
      </c>
      <c r="AF22" s="67" t="s">
        <v>490</v>
      </c>
      <c r="AG22" s="67" t="s">
        <v>491</v>
      </c>
      <c r="AH22" s="67" t="s">
        <v>477</v>
      </c>
      <c r="AI22" s="259" t="s">
        <v>492</v>
      </c>
    </row>
    <row r="23" spans="1:35" hidden="1" outlineLevel="1" x14ac:dyDescent="0.25">
      <c r="A23" s="120">
        <f>GETPAYMONTH(B23)</f>
        <v>0</v>
      </c>
      <c r="B23" s="226"/>
      <c r="C23" s="227"/>
      <c r="D23" s="260"/>
      <c r="E23" s="228">
        <f ca="1">SUMIF(payNonMonth,"="&amp;$W23,$E$371:OFFSET($E$371,ROWS(payNonMonth)-1,0))</f>
        <v>0</v>
      </c>
      <c r="F23" s="228"/>
      <c r="G23" s="77">
        <f ca="1">IF(AND($E23=0,$F23=0),0,1)</f>
        <v>0</v>
      </c>
      <c r="H23" s="76">
        <f t="shared" ref="H23:H54" ca="1" si="10">ROUND(SUM(E23:F23)*AB23,2)</f>
        <v>0</v>
      </c>
      <c r="I23" s="76">
        <f t="shared" ref="I23:I54" ca="1" si="11">H23*OFFSET(payMgmtRate,0,$AG23)</f>
        <v>0</v>
      </c>
      <c r="J23" s="233">
        <f t="shared" ref="J23:J54" ca="1" si="12">ROUND(IF(AH23,$E23,1)*AD23+$F23*AE23+SUMIF(payAllow,$V23,$J$266:$J$368),2)</f>
        <v>0</v>
      </c>
      <c r="K23" s="76"/>
      <c r="L23" s="76">
        <f t="shared" ref="L23:L54" ca="1" si="13">SUMIF(payAllow,$V23,L$266:L$368)*$G23</f>
        <v>0</v>
      </c>
      <c r="M23" s="76">
        <f ca="1">GETSUPER(J23-SUM(K23:L23))</f>
        <v>0</v>
      </c>
      <c r="N23" s="76">
        <f t="shared" ref="N23:N54" ca="1" si="14">SUMIF(payAllow,$V23,N$266:N$368)*G23</f>
        <v>0</v>
      </c>
      <c r="O23" s="76"/>
      <c r="P23" s="76">
        <f t="shared" ref="P23:P54" ca="1" si="15">J23-SUM(K23:O23)</f>
        <v>0</v>
      </c>
      <c r="Q23" s="76">
        <f ca="1">GETTAX(P23,Z23)</f>
        <v>0</v>
      </c>
      <c r="R23" s="76">
        <f ca="1">P23-Q23</f>
        <v>0</v>
      </c>
      <c r="S23" s="232">
        <f t="shared" ref="S23:S54" ca="1" si="16">SUMIF(payAllow,V23,S$266:S$368)*G23</f>
        <v>0</v>
      </c>
      <c r="U23" s="120" t="str">
        <f t="shared" ref="U23:U54" si="17">IF(EmpID="*","*",C23) &amp;":"&amp; $A23</f>
        <v>:0</v>
      </c>
      <c r="V23" s="120" t="str">
        <f>$C23 &amp;":"&amp; $B23</f>
        <v>:</v>
      </c>
      <c r="W23" s="120" t="str">
        <f t="shared" ref="W23:W29" si="18">C23 &amp;":"&amp; A23</f>
        <v>:0</v>
      </c>
      <c r="X23" s="250">
        <f t="array" aca="1" ref="X23:AI23" ca="1">VLOOKUP($D23&amp;":"&amp;$C23,tblPayRates,{3,4,5,6,7,8,9,10,11,12,13,14},0)</f>
        <v>0</v>
      </c>
      <c r="Y23" s="16" t="str">
        <f ca="1"/>
        <v>Nobody</v>
      </c>
      <c r="Z23" s="261" t="str">
        <f ca="1"/>
        <v>M</v>
      </c>
      <c r="AA23" s="77" t="str">
        <f ca="1"/>
        <v>Daily</v>
      </c>
      <c r="AB23" s="77">
        <f ca="1"/>
        <v>0</v>
      </c>
      <c r="AC23" s="77">
        <f ca="1"/>
        <v>0</v>
      </c>
      <c r="AD23" s="77">
        <f ca="1"/>
        <v>0</v>
      </c>
      <c r="AE23" s="77">
        <f ca="1"/>
        <v>0</v>
      </c>
      <c r="AF23" s="261" t="str">
        <f ca="1"/>
        <v>N</v>
      </c>
      <c r="AG23" s="261">
        <f ca="1"/>
        <v>1</v>
      </c>
      <c r="AH23" s="261">
        <f ca="1"/>
        <v>1</v>
      </c>
      <c r="AI23" s="262">
        <f ca="1"/>
        <v>0</v>
      </c>
    </row>
    <row r="24" spans="1:35" hidden="1" outlineLevel="1" x14ac:dyDescent="0.25">
      <c r="A24" s="120">
        <f t="shared" ref="A24:A27" si="19">GETPAYMONTH(B24)</f>
        <v>1</v>
      </c>
      <c r="B24" s="231">
        <v>43646</v>
      </c>
      <c r="C24" s="77" t="s">
        <v>55</v>
      </c>
      <c r="D24" s="238" t="s">
        <v>659</v>
      </c>
      <c r="E24" s="76">
        <f ca="1">SUMIF(payNonMonth,"="&amp;$W24,$E$371:OFFSET($E$371,ROWS(payNonMonth)-1,0))</f>
        <v>19</v>
      </c>
      <c r="F24" s="76"/>
      <c r="G24" s="77">
        <f t="shared" ref="G24:G27" ca="1" si="20">IF(AND($E24=0,$F24=0),0,1)</f>
        <v>1</v>
      </c>
      <c r="H24" s="76">
        <f t="shared" ca="1" si="10"/>
        <v>18050</v>
      </c>
      <c r="I24" s="76">
        <f t="shared" ca="1" si="11"/>
        <v>902.5</v>
      </c>
      <c r="J24" s="233">
        <f t="shared" ca="1" si="12"/>
        <v>17100</v>
      </c>
      <c r="K24" s="76">
        <f t="shared" ref="K24:K55" ca="1" si="21">ROUND(J24*InsureRate2,2)</f>
        <v>162.44999999999999</v>
      </c>
      <c r="L24" s="76">
        <f t="shared" ca="1" si="13"/>
        <v>1000</v>
      </c>
      <c r="M24" s="76">
        <f ca="1">GETSUPER(J24)</f>
        <v>1483.56</v>
      </c>
      <c r="N24" s="76">
        <f t="shared" ca="1" si="14"/>
        <v>0</v>
      </c>
      <c r="O24" s="76"/>
      <c r="P24" s="76">
        <f t="shared" ca="1" si="15"/>
        <v>14453.99</v>
      </c>
      <c r="Q24" s="76">
        <f ca="1">GETTAX(P24,Z24)</f>
        <v>4598</v>
      </c>
      <c r="R24" s="76">
        <f t="shared" ref="R24:R27" ca="1" si="22">P24-Q24</f>
        <v>9855.99</v>
      </c>
      <c r="S24" s="232">
        <f t="shared" ca="1" si="16"/>
        <v>1100</v>
      </c>
      <c r="U24" s="120" t="str">
        <f t="shared" si="17"/>
        <v>MAM:1</v>
      </c>
      <c r="V24" s="120" t="str">
        <f t="shared" ref="V24:V27" si="23">$C24 &amp;":"&amp; $B24</f>
        <v>MAM:43646</v>
      </c>
      <c r="W24" s="120" t="str">
        <f t="shared" si="18"/>
        <v>MAM:1</v>
      </c>
      <c r="X24" s="250" t="str">
        <f t="array" ref="X24:AI24">VLOOKUP($D24&amp;":"&amp;$C24,tblPayRates,{3,4,5,6,7,8,9,10,11,12,13,14},0)</f>
        <v>MAM</v>
      </c>
      <c r="Y24" s="16" t="str">
        <v>Magma</v>
      </c>
      <c r="Z24" s="261" t="str">
        <v>M</v>
      </c>
      <c r="AA24" s="77" t="str">
        <v>Daily</v>
      </c>
      <c r="AB24" s="77">
        <v>950</v>
      </c>
      <c r="AC24" s="77">
        <v>950</v>
      </c>
      <c r="AD24" s="77">
        <v>900</v>
      </c>
      <c r="AE24" s="77">
        <v>0</v>
      </c>
      <c r="AF24" s="261" t="str">
        <v>N</v>
      </c>
      <c r="AG24" s="261">
        <v>1</v>
      </c>
      <c r="AH24" s="261">
        <v>1</v>
      </c>
      <c r="AI24" s="262">
        <v>0</v>
      </c>
    </row>
    <row r="25" spans="1:35" hidden="1" outlineLevel="1" x14ac:dyDescent="0.25">
      <c r="A25" s="120">
        <f t="shared" si="19"/>
        <v>1</v>
      </c>
      <c r="B25" s="231">
        <v>43646</v>
      </c>
      <c r="C25" s="77" t="s">
        <v>57</v>
      </c>
      <c r="D25" s="238" t="s">
        <v>668</v>
      </c>
      <c r="E25" s="76">
        <f ca="1">SUMIF(payNonMonth,"="&amp;$W25,$E$371:OFFSET($E$371,ROWS(payNonMonth)-1,0))</f>
        <v>21</v>
      </c>
      <c r="F25" s="76"/>
      <c r="G25" s="77">
        <f t="shared" ca="1" si="20"/>
        <v>1</v>
      </c>
      <c r="H25" s="76">
        <f t="shared" ca="1" si="10"/>
        <v>10500</v>
      </c>
      <c r="I25" s="76">
        <f t="shared" ca="1" si="11"/>
        <v>525</v>
      </c>
      <c r="J25" s="233">
        <f t="shared" ca="1" si="12"/>
        <v>10290</v>
      </c>
      <c r="K25" s="76">
        <f t="shared" ca="1" si="21"/>
        <v>97.76</v>
      </c>
      <c r="L25" s="76">
        <f t="shared" ca="1" si="13"/>
        <v>2721.82</v>
      </c>
      <c r="M25" s="76">
        <f t="shared" ref="M25:M85" ca="1" si="24">GETSUPER(J25)</f>
        <v>892.74</v>
      </c>
      <c r="N25" s="76">
        <f t="shared" ca="1" si="14"/>
        <v>0</v>
      </c>
      <c r="O25" s="76"/>
      <c r="P25" s="76">
        <f t="shared" ca="1" si="15"/>
        <v>6577.6799999999994</v>
      </c>
      <c r="Q25" s="76">
        <f ca="1">GETTAX(P25,Z25)</f>
        <v>1569</v>
      </c>
      <c r="R25" s="76">
        <f t="shared" ca="1" si="22"/>
        <v>5008.6799999999994</v>
      </c>
      <c r="S25" s="232">
        <f t="shared" ca="1" si="16"/>
        <v>2994</v>
      </c>
      <c r="U25" s="120" t="str">
        <f t="shared" si="17"/>
        <v>CRP:1</v>
      </c>
      <c r="V25" s="120" t="str">
        <f t="shared" si="23"/>
        <v>CRP:43646</v>
      </c>
      <c r="W25" s="120" t="str">
        <f t="shared" si="18"/>
        <v>CRP:1</v>
      </c>
      <c r="X25" s="250" t="str">
        <f t="array" ref="X25:AI25">VLOOKUP($D25&amp;":"&amp;$C25,tblPayRates,{3,4,5,6,7,8,9,10,11,12,13,14},0)</f>
        <v>CRP</v>
      </c>
      <c r="Y25" s="16" t="str">
        <v>MTR</v>
      </c>
      <c r="Z25" s="261" t="str">
        <v>M</v>
      </c>
      <c r="AA25" s="77" t="str">
        <v>Daily</v>
      </c>
      <c r="AB25" s="77">
        <v>500</v>
      </c>
      <c r="AC25" s="77">
        <v>500</v>
      </c>
      <c r="AD25" s="77">
        <v>490</v>
      </c>
      <c r="AE25" s="77">
        <v>0</v>
      </c>
      <c r="AF25" s="261" t="str">
        <v>Q</v>
      </c>
      <c r="AG25" s="261">
        <v>1</v>
      </c>
      <c r="AH25" s="261">
        <v>1</v>
      </c>
      <c r="AI25" s="262">
        <v>0</v>
      </c>
    </row>
    <row r="26" spans="1:35" hidden="1" outlineLevel="1" x14ac:dyDescent="0.25">
      <c r="A26" s="120">
        <f t="shared" si="19"/>
        <v>1</v>
      </c>
      <c r="B26" s="231">
        <v>43646</v>
      </c>
      <c r="C26" s="77" t="s">
        <v>58</v>
      </c>
      <c r="D26" s="238" t="s">
        <v>668</v>
      </c>
      <c r="E26" s="76">
        <f ca="1">SUMIF(payNonMonth,"="&amp;$W26,$E$371:OFFSET($E$371,ROWS(payNonMonth)-1,0))</f>
        <v>21</v>
      </c>
      <c r="F26" s="76"/>
      <c r="G26" s="77">
        <f t="shared" ca="1" si="20"/>
        <v>1</v>
      </c>
      <c r="H26" s="76">
        <f t="shared" ca="1" si="10"/>
        <v>10500</v>
      </c>
      <c r="I26" s="76">
        <f t="shared" ca="1" si="11"/>
        <v>525</v>
      </c>
      <c r="J26" s="233">
        <f t="shared" ca="1" si="12"/>
        <v>10290</v>
      </c>
      <c r="K26" s="76">
        <f t="shared" ca="1" si="21"/>
        <v>97.76</v>
      </c>
      <c r="L26" s="76">
        <f t="shared" ca="1" si="13"/>
        <v>953.64</v>
      </c>
      <c r="M26" s="76">
        <f t="shared" ca="1" si="24"/>
        <v>892.74</v>
      </c>
      <c r="N26" s="76">
        <f t="shared" ca="1" si="14"/>
        <v>0</v>
      </c>
      <c r="O26" s="76"/>
      <c r="P26" s="76">
        <f t="shared" ca="1" si="15"/>
        <v>8345.86</v>
      </c>
      <c r="Q26" s="76">
        <f t="shared" ref="Q26:Q27" ca="1" si="25">GETTAX(P26,Z26)</f>
        <v>2214</v>
      </c>
      <c r="R26" s="76">
        <f t="shared" ca="1" si="22"/>
        <v>6131.8600000000006</v>
      </c>
      <c r="S26" s="232">
        <f t="shared" ca="1" si="16"/>
        <v>1049</v>
      </c>
      <c r="U26" s="120" t="str">
        <f t="shared" si="17"/>
        <v>SM:1</v>
      </c>
      <c r="V26" s="120" t="str">
        <f t="shared" si="23"/>
        <v>SM:43646</v>
      </c>
      <c r="W26" s="120" t="str">
        <f t="shared" si="18"/>
        <v>SM:1</v>
      </c>
      <c r="X26" s="250" t="str">
        <f t="array" ref="X26:AI26">VLOOKUP($D26&amp;":"&amp;$C26,tblPayRates,{3,4,5,6,7,8,9,10,11,12,13,14},0)</f>
        <v>SM</v>
      </c>
      <c r="Y26" s="16" t="str">
        <v>MTR</v>
      </c>
      <c r="Z26" s="261" t="str">
        <v>M</v>
      </c>
      <c r="AA26" s="77" t="str">
        <v>Daily</v>
      </c>
      <c r="AB26" s="77">
        <v>500</v>
      </c>
      <c r="AC26" s="77">
        <v>500</v>
      </c>
      <c r="AD26" s="77">
        <v>490</v>
      </c>
      <c r="AE26" s="77">
        <v>0</v>
      </c>
      <c r="AF26" s="261" t="str">
        <v>Q</v>
      </c>
      <c r="AG26" s="261">
        <v>1</v>
      </c>
      <c r="AH26" s="261">
        <v>1</v>
      </c>
      <c r="AI26" s="262">
        <v>0</v>
      </c>
    </row>
    <row r="27" spans="1:35" hidden="1" outlineLevel="1" x14ac:dyDescent="0.25">
      <c r="A27" s="120">
        <f t="shared" si="19"/>
        <v>1</v>
      </c>
      <c r="B27" s="231">
        <v>43646</v>
      </c>
      <c r="C27" s="77" t="s">
        <v>622</v>
      </c>
      <c r="D27" s="238" t="s">
        <v>499</v>
      </c>
      <c r="E27" s="76">
        <f ca="1">SUMIF(payNonMonth,"="&amp;$W27,$E$371:OFFSET($E$371,ROWS(payNonMonth)-1,0))</f>
        <v>16.5</v>
      </c>
      <c r="F27" s="76"/>
      <c r="G27" s="77">
        <f t="shared" ca="1" si="20"/>
        <v>1</v>
      </c>
      <c r="H27" s="76">
        <f t="shared" ca="1" si="10"/>
        <v>11550</v>
      </c>
      <c r="I27" s="76">
        <f t="shared" ca="1" si="11"/>
        <v>404.25000000000006</v>
      </c>
      <c r="J27" s="233">
        <f t="shared" ca="1" si="12"/>
        <v>10972.5</v>
      </c>
      <c r="K27" s="76">
        <f t="shared" ca="1" si="21"/>
        <v>104.24</v>
      </c>
      <c r="L27" s="76">
        <f t="shared" ca="1" si="13"/>
        <v>162.63999999999999</v>
      </c>
      <c r="M27" s="76">
        <f t="shared" ca="1" si="24"/>
        <v>951.95</v>
      </c>
      <c r="N27" s="76">
        <f t="shared" ca="1" si="14"/>
        <v>0</v>
      </c>
      <c r="O27" s="76"/>
      <c r="P27" s="76">
        <f t="shared" ca="1" si="15"/>
        <v>9753.67</v>
      </c>
      <c r="Q27" s="76">
        <f t="shared" ca="1" si="25"/>
        <v>2765</v>
      </c>
      <c r="R27" s="76">
        <f t="shared" ca="1" si="22"/>
        <v>6988.67</v>
      </c>
      <c r="S27" s="232">
        <f t="shared" ca="1" si="16"/>
        <v>178.9</v>
      </c>
      <c r="U27" s="120" t="str">
        <f t="shared" si="17"/>
        <v>GEO:1</v>
      </c>
      <c r="V27" s="120" t="str">
        <f t="shared" si="23"/>
        <v>GEO:43646</v>
      </c>
      <c r="W27" s="120" t="str">
        <f t="shared" si="18"/>
        <v>GEO:1</v>
      </c>
      <c r="X27" s="250" t="str">
        <f t="array" ref="X27:AI27">VLOOKUP($D27&amp;":"&amp;$C27,tblPayRates,{3,4,5,6,7,8,9,10,11,12,13,14},0)</f>
        <v>GEO</v>
      </c>
      <c r="Y27" s="16" t="str">
        <v>Magma</v>
      </c>
      <c r="Z27" s="261" t="str">
        <v>M</v>
      </c>
      <c r="AA27" s="77" t="str">
        <v>Daily</v>
      </c>
      <c r="AB27" s="77">
        <v>700</v>
      </c>
      <c r="AC27" s="77">
        <v>700</v>
      </c>
      <c r="AD27" s="77">
        <v>665</v>
      </c>
      <c r="AE27" s="77">
        <v>0</v>
      </c>
      <c r="AF27" s="261" t="str">
        <v>N</v>
      </c>
      <c r="AG27" s="261">
        <v>2</v>
      </c>
      <c r="AH27" s="261">
        <v>1</v>
      </c>
      <c r="AI27" s="262">
        <v>0</v>
      </c>
    </row>
    <row r="28" spans="1:35" hidden="1" outlineLevel="1" x14ac:dyDescent="0.25">
      <c r="A28" s="120">
        <f>GETPAYMONTH(B28)</f>
        <v>1</v>
      </c>
      <c r="B28" s="231">
        <v>43646</v>
      </c>
      <c r="C28" s="77" t="s">
        <v>657</v>
      </c>
      <c r="D28" s="238" t="s">
        <v>674</v>
      </c>
      <c r="E28" s="76">
        <f ca="1">SUMIF(payNonMonth,"="&amp;$W28,$E$371:OFFSET($E$371,ROWS(payNonMonth)-1,0))</f>
        <v>20.5</v>
      </c>
      <c r="F28" s="76"/>
      <c r="G28" s="77">
        <f ca="1">IF(AND($E28=0,$F28=0),0,1)</f>
        <v>1</v>
      </c>
      <c r="H28" s="76">
        <f t="shared" ca="1" si="10"/>
        <v>12771.5</v>
      </c>
      <c r="I28" s="76">
        <f t="shared" ca="1" si="11"/>
        <v>638.57500000000005</v>
      </c>
      <c r="J28" s="233">
        <f t="shared" ca="1" si="12"/>
        <v>10746.31</v>
      </c>
      <c r="K28" s="76">
        <f t="shared" ca="1" si="21"/>
        <v>102.09</v>
      </c>
      <c r="L28" s="76">
        <f t="shared" ca="1" si="13"/>
        <v>215.27</v>
      </c>
      <c r="M28" s="76">
        <f t="shared" ca="1" si="24"/>
        <v>932.33</v>
      </c>
      <c r="N28" s="76">
        <f t="shared" ca="1" si="14"/>
        <v>0</v>
      </c>
      <c r="O28" s="76"/>
      <c r="P28" s="76">
        <f t="shared" ca="1" si="15"/>
        <v>9496.619999999999</v>
      </c>
      <c r="Q28" s="76">
        <f ca="1">GETTAX(P28,Z28)</f>
        <v>2665</v>
      </c>
      <c r="R28" s="76">
        <f ca="1">P28-Q28</f>
        <v>6831.619999999999</v>
      </c>
      <c r="S28" s="232">
        <f t="shared" ca="1" si="16"/>
        <v>236.8</v>
      </c>
      <c r="U28" s="120" t="str">
        <f t="shared" si="17"/>
        <v>VAK:1</v>
      </c>
      <c r="V28" s="120" t="str">
        <f>$C28 &amp;":"&amp; $B28</f>
        <v>VAK:43646</v>
      </c>
      <c r="W28" s="120" t="str">
        <f t="shared" si="18"/>
        <v>VAK:1</v>
      </c>
      <c r="X28" s="250" t="str">
        <f t="array" ref="X28:AI28">VLOOKUP($D28&amp;":"&amp;$C28,tblPayRates,{3,4,5,6,7,8,9,10,11,12,13,14},0)</f>
        <v>VAK</v>
      </c>
      <c r="Y28" s="16" t="str">
        <v>Paxus</v>
      </c>
      <c r="Z28" s="261" t="str">
        <v>M</v>
      </c>
      <c r="AA28" s="77" t="str">
        <v>Daily</v>
      </c>
      <c r="AB28" s="77">
        <v>623</v>
      </c>
      <c r="AC28" s="77">
        <v>623</v>
      </c>
      <c r="AD28" s="77">
        <v>524.21</v>
      </c>
      <c r="AE28" s="77">
        <v>0</v>
      </c>
      <c r="AF28" s="261" t="str">
        <v>Q</v>
      </c>
      <c r="AG28" s="261">
        <v>1</v>
      </c>
      <c r="AH28" s="261">
        <v>1</v>
      </c>
      <c r="AI28" s="262">
        <v>0</v>
      </c>
    </row>
    <row r="29" spans="1:35" hidden="1" outlineLevel="1" x14ac:dyDescent="0.25">
      <c r="A29" s="120">
        <f t="shared" ref="A29:A31" si="26">GETPAYMONTH(B29)</f>
        <v>1</v>
      </c>
      <c r="B29" s="231">
        <v>43646</v>
      </c>
      <c r="C29" s="77" t="s">
        <v>658</v>
      </c>
      <c r="D29" s="238" t="s">
        <v>673</v>
      </c>
      <c r="E29" s="76">
        <f ca="1">SUMIF(payNonMonth,"="&amp;$W29,$E$371:OFFSET($E$371,ROWS(payNonMonth)-1,0))</f>
        <v>20.5</v>
      </c>
      <c r="F29" s="76"/>
      <c r="G29" s="77">
        <f t="shared" ref="G29:G31" ca="1" si="27">IF(AND($E29=0,$F29=0),0,1)</f>
        <v>1</v>
      </c>
      <c r="H29" s="76">
        <f t="shared" ca="1" si="10"/>
        <v>5473.5</v>
      </c>
      <c r="I29" s="76">
        <f t="shared" ca="1" si="11"/>
        <v>273.67500000000001</v>
      </c>
      <c r="J29" s="233">
        <f t="shared" ca="1" si="12"/>
        <v>6586.45</v>
      </c>
      <c r="K29" s="76">
        <f t="shared" ca="1" si="21"/>
        <v>62.57</v>
      </c>
      <c r="L29" s="76">
        <f t="shared" ca="1" si="13"/>
        <v>51.82</v>
      </c>
      <c r="M29" s="76">
        <f t="shared" ca="1" si="24"/>
        <v>571.42999999999995</v>
      </c>
      <c r="N29" s="76">
        <f t="shared" ca="1" si="14"/>
        <v>0</v>
      </c>
      <c r="O29" s="76"/>
      <c r="P29" s="76">
        <f t="shared" ca="1" si="15"/>
        <v>5900.63</v>
      </c>
      <c r="Q29" s="76">
        <f t="shared" ref="Q29" ca="1" si="28">GETTAX(P29,Z29)</f>
        <v>1335</v>
      </c>
      <c r="R29" s="76">
        <f t="shared" ref="R29:R31" ca="1" si="29">P29-Q29</f>
        <v>4565.63</v>
      </c>
      <c r="S29" s="232">
        <f t="shared" ca="1" si="16"/>
        <v>57</v>
      </c>
      <c r="U29" s="120" t="str">
        <f t="shared" si="17"/>
        <v>ASW:1</v>
      </c>
      <c r="V29" s="120" t="str">
        <f t="shared" ref="V29:W31" si="30">$C29 &amp;":"&amp; $B29</f>
        <v>ASW:43646</v>
      </c>
      <c r="W29" s="120" t="str">
        <f t="shared" si="18"/>
        <v>ASW:1</v>
      </c>
      <c r="X29" s="250" t="str">
        <f t="array" ref="X29:AI29">VLOOKUP($D29&amp;":"&amp;$C29,tblPayRates,{3,4,5,6,7,8,9,10,11,12,13,14},0)</f>
        <v>ASW</v>
      </c>
      <c r="Y29" s="16" t="str">
        <v>Paxus</v>
      </c>
      <c r="Z29" s="261" t="str">
        <v>M</v>
      </c>
      <c r="AA29" s="77" t="str">
        <v>Daily</v>
      </c>
      <c r="AB29" s="77">
        <v>267</v>
      </c>
      <c r="AC29" s="77">
        <v>267</v>
      </c>
      <c r="AD29" s="77">
        <v>321.29000000000002</v>
      </c>
      <c r="AE29" s="77">
        <v>0</v>
      </c>
      <c r="AF29" s="261" t="str">
        <v>Q</v>
      </c>
      <c r="AG29" s="261">
        <v>1</v>
      </c>
      <c r="AH29" s="261">
        <v>1</v>
      </c>
      <c r="AI29" s="262">
        <v>0</v>
      </c>
    </row>
    <row r="30" spans="1:35" hidden="1" outlineLevel="1" x14ac:dyDescent="0.25">
      <c r="A30" s="120">
        <f t="shared" si="26"/>
        <v>1</v>
      </c>
      <c r="B30" s="231">
        <v>43653</v>
      </c>
      <c r="C30" s="77" t="s">
        <v>669</v>
      </c>
      <c r="D30" s="238" t="s">
        <v>668</v>
      </c>
      <c r="E30" s="76">
        <v>8</v>
      </c>
      <c r="F30" s="76"/>
      <c r="G30" s="77">
        <f t="shared" si="27"/>
        <v>1</v>
      </c>
      <c r="H30" s="76">
        <f t="shared" si="10"/>
        <v>3600</v>
      </c>
      <c r="I30" s="76">
        <f t="shared" ca="1" si="11"/>
        <v>180</v>
      </c>
      <c r="J30" s="233">
        <f t="shared" si="12"/>
        <v>3420</v>
      </c>
      <c r="K30" s="76">
        <f t="shared" si="21"/>
        <v>32.49</v>
      </c>
      <c r="L30" s="76">
        <f t="shared" si="13"/>
        <v>0</v>
      </c>
      <c r="M30" s="76">
        <f t="shared" si="24"/>
        <v>296.70999999999998</v>
      </c>
      <c r="N30" s="76">
        <f t="shared" si="14"/>
        <v>0</v>
      </c>
      <c r="O30" s="76"/>
      <c r="P30" s="76">
        <f t="shared" si="15"/>
        <v>3090.8</v>
      </c>
      <c r="Q30" s="76">
        <f>GETTAX(P30,Z30)</f>
        <v>742</v>
      </c>
      <c r="R30" s="76">
        <f t="shared" si="29"/>
        <v>2348.8000000000002</v>
      </c>
      <c r="S30" s="232">
        <f t="shared" si="16"/>
        <v>0</v>
      </c>
      <c r="U30" s="120" t="str">
        <f t="shared" si="17"/>
        <v>DP:1</v>
      </c>
      <c r="V30" s="120" t="str">
        <f t="shared" si="30"/>
        <v>DP:43653</v>
      </c>
      <c r="W30" s="120" t="str">
        <f>C30 &amp;":"&amp; $B30</f>
        <v>DP:43653</v>
      </c>
      <c r="X30" s="250" t="str">
        <f t="array" ref="X30:AI30">VLOOKUP($D30&amp;":"&amp;$C30,tblPayRates,{3,4,5,6,7,8,9,10,11,12,13,14},0)</f>
        <v>DP</v>
      </c>
      <c r="Y30" s="16" t="str">
        <v>MTR</v>
      </c>
      <c r="Z30" s="261" t="str">
        <v>F</v>
      </c>
      <c r="AA30" s="77" t="str">
        <v>Daily</v>
      </c>
      <c r="AB30" s="77">
        <v>450</v>
      </c>
      <c r="AC30" s="77">
        <v>450</v>
      </c>
      <c r="AD30" s="77">
        <v>427.5</v>
      </c>
      <c r="AE30" s="77">
        <v>0</v>
      </c>
      <c r="AF30" s="261" t="str">
        <v>Q</v>
      </c>
      <c r="AG30" s="261">
        <v>1</v>
      </c>
      <c r="AH30" s="261">
        <v>1</v>
      </c>
      <c r="AI30" s="262">
        <v>0</v>
      </c>
    </row>
    <row r="31" spans="1:35" outlineLevel="1" x14ac:dyDescent="0.25">
      <c r="A31" s="120">
        <f t="shared" si="26"/>
        <v>1</v>
      </c>
      <c r="B31" s="231">
        <v>43653</v>
      </c>
      <c r="C31" s="77" t="s">
        <v>678</v>
      </c>
      <c r="D31" s="238" t="s">
        <v>668</v>
      </c>
      <c r="E31" s="76">
        <f ca="1">SUMIF(payNonMonth,"="&amp;$W31,$E$371:OFFSET($E$371,ROWS(payNonMonth)-1,0))</f>
        <v>8</v>
      </c>
      <c r="F31" s="76"/>
      <c r="G31" s="77">
        <f t="shared" ca="1" si="27"/>
        <v>1</v>
      </c>
      <c r="H31" s="76">
        <f t="shared" ca="1" si="10"/>
        <v>3600</v>
      </c>
      <c r="I31" s="76">
        <f t="shared" ca="1" si="11"/>
        <v>180</v>
      </c>
      <c r="J31" s="233">
        <f t="shared" ca="1" si="12"/>
        <v>3420</v>
      </c>
      <c r="K31" s="76">
        <f t="shared" ca="1" si="21"/>
        <v>32.49</v>
      </c>
      <c r="L31" s="76">
        <f t="shared" ca="1" si="13"/>
        <v>0</v>
      </c>
      <c r="M31" s="76">
        <f t="shared" ca="1" si="24"/>
        <v>296.70999999999998</v>
      </c>
      <c r="N31" s="76">
        <f t="shared" ca="1" si="14"/>
        <v>0</v>
      </c>
      <c r="O31" s="76"/>
      <c r="P31" s="76">
        <f t="shared" ca="1" si="15"/>
        <v>3090.8</v>
      </c>
      <c r="Q31" s="76">
        <f t="shared" ref="Q31" ca="1" si="31">GETTAX(P31,Z31)</f>
        <v>742</v>
      </c>
      <c r="R31" s="76">
        <f t="shared" ca="1" si="29"/>
        <v>2348.8000000000002</v>
      </c>
      <c r="S31" s="232">
        <f t="shared" ca="1" si="16"/>
        <v>0</v>
      </c>
      <c r="U31" s="120" t="str">
        <f t="shared" si="17"/>
        <v>ANK:1</v>
      </c>
      <c r="V31" s="120" t="str">
        <f t="shared" si="30"/>
        <v>ANK:43653</v>
      </c>
      <c r="W31" s="120" t="str">
        <f t="shared" si="30"/>
        <v>ANK:43653</v>
      </c>
      <c r="X31" s="250" t="str">
        <f t="array" ref="X31:AI31">VLOOKUP($D31&amp;":"&amp;$C31,tblPayRates,{3,4,5,6,7,8,9,10,11,12,13,14},0)</f>
        <v>ANK</v>
      </c>
      <c r="Y31" s="16" t="str">
        <v>MTR</v>
      </c>
      <c r="Z31" s="261" t="str">
        <v>F</v>
      </c>
      <c r="AA31" s="77" t="str">
        <v>Daily</v>
      </c>
      <c r="AB31" s="77">
        <v>450</v>
      </c>
      <c r="AC31" s="77">
        <v>450</v>
      </c>
      <c r="AD31" s="77">
        <v>427.5</v>
      </c>
      <c r="AE31" s="77">
        <v>0</v>
      </c>
      <c r="AF31" s="261" t="str">
        <v>Q</v>
      </c>
      <c r="AG31" s="261">
        <v>1</v>
      </c>
      <c r="AH31" s="261">
        <v>1</v>
      </c>
      <c r="AI31" s="262">
        <v>0</v>
      </c>
    </row>
    <row r="32" spans="1:35" hidden="1" outlineLevel="1" x14ac:dyDescent="0.25">
      <c r="A32" s="120">
        <f>GETPAYMONTH(B32)</f>
        <v>1</v>
      </c>
      <c r="B32" s="231">
        <v>43667</v>
      </c>
      <c r="C32" s="77" t="s">
        <v>669</v>
      </c>
      <c r="D32" s="238" t="s">
        <v>668</v>
      </c>
      <c r="E32" s="76">
        <f ca="1">SUMIF(payNonMonth,"="&amp;$W32,$E$371:OFFSET($E$371,ROWS(payNonMonth)-1,0))</f>
        <v>13</v>
      </c>
      <c r="F32" s="76"/>
      <c r="G32" s="77">
        <f ca="1">IF(AND($E32=0,$F32=0),0,1)</f>
        <v>1</v>
      </c>
      <c r="H32" s="76">
        <f t="shared" ca="1" si="10"/>
        <v>5850</v>
      </c>
      <c r="I32" s="76">
        <f t="shared" ca="1" si="11"/>
        <v>292.5</v>
      </c>
      <c r="J32" s="233">
        <f t="shared" ca="1" si="12"/>
        <v>5557.5</v>
      </c>
      <c r="K32" s="76">
        <f t="shared" ca="1" si="21"/>
        <v>52.8</v>
      </c>
      <c r="L32" s="76">
        <f t="shared" ca="1" si="13"/>
        <v>0</v>
      </c>
      <c r="M32" s="76">
        <f t="shared" ca="1" si="24"/>
        <v>482.16</v>
      </c>
      <c r="N32" s="76">
        <f t="shared" ca="1" si="14"/>
        <v>0</v>
      </c>
      <c r="O32" s="76"/>
      <c r="P32" s="76">
        <f t="shared" ca="1" si="15"/>
        <v>5022.54</v>
      </c>
      <c r="Q32" s="76">
        <f ca="1">GETTAX(P32,Z32)</f>
        <v>1480</v>
      </c>
      <c r="R32" s="76">
        <f ca="1">P32-Q32</f>
        <v>3542.54</v>
      </c>
      <c r="S32" s="232">
        <f t="shared" ca="1" si="16"/>
        <v>0</v>
      </c>
      <c r="U32" s="120" t="str">
        <f t="shared" si="17"/>
        <v>DP:1</v>
      </c>
      <c r="V32" s="120" t="str">
        <f>$C32 &amp;":"&amp; $B32</f>
        <v>DP:43667</v>
      </c>
      <c r="W32" s="120" t="str">
        <f>C32 &amp;":"&amp; $B32</f>
        <v>DP:43667</v>
      </c>
      <c r="X32" s="250" t="str">
        <f t="array" ref="X32:AI32">VLOOKUP($D32&amp;":"&amp;$C32,tblPayRates,{3,4,5,6,7,8,9,10,11,12,13,14},0)</f>
        <v>DP</v>
      </c>
      <c r="Y32" s="16" t="str">
        <v>MTR</v>
      </c>
      <c r="Z32" s="261" t="str">
        <v>F</v>
      </c>
      <c r="AA32" s="77" t="str">
        <v>Daily</v>
      </c>
      <c r="AB32" s="77">
        <v>450</v>
      </c>
      <c r="AC32" s="77">
        <v>450</v>
      </c>
      <c r="AD32" s="77">
        <v>427.5</v>
      </c>
      <c r="AE32" s="77">
        <v>0</v>
      </c>
      <c r="AF32" s="261" t="str">
        <v>Q</v>
      </c>
      <c r="AG32" s="261">
        <v>1</v>
      </c>
      <c r="AH32" s="261">
        <v>1</v>
      </c>
      <c r="AI32" s="262">
        <v>0</v>
      </c>
    </row>
    <row r="33" spans="1:35" outlineLevel="1" x14ac:dyDescent="0.25">
      <c r="A33" s="120">
        <f t="shared" ref="A33:A39" si="32">GETPAYMONTH(B33)</f>
        <v>1</v>
      </c>
      <c r="B33" s="231">
        <v>43667</v>
      </c>
      <c r="C33" s="77" t="s">
        <v>678</v>
      </c>
      <c r="D33" s="238" t="s">
        <v>668</v>
      </c>
      <c r="E33" s="76">
        <f ca="1">SUMIF(payNonMonth,"="&amp;$W33,$E$371:OFFSET($E$371,ROWS(payNonMonth)-1,0))</f>
        <v>13</v>
      </c>
      <c r="F33" s="76"/>
      <c r="G33" s="77">
        <f t="shared" ref="G33:G39" ca="1" si="33">IF(AND($E33=0,$F33=0),0,1)</f>
        <v>1</v>
      </c>
      <c r="H33" s="76">
        <f t="shared" ca="1" si="10"/>
        <v>5850</v>
      </c>
      <c r="I33" s="76">
        <f t="shared" ca="1" si="11"/>
        <v>292.5</v>
      </c>
      <c r="J33" s="233">
        <f t="shared" ca="1" si="12"/>
        <v>5557.5</v>
      </c>
      <c r="K33" s="76">
        <f t="shared" ca="1" si="21"/>
        <v>52.8</v>
      </c>
      <c r="L33" s="76">
        <f t="shared" ca="1" si="13"/>
        <v>0</v>
      </c>
      <c r="M33" s="76">
        <f t="shared" ca="1" si="24"/>
        <v>482.16</v>
      </c>
      <c r="N33" s="76">
        <f t="shared" ca="1" si="14"/>
        <v>0</v>
      </c>
      <c r="O33" s="76"/>
      <c r="P33" s="76">
        <f t="shared" ca="1" si="15"/>
        <v>5022.54</v>
      </c>
      <c r="Q33" s="76">
        <f t="shared" ref="Q33:Q39" ca="1" si="34">GETTAX(P33,Z33)</f>
        <v>1480</v>
      </c>
      <c r="R33" s="76">
        <f t="shared" ref="R33:R39" ca="1" si="35">P33-Q33</f>
        <v>3542.54</v>
      </c>
      <c r="S33" s="232">
        <f t="shared" ca="1" si="16"/>
        <v>0</v>
      </c>
      <c r="U33" s="120" t="str">
        <f t="shared" si="17"/>
        <v>ANK:1</v>
      </c>
      <c r="V33" s="120" t="str">
        <f t="shared" ref="V33:W39" si="36">$C33 &amp;":"&amp; $B33</f>
        <v>ANK:43667</v>
      </c>
      <c r="W33" s="120" t="str">
        <f t="shared" si="36"/>
        <v>ANK:43667</v>
      </c>
      <c r="X33" s="250" t="str">
        <f t="array" ref="X33:AI33">VLOOKUP($D33&amp;":"&amp;$C33,tblPayRates,{3,4,5,6,7,8,9,10,11,12,13,14},0)</f>
        <v>ANK</v>
      </c>
      <c r="Y33" s="16" t="str">
        <v>MTR</v>
      </c>
      <c r="Z33" s="261" t="str">
        <v>F</v>
      </c>
      <c r="AA33" s="77" t="str">
        <v>Daily</v>
      </c>
      <c r="AB33" s="77">
        <v>450</v>
      </c>
      <c r="AC33" s="77">
        <v>450</v>
      </c>
      <c r="AD33" s="77">
        <v>427.5</v>
      </c>
      <c r="AE33" s="77">
        <v>0</v>
      </c>
      <c r="AF33" s="261" t="str">
        <v>Q</v>
      </c>
      <c r="AG33" s="261">
        <v>1</v>
      </c>
      <c r="AH33" s="261">
        <v>1</v>
      </c>
      <c r="AI33" s="262">
        <v>0</v>
      </c>
    </row>
    <row r="34" spans="1:35" hidden="1" outlineLevel="1" x14ac:dyDescent="0.25">
      <c r="A34" s="120">
        <f t="shared" si="32"/>
        <v>2</v>
      </c>
      <c r="B34" s="231">
        <v>43677</v>
      </c>
      <c r="C34" s="77" t="s">
        <v>55</v>
      </c>
      <c r="D34" s="238" t="s">
        <v>659</v>
      </c>
      <c r="E34" s="76">
        <f ca="1">SUMIF(payNonMonth,"="&amp;$W34,$E$371:OFFSET($E$371,ROWS(payNonMonth)-1,0))</f>
        <v>15.5</v>
      </c>
      <c r="F34" s="76"/>
      <c r="G34" s="77">
        <f t="shared" ca="1" si="33"/>
        <v>1</v>
      </c>
      <c r="H34" s="76">
        <f t="shared" ca="1" si="10"/>
        <v>14725</v>
      </c>
      <c r="I34" s="76">
        <f t="shared" ca="1" si="11"/>
        <v>736.25</v>
      </c>
      <c r="J34" s="233">
        <f t="shared" ca="1" si="12"/>
        <v>13950</v>
      </c>
      <c r="K34" s="76">
        <f t="shared" ca="1" si="21"/>
        <v>132.53</v>
      </c>
      <c r="L34" s="76">
        <f t="shared" ca="1" si="13"/>
        <v>1000</v>
      </c>
      <c r="M34" s="76">
        <f t="shared" ca="1" si="24"/>
        <v>1210.27</v>
      </c>
      <c r="N34" s="76">
        <f t="shared" ca="1" si="14"/>
        <v>0</v>
      </c>
      <c r="O34" s="76"/>
      <c r="P34" s="76">
        <f t="shared" ca="1" si="15"/>
        <v>11607.2</v>
      </c>
      <c r="Q34" s="76">
        <f t="shared" ca="1" si="34"/>
        <v>3488</v>
      </c>
      <c r="R34" s="76">
        <f t="shared" ca="1" si="35"/>
        <v>8119.2000000000007</v>
      </c>
      <c r="S34" s="232">
        <f t="shared" ca="1" si="16"/>
        <v>1100</v>
      </c>
      <c r="U34" s="120" t="str">
        <f t="shared" si="17"/>
        <v>MAM:2</v>
      </c>
      <c r="V34" s="120" t="str">
        <f t="shared" si="36"/>
        <v>MAM:43677</v>
      </c>
      <c r="W34" s="120" t="str">
        <f t="shared" ref="W34" si="37">C34 &amp;":"&amp; A34</f>
        <v>MAM:2</v>
      </c>
      <c r="X34" s="250" t="str">
        <f t="array" ref="X34:AI34">VLOOKUP($D34&amp;":"&amp;$C34,tblPayRates,{3,4,5,6,7,8,9,10,11,12,13,14},0)</f>
        <v>MAM</v>
      </c>
      <c r="Y34" s="16" t="str">
        <v>Magma</v>
      </c>
      <c r="Z34" s="261" t="str">
        <v>M</v>
      </c>
      <c r="AA34" s="77" t="str">
        <v>Daily</v>
      </c>
      <c r="AB34" s="77">
        <v>950</v>
      </c>
      <c r="AC34" s="77">
        <v>950</v>
      </c>
      <c r="AD34" s="77">
        <v>900</v>
      </c>
      <c r="AE34" s="77">
        <v>0</v>
      </c>
      <c r="AF34" s="261" t="str">
        <v>N</v>
      </c>
      <c r="AG34" s="261">
        <v>1</v>
      </c>
      <c r="AH34" s="261">
        <v>1</v>
      </c>
      <c r="AI34" s="262">
        <v>0</v>
      </c>
    </row>
    <row r="35" spans="1:35" hidden="1" outlineLevel="1" x14ac:dyDescent="0.25">
      <c r="A35" s="120">
        <f t="shared" si="32"/>
        <v>2</v>
      </c>
      <c r="B35" s="231">
        <v>43677</v>
      </c>
      <c r="C35" s="77" t="s">
        <v>57</v>
      </c>
      <c r="D35" s="238" t="s">
        <v>668</v>
      </c>
      <c r="E35" s="76">
        <f ca="1">SUMIF(payNonMonth,"="&amp;$W35,$E$371:OFFSET($E$371,ROWS(payNonMonth)-1,0))</f>
        <v>30</v>
      </c>
      <c r="F35" s="76"/>
      <c r="G35" s="77">
        <f t="shared" ca="1" si="33"/>
        <v>1</v>
      </c>
      <c r="H35" s="76">
        <f t="shared" ca="1" si="10"/>
        <v>15000</v>
      </c>
      <c r="I35" s="76">
        <f t="shared" ca="1" si="11"/>
        <v>750</v>
      </c>
      <c r="J35" s="233">
        <f t="shared" ca="1" si="12"/>
        <v>14700</v>
      </c>
      <c r="K35" s="76">
        <f t="shared" ca="1" si="21"/>
        <v>139.65</v>
      </c>
      <c r="L35" s="76">
        <f t="shared" ca="1" si="13"/>
        <v>913.64</v>
      </c>
      <c r="M35" s="76">
        <f t="shared" ca="1" si="24"/>
        <v>1275.3399999999999</v>
      </c>
      <c r="N35" s="76">
        <f t="shared" ca="1" si="14"/>
        <v>0</v>
      </c>
      <c r="O35" s="76"/>
      <c r="P35" s="76">
        <f t="shared" ca="1" si="15"/>
        <v>12371.369999999999</v>
      </c>
      <c r="Q35" s="76">
        <f t="shared" ca="1" si="34"/>
        <v>3787</v>
      </c>
      <c r="R35" s="76">
        <f t="shared" ca="1" si="35"/>
        <v>8584.369999999999</v>
      </c>
      <c r="S35" s="232">
        <f t="shared" ca="1" si="16"/>
        <v>1005</v>
      </c>
      <c r="U35" s="120" t="str">
        <f t="shared" si="17"/>
        <v>CRP:2</v>
      </c>
      <c r="V35" s="120" t="str">
        <f t="shared" si="36"/>
        <v>CRP:43677</v>
      </c>
      <c r="W35" s="120" t="str">
        <f>C35 &amp;":"&amp; A35</f>
        <v>CRP:2</v>
      </c>
      <c r="X35" s="250" t="str">
        <f t="array" ref="X35:AI35">VLOOKUP($D35&amp;":"&amp;$C35,tblPayRates,{3,4,5,6,7,8,9,10,11,12,13,14},0)</f>
        <v>CRP</v>
      </c>
      <c r="Y35" s="16" t="str">
        <v>MTR</v>
      </c>
      <c r="Z35" s="261" t="str">
        <v>M</v>
      </c>
      <c r="AA35" s="77" t="str">
        <v>Daily</v>
      </c>
      <c r="AB35" s="77">
        <v>500</v>
      </c>
      <c r="AC35" s="77">
        <v>500</v>
      </c>
      <c r="AD35" s="77">
        <v>490</v>
      </c>
      <c r="AE35" s="77">
        <v>0</v>
      </c>
      <c r="AF35" s="261" t="str">
        <v>Q</v>
      </c>
      <c r="AG35" s="261">
        <v>1</v>
      </c>
      <c r="AH35" s="261">
        <v>1</v>
      </c>
      <c r="AI35" s="262">
        <v>0</v>
      </c>
    </row>
    <row r="36" spans="1:35" hidden="1" outlineLevel="1" x14ac:dyDescent="0.25">
      <c r="A36" s="120">
        <f t="shared" si="32"/>
        <v>2</v>
      </c>
      <c r="B36" s="231">
        <v>43677</v>
      </c>
      <c r="C36" s="77" t="s">
        <v>58</v>
      </c>
      <c r="D36" s="238" t="s">
        <v>668</v>
      </c>
      <c r="E36" s="76">
        <f ca="1">SUMIF(payNonMonth,"="&amp;$W36,$E$371:OFFSET($E$371,ROWS(payNonMonth)-1,0))</f>
        <v>30</v>
      </c>
      <c r="F36" s="76"/>
      <c r="G36" s="77">
        <f t="shared" ca="1" si="33"/>
        <v>1</v>
      </c>
      <c r="H36" s="76">
        <f t="shared" ca="1" si="10"/>
        <v>15000</v>
      </c>
      <c r="I36" s="76">
        <f t="shared" ca="1" si="11"/>
        <v>750</v>
      </c>
      <c r="J36" s="233">
        <f t="shared" ca="1" si="12"/>
        <v>14700</v>
      </c>
      <c r="K36" s="76">
        <f t="shared" ca="1" si="21"/>
        <v>139.65</v>
      </c>
      <c r="L36" s="76">
        <f t="shared" ca="1" si="13"/>
        <v>934.55</v>
      </c>
      <c r="M36" s="76">
        <f t="shared" ca="1" si="24"/>
        <v>1275.3399999999999</v>
      </c>
      <c r="N36" s="76">
        <f t="shared" ca="1" si="14"/>
        <v>0</v>
      </c>
      <c r="O36" s="76"/>
      <c r="P36" s="76">
        <f t="shared" ca="1" si="15"/>
        <v>12350.46</v>
      </c>
      <c r="Q36" s="76">
        <f t="shared" ca="1" si="34"/>
        <v>3779</v>
      </c>
      <c r="R36" s="76">
        <f t="shared" ca="1" si="35"/>
        <v>8571.4599999999991</v>
      </c>
      <c r="S36" s="232">
        <f t="shared" ca="1" si="16"/>
        <v>1028</v>
      </c>
      <c r="U36" s="120" t="str">
        <f t="shared" si="17"/>
        <v>SM:2</v>
      </c>
      <c r="V36" s="120" t="str">
        <f t="shared" si="36"/>
        <v>SM:43677</v>
      </c>
      <c r="W36" s="120" t="str">
        <f>C36 &amp;":"&amp; A36</f>
        <v>SM:2</v>
      </c>
      <c r="X36" s="250" t="str">
        <f t="array" ref="X36:AI36">VLOOKUP($D36&amp;":"&amp;$C36,tblPayRates,{3,4,5,6,7,8,9,10,11,12,13,14},0)</f>
        <v>SM</v>
      </c>
      <c r="Y36" s="16" t="str">
        <v>MTR</v>
      </c>
      <c r="Z36" s="261" t="str">
        <v>M</v>
      </c>
      <c r="AA36" s="77" t="str">
        <v>Daily</v>
      </c>
      <c r="AB36" s="77">
        <v>500</v>
      </c>
      <c r="AC36" s="77">
        <v>500</v>
      </c>
      <c r="AD36" s="77">
        <v>490</v>
      </c>
      <c r="AE36" s="77">
        <v>0</v>
      </c>
      <c r="AF36" s="261" t="str">
        <v>Q</v>
      </c>
      <c r="AG36" s="261">
        <v>1</v>
      </c>
      <c r="AH36" s="261">
        <v>1</v>
      </c>
      <c r="AI36" s="262">
        <v>0</v>
      </c>
    </row>
    <row r="37" spans="1:35" hidden="1" outlineLevel="1" x14ac:dyDescent="0.25">
      <c r="A37" s="120">
        <f t="shared" si="32"/>
        <v>2</v>
      </c>
      <c r="B37" s="231">
        <v>43677</v>
      </c>
      <c r="C37" s="77" t="s">
        <v>622</v>
      </c>
      <c r="D37" s="238" t="s">
        <v>499</v>
      </c>
      <c r="E37" s="76">
        <f ca="1">SUMIF(payNonMonth,"="&amp;$W37,$E$371:OFFSET($E$371,ROWS(payNonMonth)-1,0))</f>
        <v>19.5</v>
      </c>
      <c r="F37" s="76"/>
      <c r="G37" s="77">
        <f t="shared" ca="1" si="33"/>
        <v>1</v>
      </c>
      <c r="H37" s="76">
        <f t="shared" ca="1" si="10"/>
        <v>13650</v>
      </c>
      <c r="I37" s="76">
        <f t="shared" ca="1" si="11"/>
        <v>477.75000000000006</v>
      </c>
      <c r="J37" s="233">
        <f t="shared" ca="1" si="12"/>
        <v>12967.5</v>
      </c>
      <c r="K37" s="76">
        <f t="shared" ca="1" si="21"/>
        <v>123.19</v>
      </c>
      <c r="L37" s="76">
        <f t="shared" ca="1" si="13"/>
        <v>162.63999999999999</v>
      </c>
      <c r="M37" s="76">
        <f t="shared" ca="1" si="24"/>
        <v>1125.03</v>
      </c>
      <c r="N37" s="76">
        <f t="shared" ca="1" si="14"/>
        <v>0</v>
      </c>
      <c r="O37" s="76"/>
      <c r="P37" s="76">
        <f t="shared" ca="1" si="15"/>
        <v>11556.64</v>
      </c>
      <c r="Q37" s="76">
        <f t="shared" ca="1" si="34"/>
        <v>3467</v>
      </c>
      <c r="R37" s="76">
        <f t="shared" ca="1" si="35"/>
        <v>8089.6399999999994</v>
      </c>
      <c r="S37" s="232">
        <f t="shared" ca="1" si="16"/>
        <v>178.9</v>
      </c>
      <c r="U37" s="120" t="str">
        <f t="shared" si="17"/>
        <v>GEO:2</v>
      </c>
      <c r="V37" s="120" t="str">
        <f t="shared" si="36"/>
        <v>GEO:43677</v>
      </c>
      <c r="W37" s="120" t="str">
        <f>C37 &amp;":"&amp; A37</f>
        <v>GEO:2</v>
      </c>
      <c r="X37" s="250" t="str">
        <f t="array" ref="X37:AI37">VLOOKUP($D37&amp;":"&amp;$C37,tblPayRates,{3,4,5,6,7,8,9,10,11,12,13,14},0)</f>
        <v>GEO</v>
      </c>
      <c r="Y37" s="16" t="str">
        <v>Magma</v>
      </c>
      <c r="Z37" s="261" t="str">
        <v>M</v>
      </c>
      <c r="AA37" s="77" t="str">
        <v>Daily</v>
      </c>
      <c r="AB37" s="77">
        <v>700</v>
      </c>
      <c r="AC37" s="77">
        <v>700</v>
      </c>
      <c r="AD37" s="77">
        <v>665</v>
      </c>
      <c r="AE37" s="77">
        <v>0</v>
      </c>
      <c r="AF37" s="261" t="str">
        <v>N</v>
      </c>
      <c r="AG37" s="261">
        <v>2</v>
      </c>
      <c r="AH37" s="261">
        <v>1</v>
      </c>
      <c r="AI37" s="262">
        <v>0</v>
      </c>
    </row>
    <row r="38" spans="1:35" hidden="1" outlineLevel="1" x14ac:dyDescent="0.25">
      <c r="A38" s="120">
        <f t="shared" si="32"/>
        <v>2</v>
      </c>
      <c r="B38" s="231">
        <v>43677</v>
      </c>
      <c r="C38" s="77" t="s">
        <v>657</v>
      </c>
      <c r="D38" s="238" t="s">
        <v>674</v>
      </c>
      <c r="E38" s="76">
        <f ca="1">SUMIF(payNonMonth,"="&amp;$W38,$E$371:OFFSET($E$371,ROWS(payNonMonth)-1,0))</f>
        <v>25</v>
      </c>
      <c r="F38" s="76"/>
      <c r="G38" s="77">
        <f t="shared" ca="1" si="33"/>
        <v>1</v>
      </c>
      <c r="H38" s="76">
        <f t="shared" ca="1" si="10"/>
        <v>15575</v>
      </c>
      <c r="I38" s="76">
        <f t="shared" ca="1" si="11"/>
        <v>778.75</v>
      </c>
      <c r="J38" s="233">
        <f t="shared" ca="1" si="12"/>
        <v>13105.25</v>
      </c>
      <c r="K38" s="76">
        <f t="shared" ca="1" si="21"/>
        <v>124.5</v>
      </c>
      <c r="L38" s="76">
        <f t="shared" ca="1" si="13"/>
        <v>114.64</v>
      </c>
      <c r="M38" s="76">
        <f t="shared" ca="1" si="24"/>
        <v>1136.99</v>
      </c>
      <c r="N38" s="76">
        <f t="shared" ca="1" si="14"/>
        <v>0</v>
      </c>
      <c r="O38" s="76"/>
      <c r="P38" s="76">
        <f t="shared" ca="1" si="15"/>
        <v>11729.119999999999</v>
      </c>
      <c r="Q38" s="76">
        <f t="shared" ca="1" si="34"/>
        <v>3536</v>
      </c>
      <c r="R38" s="76">
        <f t="shared" ca="1" si="35"/>
        <v>8193.119999999999</v>
      </c>
      <c r="S38" s="232">
        <f t="shared" ca="1" si="16"/>
        <v>126.1</v>
      </c>
      <c r="U38" s="120" t="str">
        <f t="shared" si="17"/>
        <v>VAK:2</v>
      </c>
      <c r="V38" s="120" t="str">
        <f t="shared" si="36"/>
        <v>VAK:43677</v>
      </c>
      <c r="W38" s="120" t="str">
        <f>C38 &amp;":"&amp; A38</f>
        <v>VAK:2</v>
      </c>
      <c r="X38" s="250" t="str">
        <f t="array" ref="X38:AI38">VLOOKUP($D38&amp;":"&amp;$C38,tblPayRates,{3,4,5,6,7,8,9,10,11,12,13,14},0)</f>
        <v>VAK</v>
      </c>
      <c r="Y38" s="16" t="str">
        <v>Paxus</v>
      </c>
      <c r="Z38" s="261" t="str">
        <v>M</v>
      </c>
      <c r="AA38" s="77" t="str">
        <v>Daily</v>
      </c>
      <c r="AB38" s="77">
        <v>623</v>
      </c>
      <c r="AC38" s="77">
        <v>623</v>
      </c>
      <c r="AD38" s="77">
        <v>524.21</v>
      </c>
      <c r="AE38" s="77">
        <v>0</v>
      </c>
      <c r="AF38" s="261" t="str">
        <v>Q</v>
      </c>
      <c r="AG38" s="261">
        <v>1</v>
      </c>
      <c r="AH38" s="261">
        <v>1</v>
      </c>
      <c r="AI38" s="262">
        <v>0</v>
      </c>
    </row>
    <row r="39" spans="1:35" hidden="1" outlineLevel="1" x14ac:dyDescent="0.25">
      <c r="A39" s="120">
        <f t="shared" si="32"/>
        <v>2</v>
      </c>
      <c r="B39" s="231">
        <v>43677</v>
      </c>
      <c r="C39" s="77" t="s">
        <v>658</v>
      </c>
      <c r="D39" s="238" t="s">
        <v>673</v>
      </c>
      <c r="E39" s="76">
        <f ca="1">SUMIF(payNonMonth,"="&amp;$W39,$E$371:OFFSET($E$371,ROWS(payNonMonth)-1,0))</f>
        <v>25</v>
      </c>
      <c r="F39" s="76"/>
      <c r="G39" s="77">
        <f t="shared" ca="1" si="33"/>
        <v>1</v>
      </c>
      <c r="H39" s="76">
        <f t="shared" ca="1" si="10"/>
        <v>6675</v>
      </c>
      <c r="I39" s="76">
        <f t="shared" ca="1" si="11"/>
        <v>333.75</v>
      </c>
      <c r="J39" s="233">
        <f t="shared" ca="1" si="12"/>
        <v>8032.25</v>
      </c>
      <c r="K39" s="76">
        <f t="shared" ca="1" si="21"/>
        <v>76.31</v>
      </c>
      <c r="L39" s="76">
        <f t="shared" ca="1" si="13"/>
        <v>56</v>
      </c>
      <c r="M39" s="76">
        <f t="shared" ca="1" si="24"/>
        <v>696.86</v>
      </c>
      <c r="N39" s="76">
        <f t="shared" ca="1" si="14"/>
        <v>0</v>
      </c>
      <c r="O39" s="76"/>
      <c r="P39" s="76">
        <f t="shared" ca="1" si="15"/>
        <v>7203.08</v>
      </c>
      <c r="Q39" s="76">
        <f t="shared" ca="1" si="34"/>
        <v>1785</v>
      </c>
      <c r="R39" s="76">
        <f t="shared" ca="1" si="35"/>
        <v>5418.08</v>
      </c>
      <c r="S39" s="232">
        <f t="shared" ca="1" si="16"/>
        <v>61.6</v>
      </c>
      <c r="U39" s="120" t="str">
        <f t="shared" si="17"/>
        <v>ASW:2</v>
      </c>
      <c r="V39" s="120" t="str">
        <f t="shared" si="36"/>
        <v>ASW:43677</v>
      </c>
      <c r="W39" s="120" t="str">
        <f>C39 &amp;":"&amp; A39</f>
        <v>ASW:2</v>
      </c>
      <c r="X39" s="250" t="str">
        <f t="array" ref="X39:AI39">VLOOKUP($D39&amp;":"&amp;$C39,tblPayRates,{3,4,5,6,7,8,9,10,11,12,13,14},0)</f>
        <v>ASW</v>
      </c>
      <c r="Y39" s="16" t="str">
        <v>Paxus</v>
      </c>
      <c r="Z39" s="261" t="str">
        <v>M</v>
      </c>
      <c r="AA39" s="77" t="str">
        <v>Daily</v>
      </c>
      <c r="AB39" s="77">
        <v>267</v>
      </c>
      <c r="AC39" s="77">
        <v>267</v>
      </c>
      <c r="AD39" s="77">
        <v>321.29000000000002</v>
      </c>
      <c r="AE39" s="77">
        <v>0</v>
      </c>
      <c r="AF39" s="261" t="str">
        <v>Q</v>
      </c>
      <c r="AG39" s="261">
        <v>1</v>
      </c>
      <c r="AH39" s="261">
        <v>1</v>
      </c>
      <c r="AI39" s="262">
        <v>0</v>
      </c>
    </row>
    <row r="40" spans="1:35" hidden="1" outlineLevel="1" x14ac:dyDescent="0.25">
      <c r="A40" s="120">
        <f>GETPAYMONTH(B40)</f>
        <v>2</v>
      </c>
      <c r="B40" s="231">
        <v>43681</v>
      </c>
      <c r="C40" s="77" t="s">
        <v>669</v>
      </c>
      <c r="D40" s="238" t="s">
        <v>668</v>
      </c>
      <c r="E40" s="76">
        <f ca="1">SUMIF(payNonMonth,"="&amp;$W40,$E$371:OFFSET($E$371,ROWS(payNonMonth)-1,0))</f>
        <v>12.5</v>
      </c>
      <c r="F40" s="76"/>
      <c r="G40" s="77">
        <f ca="1">IF(AND($E40=0,$F40=0),0,1)</f>
        <v>1</v>
      </c>
      <c r="H40" s="76">
        <f t="shared" ca="1" si="10"/>
        <v>5625</v>
      </c>
      <c r="I40" s="76">
        <f t="shared" ca="1" si="11"/>
        <v>281.25</v>
      </c>
      <c r="J40" s="233">
        <f t="shared" ca="1" si="12"/>
        <v>5343.75</v>
      </c>
      <c r="K40" s="76">
        <f t="shared" ca="1" si="21"/>
        <v>50.77</v>
      </c>
      <c r="L40" s="76">
        <f t="shared" ca="1" si="13"/>
        <v>608.17999999999995</v>
      </c>
      <c r="M40" s="76">
        <f t="shared" ca="1" si="24"/>
        <v>463.61</v>
      </c>
      <c r="N40" s="76">
        <f t="shared" ca="1" si="14"/>
        <v>0</v>
      </c>
      <c r="O40" s="76"/>
      <c r="P40" s="76">
        <f t="shared" ca="1" si="15"/>
        <v>4221.1900000000005</v>
      </c>
      <c r="Q40" s="76">
        <f ca="1">GETTAX(P40,Z40)</f>
        <v>1166</v>
      </c>
      <c r="R40" s="76">
        <f ca="1">P40-Q40</f>
        <v>3055.1900000000005</v>
      </c>
      <c r="S40" s="232">
        <f t="shared" ca="1" si="16"/>
        <v>669</v>
      </c>
      <c r="U40" s="120" t="str">
        <f t="shared" si="17"/>
        <v>DP:2</v>
      </c>
      <c r="V40" s="120" t="str">
        <f>$C40 &amp;":"&amp; $B40</f>
        <v>DP:43681</v>
      </c>
      <c r="W40" s="120" t="str">
        <f>C40 &amp;":"&amp; $B40</f>
        <v>DP:43681</v>
      </c>
      <c r="X40" s="250" t="str">
        <f t="array" ref="X40:AI40">VLOOKUP($D40&amp;":"&amp;$C40,tblPayRates,{3,4,5,6,7,8,9,10,11,12,13,14},0)</f>
        <v>DP</v>
      </c>
      <c r="Y40" s="16" t="str">
        <v>MTR</v>
      </c>
      <c r="Z40" s="261" t="str">
        <v>F</v>
      </c>
      <c r="AA40" s="77" t="str">
        <v>Daily</v>
      </c>
      <c r="AB40" s="77">
        <v>450</v>
      </c>
      <c r="AC40" s="77">
        <v>450</v>
      </c>
      <c r="AD40" s="77">
        <v>427.5</v>
      </c>
      <c r="AE40" s="77">
        <v>0</v>
      </c>
      <c r="AF40" s="261" t="str">
        <v>Q</v>
      </c>
      <c r="AG40" s="261">
        <v>1</v>
      </c>
      <c r="AH40" s="261">
        <v>1</v>
      </c>
      <c r="AI40" s="262">
        <v>0</v>
      </c>
    </row>
    <row r="41" spans="1:35" outlineLevel="1" x14ac:dyDescent="0.25">
      <c r="A41" s="120">
        <f>GETPAYMONTH(B41)</f>
        <v>2</v>
      </c>
      <c r="B41" s="231">
        <v>43681</v>
      </c>
      <c r="C41" s="77" t="s">
        <v>678</v>
      </c>
      <c r="D41" s="238" t="s">
        <v>668</v>
      </c>
      <c r="E41" s="76">
        <f ca="1">SUMIF(payNonMonth,"="&amp;$W41,$E$371:OFFSET($E$371,ROWS(payNonMonth)-1,0))</f>
        <v>12.5</v>
      </c>
      <c r="F41" s="76"/>
      <c r="G41" s="77">
        <f ca="1">IF(AND($E41=0,$F41=0),0,1)</f>
        <v>1</v>
      </c>
      <c r="H41" s="76">
        <f t="shared" ca="1" si="10"/>
        <v>5625</v>
      </c>
      <c r="I41" s="76">
        <f t="shared" ca="1" si="11"/>
        <v>281.25</v>
      </c>
      <c r="J41" s="233">
        <f t="shared" ca="1" si="12"/>
        <v>5343.75</v>
      </c>
      <c r="K41" s="76">
        <f t="shared" ca="1" si="21"/>
        <v>50.77</v>
      </c>
      <c r="L41" s="76">
        <f t="shared" ca="1" si="13"/>
        <v>618.17999999999995</v>
      </c>
      <c r="M41" s="76">
        <f t="shared" ca="1" si="24"/>
        <v>463.61</v>
      </c>
      <c r="N41" s="76">
        <f t="shared" ca="1" si="14"/>
        <v>0</v>
      </c>
      <c r="O41" s="76"/>
      <c r="P41" s="76">
        <f t="shared" ca="1" si="15"/>
        <v>4211.1900000000005</v>
      </c>
      <c r="Q41" s="76">
        <f ca="1">GETTAX(P41,Z41)</f>
        <v>1162</v>
      </c>
      <c r="R41" s="76">
        <f ca="1">P41-Q41</f>
        <v>3049.1900000000005</v>
      </c>
      <c r="S41" s="232">
        <f t="shared" ca="1" si="16"/>
        <v>680</v>
      </c>
      <c r="U41" s="120" t="str">
        <f t="shared" si="17"/>
        <v>ANK:2</v>
      </c>
      <c r="V41" s="120" t="str">
        <f>$C41 &amp;":"&amp; $B41</f>
        <v>ANK:43681</v>
      </c>
      <c r="W41" s="120" t="str">
        <f>$C41 &amp;":"&amp; $B41</f>
        <v>ANK:43681</v>
      </c>
      <c r="X41" s="250" t="str">
        <f t="array" ref="X41:AI41">VLOOKUP($D41&amp;":"&amp;$C41,tblPayRates,{3,4,5,6,7,8,9,10,11,12,13,14},0)</f>
        <v>ANK</v>
      </c>
      <c r="Y41" s="16" t="str">
        <v>MTR</v>
      </c>
      <c r="Z41" s="261" t="str">
        <v>F</v>
      </c>
      <c r="AA41" s="77" t="str">
        <v>Daily</v>
      </c>
      <c r="AB41" s="77">
        <v>450</v>
      </c>
      <c r="AC41" s="77">
        <v>450</v>
      </c>
      <c r="AD41" s="77">
        <v>427.5</v>
      </c>
      <c r="AE41" s="77">
        <v>0</v>
      </c>
      <c r="AF41" s="261" t="str">
        <v>Q</v>
      </c>
      <c r="AG41" s="261">
        <v>1</v>
      </c>
      <c r="AH41" s="261">
        <v>1</v>
      </c>
      <c r="AI41" s="262">
        <v>0</v>
      </c>
    </row>
    <row r="42" spans="1:35" hidden="1" outlineLevel="1" x14ac:dyDescent="0.25">
      <c r="A42" s="120">
        <f>GETPAYMONTH(B42)</f>
        <v>2</v>
      </c>
      <c r="B42" s="231">
        <v>43695</v>
      </c>
      <c r="C42" s="77" t="s">
        <v>669</v>
      </c>
      <c r="D42" s="238" t="s">
        <v>668</v>
      </c>
      <c r="E42" s="76">
        <f ca="1">SUMIF(payNonMonth,"="&amp;$W42,$E$371:OFFSET($E$371,ROWS(payNonMonth)-1,0))</f>
        <v>11</v>
      </c>
      <c r="F42" s="76"/>
      <c r="G42" s="77">
        <f ca="1">IF(AND($E42=0,$F42=0),0,1)</f>
        <v>1</v>
      </c>
      <c r="H42" s="76">
        <f t="shared" ca="1" si="10"/>
        <v>4950</v>
      </c>
      <c r="I42" s="76">
        <f t="shared" ca="1" si="11"/>
        <v>247.5</v>
      </c>
      <c r="J42" s="233">
        <f t="shared" ca="1" si="12"/>
        <v>4702.5</v>
      </c>
      <c r="K42" s="76">
        <f t="shared" ca="1" si="21"/>
        <v>44.67</v>
      </c>
      <c r="L42" s="76">
        <f t="shared" ca="1" si="13"/>
        <v>0</v>
      </c>
      <c r="M42" s="76">
        <f t="shared" ca="1" si="24"/>
        <v>407.98</v>
      </c>
      <c r="N42" s="76">
        <f t="shared" ca="1" si="14"/>
        <v>0</v>
      </c>
      <c r="O42" s="76"/>
      <c r="P42" s="76">
        <f t="shared" ca="1" si="15"/>
        <v>4249.8500000000004</v>
      </c>
      <c r="Q42" s="76">
        <f ca="1">GETTAX(P42,Z42)</f>
        <v>1178</v>
      </c>
      <c r="R42" s="76">
        <f ca="1">P42-Q42</f>
        <v>3071.8500000000004</v>
      </c>
      <c r="S42" s="232">
        <f t="shared" ca="1" si="16"/>
        <v>0</v>
      </c>
      <c r="U42" s="120" t="str">
        <f t="shared" si="17"/>
        <v>DP:2</v>
      </c>
      <c r="V42" s="120" t="str">
        <f>$C42 &amp;":"&amp; $B42</f>
        <v>DP:43695</v>
      </c>
      <c r="W42" s="120" t="str">
        <f>C42 &amp;":"&amp; $B42</f>
        <v>DP:43695</v>
      </c>
      <c r="X42" s="250" t="str">
        <f t="array" ref="X42:AI42">VLOOKUP($D42&amp;":"&amp;$C42,tblPayRates,{3,4,5,6,7,8,9,10,11,12,13,14},0)</f>
        <v>DP</v>
      </c>
      <c r="Y42" s="16" t="str">
        <v>MTR</v>
      </c>
      <c r="Z42" s="261" t="str">
        <v>F</v>
      </c>
      <c r="AA42" s="77" t="str">
        <v>Daily</v>
      </c>
      <c r="AB42" s="77">
        <v>450</v>
      </c>
      <c r="AC42" s="77">
        <v>450</v>
      </c>
      <c r="AD42" s="77">
        <v>427.5</v>
      </c>
      <c r="AE42" s="77">
        <v>0</v>
      </c>
      <c r="AF42" s="261" t="str">
        <v>Q</v>
      </c>
      <c r="AG42" s="261">
        <v>1</v>
      </c>
      <c r="AH42" s="261">
        <v>1</v>
      </c>
      <c r="AI42" s="262">
        <v>0</v>
      </c>
    </row>
    <row r="43" spans="1:35" outlineLevel="1" x14ac:dyDescent="0.25">
      <c r="A43" s="120">
        <f>GETPAYMONTH(B43)</f>
        <v>2</v>
      </c>
      <c r="B43" s="231">
        <v>43695</v>
      </c>
      <c r="C43" s="77" t="s">
        <v>678</v>
      </c>
      <c r="D43" s="238" t="s">
        <v>668</v>
      </c>
      <c r="E43" s="76">
        <f ca="1">SUMIF(payNonMonth,"="&amp;$W43,$E$371:OFFSET($E$371,ROWS(payNonMonth)-1,0))</f>
        <v>11</v>
      </c>
      <c r="F43" s="76"/>
      <c r="G43" s="77">
        <f ca="1">IF(AND($E43=0,$F43=0),0,1)</f>
        <v>1</v>
      </c>
      <c r="H43" s="76">
        <f t="shared" ca="1" si="10"/>
        <v>4950</v>
      </c>
      <c r="I43" s="76">
        <f t="shared" ca="1" si="11"/>
        <v>247.5</v>
      </c>
      <c r="J43" s="233">
        <f t="shared" ca="1" si="12"/>
        <v>4702.5</v>
      </c>
      <c r="K43" s="76">
        <f t="shared" ca="1" si="21"/>
        <v>44.67</v>
      </c>
      <c r="L43" s="76">
        <f t="shared" ca="1" si="13"/>
        <v>0</v>
      </c>
      <c r="M43" s="76">
        <f t="shared" ca="1" si="24"/>
        <v>407.98</v>
      </c>
      <c r="N43" s="76">
        <f t="shared" ca="1" si="14"/>
        <v>0</v>
      </c>
      <c r="O43" s="76"/>
      <c r="P43" s="76">
        <f t="shared" ca="1" si="15"/>
        <v>4249.8500000000004</v>
      </c>
      <c r="Q43" s="76">
        <f ca="1">GETTAX(P43,Z43)</f>
        <v>1178</v>
      </c>
      <c r="R43" s="76">
        <f ca="1">P43-Q43</f>
        <v>3071.8500000000004</v>
      </c>
      <c r="S43" s="232">
        <f t="shared" ca="1" si="16"/>
        <v>0</v>
      </c>
      <c r="U43" s="120" t="str">
        <f t="shared" si="17"/>
        <v>ANK:2</v>
      </c>
      <c r="V43" s="120" t="str">
        <f>$C43 &amp;":"&amp; $B43</f>
        <v>ANK:43695</v>
      </c>
      <c r="W43" s="120" t="str">
        <f>$C43 &amp;":"&amp; $B43</f>
        <v>ANK:43695</v>
      </c>
      <c r="X43" s="250" t="str">
        <f t="array" ref="X43:AI43">VLOOKUP($D43&amp;":"&amp;$C43,tblPayRates,{3,4,5,6,7,8,9,10,11,12,13,14},0)</f>
        <v>ANK</v>
      </c>
      <c r="Y43" s="16" t="str">
        <v>MTR</v>
      </c>
      <c r="Z43" s="261" t="str">
        <v>F</v>
      </c>
      <c r="AA43" s="77" t="str">
        <v>Daily</v>
      </c>
      <c r="AB43" s="77">
        <v>450</v>
      </c>
      <c r="AC43" s="77">
        <v>450</v>
      </c>
      <c r="AD43" s="77">
        <v>427.5</v>
      </c>
      <c r="AE43" s="77">
        <v>0</v>
      </c>
      <c r="AF43" s="261" t="str">
        <v>Q</v>
      </c>
      <c r="AG43" s="261">
        <v>1</v>
      </c>
      <c r="AH43" s="261">
        <v>1</v>
      </c>
      <c r="AI43" s="262">
        <v>0</v>
      </c>
    </row>
    <row r="44" spans="1:35" hidden="1" outlineLevel="1" x14ac:dyDescent="0.25">
      <c r="A44" s="120">
        <f t="shared" ref="A44:A53" si="38">GETPAYMONTH(B44)</f>
        <v>3</v>
      </c>
      <c r="B44" s="231">
        <v>43709</v>
      </c>
      <c r="C44" s="77" t="s">
        <v>669</v>
      </c>
      <c r="D44" s="238" t="s">
        <v>668</v>
      </c>
      <c r="E44" s="76">
        <f ca="1">SUMIF(payNonMonth,"="&amp;$W44,$E$371:OFFSET($E$371,ROWS(payNonMonth)-1,0))</f>
        <v>13.5</v>
      </c>
      <c r="F44" s="76"/>
      <c r="G44" s="77">
        <f t="shared" ref="G44:G53" ca="1" si="39">IF(AND($E44=0,$F44=0),0,1)</f>
        <v>1</v>
      </c>
      <c r="H44" s="76">
        <f t="shared" ca="1" si="10"/>
        <v>6075</v>
      </c>
      <c r="I44" s="76">
        <f t="shared" ca="1" si="11"/>
        <v>303.75</v>
      </c>
      <c r="J44" s="233">
        <f t="shared" ca="1" si="12"/>
        <v>5771.25</v>
      </c>
      <c r="K44" s="76">
        <f t="shared" ca="1" si="21"/>
        <v>54.83</v>
      </c>
      <c r="L44" s="76">
        <f t="shared" ca="1" si="13"/>
        <v>522.73</v>
      </c>
      <c r="M44" s="76">
        <f t="shared" ca="1" si="24"/>
        <v>500.7</v>
      </c>
      <c r="N44" s="76">
        <f t="shared" ca="1" si="14"/>
        <v>0</v>
      </c>
      <c r="O44" s="76"/>
      <c r="P44" s="76">
        <f t="shared" ca="1" si="15"/>
        <v>4692.99</v>
      </c>
      <c r="Q44" s="76">
        <f t="shared" ref="Q44:Q53" ca="1" si="40">GETTAX(P44,Z44)</f>
        <v>1350</v>
      </c>
      <c r="R44" s="76">
        <f t="shared" ref="R44:R53" ca="1" si="41">P44-Q44</f>
        <v>3342.99</v>
      </c>
      <c r="S44" s="232">
        <f t="shared" ca="1" si="16"/>
        <v>575</v>
      </c>
      <c r="U44" s="120" t="str">
        <f t="shared" si="17"/>
        <v>DP:3</v>
      </c>
      <c r="V44" s="120" t="str">
        <f t="shared" ref="V44:W53" si="42">$C44 &amp;":"&amp; $B44</f>
        <v>DP:43709</v>
      </c>
      <c r="W44" s="120" t="str">
        <f>C44 &amp;":"&amp; $B44</f>
        <v>DP:43709</v>
      </c>
      <c r="X44" s="250" t="str">
        <f t="array" ref="X44:AI44">VLOOKUP($D44&amp;":"&amp;$C44,tblPayRates,{3,4,5,6,7,8,9,10,11,12,13,14},0)</f>
        <v>DP</v>
      </c>
      <c r="Y44" s="16" t="str">
        <v>MTR</v>
      </c>
      <c r="Z44" s="261" t="str">
        <v>F</v>
      </c>
      <c r="AA44" s="77" t="str">
        <v>Daily</v>
      </c>
      <c r="AB44" s="77">
        <v>450</v>
      </c>
      <c r="AC44" s="77">
        <v>450</v>
      </c>
      <c r="AD44" s="77">
        <v>427.5</v>
      </c>
      <c r="AE44" s="77">
        <v>0</v>
      </c>
      <c r="AF44" s="261" t="str">
        <v>Q</v>
      </c>
      <c r="AG44" s="261">
        <v>1</v>
      </c>
      <c r="AH44" s="261">
        <v>1</v>
      </c>
      <c r="AI44" s="262">
        <v>0</v>
      </c>
    </row>
    <row r="45" spans="1:35" outlineLevel="1" x14ac:dyDescent="0.25">
      <c r="A45" s="120">
        <f t="shared" si="38"/>
        <v>3</v>
      </c>
      <c r="B45" s="231">
        <v>43709</v>
      </c>
      <c r="C45" s="77" t="s">
        <v>678</v>
      </c>
      <c r="D45" s="238" t="s">
        <v>668</v>
      </c>
      <c r="E45" s="76">
        <f ca="1">SUMIF(payNonMonth,"="&amp;$W45,$E$371:OFFSET($E$371,ROWS(payNonMonth)-1,0))</f>
        <v>13.5</v>
      </c>
      <c r="F45" s="76"/>
      <c r="G45" s="77">
        <f t="shared" ca="1" si="39"/>
        <v>1</v>
      </c>
      <c r="H45" s="76">
        <f t="shared" ca="1" si="10"/>
        <v>6075</v>
      </c>
      <c r="I45" s="76">
        <f t="shared" ca="1" si="11"/>
        <v>303.75</v>
      </c>
      <c r="J45" s="233">
        <f t="shared" ca="1" si="12"/>
        <v>5771.25</v>
      </c>
      <c r="K45" s="76">
        <f t="shared" ca="1" si="21"/>
        <v>54.83</v>
      </c>
      <c r="L45" s="76">
        <f t="shared" ca="1" si="13"/>
        <v>500.91</v>
      </c>
      <c r="M45" s="76">
        <f t="shared" ca="1" si="24"/>
        <v>500.7</v>
      </c>
      <c r="N45" s="76">
        <f t="shared" ca="1" si="14"/>
        <v>0</v>
      </c>
      <c r="O45" s="76"/>
      <c r="P45" s="76">
        <f t="shared" ca="1" si="15"/>
        <v>4714.8099999999995</v>
      </c>
      <c r="Q45" s="76">
        <f t="shared" ca="1" si="40"/>
        <v>1360</v>
      </c>
      <c r="R45" s="76">
        <f t="shared" ca="1" si="41"/>
        <v>3354.8099999999995</v>
      </c>
      <c r="S45" s="232">
        <f t="shared" ca="1" si="16"/>
        <v>551</v>
      </c>
      <c r="U45" s="120" t="str">
        <f t="shared" si="17"/>
        <v>ANK:3</v>
      </c>
      <c r="V45" s="120" t="str">
        <f t="shared" si="42"/>
        <v>ANK:43709</v>
      </c>
      <c r="W45" s="120" t="str">
        <f t="shared" si="42"/>
        <v>ANK:43709</v>
      </c>
      <c r="X45" s="250" t="str">
        <f t="array" ref="X45:AI45">VLOOKUP($D45&amp;":"&amp;$C45,tblPayRates,{3,4,5,6,7,8,9,10,11,12,13,14},0)</f>
        <v>ANK</v>
      </c>
      <c r="Y45" s="16" t="str">
        <v>MTR</v>
      </c>
      <c r="Z45" s="261" t="str">
        <v>F</v>
      </c>
      <c r="AA45" s="77" t="str">
        <v>Daily</v>
      </c>
      <c r="AB45" s="77">
        <v>450</v>
      </c>
      <c r="AC45" s="77">
        <v>450</v>
      </c>
      <c r="AD45" s="77">
        <v>427.5</v>
      </c>
      <c r="AE45" s="77">
        <v>0</v>
      </c>
      <c r="AF45" s="261" t="str">
        <v>Q</v>
      </c>
      <c r="AG45" s="261">
        <v>1</v>
      </c>
      <c r="AH45" s="261">
        <v>1</v>
      </c>
      <c r="AI45" s="262">
        <v>0</v>
      </c>
    </row>
    <row r="46" spans="1:35" hidden="1" outlineLevel="1" x14ac:dyDescent="0.25">
      <c r="A46" s="120">
        <f t="shared" si="38"/>
        <v>3</v>
      </c>
      <c r="B46" s="231">
        <v>43708</v>
      </c>
      <c r="C46" s="77" t="s">
        <v>55</v>
      </c>
      <c r="D46" s="238" t="s">
        <v>504</v>
      </c>
      <c r="E46" s="76">
        <f ca="1">SUMIF(payNonMonth,"="&amp;$W46,$E$371:OFFSET($E$371,ROWS(payNonMonth)-1,0))</f>
        <v>27</v>
      </c>
      <c r="F46" s="76"/>
      <c r="G46" s="77">
        <f t="shared" ca="1" si="39"/>
        <v>1</v>
      </c>
      <c r="H46" s="76">
        <f t="shared" ca="1" si="10"/>
        <v>25650</v>
      </c>
      <c r="I46" s="76">
        <f t="shared" ca="1" si="11"/>
        <v>1282.5</v>
      </c>
      <c r="J46" s="233">
        <f t="shared" ca="1" si="12"/>
        <v>24300</v>
      </c>
      <c r="K46" s="76">
        <f t="shared" ca="1" si="21"/>
        <v>230.85</v>
      </c>
      <c r="L46" s="76">
        <f t="shared" ca="1" si="13"/>
        <v>1000</v>
      </c>
      <c r="M46" s="76">
        <f t="shared" ca="1" si="24"/>
        <v>2108.2199999999998</v>
      </c>
      <c r="N46" s="76">
        <f t="shared" ca="1" si="14"/>
        <v>0</v>
      </c>
      <c r="O46" s="76"/>
      <c r="P46" s="76">
        <f t="shared" ca="1" si="15"/>
        <v>20960.93</v>
      </c>
      <c r="Q46" s="76">
        <f t="shared" ca="1" si="40"/>
        <v>7614</v>
      </c>
      <c r="R46" s="76">
        <f t="shared" ca="1" si="41"/>
        <v>13346.93</v>
      </c>
      <c r="S46" s="232">
        <f t="shared" ca="1" si="16"/>
        <v>1100</v>
      </c>
      <c r="U46" s="120" t="str">
        <f t="shared" si="17"/>
        <v>MAM:3</v>
      </c>
      <c r="V46" s="120" t="str">
        <f t="shared" si="42"/>
        <v>MAM:43708</v>
      </c>
      <c r="W46" s="120" t="str">
        <f t="shared" ref="W46:W51" si="43">C46 &amp;":"&amp; A46</f>
        <v>MAM:3</v>
      </c>
      <c r="X46" s="250" t="str">
        <f t="array" ref="X46:AI46">VLOOKUP($D46&amp;":"&amp;$C46,tblPayRates,{3,4,5,6,7,8,9,10,11,12,13,14},0)</f>
        <v>MAM</v>
      </c>
      <c r="Y46" s="16" t="str">
        <v>DWS</v>
      </c>
      <c r="Z46" s="261" t="str">
        <v>M</v>
      </c>
      <c r="AA46" s="77" t="str">
        <v>Daily</v>
      </c>
      <c r="AB46" s="77">
        <v>950</v>
      </c>
      <c r="AC46" s="77">
        <v>950</v>
      </c>
      <c r="AD46" s="77">
        <v>900</v>
      </c>
      <c r="AE46" s="77">
        <v>0</v>
      </c>
      <c r="AF46" s="261" t="str">
        <v>N</v>
      </c>
      <c r="AG46" s="261">
        <v>1</v>
      </c>
      <c r="AH46" s="261">
        <v>1</v>
      </c>
      <c r="AI46" s="262">
        <v>0</v>
      </c>
    </row>
    <row r="47" spans="1:35" hidden="1" outlineLevel="1" x14ac:dyDescent="0.25">
      <c r="A47" s="120">
        <f t="shared" si="38"/>
        <v>3</v>
      </c>
      <c r="B47" s="231">
        <v>43708</v>
      </c>
      <c r="C47" s="77" t="s">
        <v>57</v>
      </c>
      <c r="D47" s="238" t="s">
        <v>668</v>
      </c>
      <c r="E47" s="76">
        <f ca="1">SUMIF(payNonMonth,"="&amp;$W47,$E$371:OFFSET($E$371,ROWS(payNonMonth)-1,0))</f>
        <v>26</v>
      </c>
      <c r="F47" s="76"/>
      <c r="G47" s="77">
        <f t="shared" ca="1" si="39"/>
        <v>1</v>
      </c>
      <c r="H47" s="76">
        <f t="shared" ca="1" si="10"/>
        <v>13000</v>
      </c>
      <c r="I47" s="76">
        <f t="shared" ca="1" si="11"/>
        <v>650</v>
      </c>
      <c r="J47" s="233">
        <f t="shared" ca="1" si="12"/>
        <v>12740</v>
      </c>
      <c r="K47" s="76">
        <f t="shared" ca="1" si="21"/>
        <v>121.03</v>
      </c>
      <c r="L47" s="76">
        <f t="shared" ca="1" si="13"/>
        <v>4982.7299999999996</v>
      </c>
      <c r="M47" s="76">
        <f t="shared" ca="1" si="24"/>
        <v>1105.3</v>
      </c>
      <c r="N47" s="76">
        <f t="shared" ca="1" si="14"/>
        <v>0</v>
      </c>
      <c r="O47" s="76"/>
      <c r="P47" s="76">
        <f t="shared" ca="1" si="15"/>
        <v>6530.9400000000005</v>
      </c>
      <c r="Q47" s="76">
        <f t="shared" ca="1" si="40"/>
        <v>1551</v>
      </c>
      <c r="R47" s="76">
        <f t="shared" ca="1" si="41"/>
        <v>4979.9400000000005</v>
      </c>
      <c r="S47" s="232">
        <f t="shared" ca="1" si="16"/>
        <v>5481</v>
      </c>
      <c r="U47" s="120" t="str">
        <f t="shared" si="17"/>
        <v>CRP:3</v>
      </c>
      <c r="V47" s="120" t="str">
        <f t="shared" si="42"/>
        <v>CRP:43708</v>
      </c>
      <c r="W47" s="120" t="str">
        <f t="shared" si="43"/>
        <v>CRP:3</v>
      </c>
      <c r="X47" s="250" t="str">
        <f t="array" ref="X47:AI47">VLOOKUP($D47&amp;":"&amp;$C47,tblPayRates,{3,4,5,6,7,8,9,10,11,12,13,14},0)</f>
        <v>CRP</v>
      </c>
      <c r="Y47" s="16" t="str">
        <v>MTR</v>
      </c>
      <c r="Z47" s="261" t="str">
        <v>M</v>
      </c>
      <c r="AA47" s="77" t="str">
        <v>Daily</v>
      </c>
      <c r="AB47" s="77">
        <v>500</v>
      </c>
      <c r="AC47" s="77">
        <v>500</v>
      </c>
      <c r="AD47" s="77">
        <v>490</v>
      </c>
      <c r="AE47" s="77">
        <v>0</v>
      </c>
      <c r="AF47" s="261" t="str">
        <v>Q</v>
      </c>
      <c r="AG47" s="261">
        <v>1</v>
      </c>
      <c r="AH47" s="261">
        <v>1</v>
      </c>
      <c r="AI47" s="262">
        <v>0</v>
      </c>
    </row>
    <row r="48" spans="1:35" hidden="1" outlineLevel="1" x14ac:dyDescent="0.25">
      <c r="A48" s="120">
        <f t="shared" si="38"/>
        <v>3</v>
      </c>
      <c r="B48" s="231">
        <v>43708</v>
      </c>
      <c r="C48" s="77" t="s">
        <v>58</v>
      </c>
      <c r="D48" s="238" t="s">
        <v>668</v>
      </c>
      <c r="E48" s="76">
        <f ca="1">SUMIF(payNonMonth,"="&amp;$W48,$E$371:OFFSET($E$371,ROWS(payNonMonth)-1,0))</f>
        <v>26</v>
      </c>
      <c r="F48" s="336"/>
      <c r="G48" s="77">
        <f t="shared" ca="1" si="39"/>
        <v>1</v>
      </c>
      <c r="H48" s="76">
        <f t="shared" ca="1" si="10"/>
        <v>13000</v>
      </c>
      <c r="I48" s="76">
        <f t="shared" ca="1" si="11"/>
        <v>650</v>
      </c>
      <c r="J48" s="233">
        <f t="shared" ca="1" si="12"/>
        <v>12740</v>
      </c>
      <c r="K48" s="76">
        <f t="shared" ca="1" si="21"/>
        <v>121.03</v>
      </c>
      <c r="L48" s="76">
        <f t="shared" ca="1" si="13"/>
        <v>1417.27</v>
      </c>
      <c r="M48" s="76">
        <f t="shared" ca="1" si="24"/>
        <v>1105.3</v>
      </c>
      <c r="N48" s="76">
        <f t="shared" ca="1" si="14"/>
        <v>0</v>
      </c>
      <c r="O48" s="76"/>
      <c r="P48" s="76">
        <f t="shared" ca="1" si="15"/>
        <v>10096.4</v>
      </c>
      <c r="Q48" s="76">
        <f t="shared" ca="1" si="40"/>
        <v>2899</v>
      </c>
      <c r="R48" s="76">
        <f t="shared" ca="1" si="41"/>
        <v>7197.4</v>
      </c>
      <c r="S48" s="232">
        <f t="shared" ca="1" si="16"/>
        <v>1559</v>
      </c>
      <c r="U48" s="120" t="str">
        <f t="shared" si="17"/>
        <v>SM:3</v>
      </c>
      <c r="V48" s="120" t="str">
        <f t="shared" si="42"/>
        <v>SM:43708</v>
      </c>
      <c r="W48" s="120" t="str">
        <f t="shared" si="43"/>
        <v>SM:3</v>
      </c>
      <c r="X48" s="250" t="str">
        <f t="array" ref="X48:AI48">VLOOKUP($D48&amp;":"&amp;$C48,tblPayRates,{3,4,5,6,7,8,9,10,11,12,13,14},0)</f>
        <v>SM</v>
      </c>
      <c r="Y48" s="16" t="str">
        <v>MTR</v>
      </c>
      <c r="Z48" s="261" t="str">
        <v>M</v>
      </c>
      <c r="AA48" s="77" t="str">
        <v>Daily</v>
      </c>
      <c r="AB48" s="77">
        <v>500</v>
      </c>
      <c r="AC48" s="77">
        <v>500</v>
      </c>
      <c r="AD48" s="77">
        <v>490</v>
      </c>
      <c r="AE48" s="77">
        <v>0</v>
      </c>
      <c r="AF48" s="261" t="str">
        <v>Q</v>
      </c>
      <c r="AG48" s="261">
        <v>1</v>
      </c>
      <c r="AH48" s="261">
        <v>1</v>
      </c>
      <c r="AI48" s="262">
        <v>0</v>
      </c>
    </row>
    <row r="49" spans="1:35" hidden="1" outlineLevel="1" x14ac:dyDescent="0.25">
      <c r="A49" s="120">
        <f t="shared" si="38"/>
        <v>3</v>
      </c>
      <c r="B49" s="231">
        <v>43708</v>
      </c>
      <c r="C49" s="77" t="s">
        <v>622</v>
      </c>
      <c r="D49" s="238" t="s">
        <v>499</v>
      </c>
      <c r="E49" s="76">
        <f ca="1">SUMIF(payNonMonth,"="&amp;$W49,$E$371:OFFSET($E$371,ROWS(payNonMonth)-1,0))</f>
        <v>22</v>
      </c>
      <c r="F49" s="76"/>
      <c r="G49" s="77">
        <f t="shared" ca="1" si="39"/>
        <v>1</v>
      </c>
      <c r="H49" s="76">
        <f t="shared" ca="1" si="10"/>
        <v>15400</v>
      </c>
      <c r="I49" s="76">
        <f t="shared" ca="1" si="11"/>
        <v>539</v>
      </c>
      <c r="J49" s="233">
        <f t="shared" ca="1" si="12"/>
        <v>14630</v>
      </c>
      <c r="K49" s="76">
        <f t="shared" ca="1" si="21"/>
        <v>138.99</v>
      </c>
      <c r="L49" s="76">
        <f t="shared" ca="1" si="13"/>
        <v>162.63999999999999</v>
      </c>
      <c r="M49" s="76">
        <f t="shared" ca="1" si="24"/>
        <v>1269.27</v>
      </c>
      <c r="N49" s="76">
        <f t="shared" ca="1" si="14"/>
        <v>0</v>
      </c>
      <c r="O49" s="76"/>
      <c r="P49" s="76">
        <f t="shared" ca="1" si="15"/>
        <v>13059.1</v>
      </c>
      <c r="Q49" s="76">
        <f t="shared" ca="1" si="40"/>
        <v>4056</v>
      </c>
      <c r="R49" s="76">
        <f t="shared" ca="1" si="41"/>
        <v>9003.1</v>
      </c>
      <c r="S49" s="232">
        <f t="shared" ca="1" si="16"/>
        <v>178.9</v>
      </c>
      <c r="U49" s="120" t="str">
        <f t="shared" si="17"/>
        <v>GEO:3</v>
      </c>
      <c r="V49" s="120" t="str">
        <f t="shared" si="42"/>
        <v>GEO:43708</v>
      </c>
      <c r="W49" s="120" t="str">
        <f t="shared" si="43"/>
        <v>GEO:3</v>
      </c>
      <c r="X49" s="250" t="str">
        <f t="array" ref="X49:AI49">VLOOKUP($D49&amp;":"&amp;$C49,tblPayRates,{3,4,5,6,7,8,9,10,11,12,13,14},0)</f>
        <v>GEO</v>
      </c>
      <c r="Y49" s="16" t="str">
        <v>Magma</v>
      </c>
      <c r="Z49" s="261" t="str">
        <v>M</v>
      </c>
      <c r="AA49" s="77" t="str">
        <v>Daily</v>
      </c>
      <c r="AB49" s="77">
        <v>700</v>
      </c>
      <c r="AC49" s="77">
        <v>700</v>
      </c>
      <c r="AD49" s="77">
        <v>665</v>
      </c>
      <c r="AE49" s="77">
        <v>0</v>
      </c>
      <c r="AF49" s="261" t="str">
        <v>N</v>
      </c>
      <c r="AG49" s="261">
        <v>2</v>
      </c>
      <c r="AH49" s="261">
        <v>1</v>
      </c>
      <c r="AI49" s="262">
        <v>0</v>
      </c>
    </row>
    <row r="50" spans="1:35" hidden="1" outlineLevel="1" x14ac:dyDescent="0.25">
      <c r="A50" s="120">
        <f t="shared" si="38"/>
        <v>3</v>
      </c>
      <c r="B50" s="231">
        <v>43708</v>
      </c>
      <c r="C50" s="77" t="s">
        <v>657</v>
      </c>
      <c r="D50" s="238" t="s">
        <v>674</v>
      </c>
      <c r="E50" s="76">
        <f ca="1">SUMIF(payNonMonth,"="&amp;$W50,$E$371:OFFSET($E$371,ROWS(payNonMonth)-1,0))</f>
        <v>20</v>
      </c>
      <c r="F50" s="336"/>
      <c r="G50" s="77">
        <f t="shared" ca="1" si="39"/>
        <v>1</v>
      </c>
      <c r="H50" s="76">
        <f t="shared" ca="1" si="10"/>
        <v>12460</v>
      </c>
      <c r="I50" s="76">
        <f t="shared" ca="1" si="11"/>
        <v>623</v>
      </c>
      <c r="J50" s="233">
        <f t="shared" ca="1" si="12"/>
        <v>10484.200000000001</v>
      </c>
      <c r="K50" s="76">
        <f t="shared" ca="1" si="21"/>
        <v>99.6</v>
      </c>
      <c r="L50" s="76">
        <f t="shared" ca="1" si="13"/>
        <v>127.23</v>
      </c>
      <c r="M50" s="76">
        <f t="shared" ca="1" si="24"/>
        <v>909.59</v>
      </c>
      <c r="N50" s="76">
        <f t="shared" ca="1" si="14"/>
        <v>0</v>
      </c>
      <c r="O50" s="76"/>
      <c r="P50" s="76">
        <f t="shared" ca="1" si="15"/>
        <v>9347.7800000000007</v>
      </c>
      <c r="Q50" s="76">
        <f t="shared" ca="1" si="40"/>
        <v>2609</v>
      </c>
      <c r="R50" s="76">
        <f t="shared" ca="1" si="41"/>
        <v>6738.7800000000007</v>
      </c>
      <c r="S50" s="232">
        <f t="shared" ca="1" si="16"/>
        <v>139.95000000000002</v>
      </c>
      <c r="U50" s="120" t="str">
        <f t="shared" si="17"/>
        <v>VAK:3</v>
      </c>
      <c r="V50" s="120" t="str">
        <f t="shared" si="42"/>
        <v>VAK:43708</v>
      </c>
      <c r="W50" s="120" t="str">
        <f t="shared" si="43"/>
        <v>VAK:3</v>
      </c>
      <c r="X50" s="250" t="str">
        <f t="array" ref="X50:AI50">VLOOKUP($D50&amp;":"&amp;$C50,tblPayRates,{3,4,5,6,7,8,9,10,11,12,13,14},0)</f>
        <v>VAK</v>
      </c>
      <c r="Y50" s="16" t="str">
        <v>Paxus</v>
      </c>
      <c r="Z50" s="261" t="str">
        <v>M</v>
      </c>
      <c r="AA50" s="77" t="str">
        <v>Daily</v>
      </c>
      <c r="AB50" s="77">
        <v>623</v>
      </c>
      <c r="AC50" s="77">
        <v>623</v>
      </c>
      <c r="AD50" s="77">
        <v>524.21</v>
      </c>
      <c r="AE50" s="77">
        <v>0</v>
      </c>
      <c r="AF50" s="261" t="str">
        <v>Q</v>
      </c>
      <c r="AG50" s="261">
        <v>1</v>
      </c>
      <c r="AH50" s="261">
        <v>1</v>
      </c>
      <c r="AI50" s="262">
        <v>0</v>
      </c>
    </row>
    <row r="51" spans="1:35" hidden="1" outlineLevel="1" x14ac:dyDescent="0.25">
      <c r="A51" s="120">
        <f t="shared" si="38"/>
        <v>3</v>
      </c>
      <c r="B51" s="231">
        <v>43708</v>
      </c>
      <c r="C51" s="77" t="s">
        <v>658</v>
      </c>
      <c r="D51" s="238" t="s">
        <v>673</v>
      </c>
      <c r="E51" s="76">
        <f ca="1">SUMIF(payNonMonth,"="&amp;$W51,$E$371:OFFSET($E$371,ROWS(payNonMonth)-1,0))</f>
        <v>20</v>
      </c>
      <c r="F51" s="76"/>
      <c r="G51" s="77">
        <f t="shared" ca="1" si="39"/>
        <v>1</v>
      </c>
      <c r="H51" s="76">
        <f t="shared" ca="1" si="10"/>
        <v>5340</v>
      </c>
      <c r="I51" s="76">
        <f t="shared" ca="1" si="11"/>
        <v>267</v>
      </c>
      <c r="J51" s="233">
        <f t="shared" ca="1" si="12"/>
        <v>6425.8</v>
      </c>
      <c r="K51" s="76">
        <f t="shared" ca="1" si="21"/>
        <v>61.05</v>
      </c>
      <c r="L51" s="76">
        <f t="shared" ca="1" si="13"/>
        <v>56</v>
      </c>
      <c r="M51" s="76">
        <f t="shared" ca="1" si="24"/>
        <v>557.49</v>
      </c>
      <c r="N51" s="76">
        <f t="shared" ca="1" si="14"/>
        <v>0</v>
      </c>
      <c r="O51" s="76"/>
      <c r="P51" s="76">
        <f t="shared" ca="1" si="15"/>
        <v>5751.26</v>
      </c>
      <c r="Q51" s="76">
        <f t="shared" ca="1" si="40"/>
        <v>1283</v>
      </c>
      <c r="R51" s="76">
        <f t="shared" ca="1" si="41"/>
        <v>4468.26</v>
      </c>
      <c r="S51" s="232">
        <f t="shared" ca="1" si="16"/>
        <v>61.6</v>
      </c>
      <c r="U51" s="120" t="str">
        <f t="shared" si="17"/>
        <v>ASW:3</v>
      </c>
      <c r="V51" s="120" t="str">
        <f t="shared" si="42"/>
        <v>ASW:43708</v>
      </c>
      <c r="W51" s="120" t="str">
        <f t="shared" si="43"/>
        <v>ASW:3</v>
      </c>
      <c r="X51" s="250" t="str">
        <f t="array" ref="X51:AI51">VLOOKUP($D51&amp;":"&amp;$C51,tblPayRates,{3,4,5,6,7,8,9,10,11,12,13,14},0)</f>
        <v>ASW</v>
      </c>
      <c r="Y51" s="16" t="str">
        <v>Paxus</v>
      </c>
      <c r="Z51" s="261" t="str">
        <v>M</v>
      </c>
      <c r="AA51" s="77" t="str">
        <v>Daily</v>
      </c>
      <c r="AB51" s="77">
        <v>267</v>
      </c>
      <c r="AC51" s="77">
        <v>267</v>
      </c>
      <c r="AD51" s="77">
        <v>321.29000000000002</v>
      </c>
      <c r="AE51" s="77">
        <v>0</v>
      </c>
      <c r="AF51" s="261" t="str">
        <v>Q</v>
      </c>
      <c r="AG51" s="261">
        <v>1</v>
      </c>
      <c r="AH51" s="261">
        <v>1</v>
      </c>
      <c r="AI51" s="262">
        <v>0</v>
      </c>
    </row>
    <row r="52" spans="1:35" hidden="1" outlineLevel="1" x14ac:dyDescent="0.25">
      <c r="A52" s="120">
        <f t="shared" si="38"/>
        <v>3</v>
      </c>
      <c r="B52" s="231">
        <v>43723</v>
      </c>
      <c r="C52" s="77" t="s">
        <v>669</v>
      </c>
      <c r="D52" s="238" t="s">
        <v>668</v>
      </c>
      <c r="E52" s="76">
        <f ca="1">SUMIF(payNonMonth,"="&amp;$W52,$E$371:OFFSET($E$371,ROWS(payNonMonth)-1,0))</f>
        <v>11.5</v>
      </c>
      <c r="F52" s="76"/>
      <c r="G52" s="77">
        <f t="shared" ca="1" si="39"/>
        <v>1</v>
      </c>
      <c r="H52" s="76">
        <f t="shared" ca="1" si="10"/>
        <v>5175</v>
      </c>
      <c r="I52" s="76">
        <f t="shared" ca="1" si="11"/>
        <v>258.75</v>
      </c>
      <c r="J52" s="233">
        <f t="shared" ca="1" si="12"/>
        <v>4916.25</v>
      </c>
      <c r="K52" s="76">
        <f t="shared" ca="1" si="21"/>
        <v>46.7</v>
      </c>
      <c r="L52" s="76">
        <f t="shared" ca="1" si="13"/>
        <v>0</v>
      </c>
      <c r="M52" s="76">
        <f t="shared" ca="1" si="24"/>
        <v>426.52</v>
      </c>
      <c r="N52" s="76">
        <f t="shared" ca="1" si="14"/>
        <v>0</v>
      </c>
      <c r="O52" s="76"/>
      <c r="P52" s="76">
        <f t="shared" ca="1" si="15"/>
        <v>4443.03</v>
      </c>
      <c r="Q52" s="76">
        <f t="shared" ca="1" si="40"/>
        <v>1254</v>
      </c>
      <c r="R52" s="76">
        <f t="shared" ca="1" si="41"/>
        <v>3189.0299999999997</v>
      </c>
      <c r="S52" s="232">
        <f t="shared" ca="1" si="16"/>
        <v>0</v>
      </c>
      <c r="U52" s="120" t="str">
        <f t="shared" si="17"/>
        <v>DP:3</v>
      </c>
      <c r="V52" s="120" t="str">
        <f t="shared" si="42"/>
        <v>DP:43723</v>
      </c>
      <c r="W52" s="120" t="str">
        <f t="shared" ref="W52:W55" si="44">C52 &amp;":"&amp; B52</f>
        <v>DP:43723</v>
      </c>
      <c r="X52" s="250" t="str">
        <f t="array" ref="X52:AI52">VLOOKUP($D52&amp;":"&amp;$C52,tblPayRates,{3,4,5,6,7,8,9,10,11,12,13,14},0)</f>
        <v>DP</v>
      </c>
      <c r="Y52" s="16" t="str">
        <v>MTR</v>
      </c>
      <c r="Z52" s="261" t="str">
        <v>F</v>
      </c>
      <c r="AA52" s="77" t="str">
        <v>Daily</v>
      </c>
      <c r="AB52" s="77">
        <v>450</v>
      </c>
      <c r="AC52" s="77">
        <v>450</v>
      </c>
      <c r="AD52" s="77">
        <v>427.5</v>
      </c>
      <c r="AE52" s="77">
        <v>0</v>
      </c>
      <c r="AF52" s="261" t="str">
        <v>Q</v>
      </c>
      <c r="AG52" s="261">
        <v>1</v>
      </c>
      <c r="AH52" s="261">
        <v>1</v>
      </c>
      <c r="AI52" s="262">
        <v>0</v>
      </c>
    </row>
    <row r="53" spans="1:35" outlineLevel="1" x14ac:dyDescent="0.25">
      <c r="A53" s="120">
        <f t="shared" si="38"/>
        <v>3</v>
      </c>
      <c r="B53" s="231">
        <v>43723</v>
      </c>
      <c r="C53" s="77" t="s">
        <v>678</v>
      </c>
      <c r="D53" s="238" t="s">
        <v>668</v>
      </c>
      <c r="E53" s="76">
        <f ca="1">SUMIF(payNonMonth,"="&amp;$W53,$E$371:OFFSET($E$371,ROWS(payNonMonth)-1,0))</f>
        <v>11.5</v>
      </c>
      <c r="F53" s="76"/>
      <c r="G53" s="77">
        <f t="shared" ca="1" si="39"/>
        <v>1</v>
      </c>
      <c r="H53" s="76">
        <f t="shared" ca="1" si="10"/>
        <v>5175</v>
      </c>
      <c r="I53" s="76">
        <f t="shared" ca="1" si="11"/>
        <v>258.75</v>
      </c>
      <c r="J53" s="233">
        <f t="shared" ca="1" si="12"/>
        <v>4916.25</v>
      </c>
      <c r="K53" s="76">
        <f t="shared" ca="1" si="21"/>
        <v>46.7</v>
      </c>
      <c r="L53" s="76">
        <f t="shared" ca="1" si="13"/>
        <v>0</v>
      </c>
      <c r="M53" s="76">
        <f t="shared" ca="1" si="24"/>
        <v>426.52</v>
      </c>
      <c r="N53" s="76">
        <f t="shared" ca="1" si="14"/>
        <v>0</v>
      </c>
      <c r="O53" s="76"/>
      <c r="P53" s="76">
        <f t="shared" ca="1" si="15"/>
        <v>4443.03</v>
      </c>
      <c r="Q53" s="76">
        <f t="shared" ca="1" si="40"/>
        <v>1254</v>
      </c>
      <c r="R53" s="76">
        <f t="shared" ca="1" si="41"/>
        <v>3189.0299999999997</v>
      </c>
      <c r="S53" s="232">
        <f t="shared" ca="1" si="16"/>
        <v>0</v>
      </c>
      <c r="U53" s="120" t="str">
        <f t="shared" si="17"/>
        <v>ANK:3</v>
      </c>
      <c r="V53" s="120" t="str">
        <f t="shared" si="42"/>
        <v>ANK:43723</v>
      </c>
      <c r="W53" s="120" t="str">
        <f t="shared" si="44"/>
        <v>ANK:43723</v>
      </c>
      <c r="X53" s="250" t="str">
        <f t="array" ref="X53:AI53">VLOOKUP($D53&amp;":"&amp;$C53,tblPayRates,{3,4,5,6,7,8,9,10,11,12,13,14},0)</f>
        <v>ANK</v>
      </c>
      <c r="Y53" s="16" t="str">
        <v>MTR</v>
      </c>
      <c r="Z53" s="261" t="str">
        <v>F</v>
      </c>
      <c r="AA53" s="77" t="str">
        <v>Daily</v>
      </c>
      <c r="AB53" s="77">
        <v>450</v>
      </c>
      <c r="AC53" s="77">
        <v>450</v>
      </c>
      <c r="AD53" s="77">
        <v>427.5</v>
      </c>
      <c r="AE53" s="77">
        <v>0</v>
      </c>
      <c r="AF53" s="261" t="str">
        <v>Q</v>
      </c>
      <c r="AG53" s="261">
        <v>1</v>
      </c>
      <c r="AH53" s="261">
        <v>1</v>
      </c>
      <c r="AI53" s="262">
        <v>0</v>
      </c>
    </row>
    <row r="54" spans="1:35" hidden="1" outlineLevel="1" x14ac:dyDescent="0.25">
      <c r="A54" s="120">
        <f>GETPAYMONTH(B54)</f>
        <v>4</v>
      </c>
      <c r="B54" s="231">
        <v>43737</v>
      </c>
      <c r="C54" s="77" t="s">
        <v>669</v>
      </c>
      <c r="D54" s="238" t="s">
        <v>668</v>
      </c>
      <c r="E54" s="76">
        <f ca="1">SUMIF(payNonMonth,"="&amp;$W54,$E$371:OFFSET($E$371,ROWS(payNonMonth)-1,0))</f>
        <v>10</v>
      </c>
      <c r="F54" s="76"/>
      <c r="G54" s="77">
        <f ca="1">IF(AND($E54=0,$F54=0),0,1)</f>
        <v>1</v>
      </c>
      <c r="H54" s="76">
        <f t="shared" ca="1" si="10"/>
        <v>4500</v>
      </c>
      <c r="I54" s="76">
        <f t="shared" ca="1" si="11"/>
        <v>225</v>
      </c>
      <c r="J54" s="233">
        <f t="shared" ca="1" si="12"/>
        <v>4275</v>
      </c>
      <c r="K54" s="76">
        <f t="shared" ca="1" si="21"/>
        <v>40.61</v>
      </c>
      <c r="L54" s="76">
        <f t="shared" ca="1" si="13"/>
        <v>545.45000000000005</v>
      </c>
      <c r="M54" s="76">
        <f t="shared" ca="1" si="24"/>
        <v>370.89</v>
      </c>
      <c r="N54" s="76">
        <f t="shared" ca="1" si="14"/>
        <v>0</v>
      </c>
      <c r="O54" s="76"/>
      <c r="P54" s="76">
        <f t="shared" ca="1" si="15"/>
        <v>3318.05</v>
      </c>
      <c r="Q54" s="76">
        <f ca="1">GETTAX(P54,Z54)</f>
        <v>822</v>
      </c>
      <c r="R54" s="76">
        <f ca="1">P54-Q54</f>
        <v>2496.0500000000002</v>
      </c>
      <c r="S54" s="232">
        <f t="shared" ca="1" si="16"/>
        <v>600</v>
      </c>
      <c r="U54" s="120" t="str">
        <f t="shared" si="17"/>
        <v>DP:4</v>
      </c>
      <c r="V54" s="120" t="str">
        <f>$C54 &amp;":"&amp; $B54</f>
        <v>DP:43737</v>
      </c>
      <c r="W54" s="120" t="str">
        <f t="shared" si="44"/>
        <v>DP:43737</v>
      </c>
      <c r="X54" s="250" t="str">
        <f t="array" ref="X54:AI54">VLOOKUP($D54&amp;":"&amp;$C54,tblPayRates,{3,4,5,6,7,8,9,10,11,12,13,14},0)</f>
        <v>DP</v>
      </c>
      <c r="Y54" s="16" t="str">
        <v>MTR</v>
      </c>
      <c r="Z54" s="261" t="str">
        <v>F</v>
      </c>
      <c r="AA54" s="77" t="str">
        <v>Daily</v>
      </c>
      <c r="AB54" s="77">
        <v>450</v>
      </c>
      <c r="AC54" s="77">
        <v>450</v>
      </c>
      <c r="AD54" s="77">
        <v>427.5</v>
      </c>
      <c r="AE54" s="77">
        <v>0</v>
      </c>
      <c r="AF54" s="261" t="str">
        <v>Q</v>
      </c>
      <c r="AG54" s="261">
        <v>1</v>
      </c>
      <c r="AH54" s="261">
        <v>1</v>
      </c>
      <c r="AI54" s="262">
        <v>0</v>
      </c>
    </row>
    <row r="55" spans="1:35" outlineLevel="1" x14ac:dyDescent="0.25">
      <c r="A55" s="120">
        <f t="shared" ref="A55:A79" si="45">GETPAYMONTH(B55)</f>
        <v>4</v>
      </c>
      <c r="B55" s="231">
        <v>43737</v>
      </c>
      <c r="C55" s="77" t="s">
        <v>678</v>
      </c>
      <c r="D55" s="238" t="s">
        <v>668</v>
      </c>
      <c r="E55" s="76">
        <f ca="1">SUMIF(payNonMonth,"="&amp;$W55,$E$371:OFFSET($E$371,ROWS(payNonMonth)-1,0))</f>
        <v>10</v>
      </c>
      <c r="F55" s="76"/>
      <c r="G55" s="77">
        <f t="shared" ref="G55:G66" ca="1" si="46">IF(AND($E55=0,$F55=0),0,1)</f>
        <v>1</v>
      </c>
      <c r="H55" s="76">
        <f t="shared" ref="H55:H84" ca="1" si="47">ROUND(SUM(E55:F55)*AB55,2)</f>
        <v>4500</v>
      </c>
      <c r="I55" s="76">
        <f t="shared" ref="I55:I84" ca="1" si="48">H55*OFFSET(payMgmtRate,0,$AG55)</f>
        <v>225</v>
      </c>
      <c r="J55" s="233">
        <f t="shared" ref="J55:J84" ca="1" si="49">ROUND(IF(AH55,$E55,1)*AD55+$F55*AE55+SUMIF(payAllow,$V55,$J$266:$J$368),2)</f>
        <v>4275</v>
      </c>
      <c r="K55" s="76">
        <f t="shared" ca="1" si="21"/>
        <v>40.61</v>
      </c>
      <c r="L55" s="76">
        <f t="shared" ref="L55:L84" ca="1" si="50">SUMIF(payAllow,$V55,L$266:L$368)*$G55</f>
        <v>478.18</v>
      </c>
      <c r="M55" s="76">
        <f t="shared" ca="1" si="24"/>
        <v>370.89</v>
      </c>
      <c r="N55" s="76">
        <f t="shared" ref="N55:N84" ca="1" si="51">SUMIF(payAllow,$V55,N$266:N$368)*G55</f>
        <v>0</v>
      </c>
      <c r="O55" s="76"/>
      <c r="P55" s="76">
        <f t="shared" ref="P55:P84" ca="1" si="52">J55-SUM(K55:O55)</f>
        <v>3385.32</v>
      </c>
      <c r="Q55" s="76">
        <f t="shared" ref="Q55:Q66" ca="1" si="53">GETTAX(P55,Z55)</f>
        <v>844</v>
      </c>
      <c r="R55" s="76">
        <f t="shared" ref="R55:R66" ca="1" si="54">P55-Q55</f>
        <v>2541.3200000000002</v>
      </c>
      <c r="S55" s="232">
        <f t="shared" ref="S55:S84" ca="1" si="55">SUMIF(payAllow,V55,S$266:S$368)*G55</f>
        <v>526</v>
      </c>
      <c r="U55" s="120" t="str">
        <f t="shared" ref="U55:U84" si="56">IF(EmpID="*","*",C55) &amp;":"&amp; $A55</f>
        <v>ANK:4</v>
      </c>
      <c r="V55" s="120" t="str">
        <f t="shared" ref="V55:V66" si="57">$C55 &amp;":"&amp; $B55</f>
        <v>ANK:43737</v>
      </c>
      <c r="W55" s="120" t="str">
        <f t="shared" si="44"/>
        <v>ANK:43737</v>
      </c>
      <c r="X55" s="250" t="str">
        <f t="array" ref="X55:AI55">VLOOKUP($D55&amp;":"&amp;$C55,tblPayRates,{3,4,5,6,7,8,9,10,11,12,13,14},0)</f>
        <v>ANK</v>
      </c>
      <c r="Y55" s="16" t="str">
        <v>MTR</v>
      </c>
      <c r="Z55" s="261" t="str">
        <v>F</v>
      </c>
      <c r="AA55" s="77" t="str">
        <v>Daily</v>
      </c>
      <c r="AB55" s="77">
        <v>450</v>
      </c>
      <c r="AC55" s="77">
        <v>450</v>
      </c>
      <c r="AD55" s="77">
        <v>427.5</v>
      </c>
      <c r="AE55" s="77">
        <v>0</v>
      </c>
      <c r="AF55" s="261" t="str">
        <v>Q</v>
      </c>
      <c r="AG55" s="261">
        <v>1</v>
      </c>
      <c r="AH55" s="261">
        <v>1</v>
      </c>
      <c r="AI55" s="262">
        <v>0</v>
      </c>
    </row>
    <row r="56" spans="1:35" hidden="1" outlineLevel="1" x14ac:dyDescent="0.25">
      <c r="A56" s="120">
        <f t="shared" si="45"/>
        <v>4</v>
      </c>
      <c r="B56" s="231">
        <v>43738</v>
      </c>
      <c r="C56" s="77" t="s">
        <v>55</v>
      </c>
      <c r="D56" s="238" t="s">
        <v>504</v>
      </c>
      <c r="E56" s="76">
        <f ca="1">SUMIF(payNonMonth,"="&amp;$W56,$E$371:OFFSET($E$371,ROWS(payNonMonth)-1,0))</f>
        <v>20</v>
      </c>
      <c r="F56" s="76"/>
      <c r="G56" s="77">
        <f t="shared" ca="1" si="46"/>
        <v>1</v>
      </c>
      <c r="H56" s="76">
        <f t="shared" ca="1" si="47"/>
        <v>19000</v>
      </c>
      <c r="I56" s="76">
        <f t="shared" ca="1" si="48"/>
        <v>950</v>
      </c>
      <c r="J56" s="233">
        <f t="shared" ca="1" si="49"/>
        <v>18000</v>
      </c>
      <c r="K56" s="76">
        <f t="shared" ref="K56:K85" ca="1" si="58">ROUND(J56*InsureRate2,2)</f>
        <v>171</v>
      </c>
      <c r="L56" s="76">
        <f t="shared" ca="1" si="50"/>
        <v>1000</v>
      </c>
      <c r="M56" s="76">
        <f t="shared" ca="1" si="24"/>
        <v>1561.64</v>
      </c>
      <c r="N56" s="76">
        <f t="shared" ca="1" si="51"/>
        <v>0</v>
      </c>
      <c r="O56" s="76"/>
      <c r="P56" s="76">
        <f t="shared" ca="1" si="52"/>
        <v>15267.36</v>
      </c>
      <c r="Q56" s="76">
        <f t="shared" ca="1" si="53"/>
        <v>4936</v>
      </c>
      <c r="R56" s="76">
        <f t="shared" ca="1" si="54"/>
        <v>10331.36</v>
      </c>
      <c r="S56" s="232">
        <f t="shared" ca="1" si="55"/>
        <v>1100</v>
      </c>
      <c r="U56" s="120" t="str">
        <f t="shared" si="56"/>
        <v>MAM:4</v>
      </c>
      <c r="V56" s="120" t="str">
        <f t="shared" si="57"/>
        <v>MAM:43738</v>
      </c>
      <c r="W56" s="120" t="str">
        <f t="shared" ref="W56:W58" si="59">C56 &amp;":"&amp; A56</f>
        <v>MAM:4</v>
      </c>
      <c r="X56" s="250" t="str">
        <f t="array" ref="X56:AI56">VLOOKUP($D56&amp;":"&amp;$C56,tblPayRates,{3,4,5,6,7,8,9,10,11,12,13,14},0)</f>
        <v>MAM</v>
      </c>
      <c r="Y56" s="16" t="str">
        <v>DWS</v>
      </c>
      <c r="Z56" s="261" t="str">
        <v>M</v>
      </c>
      <c r="AA56" s="77" t="str">
        <v>Daily</v>
      </c>
      <c r="AB56" s="77">
        <v>950</v>
      </c>
      <c r="AC56" s="77">
        <v>950</v>
      </c>
      <c r="AD56" s="77">
        <v>900</v>
      </c>
      <c r="AE56" s="77">
        <v>0</v>
      </c>
      <c r="AF56" s="261" t="str">
        <v>N</v>
      </c>
      <c r="AG56" s="261">
        <v>1</v>
      </c>
      <c r="AH56" s="261">
        <v>1</v>
      </c>
      <c r="AI56" s="262">
        <v>0</v>
      </c>
    </row>
    <row r="57" spans="1:35" hidden="1" outlineLevel="1" x14ac:dyDescent="0.25">
      <c r="A57" s="120">
        <f t="shared" si="45"/>
        <v>4</v>
      </c>
      <c r="B57" s="231">
        <v>43738</v>
      </c>
      <c r="C57" s="77" t="s">
        <v>57</v>
      </c>
      <c r="D57" s="238" t="s">
        <v>668</v>
      </c>
      <c r="E57" s="76">
        <f ca="1">SUMIF(payNonMonth,"="&amp;$W57,$E$371:OFFSET($E$371,ROWS(payNonMonth)-1,0))</f>
        <v>20</v>
      </c>
      <c r="F57" s="76"/>
      <c r="G57" s="77">
        <f t="shared" ca="1" si="46"/>
        <v>1</v>
      </c>
      <c r="H57" s="76">
        <f t="shared" ca="1" si="47"/>
        <v>10000</v>
      </c>
      <c r="I57" s="76">
        <f t="shared" ca="1" si="48"/>
        <v>500</v>
      </c>
      <c r="J57" s="233">
        <f t="shared" ca="1" si="49"/>
        <v>9800</v>
      </c>
      <c r="K57" s="76">
        <f t="shared" ca="1" si="58"/>
        <v>93.1</v>
      </c>
      <c r="L57" s="76">
        <f t="shared" ca="1" si="50"/>
        <v>0</v>
      </c>
      <c r="M57" s="76">
        <f t="shared" ca="1" si="24"/>
        <v>850.23</v>
      </c>
      <c r="N57" s="76">
        <f t="shared" ca="1" si="51"/>
        <v>0</v>
      </c>
      <c r="O57" s="76"/>
      <c r="P57" s="76">
        <f t="shared" ca="1" si="52"/>
        <v>8856.67</v>
      </c>
      <c r="Q57" s="76">
        <f t="shared" ca="1" si="53"/>
        <v>2414</v>
      </c>
      <c r="R57" s="76">
        <f t="shared" ca="1" si="54"/>
        <v>6442.67</v>
      </c>
      <c r="S57" s="232">
        <f t="shared" ca="1" si="55"/>
        <v>0</v>
      </c>
      <c r="U57" s="120" t="str">
        <f t="shared" si="56"/>
        <v>CRP:4</v>
      </c>
      <c r="V57" s="120" t="str">
        <f t="shared" si="57"/>
        <v>CRP:43738</v>
      </c>
      <c r="W57" s="120" t="str">
        <f t="shared" si="59"/>
        <v>CRP:4</v>
      </c>
      <c r="X57" s="250" t="str">
        <f t="array" ref="X57:AI57">VLOOKUP($D57&amp;":"&amp;$C57,tblPayRates,{3,4,5,6,7,8,9,10,11,12,13,14},0)</f>
        <v>CRP</v>
      </c>
      <c r="Y57" s="16" t="str">
        <v>MTR</v>
      </c>
      <c r="Z57" s="261" t="str">
        <v>M</v>
      </c>
      <c r="AA57" s="77" t="str">
        <v>Daily</v>
      </c>
      <c r="AB57" s="77">
        <v>500</v>
      </c>
      <c r="AC57" s="77">
        <v>500</v>
      </c>
      <c r="AD57" s="77">
        <v>490</v>
      </c>
      <c r="AE57" s="77">
        <v>0</v>
      </c>
      <c r="AF57" s="261" t="str">
        <v>Q</v>
      </c>
      <c r="AG57" s="261">
        <v>1</v>
      </c>
      <c r="AH57" s="261">
        <v>1</v>
      </c>
      <c r="AI57" s="262">
        <v>0</v>
      </c>
    </row>
    <row r="58" spans="1:35" hidden="1" outlineLevel="1" x14ac:dyDescent="0.25">
      <c r="A58" s="120">
        <f t="shared" si="45"/>
        <v>4</v>
      </c>
      <c r="B58" s="231">
        <v>43738</v>
      </c>
      <c r="C58" s="77" t="s">
        <v>58</v>
      </c>
      <c r="D58" s="238" t="s">
        <v>668</v>
      </c>
      <c r="E58" s="76">
        <f ca="1">SUMIF(payNonMonth,"="&amp;$W58,$E$371:OFFSET($E$371,ROWS(payNonMonth)-1,0))</f>
        <v>20</v>
      </c>
      <c r="F58" s="76"/>
      <c r="G58" s="77">
        <f t="shared" ca="1" si="46"/>
        <v>1</v>
      </c>
      <c r="H58" s="76">
        <f t="shared" ca="1" si="47"/>
        <v>10000</v>
      </c>
      <c r="I58" s="76">
        <f t="shared" ca="1" si="48"/>
        <v>500</v>
      </c>
      <c r="J58" s="233">
        <f t="shared" ca="1" si="49"/>
        <v>9800</v>
      </c>
      <c r="K58" s="76">
        <f t="shared" ca="1" si="58"/>
        <v>93.1</v>
      </c>
      <c r="L58" s="76">
        <f t="shared" ca="1" si="50"/>
        <v>0</v>
      </c>
      <c r="M58" s="76">
        <f t="shared" ca="1" si="24"/>
        <v>850.23</v>
      </c>
      <c r="N58" s="76">
        <f t="shared" ca="1" si="51"/>
        <v>0</v>
      </c>
      <c r="O58" s="76"/>
      <c r="P58" s="76">
        <f t="shared" ca="1" si="52"/>
        <v>8856.67</v>
      </c>
      <c r="Q58" s="76">
        <f t="shared" ca="1" si="53"/>
        <v>2414</v>
      </c>
      <c r="R58" s="76">
        <f t="shared" ca="1" si="54"/>
        <v>6442.67</v>
      </c>
      <c r="S58" s="232">
        <f t="shared" ca="1" si="55"/>
        <v>0</v>
      </c>
      <c r="U58" s="120" t="str">
        <f t="shared" si="56"/>
        <v>SM:4</v>
      </c>
      <c r="V58" s="120" t="str">
        <f t="shared" si="57"/>
        <v>SM:43738</v>
      </c>
      <c r="W58" s="120" t="str">
        <f t="shared" si="59"/>
        <v>SM:4</v>
      </c>
      <c r="X58" s="250" t="str">
        <f t="array" ref="X58:AI58">VLOOKUP($D58&amp;":"&amp;$C58,tblPayRates,{3,4,5,6,7,8,9,10,11,12,13,14},0)</f>
        <v>SM</v>
      </c>
      <c r="Y58" s="16" t="str">
        <v>MTR</v>
      </c>
      <c r="Z58" s="261" t="str">
        <v>M</v>
      </c>
      <c r="AA58" s="77" t="str">
        <v>Daily</v>
      </c>
      <c r="AB58" s="77">
        <v>500</v>
      </c>
      <c r="AC58" s="77">
        <v>500</v>
      </c>
      <c r="AD58" s="77">
        <v>490</v>
      </c>
      <c r="AE58" s="77">
        <v>0</v>
      </c>
      <c r="AF58" s="261" t="str">
        <v>Q</v>
      </c>
      <c r="AG58" s="261">
        <v>1</v>
      </c>
      <c r="AH58" s="261">
        <v>1</v>
      </c>
      <c r="AI58" s="262">
        <v>0</v>
      </c>
    </row>
    <row r="59" spans="1:35" hidden="1" outlineLevel="1" x14ac:dyDescent="0.25">
      <c r="A59" s="120">
        <f t="shared" si="45"/>
        <v>4</v>
      </c>
      <c r="B59" s="231">
        <v>43738</v>
      </c>
      <c r="C59" s="77" t="s">
        <v>622</v>
      </c>
      <c r="D59" s="238" t="s">
        <v>499</v>
      </c>
      <c r="E59" s="76">
        <f ca="1">SUMIF(payNonMonth,"="&amp;$W59,$E$371:OFFSET($E$371,ROWS(payNonMonth)-1,0))</f>
        <v>0</v>
      </c>
      <c r="F59" s="76"/>
      <c r="G59" s="77">
        <f t="shared" ca="1" si="46"/>
        <v>0</v>
      </c>
      <c r="H59" s="76">
        <f t="shared" ca="1" si="47"/>
        <v>0</v>
      </c>
      <c r="I59" s="76">
        <f t="shared" ca="1" si="48"/>
        <v>0</v>
      </c>
      <c r="J59" s="233">
        <f t="shared" ca="1" si="49"/>
        <v>0</v>
      </c>
      <c r="K59" s="76">
        <f t="shared" ca="1" si="58"/>
        <v>0</v>
      </c>
      <c r="L59" s="76">
        <f t="shared" ca="1" si="50"/>
        <v>0</v>
      </c>
      <c r="M59" s="76">
        <f t="shared" ca="1" si="24"/>
        <v>0</v>
      </c>
      <c r="N59" s="76">
        <f t="shared" ca="1" si="51"/>
        <v>0</v>
      </c>
      <c r="O59" s="76"/>
      <c r="P59" s="76">
        <f t="shared" ca="1" si="52"/>
        <v>0</v>
      </c>
      <c r="Q59" s="76">
        <f t="shared" ca="1" si="53"/>
        <v>0</v>
      </c>
      <c r="R59" s="76">
        <f t="shared" ca="1" si="54"/>
        <v>0</v>
      </c>
      <c r="S59" s="232">
        <f t="shared" ca="1" si="55"/>
        <v>0</v>
      </c>
      <c r="U59" s="120" t="str">
        <f t="shared" si="56"/>
        <v>GEO:4</v>
      </c>
      <c r="V59" s="120" t="str">
        <f t="shared" si="57"/>
        <v>GEO:43738</v>
      </c>
      <c r="W59" s="120" t="str">
        <f>C59 &amp;":"&amp; B59</f>
        <v>GEO:43738</v>
      </c>
      <c r="X59" s="250" t="str">
        <f t="array" ref="X59:AI59">VLOOKUP($D59&amp;":"&amp;$C59,tblPayRates,{3,4,5,6,7,8,9,10,11,12,13,14},0)</f>
        <v>GEO</v>
      </c>
      <c r="Y59" s="16" t="str">
        <v>Magma</v>
      </c>
      <c r="Z59" s="261" t="str">
        <v>M</v>
      </c>
      <c r="AA59" s="77" t="str">
        <v>Daily</v>
      </c>
      <c r="AB59" s="77">
        <v>700</v>
      </c>
      <c r="AC59" s="77">
        <v>700</v>
      </c>
      <c r="AD59" s="77">
        <v>665</v>
      </c>
      <c r="AE59" s="77">
        <v>0</v>
      </c>
      <c r="AF59" s="261" t="str">
        <v>N</v>
      </c>
      <c r="AG59" s="261">
        <v>2</v>
      </c>
      <c r="AH59" s="261">
        <v>1</v>
      </c>
      <c r="AI59" s="262">
        <v>0</v>
      </c>
    </row>
    <row r="60" spans="1:35" hidden="1" outlineLevel="1" x14ac:dyDescent="0.25">
      <c r="A60" s="120">
        <f t="shared" si="45"/>
        <v>4</v>
      </c>
      <c r="B60" s="231">
        <v>43738</v>
      </c>
      <c r="C60" s="77" t="s">
        <v>657</v>
      </c>
      <c r="D60" s="238" t="s">
        <v>674</v>
      </c>
      <c r="E60" s="76">
        <f ca="1">SUMIF(payNonMonth,"="&amp;$W60,$E$371:OFFSET($E$371,ROWS(payNonMonth)-1,0))</f>
        <v>0</v>
      </c>
      <c r="F60" s="76"/>
      <c r="G60" s="77">
        <f t="shared" ca="1" si="46"/>
        <v>0</v>
      </c>
      <c r="H60" s="76">
        <f t="shared" ca="1" si="47"/>
        <v>0</v>
      </c>
      <c r="I60" s="76">
        <f t="shared" ca="1" si="48"/>
        <v>0</v>
      </c>
      <c r="J60" s="233">
        <f t="shared" ca="1" si="49"/>
        <v>0</v>
      </c>
      <c r="K60" s="76">
        <f t="shared" ca="1" si="58"/>
        <v>0</v>
      </c>
      <c r="L60" s="76">
        <f t="shared" ca="1" si="50"/>
        <v>0</v>
      </c>
      <c r="M60" s="76">
        <f t="shared" ca="1" si="24"/>
        <v>0</v>
      </c>
      <c r="N60" s="76">
        <f t="shared" ca="1" si="51"/>
        <v>0</v>
      </c>
      <c r="O60" s="76"/>
      <c r="P60" s="76">
        <f t="shared" ca="1" si="52"/>
        <v>0</v>
      </c>
      <c r="Q60" s="76">
        <f t="shared" ca="1" si="53"/>
        <v>0</v>
      </c>
      <c r="R60" s="76">
        <f t="shared" ca="1" si="54"/>
        <v>0</v>
      </c>
      <c r="S60" s="232">
        <f t="shared" ca="1" si="55"/>
        <v>0</v>
      </c>
      <c r="U60" s="120" t="str">
        <f t="shared" si="56"/>
        <v>VAK:4</v>
      </c>
      <c r="V60" s="120" t="str">
        <f t="shared" si="57"/>
        <v>VAK:43738</v>
      </c>
      <c r="W60" s="120" t="str">
        <f>C60 &amp;":"&amp; B60</f>
        <v>VAK:43738</v>
      </c>
      <c r="X60" s="250" t="str">
        <f t="array" ref="X60:AI60">VLOOKUP($D60&amp;":"&amp;$C60,tblPayRates,{3,4,5,6,7,8,9,10,11,12,13,14},0)</f>
        <v>VAK</v>
      </c>
      <c r="Y60" s="16" t="str">
        <v>Paxus</v>
      </c>
      <c r="Z60" s="261" t="str">
        <v>M</v>
      </c>
      <c r="AA60" s="77" t="str">
        <v>Daily</v>
      </c>
      <c r="AB60" s="77">
        <v>623</v>
      </c>
      <c r="AC60" s="77">
        <v>623</v>
      </c>
      <c r="AD60" s="77">
        <v>524.21</v>
      </c>
      <c r="AE60" s="77">
        <v>0</v>
      </c>
      <c r="AF60" s="261" t="str">
        <v>Q</v>
      </c>
      <c r="AG60" s="261">
        <v>1</v>
      </c>
      <c r="AH60" s="261">
        <v>1</v>
      </c>
      <c r="AI60" s="262">
        <v>0</v>
      </c>
    </row>
    <row r="61" spans="1:35" hidden="1" outlineLevel="1" x14ac:dyDescent="0.25">
      <c r="A61" s="120">
        <f t="shared" si="45"/>
        <v>4</v>
      </c>
      <c r="B61" s="231">
        <v>43738</v>
      </c>
      <c r="C61" s="77" t="s">
        <v>658</v>
      </c>
      <c r="D61" s="238" t="s">
        <v>673</v>
      </c>
      <c r="E61" s="76">
        <f ca="1">SUMIF(payNonMonth,"="&amp;$W61,$E$371:OFFSET($E$371,ROWS(payNonMonth)-1,0))</f>
        <v>0</v>
      </c>
      <c r="F61" s="76"/>
      <c r="G61" s="77">
        <f t="shared" ca="1" si="46"/>
        <v>0</v>
      </c>
      <c r="H61" s="76">
        <f t="shared" ca="1" si="47"/>
        <v>0</v>
      </c>
      <c r="I61" s="76">
        <f t="shared" ca="1" si="48"/>
        <v>0</v>
      </c>
      <c r="J61" s="233">
        <f t="shared" ca="1" si="49"/>
        <v>0</v>
      </c>
      <c r="K61" s="76">
        <f t="shared" ca="1" si="58"/>
        <v>0</v>
      </c>
      <c r="L61" s="76">
        <f t="shared" ca="1" si="50"/>
        <v>0</v>
      </c>
      <c r="M61" s="76">
        <f t="shared" ca="1" si="24"/>
        <v>0</v>
      </c>
      <c r="N61" s="76">
        <f t="shared" ca="1" si="51"/>
        <v>0</v>
      </c>
      <c r="O61" s="76"/>
      <c r="P61" s="76">
        <f t="shared" ca="1" si="52"/>
        <v>0</v>
      </c>
      <c r="Q61" s="76">
        <f t="shared" ca="1" si="53"/>
        <v>0</v>
      </c>
      <c r="R61" s="76">
        <f t="shared" ca="1" si="54"/>
        <v>0</v>
      </c>
      <c r="S61" s="232">
        <f t="shared" ca="1" si="55"/>
        <v>0</v>
      </c>
      <c r="U61" s="120" t="str">
        <f t="shared" si="56"/>
        <v>ASW:4</v>
      </c>
      <c r="V61" s="120" t="str">
        <f t="shared" si="57"/>
        <v>ASW:43738</v>
      </c>
      <c r="W61" s="120" t="str">
        <f>C61 &amp;":"&amp; B61</f>
        <v>ASW:43738</v>
      </c>
      <c r="X61" s="250" t="str">
        <f t="array" ref="X61:AI61">VLOOKUP($D61&amp;":"&amp;$C61,tblPayRates,{3,4,5,6,7,8,9,10,11,12,13,14},0)</f>
        <v>ASW</v>
      </c>
      <c r="Y61" s="16" t="str">
        <v>Paxus</v>
      </c>
      <c r="Z61" s="261" t="str">
        <v>M</v>
      </c>
      <c r="AA61" s="77" t="str">
        <v>Daily</v>
      </c>
      <c r="AB61" s="77">
        <v>267</v>
      </c>
      <c r="AC61" s="77">
        <v>267</v>
      </c>
      <c r="AD61" s="77">
        <v>321.29000000000002</v>
      </c>
      <c r="AE61" s="77">
        <v>0</v>
      </c>
      <c r="AF61" s="261" t="str">
        <v>Q</v>
      </c>
      <c r="AG61" s="261">
        <v>1</v>
      </c>
      <c r="AH61" s="261">
        <v>1</v>
      </c>
      <c r="AI61" s="262">
        <v>0</v>
      </c>
    </row>
    <row r="62" spans="1:35" hidden="1" outlineLevel="1" x14ac:dyDescent="0.25">
      <c r="A62" s="120">
        <f>GETPAYMONTH(B62)</f>
        <v>4</v>
      </c>
      <c r="B62" s="231">
        <v>43751</v>
      </c>
      <c r="C62" s="77" t="s">
        <v>669</v>
      </c>
      <c r="D62" s="238" t="s">
        <v>668</v>
      </c>
      <c r="E62" s="76">
        <f ca="1">SUMIF(payNonMonth,"="&amp;$W62,$E$371:OFFSET($E$371,ROWS(payNonMonth)-1,0))</f>
        <v>0</v>
      </c>
      <c r="F62" s="76"/>
      <c r="G62" s="77">
        <f ca="1">IF(AND($E62=0,$F62=0),0,1)</f>
        <v>0</v>
      </c>
      <c r="H62" s="76">
        <f ca="1">ROUND(SUM(E62:F62)*AB62,2)</f>
        <v>0</v>
      </c>
      <c r="I62" s="76">
        <f ca="1">H62*OFFSET(payMgmtRate,0,$AG62)</f>
        <v>0</v>
      </c>
      <c r="J62" s="233">
        <f t="shared" ca="1" si="49"/>
        <v>0</v>
      </c>
      <c r="K62" s="76">
        <f ca="1">ROUND(J62*InsureRate2,2)</f>
        <v>0</v>
      </c>
      <c r="L62" s="76">
        <f t="shared" ca="1" si="50"/>
        <v>0</v>
      </c>
      <c r="M62" s="76">
        <f ca="1">GETSUPER(J62)</f>
        <v>0</v>
      </c>
      <c r="N62" s="76">
        <f t="shared" ca="1" si="51"/>
        <v>0</v>
      </c>
      <c r="O62" s="76"/>
      <c r="P62" s="76">
        <f ca="1">J62-SUM(K62:O62)</f>
        <v>0</v>
      </c>
      <c r="Q62" s="76">
        <f ca="1">GETTAX(P62,Z62)</f>
        <v>0</v>
      </c>
      <c r="R62" s="76">
        <f ca="1">P62-Q62</f>
        <v>0</v>
      </c>
      <c r="S62" s="232">
        <f t="shared" ca="1" si="55"/>
        <v>0</v>
      </c>
      <c r="U62" s="120" t="str">
        <f>IF(EmpID="*","*",C62) &amp;":"&amp; $A62</f>
        <v>DP:4</v>
      </c>
      <c r="V62" s="120" t="str">
        <f>$C62 &amp;":"&amp; $B62</f>
        <v>DP:43751</v>
      </c>
      <c r="W62" s="120" t="str">
        <f>C62 &amp;":"&amp; B62</f>
        <v>DP:43751</v>
      </c>
      <c r="X62" s="250" t="str">
        <f t="array" ref="X62:AI62">VLOOKUP($D62&amp;":"&amp;$C62,tblPayRates,{3,4,5,6,7,8,9,10,11,12,13,14},0)</f>
        <v>DP</v>
      </c>
      <c r="Y62" s="16" t="str">
        <v>MTR</v>
      </c>
      <c r="Z62" s="261" t="str">
        <v>F</v>
      </c>
      <c r="AA62" s="77" t="str">
        <v>Daily</v>
      </c>
      <c r="AB62" s="77">
        <v>450</v>
      </c>
      <c r="AC62" s="77">
        <v>450</v>
      </c>
      <c r="AD62" s="77">
        <v>427.5</v>
      </c>
      <c r="AE62" s="77">
        <v>0</v>
      </c>
      <c r="AF62" s="261" t="str">
        <v>Q</v>
      </c>
      <c r="AG62" s="261">
        <v>1</v>
      </c>
      <c r="AH62" s="261">
        <v>1</v>
      </c>
      <c r="AI62" s="262">
        <v>0</v>
      </c>
    </row>
    <row r="63" spans="1:35" outlineLevel="1" x14ac:dyDescent="0.25">
      <c r="A63" s="120">
        <f>GETPAYMONTH(B63)</f>
        <v>4</v>
      </c>
      <c r="B63" s="231">
        <v>43751</v>
      </c>
      <c r="C63" s="77" t="s">
        <v>678</v>
      </c>
      <c r="D63" s="238" t="s">
        <v>668</v>
      </c>
      <c r="E63" s="76">
        <f ca="1">SUMIF(payNonMonth,"="&amp;$W63,$E$371:OFFSET($E$371,ROWS(payNonMonth)-1,0))</f>
        <v>0</v>
      </c>
      <c r="F63" s="76"/>
      <c r="G63" s="77">
        <f ca="1">IF(AND($E63=0,$F63=0),0,1)</f>
        <v>0</v>
      </c>
      <c r="H63" s="76">
        <f ca="1">ROUND(SUM(E63:F63)*AB63,2)</f>
        <v>0</v>
      </c>
      <c r="I63" s="76">
        <f ca="1">H63*OFFSET(payMgmtRate,0,$AG63)</f>
        <v>0</v>
      </c>
      <c r="J63" s="233">
        <f t="shared" ca="1" si="49"/>
        <v>0</v>
      </c>
      <c r="K63" s="76">
        <f ca="1">ROUND(J63*InsureRate2,2)</f>
        <v>0</v>
      </c>
      <c r="L63" s="76">
        <f t="shared" ca="1" si="50"/>
        <v>0</v>
      </c>
      <c r="M63" s="76">
        <f ca="1">GETSUPER(J63)</f>
        <v>0</v>
      </c>
      <c r="N63" s="76">
        <f t="shared" ca="1" si="51"/>
        <v>0</v>
      </c>
      <c r="O63" s="76"/>
      <c r="P63" s="76">
        <f ca="1">J63-SUM(K63:O63)</f>
        <v>0</v>
      </c>
      <c r="Q63" s="76">
        <f ca="1">GETTAX(P63,Z63)</f>
        <v>0</v>
      </c>
      <c r="R63" s="76">
        <f ca="1">P63-Q63</f>
        <v>0</v>
      </c>
      <c r="S63" s="232">
        <f t="shared" ca="1" si="55"/>
        <v>0</v>
      </c>
      <c r="U63" s="120" t="str">
        <f>IF(EmpID="*","*",C63) &amp;":"&amp; $A63</f>
        <v>ANK:4</v>
      </c>
      <c r="V63" s="120" t="str">
        <f>$C63 &amp;":"&amp; $B63</f>
        <v>ANK:43751</v>
      </c>
      <c r="W63" s="120" t="str">
        <f>C63 &amp;":"&amp; B63</f>
        <v>ANK:43751</v>
      </c>
      <c r="X63" s="250" t="str">
        <f t="array" ref="X63:AI63">VLOOKUP($D63&amp;":"&amp;$C63,tblPayRates,{3,4,5,6,7,8,9,10,11,12,13,14},0)</f>
        <v>ANK</v>
      </c>
      <c r="Y63" s="16" t="str">
        <v>MTR</v>
      </c>
      <c r="Z63" s="261" t="str">
        <v>F</v>
      </c>
      <c r="AA63" s="77" t="str">
        <v>Daily</v>
      </c>
      <c r="AB63" s="77">
        <v>450</v>
      </c>
      <c r="AC63" s="77">
        <v>450</v>
      </c>
      <c r="AD63" s="77">
        <v>427.5</v>
      </c>
      <c r="AE63" s="77">
        <v>0</v>
      </c>
      <c r="AF63" s="261" t="str">
        <v>Q</v>
      </c>
      <c r="AG63" s="261">
        <v>1</v>
      </c>
      <c r="AH63" s="261">
        <v>1</v>
      </c>
      <c r="AI63" s="262">
        <v>0</v>
      </c>
    </row>
    <row r="64" spans="1:35" hidden="1" outlineLevel="1" x14ac:dyDescent="0.25">
      <c r="A64" s="120">
        <f t="shared" si="45"/>
        <v>0</v>
      </c>
      <c r="B64" s="231"/>
      <c r="C64" s="77"/>
      <c r="D64" s="238"/>
      <c r="E64" s="76">
        <f ca="1">SUMIF(payNonMonth,"="&amp;$W64,$E$371:OFFSET($E$371,ROWS(payNonMonth)-1,0))</f>
        <v>0</v>
      </c>
      <c r="F64" s="76"/>
      <c r="G64" s="77">
        <f t="shared" ca="1" si="46"/>
        <v>0</v>
      </c>
      <c r="H64" s="76">
        <f t="shared" ca="1" si="47"/>
        <v>0</v>
      </c>
      <c r="I64" s="76">
        <f t="shared" ca="1" si="48"/>
        <v>0</v>
      </c>
      <c r="J64" s="233">
        <f t="shared" ca="1" si="49"/>
        <v>0</v>
      </c>
      <c r="K64" s="76">
        <f t="shared" ca="1" si="58"/>
        <v>0</v>
      </c>
      <c r="L64" s="76">
        <f t="shared" ca="1" si="50"/>
        <v>0</v>
      </c>
      <c r="M64" s="76">
        <f t="shared" ca="1" si="24"/>
        <v>0</v>
      </c>
      <c r="N64" s="76">
        <f t="shared" ca="1" si="51"/>
        <v>0</v>
      </c>
      <c r="O64" s="76"/>
      <c r="P64" s="76">
        <f t="shared" ca="1" si="52"/>
        <v>0</v>
      </c>
      <c r="Q64" s="76">
        <f t="shared" ca="1" si="53"/>
        <v>0</v>
      </c>
      <c r="R64" s="76">
        <f t="shared" ca="1" si="54"/>
        <v>0</v>
      </c>
      <c r="S64" s="232">
        <f t="shared" ca="1" si="55"/>
        <v>0</v>
      </c>
      <c r="U64" s="120" t="str">
        <f t="shared" si="56"/>
        <v>:0</v>
      </c>
      <c r="V64" s="120" t="str">
        <f t="shared" si="57"/>
        <v>:</v>
      </c>
      <c r="W64" s="120" t="str">
        <f>C64 &amp;":"&amp; A64</f>
        <v>:0</v>
      </c>
      <c r="X64" s="250">
        <f t="array" aca="1" ref="X64:AI64" ca="1">VLOOKUP($D64&amp;":"&amp;$C64,tblPayRates,{3,4,5,6,7,8,9,10,11,12,13,14},0)</f>
        <v>0</v>
      </c>
      <c r="Y64" s="16" t="str">
        <f ca="1"/>
        <v>Nobody</v>
      </c>
      <c r="Z64" s="261" t="str">
        <f ca="1"/>
        <v>M</v>
      </c>
      <c r="AA64" s="77" t="str">
        <f ca="1"/>
        <v>Daily</v>
      </c>
      <c r="AB64" s="77">
        <f ca="1"/>
        <v>0</v>
      </c>
      <c r="AC64" s="77">
        <f ca="1"/>
        <v>0</v>
      </c>
      <c r="AD64" s="77">
        <f ca="1"/>
        <v>0</v>
      </c>
      <c r="AE64" s="77">
        <f ca="1"/>
        <v>0</v>
      </c>
      <c r="AF64" s="261" t="str">
        <f ca="1"/>
        <v>N</v>
      </c>
      <c r="AG64" s="261">
        <f ca="1"/>
        <v>1</v>
      </c>
      <c r="AH64" s="261">
        <f ca="1"/>
        <v>1</v>
      </c>
      <c r="AI64" s="262">
        <f ca="1"/>
        <v>0</v>
      </c>
    </row>
    <row r="65" spans="1:35" hidden="1" outlineLevel="1" x14ac:dyDescent="0.25">
      <c r="A65" s="120">
        <f t="shared" si="45"/>
        <v>0</v>
      </c>
      <c r="B65" s="231"/>
      <c r="C65" s="77"/>
      <c r="D65" s="238"/>
      <c r="E65" s="76">
        <f ca="1">SUMIF(payNonMonth,"="&amp;$W65,$E$371:OFFSET($E$371,ROWS(payNonMonth)-1,0))</f>
        <v>0</v>
      </c>
      <c r="F65" s="76"/>
      <c r="G65" s="77">
        <f t="shared" ca="1" si="46"/>
        <v>0</v>
      </c>
      <c r="H65" s="76">
        <f t="shared" ca="1" si="47"/>
        <v>0</v>
      </c>
      <c r="I65" s="76">
        <f t="shared" ca="1" si="48"/>
        <v>0</v>
      </c>
      <c r="J65" s="233">
        <f t="shared" ca="1" si="49"/>
        <v>0</v>
      </c>
      <c r="K65" s="76">
        <f t="shared" ca="1" si="58"/>
        <v>0</v>
      </c>
      <c r="L65" s="76">
        <f t="shared" ca="1" si="50"/>
        <v>0</v>
      </c>
      <c r="M65" s="76">
        <f t="shared" ca="1" si="24"/>
        <v>0</v>
      </c>
      <c r="N65" s="76">
        <f t="shared" ca="1" si="51"/>
        <v>0</v>
      </c>
      <c r="O65" s="76"/>
      <c r="P65" s="76">
        <f t="shared" ca="1" si="52"/>
        <v>0</v>
      </c>
      <c r="Q65" s="76">
        <f t="shared" ca="1" si="53"/>
        <v>0</v>
      </c>
      <c r="R65" s="76">
        <f t="shared" ca="1" si="54"/>
        <v>0</v>
      </c>
      <c r="S65" s="232">
        <f t="shared" ca="1" si="55"/>
        <v>0</v>
      </c>
      <c r="U65" s="120" t="str">
        <f t="shared" si="56"/>
        <v>:0</v>
      </c>
      <c r="V65" s="120" t="str">
        <f t="shared" si="57"/>
        <v>:</v>
      </c>
      <c r="W65" s="120" t="str">
        <f>C65 &amp;":"&amp; A65</f>
        <v>:0</v>
      </c>
      <c r="X65" s="250">
        <f t="array" aca="1" ref="X65:AI65" ca="1">VLOOKUP($D65&amp;":"&amp;$C65,tblPayRates,{3,4,5,6,7,8,9,10,11,12,13,14},0)</f>
        <v>0</v>
      </c>
      <c r="Y65" s="16" t="str">
        <f ca="1"/>
        <v>Nobody</v>
      </c>
      <c r="Z65" s="261" t="str">
        <f ca="1"/>
        <v>M</v>
      </c>
      <c r="AA65" s="77" t="str">
        <f ca="1"/>
        <v>Daily</v>
      </c>
      <c r="AB65" s="77">
        <f ca="1"/>
        <v>0</v>
      </c>
      <c r="AC65" s="77">
        <f ca="1"/>
        <v>0</v>
      </c>
      <c r="AD65" s="77">
        <f ca="1"/>
        <v>0</v>
      </c>
      <c r="AE65" s="77">
        <f ca="1"/>
        <v>0</v>
      </c>
      <c r="AF65" s="261" t="str">
        <f ca="1"/>
        <v>N</v>
      </c>
      <c r="AG65" s="261">
        <f ca="1"/>
        <v>1</v>
      </c>
      <c r="AH65" s="261">
        <f ca="1"/>
        <v>1</v>
      </c>
      <c r="AI65" s="262">
        <f ca="1"/>
        <v>0</v>
      </c>
    </row>
    <row r="66" spans="1:35" hidden="1" outlineLevel="1" x14ac:dyDescent="0.25">
      <c r="A66" s="120">
        <f t="shared" si="45"/>
        <v>0</v>
      </c>
      <c r="B66" s="231"/>
      <c r="C66" s="77"/>
      <c r="D66" s="238"/>
      <c r="E66" s="76">
        <f ca="1">SUMIF(payNonMonth,"="&amp;$W66,$E$371:OFFSET($E$371,ROWS(payNonMonth)-1,0))</f>
        <v>0</v>
      </c>
      <c r="F66" s="76"/>
      <c r="G66" s="77">
        <f t="shared" ca="1" si="46"/>
        <v>0</v>
      </c>
      <c r="H66" s="76">
        <f t="shared" ca="1" si="47"/>
        <v>0</v>
      </c>
      <c r="I66" s="76">
        <f t="shared" ca="1" si="48"/>
        <v>0</v>
      </c>
      <c r="J66" s="233">
        <f t="shared" ca="1" si="49"/>
        <v>0</v>
      </c>
      <c r="K66" s="76">
        <f t="shared" ca="1" si="58"/>
        <v>0</v>
      </c>
      <c r="L66" s="76">
        <f t="shared" ca="1" si="50"/>
        <v>0</v>
      </c>
      <c r="M66" s="76">
        <f t="shared" ca="1" si="24"/>
        <v>0</v>
      </c>
      <c r="N66" s="76">
        <f t="shared" ca="1" si="51"/>
        <v>0</v>
      </c>
      <c r="O66" s="76"/>
      <c r="P66" s="76">
        <f t="shared" ca="1" si="52"/>
        <v>0</v>
      </c>
      <c r="Q66" s="76">
        <f t="shared" ca="1" si="53"/>
        <v>0</v>
      </c>
      <c r="R66" s="76">
        <f t="shared" ca="1" si="54"/>
        <v>0</v>
      </c>
      <c r="S66" s="232">
        <f t="shared" ca="1" si="55"/>
        <v>0</v>
      </c>
      <c r="U66" s="120" t="str">
        <f t="shared" si="56"/>
        <v>:0</v>
      </c>
      <c r="V66" s="120" t="str">
        <f t="shared" si="57"/>
        <v>:</v>
      </c>
      <c r="W66" s="120" t="str">
        <f>C66 &amp;":"&amp; A66</f>
        <v>:0</v>
      </c>
      <c r="X66" s="250">
        <f t="array" aca="1" ref="X66:AI66" ca="1">VLOOKUP($D66&amp;":"&amp;$C66,tblPayRates,{3,4,5,6,7,8,9,10,11,12,13,14},0)</f>
        <v>0</v>
      </c>
      <c r="Y66" s="16" t="str">
        <f ca="1"/>
        <v>Nobody</v>
      </c>
      <c r="Z66" s="261" t="str">
        <f ca="1"/>
        <v>M</v>
      </c>
      <c r="AA66" s="77" t="str">
        <f ca="1"/>
        <v>Daily</v>
      </c>
      <c r="AB66" s="77">
        <f ca="1"/>
        <v>0</v>
      </c>
      <c r="AC66" s="77">
        <f ca="1"/>
        <v>0</v>
      </c>
      <c r="AD66" s="77">
        <f ca="1"/>
        <v>0</v>
      </c>
      <c r="AE66" s="77">
        <f ca="1"/>
        <v>0</v>
      </c>
      <c r="AF66" s="261" t="str">
        <f ca="1"/>
        <v>N</v>
      </c>
      <c r="AG66" s="261">
        <f ca="1"/>
        <v>1</v>
      </c>
      <c r="AH66" s="261">
        <f ca="1"/>
        <v>1</v>
      </c>
      <c r="AI66" s="262">
        <f ca="1"/>
        <v>0</v>
      </c>
    </row>
    <row r="67" spans="1:35" hidden="1" outlineLevel="1" x14ac:dyDescent="0.25">
      <c r="A67" s="120">
        <f t="shared" si="45"/>
        <v>0</v>
      </c>
      <c r="B67" s="231"/>
      <c r="C67" s="77"/>
      <c r="D67" s="238"/>
      <c r="E67" s="76">
        <f ca="1">SUMIF(payNonMonth,"="&amp;$W67,$E$371:OFFSET($E$371,ROWS(payNonMonth)-1,0))</f>
        <v>0</v>
      </c>
      <c r="F67" s="76"/>
      <c r="G67" s="77">
        <f ca="1">IF(AND($E67=0,$F67=0),0,1)</f>
        <v>0</v>
      </c>
      <c r="H67" s="76">
        <f t="shared" ca="1" si="47"/>
        <v>0</v>
      </c>
      <c r="I67" s="76">
        <f t="shared" ca="1" si="48"/>
        <v>0</v>
      </c>
      <c r="J67" s="233">
        <f t="shared" ca="1" si="49"/>
        <v>0</v>
      </c>
      <c r="K67" s="76">
        <f t="shared" ca="1" si="58"/>
        <v>0</v>
      </c>
      <c r="L67" s="76">
        <f t="shared" ca="1" si="50"/>
        <v>0</v>
      </c>
      <c r="M67" s="76">
        <f t="shared" ca="1" si="24"/>
        <v>0</v>
      </c>
      <c r="N67" s="76">
        <f t="shared" ca="1" si="51"/>
        <v>0</v>
      </c>
      <c r="O67" s="76"/>
      <c r="P67" s="76">
        <f t="shared" ca="1" si="52"/>
        <v>0</v>
      </c>
      <c r="Q67" s="76">
        <f ca="1">GETTAX(P67,Z67)</f>
        <v>0</v>
      </c>
      <c r="R67" s="76">
        <f ca="1">P67-Q67</f>
        <v>0</v>
      </c>
      <c r="S67" s="232">
        <f t="shared" ca="1" si="55"/>
        <v>0</v>
      </c>
      <c r="U67" s="120" t="str">
        <f t="shared" si="56"/>
        <v>:0</v>
      </c>
      <c r="V67" s="120" t="str">
        <f>$C67 &amp;":"&amp; $B67</f>
        <v>:</v>
      </c>
      <c r="W67" s="120" t="str">
        <f t="shared" ref="W67:W72" si="60">C67 &amp;":"&amp; B67</f>
        <v>:</v>
      </c>
      <c r="X67" s="250">
        <f t="array" aca="1" ref="X67:AI67" ca="1">VLOOKUP($D67&amp;":"&amp;$C67,tblPayRates,{3,4,5,6,7,8,9,10,11,12,13,14},0)</f>
        <v>0</v>
      </c>
      <c r="Y67" s="16" t="str">
        <f ca="1"/>
        <v>Nobody</v>
      </c>
      <c r="Z67" s="261" t="str">
        <f ca="1"/>
        <v>M</v>
      </c>
      <c r="AA67" s="77" t="str">
        <f ca="1"/>
        <v>Daily</v>
      </c>
      <c r="AB67" s="77">
        <f ca="1"/>
        <v>0</v>
      </c>
      <c r="AC67" s="77">
        <f ca="1"/>
        <v>0</v>
      </c>
      <c r="AD67" s="77">
        <f ca="1"/>
        <v>0</v>
      </c>
      <c r="AE67" s="77">
        <f ca="1"/>
        <v>0</v>
      </c>
      <c r="AF67" s="261" t="str">
        <f ca="1"/>
        <v>N</v>
      </c>
      <c r="AG67" s="261">
        <f ca="1"/>
        <v>1</v>
      </c>
      <c r="AH67" s="261">
        <f ca="1"/>
        <v>1</v>
      </c>
      <c r="AI67" s="262">
        <f ca="1"/>
        <v>0</v>
      </c>
    </row>
    <row r="68" spans="1:35" hidden="1" outlineLevel="1" x14ac:dyDescent="0.25">
      <c r="A68" s="120">
        <f t="shared" si="45"/>
        <v>0</v>
      </c>
      <c r="B68" s="231"/>
      <c r="C68" s="77"/>
      <c r="D68" s="238"/>
      <c r="E68" s="76">
        <f ca="1">SUMIF(payNonMonth,"="&amp;$W68,$E$371:OFFSET($E$371,ROWS(payNonMonth)-1,0))</f>
        <v>0</v>
      </c>
      <c r="F68" s="76"/>
      <c r="G68" s="77">
        <f ca="1">IF(AND($E68=0,$F68=0),0,1)</f>
        <v>0</v>
      </c>
      <c r="H68" s="76">
        <f t="shared" ca="1" si="47"/>
        <v>0</v>
      </c>
      <c r="I68" s="76">
        <f t="shared" ca="1" si="48"/>
        <v>0</v>
      </c>
      <c r="J68" s="233">
        <f t="shared" ca="1" si="49"/>
        <v>0</v>
      </c>
      <c r="K68" s="76">
        <f t="shared" ca="1" si="58"/>
        <v>0</v>
      </c>
      <c r="L68" s="76">
        <f t="shared" ca="1" si="50"/>
        <v>0</v>
      </c>
      <c r="M68" s="76">
        <f t="shared" ca="1" si="24"/>
        <v>0</v>
      </c>
      <c r="N68" s="76">
        <f t="shared" ca="1" si="51"/>
        <v>0</v>
      </c>
      <c r="O68" s="76"/>
      <c r="P68" s="76">
        <f t="shared" ca="1" si="52"/>
        <v>0</v>
      </c>
      <c r="Q68" s="76">
        <f ca="1">GETTAX(P68,Z68)</f>
        <v>0</v>
      </c>
      <c r="R68" s="76">
        <f ca="1">P68-Q68</f>
        <v>0</v>
      </c>
      <c r="S68" s="232">
        <f t="shared" ca="1" si="55"/>
        <v>0</v>
      </c>
      <c r="U68" s="120" t="str">
        <f t="shared" si="56"/>
        <v>:0</v>
      </c>
      <c r="V68" s="120" t="str">
        <f>$C68 &amp;":"&amp; $B68</f>
        <v>:</v>
      </c>
      <c r="W68" s="120" t="str">
        <f t="shared" si="60"/>
        <v>:</v>
      </c>
      <c r="X68" s="250">
        <f t="array" aca="1" ref="X68:AI68" ca="1">VLOOKUP($D68&amp;":"&amp;$C68,tblPayRates,{3,4,5,6,7,8,9,10,11,12,13,14},0)</f>
        <v>0</v>
      </c>
      <c r="Y68" s="16" t="str">
        <f ca="1"/>
        <v>Nobody</v>
      </c>
      <c r="Z68" s="261" t="str">
        <f ca="1"/>
        <v>M</v>
      </c>
      <c r="AA68" s="77" t="str">
        <f ca="1"/>
        <v>Daily</v>
      </c>
      <c r="AB68" s="77">
        <f ca="1"/>
        <v>0</v>
      </c>
      <c r="AC68" s="77">
        <f ca="1"/>
        <v>0</v>
      </c>
      <c r="AD68" s="77">
        <f ca="1"/>
        <v>0</v>
      </c>
      <c r="AE68" s="77">
        <f ca="1"/>
        <v>0</v>
      </c>
      <c r="AF68" s="261" t="str">
        <f ca="1"/>
        <v>N</v>
      </c>
      <c r="AG68" s="261">
        <f ca="1"/>
        <v>1</v>
      </c>
      <c r="AH68" s="261">
        <f ca="1"/>
        <v>1</v>
      </c>
      <c r="AI68" s="262">
        <f ca="1"/>
        <v>0</v>
      </c>
    </row>
    <row r="69" spans="1:35" hidden="1" outlineLevel="1" x14ac:dyDescent="0.25">
      <c r="A69" s="120">
        <f t="shared" si="45"/>
        <v>0</v>
      </c>
      <c r="B69" s="231"/>
      <c r="C69" s="77"/>
      <c r="D69" s="238"/>
      <c r="E69" s="76">
        <f ca="1">SUMIF(payNonMonth,"="&amp;$W69,$E$371:OFFSET($E$371,ROWS(payNonMonth)-1,0))</f>
        <v>0</v>
      </c>
      <c r="F69" s="76"/>
      <c r="G69" s="77">
        <f t="shared" ref="G69:G79" ca="1" si="61">IF(AND($E69=0,$F69=0),0,1)</f>
        <v>0</v>
      </c>
      <c r="H69" s="76">
        <f t="shared" ca="1" si="47"/>
        <v>0</v>
      </c>
      <c r="I69" s="76">
        <f t="shared" ca="1" si="48"/>
        <v>0</v>
      </c>
      <c r="J69" s="233">
        <f t="shared" ca="1" si="49"/>
        <v>0</v>
      </c>
      <c r="K69" s="76">
        <f t="shared" ca="1" si="58"/>
        <v>0</v>
      </c>
      <c r="L69" s="76">
        <f t="shared" ca="1" si="50"/>
        <v>0</v>
      </c>
      <c r="M69" s="76">
        <f t="shared" ca="1" si="24"/>
        <v>0</v>
      </c>
      <c r="N69" s="76">
        <f t="shared" ca="1" si="51"/>
        <v>0</v>
      </c>
      <c r="O69" s="76"/>
      <c r="P69" s="76">
        <f t="shared" ca="1" si="52"/>
        <v>0</v>
      </c>
      <c r="Q69" s="76"/>
      <c r="R69" s="76">
        <f ca="1">P69-Q69</f>
        <v>0</v>
      </c>
      <c r="S69" s="232">
        <f t="shared" ca="1" si="55"/>
        <v>0</v>
      </c>
      <c r="U69" s="120" t="str">
        <f t="shared" si="56"/>
        <v>:0</v>
      </c>
      <c r="V69" s="120" t="str">
        <f t="shared" ref="V69:V79" si="62">$C69 &amp;":"&amp; $B69</f>
        <v>:</v>
      </c>
      <c r="W69" s="120" t="str">
        <f t="shared" si="60"/>
        <v>:</v>
      </c>
      <c r="X69" s="250">
        <f t="array" aca="1" ref="X69:AI69" ca="1">VLOOKUP($D69&amp;":"&amp;$C69,tblPayRates,{3,4,5,6,7,8,9,10,11,12,13,14},0)</f>
        <v>0</v>
      </c>
      <c r="Y69" s="16" t="str">
        <f ca="1"/>
        <v>Nobody</v>
      </c>
      <c r="Z69" s="261" t="str">
        <f ca="1"/>
        <v>M</v>
      </c>
      <c r="AA69" s="77" t="str">
        <f ca="1"/>
        <v>Daily</v>
      </c>
      <c r="AB69" s="77">
        <f ca="1"/>
        <v>0</v>
      </c>
      <c r="AC69" s="77">
        <f ca="1"/>
        <v>0</v>
      </c>
      <c r="AD69" s="77">
        <f ca="1"/>
        <v>0</v>
      </c>
      <c r="AE69" s="77">
        <f ca="1"/>
        <v>0</v>
      </c>
      <c r="AF69" s="261" t="str">
        <f ca="1"/>
        <v>N</v>
      </c>
      <c r="AG69" s="261">
        <f ca="1"/>
        <v>1</v>
      </c>
      <c r="AH69" s="261">
        <f ca="1"/>
        <v>1</v>
      </c>
      <c r="AI69" s="262">
        <f ca="1"/>
        <v>0</v>
      </c>
    </row>
    <row r="70" spans="1:35" hidden="1" outlineLevel="1" x14ac:dyDescent="0.25">
      <c r="A70" s="120">
        <f t="shared" si="45"/>
        <v>0</v>
      </c>
      <c r="B70" s="231"/>
      <c r="C70" s="77"/>
      <c r="D70" s="238"/>
      <c r="E70" s="76">
        <f ca="1">SUMIF(payNonMonth,"="&amp;$W70,$E$371:OFFSET($E$371,ROWS(payNonMonth)-1,0))</f>
        <v>0</v>
      </c>
      <c r="F70" s="76"/>
      <c r="G70" s="77">
        <f t="shared" ca="1" si="61"/>
        <v>0</v>
      </c>
      <c r="H70" s="76">
        <f t="shared" ca="1" si="47"/>
        <v>0</v>
      </c>
      <c r="I70" s="76">
        <f t="shared" ca="1" si="48"/>
        <v>0</v>
      </c>
      <c r="J70" s="233">
        <f t="shared" ca="1" si="49"/>
        <v>0</v>
      </c>
      <c r="K70" s="76">
        <f t="shared" ca="1" si="58"/>
        <v>0</v>
      </c>
      <c r="L70" s="76">
        <f t="shared" ca="1" si="50"/>
        <v>0</v>
      </c>
      <c r="M70" s="76">
        <f t="shared" ca="1" si="24"/>
        <v>0</v>
      </c>
      <c r="N70" s="76">
        <f t="shared" ca="1" si="51"/>
        <v>0</v>
      </c>
      <c r="O70" s="76"/>
      <c r="P70" s="76">
        <f t="shared" ca="1" si="52"/>
        <v>0</v>
      </c>
      <c r="Q70" s="76">
        <f ca="1">GETTAX(SUM(P69:P70),Z70)</f>
        <v>0</v>
      </c>
      <c r="R70" s="76">
        <f t="shared" ref="R70" ca="1" si="63">P70-Q70</f>
        <v>0</v>
      </c>
      <c r="S70" s="232">
        <f t="shared" ca="1" si="55"/>
        <v>0</v>
      </c>
      <c r="U70" s="120" t="str">
        <f t="shared" si="56"/>
        <v>:0</v>
      </c>
      <c r="V70" s="120" t="str">
        <f t="shared" si="62"/>
        <v>:</v>
      </c>
      <c r="W70" s="120" t="str">
        <f t="shared" si="60"/>
        <v>:</v>
      </c>
      <c r="X70" s="250">
        <f t="array" aca="1" ref="X70:AI70" ca="1">VLOOKUP($D70&amp;":"&amp;$C70,tblPayRates,{3,4,5,6,7,8,9,10,11,12,13,14},0)</f>
        <v>0</v>
      </c>
      <c r="Y70" s="16" t="str">
        <f ca="1"/>
        <v>Nobody</v>
      </c>
      <c r="Z70" s="261" t="str">
        <f ca="1"/>
        <v>M</v>
      </c>
      <c r="AA70" s="77" t="str">
        <f ca="1"/>
        <v>Daily</v>
      </c>
      <c r="AB70" s="77">
        <f ca="1"/>
        <v>0</v>
      </c>
      <c r="AC70" s="77">
        <f ca="1"/>
        <v>0</v>
      </c>
      <c r="AD70" s="77">
        <f ca="1"/>
        <v>0</v>
      </c>
      <c r="AE70" s="77">
        <f ca="1"/>
        <v>0</v>
      </c>
      <c r="AF70" s="261" t="str">
        <f ca="1"/>
        <v>N</v>
      </c>
      <c r="AG70" s="261">
        <f ca="1"/>
        <v>1</v>
      </c>
      <c r="AH70" s="261">
        <f ca="1"/>
        <v>1</v>
      </c>
      <c r="AI70" s="262">
        <f ca="1"/>
        <v>0</v>
      </c>
    </row>
    <row r="71" spans="1:35" hidden="1" outlineLevel="1" x14ac:dyDescent="0.25">
      <c r="A71" s="120">
        <f t="shared" si="45"/>
        <v>0</v>
      </c>
      <c r="B71" s="231"/>
      <c r="C71" s="77"/>
      <c r="D71" s="238"/>
      <c r="E71" s="76">
        <f ca="1">SUMIF(payNonMonth,"="&amp;$W71,$E$371:OFFSET($E$371,ROWS(payNonMonth)-1,0))</f>
        <v>0</v>
      </c>
      <c r="F71" s="76"/>
      <c r="G71" s="77">
        <f t="shared" ca="1" si="61"/>
        <v>0</v>
      </c>
      <c r="H71" s="76">
        <f t="shared" ca="1" si="47"/>
        <v>0</v>
      </c>
      <c r="I71" s="76">
        <f t="shared" ca="1" si="48"/>
        <v>0</v>
      </c>
      <c r="J71" s="233">
        <f t="shared" ca="1" si="49"/>
        <v>0</v>
      </c>
      <c r="K71" s="76">
        <f t="shared" ca="1" si="58"/>
        <v>0</v>
      </c>
      <c r="L71" s="76">
        <f t="shared" ca="1" si="50"/>
        <v>0</v>
      </c>
      <c r="M71" s="76">
        <f t="shared" ca="1" si="24"/>
        <v>0</v>
      </c>
      <c r="N71" s="76">
        <f t="shared" ca="1" si="51"/>
        <v>0</v>
      </c>
      <c r="O71" s="76"/>
      <c r="P71" s="76">
        <f t="shared" ca="1" si="52"/>
        <v>0</v>
      </c>
      <c r="Q71" s="76"/>
      <c r="R71" s="76">
        <f ca="1">P71-Q71</f>
        <v>0</v>
      </c>
      <c r="S71" s="232">
        <f t="shared" ca="1" si="55"/>
        <v>0</v>
      </c>
      <c r="U71" s="120" t="str">
        <f t="shared" si="56"/>
        <v>:0</v>
      </c>
      <c r="V71" s="120" t="str">
        <f t="shared" si="62"/>
        <v>:</v>
      </c>
      <c r="W71" s="120" t="str">
        <f t="shared" si="60"/>
        <v>:</v>
      </c>
      <c r="X71" s="250">
        <f t="array" aca="1" ref="X71:AI71" ca="1">VLOOKUP($D71&amp;":"&amp;$C71,tblPayRates,{3,4,5,6,7,8,9,10,11,12,13,14},0)</f>
        <v>0</v>
      </c>
      <c r="Y71" s="16" t="str">
        <f ca="1"/>
        <v>Nobody</v>
      </c>
      <c r="Z71" s="261" t="str">
        <f ca="1"/>
        <v>M</v>
      </c>
      <c r="AA71" s="77" t="str">
        <f ca="1"/>
        <v>Daily</v>
      </c>
      <c r="AB71" s="77">
        <f ca="1"/>
        <v>0</v>
      </c>
      <c r="AC71" s="77">
        <f ca="1"/>
        <v>0</v>
      </c>
      <c r="AD71" s="77">
        <f ca="1"/>
        <v>0</v>
      </c>
      <c r="AE71" s="77">
        <f ca="1"/>
        <v>0</v>
      </c>
      <c r="AF71" s="261" t="str">
        <f ca="1"/>
        <v>N</v>
      </c>
      <c r="AG71" s="261">
        <f ca="1"/>
        <v>1</v>
      </c>
      <c r="AH71" s="261">
        <f ca="1"/>
        <v>1</v>
      </c>
      <c r="AI71" s="262">
        <f ca="1"/>
        <v>0</v>
      </c>
    </row>
    <row r="72" spans="1:35" hidden="1" outlineLevel="1" x14ac:dyDescent="0.25">
      <c r="A72" s="120">
        <f t="shared" si="45"/>
        <v>0</v>
      </c>
      <c r="B72" s="231"/>
      <c r="C72" s="77"/>
      <c r="D72" s="238"/>
      <c r="E72" s="76">
        <f ca="1">SUMIF(payNonMonth,"="&amp;$W72,$E$371:OFFSET($E$371,ROWS(payNonMonth)-1,0))</f>
        <v>0</v>
      </c>
      <c r="F72" s="76"/>
      <c r="G72" s="77">
        <f t="shared" ca="1" si="61"/>
        <v>0</v>
      </c>
      <c r="H72" s="76">
        <f t="shared" ca="1" si="47"/>
        <v>0</v>
      </c>
      <c r="I72" s="76">
        <f t="shared" ca="1" si="48"/>
        <v>0</v>
      </c>
      <c r="J72" s="233">
        <f t="shared" ca="1" si="49"/>
        <v>0</v>
      </c>
      <c r="K72" s="76">
        <f t="shared" ca="1" si="58"/>
        <v>0</v>
      </c>
      <c r="L72" s="76">
        <f t="shared" ca="1" si="50"/>
        <v>0</v>
      </c>
      <c r="M72" s="76">
        <f t="shared" ca="1" si="24"/>
        <v>0</v>
      </c>
      <c r="N72" s="76">
        <f t="shared" ca="1" si="51"/>
        <v>0</v>
      </c>
      <c r="O72" s="76"/>
      <c r="P72" s="76">
        <f t="shared" ca="1" si="52"/>
        <v>0</v>
      </c>
      <c r="Q72" s="76">
        <f ca="1">GETTAX(SUM(P71:P72),Z72)</f>
        <v>0</v>
      </c>
      <c r="R72" s="76">
        <f t="shared" ref="R72:R79" ca="1" si="64">P72-Q72</f>
        <v>0</v>
      </c>
      <c r="S72" s="232">
        <f t="shared" ca="1" si="55"/>
        <v>0</v>
      </c>
      <c r="U72" s="120" t="str">
        <f t="shared" si="56"/>
        <v>:0</v>
      </c>
      <c r="V72" s="120" t="str">
        <f t="shared" si="62"/>
        <v>:</v>
      </c>
      <c r="W72" s="120" t="str">
        <f t="shared" si="60"/>
        <v>:</v>
      </c>
      <c r="X72" s="250">
        <f t="array" aca="1" ref="X72:AI72" ca="1">VLOOKUP($D72&amp;":"&amp;$C72,tblPayRates,{3,4,5,6,7,8,9,10,11,12,13,14},0)</f>
        <v>0</v>
      </c>
      <c r="Y72" s="16" t="str">
        <f ca="1"/>
        <v>Nobody</v>
      </c>
      <c r="Z72" s="261" t="str">
        <f ca="1"/>
        <v>M</v>
      </c>
      <c r="AA72" s="77" t="str">
        <f ca="1"/>
        <v>Daily</v>
      </c>
      <c r="AB72" s="77">
        <f ca="1"/>
        <v>0</v>
      </c>
      <c r="AC72" s="77">
        <f ca="1"/>
        <v>0</v>
      </c>
      <c r="AD72" s="77">
        <f ca="1"/>
        <v>0</v>
      </c>
      <c r="AE72" s="77">
        <f ca="1"/>
        <v>0</v>
      </c>
      <c r="AF72" s="261" t="str">
        <f ca="1"/>
        <v>N</v>
      </c>
      <c r="AG72" s="261">
        <f ca="1"/>
        <v>1</v>
      </c>
      <c r="AH72" s="261">
        <f ca="1"/>
        <v>1</v>
      </c>
      <c r="AI72" s="262">
        <f ca="1"/>
        <v>0</v>
      </c>
    </row>
    <row r="73" spans="1:35" hidden="1" outlineLevel="1" x14ac:dyDescent="0.25">
      <c r="A73" s="120">
        <f t="shared" si="45"/>
        <v>0</v>
      </c>
      <c r="B73" s="231"/>
      <c r="C73" s="77"/>
      <c r="D73" s="238"/>
      <c r="E73" s="76">
        <f ca="1">SUMIF(payNonMonth,"="&amp;$W73,$E$371:OFFSET($E$371,ROWS(payNonMonth)-1,0))</f>
        <v>0</v>
      </c>
      <c r="F73" s="76"/>
      <c r="G73" s="77">
        <f t="shared" ca="1" si="61"/>
        <v>0</v>
      </c>
      <c r="H73" s="76">
        <f t="shared" ca="1" si="47"/>
        <v>0</v>
      </c>
      <c r="I73" s="76">
        <f t="shared" ca="1" si="48"/>
        <v>0</v>
      </c>
      <c r="J73" s="233">
        <f t="shared" ca="1" si="49"/>
        <v>0</v>
      </c>
      <c r="K73" s="76">
        <f t="shared" ca="1" si="58"/>
        <v>0</v>
      </c>
      <c r="L73" s="76">
        <f t="shared" ca="1" si="50"/>
        <v>0</v>
      </c>
      <c r="M73" s="76">
        <f t="shared" ca="1" si="24"/>
        <v>0</v>
      </c>
      <c r="N73" s="76">
        <f t="shared" ca="1" si="51"/>
        <v>0</v>
      </c>
      <c r="O73" s="76"/>
      <c r="P73" s="76">
        <f t="shared" ca="1" si="52"/>
        <v>0</v>
      </c>
      <c r="Q73" s="76">
        <f t="shared" ref="Q73:Q79" ca="1" si="65">GETTAX(P73,Z73)</f>
        <v>0</v>
      </c>
      <c r="R73" s="76">
        <f t="shared" ca="1" si="64"/>
        <v>0</v>
      </c>
      <c r="S73" s="232">
        <f t="shared" ca="1" si="55"/>
        <v>0</v>
      </c>
      <c r="U73" s="120" t="str">
        <f t="shared" si="56"/>
        <v>:0</v>
      </c>
      <c r="V73" s="120" t="str">
        <f t="shared" si="62"/>
        <v>:</v>
      </c>
      <c r="W73" s="120" t="str">
        <f t="shared" ref="W73:W78" si="66">C73 &amp;":"&amp; A73</f>
        <v>:0</v>
      </c>
      <c r="X73" s="250">
        <f t="array" aca="1" ref="X73:AI73" ca="1">VLOOKUP($D73&amp;":"&amp;$C73,tblPayRates,{3,4,5,6,7,8,9,10,11,12,13,14},0)</f>
        <v>0</v>
      </c>
      <c r="Y73" s="16" t="str">
        <f ca="1"/>
        <v>Nobody</v>
      </c>
      <c r="Z73" s="261" t="str">
        <f ca="1"/>
        <v>M</v>
      </c>
      <c r="AA73" s="77" t="str">
        <f ca="1"/>
        <v>Daily</v>
      </c>
      <c r="AB73" s="77">
        <f ca="1"/>
        <v>0</v>
      </c>
      <c r="AC73" s="77">
        <f ca="1"/>
        <v>0</v>
      </c>
      <c r="AD73" s="77">
        <f ca="1"/>
        <v>0</v>
      </c>
      <c r="AE73" s="77">
        <f ca="1"/>
        <v>0</v>
      </c>
      <c r="AF73" s="261" t="str">
        <f ca="1"/>
        <v>N</v>
      </c>
      <c r="AG73" s="261">
        <f ca="1"/>
        <v>1</v>
      </c>
      <c r="AH73" s="261">
        <f ca="1"/>
        <v>1</v>
      </c>
      <c r="AI73" s="262">
        <f ca="1"/>
        <v>0</v>
      </c>
    </row>
    <row r="74" spans="1:35" hidden="1" outlineLevel="1" x14ac:dyDescent="0.25">
      <c r="A74" s="120">
        <f t="shared" si="45"/>
        <v>0</v>
      </c>
      <c r="B74" s="231"/>
      <c r="C74" s="77"/>
      <c r="D74" s="238"/>
      <c r="E74" s="76">
        <f ca="1">SUMIF(payNonMonth,"="&amp;$W74,$E$371:OFFSET($E$371,ROWS(payNonMonth)-1,0))</f>
        <v>0</v>
      </c>
      <c r="F74" s="76"/>
      <c r="G74" s="77">
        <f t="shared" ca="1" si="61"/>
        <v>0</v>
      </c>
      <c r="H74" s="76">
        <f t="shared" ca="1" si="47"/>
        <v>0</v>
      </c>
      <c r="I74" s="76">
        <f t="shared" ca="1" si="48"/>
        <v>0</v>
      </c>
      <c r="J74" s="233">
        <f t="shared" ca="1" si="49"/>
        <v>0</v>
      </c>
      <c r="K74" s="76">
        <f t="shared" ca="1" si="58"/>
        <v>0</v>
      </c>
      <c r="L74" s="76">
        <f t="shared" ca="1" si="50"/>
        <v>0</v>
      </c>
      <c r="M74" s="76">
        <f t="shared" ca="1" si="24"/>
        <v>0</v>
      </c>
      <c r="N74" s="76">
        <f t="shared" ca="1" si="51"/>
        <v>0</v>
      </c>
      <c r="O74" s="76"/>
      <c r="P74" s="76">
        <f t="shared" ca="1" si="52"/>
        <v>0</v>
      </c>
      <c r="Q74" s="76">
        <f t="shared" ca="1" si="65"/>
        <v>0</v>
      </c>
      <c r="R74" s="76">
        <f t="shared" ca="1" si="64"/>
        <v>0</v>
      </c>
      <c r="S74" s="232">
        <f t="shared" ca="1" si="55"/>
        <v>0</v>
      </c>
      <c r="U74" s="120" t="str">
        <f t="shared" si="56"/>
        <v>:0</v>
      </c>
      <c r="V74" s="120" t="str">
        <f t="shared" si="62"/>
        <v>:</v>
      </c>
      <c r="W74" s="120" t="str">
        <f t="shared" si="66"/>
        <v>:0</v>
      </c>
      <c r="X74" s="250">
        <f t="array" aca="1" ref="X74:AI74" ca="1">VLOOKUP($D74&amp;":"&amp;$C74,tblPayRates,{3,4,5,6,7,8,9,10,11,12,13,14},0)</f>
        <v>0</v>
      </c>
      <c r="Y74" s="16" t="str">
        <f ca="1"/>
        <v>Nobody</v>
      </c>
      <c r="Z74" s="261" t="str">
        <f ca="1"/>
        <v>M</v>
      </c>
      <c r="AA74" s="77" t="str">
        <f ca="1"/>
        <v>Daily</v>
      </c>
      <c r="AB74" s="77">
        <f ca="1"/>
        <v>0</v>
      </c>
      <c r="AC74" s="77">
        <f ca="1"/>
        <v>0</v>
      </c>
      <c r="AD74" s="77">
        <f ca="1"/>
        <v>0</v>
      </c>
      <c r="AE74" s="77">
        <f ca="1"/>
        <v>0</v>
      </c>
      <c r="AF74" s="261" t="str">
        <f ca="1"/>
        <v>N</v>
      </c>
      <c r="AG74" s="261">
        <f ca="1"/>
        <v>1</v>
      </c>
      <c r="AH74" s="261">
        <f ca="1"/>
        <v>1</v>
      </c>
      <c r="AI74" s="262">
        <f ca="1"/>
        <v>0</v>
      </c>
    </row>
    <row r="75" spans="1:35" hidden="1" outlineLevel="1" x14ac:dyDescent="0.25">
      <c r="A75" s="120">
        <f t="shared" si="45"/>
        <v>0</v>
      </c>
      <c r="B75" s="231"/>
      <c r="C75" s="77"/>
      <c r="D75" s="238"/>
      <c r="E75" s="76">
        <f ca="1">SUMIF(payNonMonth,"="&amp;$W75,$E$371:OFFSET($E$371,ROWS(payNonMonth)-1,0))</f>
        <v>0</v>
      </c>
      <c r="F75" s="76"/>
      <c r="G75" s="77">
        <f t="shared" ca="1" si="61"/>
        <v>0</v>
      </c>
      <c r="H75" s="76">
        <f t="shared" ca="1" si="47"/>
        <v>0</v>
      </c>
      <c r="I75" s="76">
        <f t="shared" ca="1" si="48"/>
        <v>0</v>
      </c>
      <c r="J75" s="233">
        <f t="shared" ca="1" si="49"/>
        <v>0</v>
      </c>
      <c r="K75" s="76">
        <f t="shared" ca="1" si="58"/>
        <v>0</v>
      </c>
      <c r="L75" s="76">
        <f t="shared" ca="1" si="50"/>
        <v>0</v>
      </c>
      <c r="M75" s="76">
        <f t="shared" ca="1" si="24"/>
        <v>0</v>
      </c>
      <c r="N75" s="76">
        <f t="shared" ca="1" si="51"/>
        <v>0</v>
      </c>
      <c r="O75" s="76"/>
      <c r="P75" s="76">
        <f t="shared" ca="1" si="52"/>
        <v>0</v>
      </c>
      <c r="Q75" s="76">
        <f t="shared" ca="1" si="65"/>
        <v>0</v>
      </c>
      <c r="R75" s="76">
        <f t="shared" ca="1" si="64"/>
        <v>0</v>
      </c>
      <c r="S75" s="232">
        <f t="shared" ca="1" si="55"/>
        <v>0</v>
      </c>
      <c r="U75" s="120" t="str">
        <f t="shared" si="56"/>
        <v>:0</v>
      </c>
      <c r="V75" s="120" t="str">
        <f t="shared" si="62"/>
        <v>:</v>
      </c>
      <c r="W75" s="120" t="str">
        <f t="shared" si="66"/>
        <v>:0</v>
      </c>
      <c r="X75" s="250">
        <f t="array" aca="1" ref="X75:AI75" ca="1">VLOOKUP($D75&amp;":"&amp;$C75,tblPayRates,{3,4,5,6,7,8,9,10,11,12,13,14},0)</f>
        <v>0</v>
      </c>
      <c r="Y75" s="16" t="str">
        <f ca="1"/>
        <v>Nobody</v>
      </c>
      <c r="Z75" s="261" t="str">
        <f ca="1"/>
        <v>M</v>
      </c>
      <c r="AA75" s="77" t="str">
        <f ca="1"/>
        <v>Daily</v>
      </c>
      <c r="AB75" s="77">
        <f ca="1"/>
        <v>0</v>
      </c>
      <c r="AC75" s="77">
        <f ca="1"/>
        <v>0</v>
      </c>
      <c r="AD75" s="77">
        <f ca="1"/>
        <v>0</v>
      </c>
      <c r="AE75" s="77">
        <f ca="1"/>
        <v>0</v>
      </c>
      <c r="AF75" s="261" t="str">
        <f ca="1"/>
        <v>N</v>
      </c>
      <c r="AG75" s="261">
        <f ca="1"/>
        <v>1</v>
      </c>
      <c r="AH75" s="261">
        <f ca="1"/>
        <v>1</v>
      </c>
      <c r="AI75" s="262">
        <f ca="1"/>
        <v>0</v>
      </c>
    </row>
    <row r="76" spans="1:35" hidden="1" outlineLevel="1" x14ac:dyDescent="0.25">
      <c r="A76" s="120">
        <f t="shared" si="45"/>
        <v>0</v>
      </c>
      <c r="B76" s="231"/>
      <c r="C76" s="77"/>
      <c r="D76" s="238"/>
      <c r="E76" s="76">
        <f ca="1">SUMIF(payNonMonth,"="&amp;$W76,$E$371:OFFSET($E$371,ROWS(payNonMonth)-1,0))</f>
        <v>0</v>
      </c>
      <c r="F76" s="76"/>
      <c r="G76" s="77">
        <f t="shared" ca="1" si="61"/>
        <v>0</v>
      </c>
      <c r="H76" s="76">
        <f t="shared" ca="1" si="47"/>
        <v>0</v>
      </c>
      <c r="I76" s="76">
        <f t="shared" ca="1" si="48"/>
        <v>0</v>
      </c>
      <c r="J76" s="233">
        <f t="shared" ca="1" si="49"/>
        <v>0</v>
      </c>
      <c r="K76" s="76">
        <f t="shared" ca="1" si="58"/>
        <v>0</v>
      </c>
      <c r="L76" s="76">
        <f t="shared" ca="1" si="50"/>
        <v>0</v>
      </c>
      <c r="M76" s="76">
        <f t="shared" ca="1" si="24"/>
        <v>0</v>
      </c>
      <c r="N76" s="76">
        <f t="shared" ca="1" si="51"/>
        <v>0</v>
      </c>
      <c r="O76" s="76"/>
      <c r="P76" s="76">
        <f t="shared" ca="1" si="52"/>
        <v>0</v>
      </c>
      <c r="Q76" s="76">
        <f t="shared" ca="1" si="65"/>
        <v>0</v>
      </c>
      <c r="R76" s="76">
        <f t="shared" ca="1" si="64"/>
        <v>0</v>
      </c>
      <c r="S76" s="232">
        <f t="shared" ca="1" si="55"/>
        <v>0</v>
      </c>
      <c r="U76" s="120" t="str">
        <f t="shared" si="56"/>
        <v>:0</v>
      </c>
      <c r="V76" s="120" t="str">
        <f t="shared" si="62"/>
        <v>:</v>
      </c>
      <c r="W76" s="120" t="str">
        <f t="shared" si="66"/>
        <v>:0</v>
      </c>
      <c r="X76" s="250">
        <f t="array" aca="1" ref="X76:AI76" ca="1">VLOOKUP($D76&amp;":"&amp;$C76,tblPayRates,{3,4,5,6,7,8,9,10,11,12,13,14},0)</f>
        <v>0</v>
      </c>
      <c r="Y76" s="16" t="str">
        <f ca="1"/>
        <v>Nobody</v>
      </c>
      <c r="Z76" s="261" t="str">
        <f ca="1"/>
        <v>M</v>
      </c>
      <c r="AA76" s="77" t="str">
        <f ca="1"/>
        <v>Daily</v>
      </c>
      <c r="AB76" s="77">
        <f ca="1"/>
        <v>0</v>
      </c>
      <c r="AC76" s="77">
        <f ca="1"/>
        <v>0</v>
      </c>
      <c r="AD76" s="77">
        <f ca="1"/>
        <v>0</v>
      </c>
      <c r="AE76" s="77">
        <f ca="1"/>
        <v>0</v>
      </c>
      <c r="AF76" s="261" t="str">
        <f ca="1"/>
        <v>N</v>
      </c>
      <c r="AG76" s="261">
        <f ca="1"/>
        <v>1</v>
      </c>
      <c r="AH76" s="261">
        <f ca="1"/>
        <v>1</v>
      </c>
      <c r="AI76" s="262">
        <f ca="1"/>
        <v>0</v>
      </c>
    </row>
    <row r="77" spans="1:35" hidden="1" outlineLevel="1" x14ac:dyDescent="0.25">
      <c r="A77" s="120">
        <f t="shared" si="45"/>
        <v>0</v>
      </c>
      <c r="B77" s="231"/>
      <c r="C77" s="77"/>
      <c r="D77" s="238"/>
      <c r="E77" s="76">
        <f ca="1">SUMIF(payNonMonth,"="&amp;$W77,$E$371:OFFSET($E$371,ROWS(payNonMonth)-1,0))</f>
        <v>0</v>
      </c>
      <c r="F77" s="76"/>
      <c r="G77" s="77">
        <f t="shared" ca="1" si="61"/>
        <v>0</v>
      </c>
      <c r="H77" s="76">
        <f t="shared" ca="1" si="47"/>
        <v>0</v>
      </c>
      <c r="I77" s="76">
        <f t="shared" ca="1" si="48"/>
        <v>0</v>
      </c>
      <c r="J77" s="233">
        <f t="shared" ca="1" si="49"/>
        <v>0</v>
      </c>
      <c r="K77" s="76">
        <f t="shared" ca="1" si="58"/>
        <v>0</v>
      </c>
      <c r="L77" s="76">
        <f t="shared" ca="1" si="50"/>
        <v>0</v>
      </c>
      <c r="M77" s="76">
        <f t="shared" ca="1" si="24"/>
        <v>0</v>
      </c>
      <c r="N77" s="76">
        <f t="shared" ca="1" si="51"/>
        <v>0</v>
      </c>
      <c r="O77" s="76"/>
      <c r="P77" s="76">
        <f t="shared" ca="1" si="52"/>
        <v>0</v>
      </c>
      <c r="Q77" s="76">
        <f t="shared" ca="1" si="65"/>
        <v>0</v>
      </c>
      <c r="R77" s="76">
        <f t="shared" ca="1" si="64"/>
        <v>0</v>
      </c>
      <c r="S77" s="232">
        <f t="shared" ca="1" si="55"/>
        <v>0</v>
      </c>
      <c r="U77" s="120" t="str">
        <f t="shared" si="56"/>
        <v>:0</v>
      </c>
      <c r="V77" s="120" t="str">
        <f t="shared" si="62"/>
        <v>:</v>
      </c>
      <c r="W77" s="120" t="str">
        <f t="shared" si="66"/>
        <v>:0</v>
      </c>
      <c r="X77" s="250">
        <f t="array" aca="1" ref="X77:AI77" ca="1">VLOOKUP($D77&amp;":"&amp;$C77,tblPayRates,{3,4,5,6,7,8,9,10,11,12,13,14},0)</f>
        <v>0</v>
      </c>
      <c r="Y77" s="16" t="str">
        <f ca="1"/>
        <v>Nobody</v>
      </c>
      <c r="Z77" s="261" t="str">
        <f ca="1"/>
        <v>M</v>
      </c>
      <c r="AA77" s="77" t="str">
        <f ca="1"/>
        <v>Daily</v>
      </c>
      <c r="AB77" s="77">
        <f ca="1"/>
        <v>0</v>
      </c>
      <c r="AC77" s="77">
        <f ca="1"/>
        <v>0</v>
      </c>
      <c r="AD77" s="77">
        <f ca="1"/>
        <v>0</v>
      </c>
      <c r="AE77" s="77">
        <f ca="1"/>
        <v>0</v>
      </c>
      <c r="AF77" s="261" t="str">
        <f ca="1"/>
        <v>N</v>
      </c>
      <c r="AG77" s="261">
        <f ca="1"/>
        <v>1</v>
      </c>
      <c r="AH77" s="261">
        <f ca="1"/>
        <v>1</v>
      </c>
      <c r="AI77" s="262">
        <f ca="1"/>
        <v>0</v>
      </c>
    </row>
    <row r="78" spans="1:35" hidden="1" outlineLevel="1" x14ac:dyDescent="0.25">
      <c r="A78" s="120">
        <f t="shared" si="45"/>
        <v>0</v>
      </c>
      <c r="B78" s="231"/>
      <c r="C78" s="77"/>
      <c r="D78" s="238"/>
      <c r="E78" s="76">
        <f ca="1">SUMIF(payNonMonth,"="&amp;$W78,$E$371:OFFSET($E$371,ROWS(payNonMonth)-1,0))</f>
        <v>0</v>
      </c>
      <c r="F78" s="76"/>
      <c r="G78" s="77">
        <f t="shared" ca="1" si="61"/>
        <v>0</v>
      </c>
      <c r="H78" s="76">
        <f t="shared" ca="1" si="47"/>
        <v>0</v>
      </c>
      <c r="I78" s="76">
        <f t="shared" ca="1" si="48"/>
        <v>0</v>
      </c>
      <c r="J78" s="233">
        <f t="shared" ca="1" si="49"/>
        <v>0</v>
      </c>
      <c r="K78" s="76">
        <f t="shared" ca="1" si="58"/>
        <v>0</v>
      </c>
      <c r="L78" s="76">
        <f t="shared" ca="1" si="50"/>
        <v>0</v>
      </c>
      <c r="M78" s="76">
        <f t="shared" ca="1" si="24"/>
        <v>0</v>
      </c>
      <c r="N78" s="76">
        <f t="shared" ca="1" si="51"/>
        <v>0</v>
      </c>
      <c r="O78" s="76"/>
      <c r="P78" s="76">
        <f t="shared" ca="1" si="52"/>
        <v>0</v>
      </c>
      <c r="Q78" s="76">
        <f t="shared" ca="1" si="65"/>
        <v>0</v>
      </c>
      <c r="R78" s="76">
        <f t="shared" ca="1" si="64"/>
        <v>0</v>
      </c>
      <c r="S78" s="232">
        <f t="shared" ca="1" si="55"/>
        <v>0</v>
      </c>
      <c r="U78" s="120" t="str">
        <f t="shared" si="56"/>
        <v>:0</v>
      </c>
      <c r="V78" s="120" t="str">
        <f t="shared" si="62"/>
        <v>:</v>
      </c>
      <c r="W78" s="120" t="str">
        <f t="shared" si="66"/>
        <v>:0</v>
      </c>
      <c r="X78" s="250">
        <f t="array" aca="1" ref="X78:AI78" ca="1">VLOOKUP($D78&amp;":"&amp;$C78,tblPayRates,{3,4,5,6,7,8,9,10,11,12,13,14},0)</f>
        <v>0</v>
      </c>
      <c r="Y78" s="16" t="str">
        <f ca="1"/>
        <v>Nobody</v>
      </c>
      <c r="Z78" s="261" t="str">
        <f ca="1"/>
        <v>M</v>
      </c>
      <c r="AA78" s="77" t="str">
        <f ca="1"/>
        <v>Daily</v>
      </c>
      <c r="AB78" s="77">
        <f ca="1"/>
        <v>0</v>
      </c>
      <c r="AC78" s="77">
        <f ca="1"/>
        <v>0</v>
      </c>
      <c r="AD78" s="77">
        <f ca="1"/>
        <v>0</v>
      </c>
      <c r="AE78" s="77">
        <f ca="1"/>
        <v>0</v>
      </c>
      <c r="AF78" s="261" t="str">
        <f ca="1"/>
        <v>N</v>
      </c>
      <c r="AG78" s="261">
        <f ca="1"/>
        <v>1</v>
      </c>
      <c r="AH78" s="261">
        <f ca="1"/>
        <v>1</v>
      </c>
      <c r="AI78" s="262">
        <f ca="1"/>
        <v>0</v>
      </c>
    </row>
    <row r="79" spans="1:35" hidden="1" outlineLevel="1" x14ac:dyDescent="0.25">
      <c r="A79" s="120">
        <f t="shared" si="45"/>
        <v>0</v>
      </c>
      <c r="B79" s="231"/>
      <c r="C79" s="77"/>
      <c r="D79" s="238"/>
      <c r="E79" s="76">
        <f ca="1">SUMIF(payNonMonth,"="&amp;$W79,$E$371:OFFSET($E$371,ROWS(payNonMonth)-1,0))</f>
        <v>0</v>
      </c>
      <c r="F79" s="76"/>
      <c r="G79" s="77">
        <f t="shared" ca="1" si="61"/>
        <v>0</v>
      </c>
      <c r="H79" s="76">
        <f t="shared" ca="1" si="47"/>
        <v>0</v>
      </c>
      <c r="I79" s="76">
        <f t="shared" ca="1" si="48"/>
        <v>0</v>
      </c>
      <c r="J79" s="233">
        <f t="shared" ca="1" si="49"/>
        <v>0</v>
      </c>
      <c r="K79" s="76">
        <f t="shared" ca="1" si="58"/>
        <v>0</v>
      </c>
      <c r="L79" s="76">
        <f t="shared" ca="1" si="50"/>
        <v>0</v>
      </c>
      <c r="M79" s="76">
        <f t="shared" ca="1" si="24"/>
        <v>0</v>
      </c>
      <c r="N79" s="76">
        <f t="shared" ca="1" si="51"/>
        <v>0</v>
      </c>
      <c r="O79" s="76"/>
      <c r="P79" s="76">
        <f t="shared" ca="1" si="52"/>
        <v>0</v>
      </c>
      <c r="Q79" s="76">
        <f t="shared" ca="1" si="65"/>
        <v>0</v>
      </c>
      <c r="R79" s="76">
        <f t="shared" ca="1" si="64"/>
        <v>0</v>
      </c>
      <c r="S79" s="232">
        <f t="shared" ca="1" si="55"/>
        <v>0</v>
      </c>
      <c r="U79" s="120" t="str">
        <f t="shared" si="56"/>
        <v>:0</v>
      </c>
      <c r="V79" s="120" t="str">
        <f t="shared" si="62"/>
        <v>:</v>
      </c>
      <c r="W79" s="120" t="str">
        <f>C79 &amp;":"&amp; B79</f>
        <v>:</v>
      </c>
      <c r="X79" s="250">
        <f t="array" aca="1" ref="X79:AI79" ca="1">VLOOKUP($D79&amp;":"&amp;$C79,tblPayRates,{3,4,5,6,7,8,9,10,11,12,13,14},0)</f>
        <v>0</v>
      </c>
      <c r="Y79" s="16" t="str">
        <f ca="1"/>
        <v>Nobody</v>
      </c>
      <c r="Z79" s="261" t="str">
        <f ca="1"/>
        <v>M</v>
      </c>
      <c r="AA79" s="77" t="str">
        <f ca="1"/>
        <v>Daily</v>
      </c>
      <c r="AB79" s="77">
        <f ca="1"/>
        <v>0</v>
      </c>
      <c r="AC79" s="77">
        <f ca="1"/>
        <v>0</v>
      </c>
      <c r="AD79" s="77">
        <f ca="1"/>
        <v>0</v>
      </c>
      <c r="AE79" s="77">
        <f ca="1"/>
        <v>0</v>
      </c>
      <c r="AF79" s="261" t="str">
        <f ca="1"/>
        <v>N</v>
      </c>
      <c r="AG79" s="261">
        <f ca="1"/>
        <v>1</v>
      </c>
      <c r="AH79" s="261">
        <f ca="1"/>
        <v>1</v>
      </c>
      <c r="AI79" s="262">
        <f ca="1"/>
        <v>0</v>
      </c>
    </row>
    <row r="80" spans="1:35" hidden="1" outlineLevel="1" x14ac:dyDescent="0.25">
      <c r="A80" s="120">
        <f>GETPAYMONTH(B80)</f>
        <v>0</v>
      </c>
      <c r="B80" s="231"/>
      <c r="C80" s="77"/>
      <c r="D80" s="238"/>
      <c r="E80" s="76">
        <f ca="1">SUMIF(payNonMonth,"="&amp;$W80,$E$371:OFFSET($E$371,ROWS(payNonMonth)-1,0))</f>
        <v>0</v>
      </c>
      <c r="F80" s="76"/>
      <c r="G80" s="77">
        <f ca="1">IF(AND($E80=0,$F80=0),0,1)</f>
        <v>0</v>
      </c>
      <c r="H80" s="76">
        <f t="shared" ca="1" si="47"/>
        <v>0</v>
      </c>
      <c r="I80" s="76">
        <f t="shared" ca="1" si="48"/>
        <v>0</v>
      </c>
      <c r="J80" s="233">
        <f t="shared" ca="1" si="49"/>
        <v>0</v>
      </c>
      <c r="K80" s="76">
        <f t="shared" ca="1" si="58"/>
        <v>0</v>
      </c>
      <c r="L80" s="76">
        <f t="shared" ca="1" si="50"/>
        <v>0</v>
      </c>
      <c r="M80" s="76">
        <f t="shared" ca="1" si="24"/>
        <v>0</v>
      </c>
      <c r="N80" s="76">
        <f t="shared" ca="1" si="51"/>
        <v>0</v>
      </c>
      <c r="O80" s="76"/>
      <c r="P80" s="76">
        <f t="shared" ca="1" si="52"/>
        <v>0</v>
      </c>
      <c r="Q80" s="76">
        <f ca="1">GETTAX(P80,Z80)</f>
        <v>0</v>
      </c>
      <c r="R80" s="76">
        <f ca="1">P80-Q80</f>
        <v>0</v>
      </c>
      <c r="S80" s="232">
        <f t="shared" ca="1" si="55"/>
        <v>0</v>
      </c>
      <c r="U80" s="120" t="str">
        <f t="shared" si="56"/>
        <v>:0</v>
      </c>
      <c r="V80" s="120" t="str">
        <f>$C80 &amp;":"&amp; $B80</f>
        <v>:</v>
      </c>
      <c r="W80" s="120" t="str">
        <f>C80 &amp;":"&amp; B80</f>
        <v>:</v>
      </c>
      <c r="X80" s="250">
        <f t="array" aca="1" ref="X80:AI80" ca="1">VLOOKUP($D80&amp;":"&amp;$C80,tblPayRates,{3,4,5,6,7,8,9,10,11,12,13,14},0)</f>
        <v>0</v>
      </c>
      <c r="Y80" s="16" t="str">
        <f ca="1"/>
        <v>Nobody</v>
      </c>
      <c r="Z80" s="261" t="str">
        <f ca="1"/>
        <v>M</v>
      </c>
      <c r="AA80" s="77" t="str">
        <f ca="1"/>
        <v>Daily</v>
      </c>
      <c r="AB80" s="77">
        <f ca="1"/>
        <v>0</v>
      </c>
      <c r="AC80" s="77">
        <f ca="1"/>
        <v>0</v>
      </c>
      <c r="AD80" s="77">
        <f ca="1"/>
        <v>0</v>
      </c>
      <c r="AE80" s="77">
        <f ca="1"/>
        <v>0</v>
      </c>
      <c r="AF80" s="261" t="str">
        <f ca="1"/>
        <v>N</v>
      </c>
      <c r="AG80" s="261">
        <f ca="1"/>
        <v>1</v>
      </c>
      <c r="AH80" s="261">
        <f ca="1"/>
        <v>1</v>
      </c>
      <c r="AI80" s="262">
        <f ca="1"/>
        <v>0</v>
      </c>
    </row>
    <row r="81" spans="1:35" hidden="1" outlineLevel="1" x14ac:dyDescent="0.25">
      <c r="A81" s="120">
        <f t="shared" ref="A81:A87" si="67">GETPAYMONTH(B81)</f>
        <v>0</v>
      </c>
      <c r="B81" s="231"/>
      <c r="C81" s="77"/>
      <c r="D81" s="238"/>
      <c r="E81" s="76">
        <f ca="1">SUMIF(payNonMonth,"="&amp;$W81,$E$371:OFFSET($E$371,ROWS(payNonMonth)-1,0))</f>
        <v>0</v>
      </c>
      <c r="F81" s="76"/>
      <c r="G81" s="77">
        <f t="shared" ref="G81:G87" ca="1" si="68">IF(AND($E81=0,$F81=0),0,1)</f>
        <v>0</v>
      </c>
      <c r="H81" s="76">
        <f t="shared" ca="1" si="47"/>
        <v>0</v>
      </c>
      <c r="I81" s="76">
        <f t="shared" ca="1" si="48"/>
        <v>0</v>
      </c>
      <c r="J81" s="233">
        <f t="shared" ca="1" si="49"/>
        <v>0</v>
      </c>
      <c r="K81" s="76">
        <f t="shared" ca="1" si="58"/>
        <v>0</v>
      </c>
      <c r="L81" s="76">
        <f t="shared" ca="1" si="50"/>
        <v>0</v>
      </c>
      <c r="M81" s="76">
        <f t="shared" ca="1" si="24"/>
        <v>0</v>
      </c>
      <c r="N81" s="76">
        <f t="shared" ca="1" si="51"/>
        <v>0</v>
      </c>
      <c r="O81" s="76"/>
      <c r="P81" s="76">
        <f t="shared" ca="1" si="52"/>
        <v>0</v>
      </c>
      <c r="Q81" s="76">
        <f t="shared" ref="Q81:Q87" ca="1" si="69">GETTAX(P81,Z81)</f>
        <v>0</v>
      </c>
      <c r="R81" s="76">
        <f t="shared" ref="R81:R87" ca="1" si="70">P81-Q81</f>
        <v>0</v>
      </c>
      <c r="S81" s="232">
        <f t="shared" ca="1" si="55"/>
        <v>0</v>
      </c>
      <c r="U81" s="120" t="str">
        <f t="shared" si="56"/>
        <v>:0</v>
      </c>
      <c r="V81" s="120" t="str">
        <f t="shared" ref="V81:V87" si="71">$C81 &amp;":"&amp; $B81</f>
        <v>:</v>
      </c>
      <c r="W81" s="120" t="str">
        <f>C81 &amp;":"&amp; B81</f>
        <v>:</v>
      </c>
      <c r="X81" s="250">
        <f t="array" aca="1" ref="X81:AI81" ca="1">VLOOKUP($D81&amp;":"&amp;$C81,tblPayRates,{3,4,5,6,7,8,9,10,11,12,13,14},0)</f>
        <v>0</v>
      </c>
      <c r="Y81" s="16" t="str">
        <f ca="1"/>
        <v>Nobody</v>
      </c>
      <c r="Z81" s="261" t="str">
        <f ca="1"/>
        <v>M</v>
      </c>
      <c r="AA81" s="77" t="str">
        <f ca="1"/>
        <v>Daily</v>
      </c>
      <c r="AB81" s="77">
        <f ca="1"/>
        <v>0</v>
      </c>
      <c r="AC81" s="77">
        <f ca="1"/>
        <v>0</v>
      </c>
      <c r="AD81" s="77">
        <f ca="1"/>
        <v>0</v>
      </c>
      <c r="AE81" s="77">
        <f ca="1"/>
        <v>0</v>
      </c>
      <c r="AF81" s="261" t="str">
        <f ca="1"/>
        <v>N</v>
      </c>
      <c r="AG81" s="261">
        <f ca="1"/>
        <v>1</v>
      </c>
      <c r="AH81" s="261">
        <f ca="1"/>
        <v>1</v>
      </c>
      <c r="AI81" s="262">
        <f ca="1"/>
        <v>0</v>
      </c>
    </row>
    <row r="82" spans="1:35" hidden="1" outlineLevel="1" x14ac:dyDescent="0.25">
      <c r="A82" s="120">
        <f t="shared" si="67"/>
        <v>0</v>
      </c>
      <c r="B82" s="231"/>
      <c r="C82" s="77"/>
      <c r="D82" s="238"/>
      <c r="E82" s="76">
        <f ca="1">SUMIF(payNonMonth,"="&amp;$W82,$E$371:OFFSET($E$371,ROWS(payNonMonth)-1,0))</f>
        <v>0</v>
      </c>
      <c r="F82" s="76"/>
      <c r="G82" s="77">
        <f t="shared" ca="1" si="68"/>
        <v>0</v>
      </c>
      <c r="H82" s="76">
        <f t="shared" ca="1" si="47"/>
        <v>0</v>
      </c>
      <c r="I82" s="76">
        <f t="shared" ca="1" si="48"/>
        <v>0</v>
      </c>
      <c r="J82" s="233">
        <f t="shared" ca="1" si="49"/>
        <v>0</v>
      </c>
      <c r="K82" s="76">
        <f t="shared" ca="1" si="58"/>
        <v>0</v>
      </c>
      <c r="L82" s="76">
        <f t="shared" ca="1" si="50"/>
        <v>0</v>
      </c>
      <c r="M82" s="76">
        <f t="shared" ca="1" si="24"/>
        <v>0</v>
      </c>
      <c r="N82" s="76">
        <f t="shared" ca="1" si="51"/>
        <v>0</v>
      </c>
      <c r="O82" s="76"/>
      <c r="P82" s="76">
        <f t="shared" ca="1" si="52"/>
        <v>0</v>
      </c>
      <c r="Q82" s="76">
        <f t="shared" ca="1" si="69"/>
        <v>0</v>
      </c>
      <c r="R82" s="76">
        <f t="shared" ca="1" si="70"/>
        <v>0</v>
      </c>
      <c r="S82" s="232">
        <f t="shared" ca="1" si="55"/>
        <v>0</v>
      </c>
      <c r="U82" s="120" t="str">
        <f t="shared" si="56"/>
        <v>:0</v>
      </c>
      <c r="V82" s="120" t="str">
        <f t="shared" si="71"/>
        <v>:</v>
      </c>
      <c r="W82" s="120" t="str">
        <f>C82 &amp;":"&amp; B82</f>
        <v>:</v>
      </c>
      <c r="X82" s="250">
        <f t="array" aca="1" ref="X82:AI82" ca="1">VLOOKUP($D82&amp;":"&amp;$C82,tblPayRates,{3,4,5,6,7,8,9,10,11,12,13,14},0)</f>
        <v>0</v>
      </c>
      <c r="Y82" s="16" t="str">
        <f ca="1"/>
        <v>Nobody</v>
      </c>
      <c r="Z82" s="261" t="str">
        <f ca="1"/>
        <v>M</v>
      </c>
      <c r="AA82" s="77" t="str">
        <f ca="1"/>
        <v>Daily</v>
      </c>
      <c r="AB82" s="77">
        <f ca="1"/>
        <v>0</v>
      </c>
      <c r="AC82" s="77">
        <f ca="1"/>
        <v>0</v>
      </c>
      <c r="AD82" s="77">
        <f ca="1"/>
        <v>0</v>
      </c>
      <c r="AE82" s="77">
        <f ca="1"/>
        <v>0</v>
      </c>
      <c r="AF82" s="261" t="str">
        <f ca="1"/>
        <v>N</v>
      </c>
      <c r="AG82" s="261">
        <f ca="1"/>
        <v>1</v>
      </c>
      <c r="AH82" s="261">
        <f ca="1"/>
        <v>1</v>
      </c>
      <c r="AI82" s="262">
        <f ca="1"/>
        <v>0</v>
      </c>
    </row>
    <row r="83" spans="1:35" hidden="1" outlineLevel="1" x14ac:dyDescent="0.25">
      <c r="A83" s="120">
        <f t="shared" si="67"/>
        <v>0</v>
      </c>
      <c r="B83" s="231"/>
      <c r="C83" s="77"/>
      <c r="D83" s="238"/>
      <c r="E83" s="76">
        <f ca="1">SUMIF(payNonMonth,"="&amp;$W83,$E$371:OFFSET($E$371,ROWS(payNonMonth)-1,0))</f>
        <v>0</v>
      </c>
      <c r="F83" s="76"/>
      <c r="G83" s="77">
        <f t="shared" ca="1" si="68"/>
        <v>0</v>
      </c>
      <c r="H83" s="76">
        <f t="shared" ca="1" si="47"/>
        <v>0</v>
      </c>
      <c r="I83" s="76">
        <f t="shared" ca="1" si="48"/>
        <v>0</v>
      </c>
      <c r="J83" s="233">
        <f t="shared" ca="1" si="49"/>
        <v>0</v>
      </c>
      <c r="K83" s="76">
        <f t="shared" ca="1" si="58"/>
        <v>0</v>
      </c>
      <c r="L83" s="76">
        <f t="shared" ca="1" si="50"/>
        <v>0</v>
      </c>
      <c r="M83" s="76">
        <f t="shared" ca="1" si="24"/>
        <v>0</v>
      </c>
      <c r="N83" s="76">
        <f t="shared" ca="1" si="51"/>
        <v>0</v>
      </c>
      <c r="O83" s="76"/>
      <c r="P83" s="76">
        <f t="shared" ca="1" si="52"/>
        <v>0</v>
      </c>
      <c r="Q83" s="76">
        <f t="shared" ca="1" si="69"/>
        <v>0</v>
      </c>
      <c r="R83" s="76">
        <f t="shared" ca="1" si="70"/>
        <v>0</v>
      </c>
      <c r="S83" s="232">
        <f t="shared" ca="1" si="55"/>
        <v>0</v>
      </c>
      <c r="U83" s="120" t="str">
        <f t="shared" si="56"/>
        <v>:0</v>
      </c>
      <c r="V83" s="120" t="str">
        <f t="shared" si="71"/>
        <v>:</v>
      </c>
      <c r="W83" s="120" t="str">
        <f t="shared" ref="W83:W88" si="72">C83 &amp;":"&amp; A83</f>
        <v>:0</v>
      </c>
      <c r="X83" s="250">
        <f t="array" aca="1" ref="X83:AI83" ca="1">VLOOKUP($D83&amp;":"&amp;$C83,tblPayRates,{3,4,5,6,7,8,9,10,11,12,13,14},0)</f>
        <v>0</v>
      </c>
      <c r="Y83" s="16" t="str">
        <f ca="1"/>
        <v>Nobody</v>
      </c>
      <c r="Z83" s="261" t="str">
        <f ca="1"/>
        <v>M</v>
      </c>
      <c r="AA83" s="77" t="str">
        <f ca="1"/>
        <v>Daily</v>
      </c>
      <c r="AB83" s="77">
        <f ca="1"/>
        <v>0</v>
      </c>
      <c r="AC83" s="77">
        <f ca="1"/>
        <v>0</v>
      </c>
      <c r="AD83" s="77">
        <f ca="1"/>
        <v>0</v>
      </c>
      <c r="AE83" s="77">
        <f ca="1"/>
        <v>0</v>
      </c>
      <c r="AF83" s="261" t="str">
        <f ca="1"/>
        <v>N</v>
      </c>
      <c r="AG83" s="261">
        <f ca="1"/>
        <v>1</v>
      </c>
      <c r="AH83" s="261">
        <f ca="1"/>
        <v>1</v>
      </c>
      <c r="AI83" s="262">
        <f ca="1"/>
        <v>0</v>
      </c>
    </row>
    <row r="84" spans="1:35" hidden="1" outlineLevel="1" x14ac:dyDescent="0.25">
      <c r="A84" s="120">
        <f t="shared" si="67"/>
        <v>0</v>
      </c>
      <c r="B84" s="231"/>
      <c r="C84" s="77"/>
      <c r="D84" s="238"/>
      <c r="E84" s="76">
        <f ca="1">SUMIF(payNonMonth,"="&amp;$W84,$E$371:OFFSET($E$371,ROWS(payNonMonth)-1,0))</f>
        <v>0</v>
      </c>
      <c r="F84" s="76"/>
      <c r="G84" s="77">
        <f t="shared" ca="1" si="68"/>
        <v>0</v>
      </c>
      <c r="H84" s="76">
        <f t="shared" ca="1" si="47"/>
        <v>0</v>
      </c>
      <c r="I84" s="76">
        <f t="shared" ca="1" si="48"/>
        <v>0</v>
      </c>
      <c r="J84" s="233">
        <f t="shared" ca="1" si="49"/>
        <v>0</v>
      </c>
      <c r="K84" s="76">
        <f t="shared" ca="1" si="58"/>
        <v>0</v>
      </c>
      <c r="L84" s="76">
        <f t="shared" ca="1" si="50"/>
        <v>0</v>
      </c>
      <c r="M84" s="76">
        <f t="shared" ca="1" si="24"/>
        <v>0</v>
      </c>
      <c r="N84" s="76">
        <f t="shared" ca="1" si="51"/>
        <v>0</v>
      </c>
      <c r="O84" s="76"/>
      <c r="P84" s="76">
        <f t="shared" ca="1" si="52"/>
        <v>0</v>
      </c>
      <c r="Q84" s="76">
        <f t="shared" ca="1" si="69"/>
        <v>0</v>
      </c>
      <c r="R84" s="76">
        <f t="shared" ca="1" si="70"/>
        <v>0</v>
      </c>
      <c r="S84" s="232">
        <f t="shared" ca="1" si="55"/>
        <v>0</v>
      </c>
      <c r="U84" s="120" t="str">
        <f t="shared" si="56"/>
        <v>:0</v>
      </c>
      <c r="V84" s="120" t="str">
        <f t="shared" si="71"/>
        <v>:</v>
      </c>
      <c r="W84" s="120" t="str">
        <f t="shared" si="72"/>
        <v>:0</v>
      </c>
      <c r="X84" s="250">
        <f t="array" aca="1" ref="X84:AI84" ca="1">VLOOKUP($D84&amp;":"&amp;$C84,tblPayRates,{3,4,5,6,7,8,9,10,11,12,13,14},0)</f>
        <v>0</v>
      </c>
      <c r="Y84" s="16" t="str">
        <f ca="1"/>
        <v>Nobody</v>
      </c>
      <c r="Z84" s="261" t="str">
        <f ca="1"/>
        <v>M</v>
      </c>
      <c r="AA84" s="77" t="str">
        <f ca="1"/>
        <v>Daily</v>
      </c>
      <c r="AB84" s="77">
        <f ca="1"/>
        <v>0</v>
      </c>
      <c r="AC84" s="77">
        <f ca="1"/>
        <v>0</v>
      </c>
      <c r="AD84" s="77">
        <f ca="1"/>
        <v>0</v>
      </c>
      <c r="AE84" s="77">
        <f ca="1"/>
        <v>0</v>
      </c>
      <c r="AF84" s="261" t="str">
        <f ca="1"/>
        <v>N</v>
      </c>
      <c r="AG84" s="261">
        <f ca="1"/>
        <v>1</v>
      </c>
      <c r="AH84" s="261">
        <f ca="1"/>
        <v>1</v>
      </c>
      <c r="AI84" s="262">
        <f ca="1"/>
        <v>0</v>
      </c>
    </row>
    <row r="85" spans="1:35" hidden="1" outlineLevel="1" x14ac:dyDescent="0.25">
      <c r="A85" s="120">
        <f t="shared" si="67"/>
        <v>0</v>
      </c>
      <c r="B85" s="231"/>
      <c r="C85" s="77"/>
      <c r="D85" s="238"/>
      <c r="E85" s="76">
        <f ca="1">SUMIF(payNonMonth,"="&amp;$W85,$E$371:OFFSET($E$371,ROWS(payNonMonth)-1,0))</f>
        <v>0</v>
      </c>
      <c r="F85" s="76"/>
      <c r="G85" s="77">
        <f t="shared" ca="1" si="68"/>
        <v>0</v>
      </c>
      <c r="H85" s="76">
        <f t="shared" ref="H85:H116" ca="1" si="73">ROUND(SUM(E85:F85)*AB85,2)</f>
        <v>0</v>
      </c>
      <c r="I85" s="76">
        <f t="shared" ref="I85:I116" ca="1" si="74">H85*OFFSET(payMgmtRate,0,$AG85)</f>
        <v>0</v>
      </c>
      <c r="J85" s="233">
        <f t="shared" ref="J85:J116" ca="1" si="75">ROUND(IF(AH85,$E85,1)*AD85+$F85*AE85+SUMIF(payAllow,$V85,$J$266:$J$368),2)</f>
        <v>0</v>
      </c>
      <c r="K85" s="76">
        <f t="shared" ca="1" si="58"/>
        <v>0</v>
      </c>
      <c r="L85" s="76">
        <f t="shared" ref="L85:L116" ca="1" si="76">SUMIF(payAllow,$V85,L$266:L$368)*$G85</f>
        <v>0</v>
      </c>
      <c r="M85" s="76">
        <f t="shared" ca="1" si="24"/>
        <v>0</v>
      </c>
      <c r="N85" s="76">
        <f t="shared" ref="N85:N116" ca="1" si="77">SUMIF(payAllow,$V85,N$266:N$368)*G85</f>
        <v>0</v>
      </c>
      <c r="O85" s="76"/>
      <c r="P85" s="76">
        <f t="shared" ref="P85:P116" ca="1" si="78">J85-SUM(K85:O85)</f>
        <v>0</v>
      </c>
      <c r="Q85" s="76">
        <f t="shared" ca="1" si="69"/>
        <v>0</v>
      </c>
      <c r="R85" s="76">
        <f t="shared" ca="1" si="70"/>
        <v>0</v>
      </c>
      <c r="S85" s="232">
        <f t="shared" ref="S85:S116" ca="1" si="79">SUMIF(payAllow,V85,S$266:S$368)*G85</f>
        <v>0</v>
      </c>
      <c r="U85" s="120" t="str">
        <f t="shared" ref="U85:U116" si="80">IF(EmpID="*","*",C85) &amp;":"&amp; $A85</f>
        <v>:0</v>
      </c>
      <c r="V85" s="120" t="str">
        <f t="shared" si="71"/>
        <v>:</v>
      </c>
      <c r="W85" s="120" t="str">
        <f t="shared" si="72"/>
        <v>:0</v>
      </c>
      <c r="X85" s="250">
        <f t="array" aca="1" ref="X85:AI85" ca="1">VLOOKUP($D85&amp;":"&amp;$C85,tblPayRates,{3,4,5,6,7,8,9,10,11,12,13,14},0)</f>
        <v>0</v>
      </c>
      <c r="Y85" s="16" t="str">
        <f ca="1"/>
        <v>Nobody</v>
      </c>
      <c r="Z85" s="261" t="str">
        <f ca="1"/>
        <v>M</v>
      </c>
      <c r="AA85" s="77" t="str">
        <f ca="1"/>
        <v>Daily</v>
      </c>
      <c r="AB85" s="77">
        <f ca="1"/>
        <v>0</v>
      </c>
      <c r="AC85" s="77">
        <f ca="1"/>
        <v>0</v>
      </c>
      <c r="AD85" s="77">
        <f ca="1"/>
        <v>0</v>
      </c>
      <c r="AE85" s="77">
        <f ca="1"/>
        <v>0</v>
      </c>
      <c r="AF85" s="261" t="str">
        <f ca="1"/>
        <v>N</v>
      </c>
      <c r="AG85" s="261">
        <f ca="1"/>
        <v>1</v>
      </c>
      <c r="AH85" s="261">
        <f ca="1"/>
        <v>1</v>
      </c>
      <c r="AI85" s="262">
        <f ca="1"/>
        <v>0</v>
      </c>
    </row>
    <row r="86" spans="1:35" hidden="1" outlineLevel="1" x14ac:dyDescent="0.25">
      <c r="A86" s="120">
        <f t="shared" si="67"/>
        <v>0</v>
      </c>
      <c r="B86" s="231"/>
      <c r="C86" s="77"/>
      <c r="D86" s="238"/>
      <c r="E86" s="76">
        <f ca="1">SUMIF(payNonMonth,"="&amp;$W86,$E$371:OFFSET($E$371,ROWS(payNonMonth)-1,0))</f>
        <v>0</v>
      </c>
      <c r="F86" s="76"/>
      <c r="G86" s="77">
        <f t="shared" ca="1" si="68"/>
        <v>0</v>
      </c>
      <c r="H86" s="76">
        <f t="shared" ca="1" si="73"/>
        <v>0</v>
      </c>
      <c r="I86" s="76">
        <f t="shared" ca="1" si="74"/>
        <v>0</v>
      </c>
      <c r="J86" s="233">
        <f t="shared" ca="1" si="75"/>
        <v>0</v>
      </c>
      <c r="K86" s="76">
        <f t="shared" ref="K86:K117" ca="1" si="81">ROUND(J86*InsureRate2,2)</f>
        <v>0</v>
      </c>
      <c r="L86" s="76">
        <f t="shared" ca="1" si="76"/>
        <v>0</v>
      </c>
      <c r="M86" s="76">
        <f t="shared" ref="M86:M147" ca="1" si="82">GETSUPER(J86)</f>
        <v>0</v>
      </c>
      <c r="N86" s="76">
        <f t="shared" ca="1" si="77"/>
        <v>0</v>
      </c>
      <c r="O86" s="76"/>
      <c r="P86" s="76">
        <f t="shared" ca="1" si="78"/>
        <v>0</v>
      </c>
      <c r="Q86" s="76">
        <f t="shared" ca="1" si="69"/>
        <v>0</v>
      </c>
      <c r="R86" s="76">
        <f t="shared" ca="1" si="70"/>
        <v>0</v>
      </c>
      <c r="S86" s="232">
        <f t="shared" ca="1" si="79"/>
        <v>0</v>
      </c>
      <c r="U86" s="120" t="str">
        <f t="shared" si="80"/>
        <v>:0</v>
      </c>
      <c r="V86" s="120" t="str">
        <f t="shared" si="71"/>
        <v>:</v>
      </c>
      <c r="W86" s="120" t="str">
        <f t="shared" si="72"/>
        <v>:0</v>
      </c>
      <c r="X86" s="250">
        <f t="array" aca="1" ref="X86:AI86" ca="1">VLOOKUP($D86&amp;":"&amp;$C86,tblPayRates,{3,4,5,6,7,8,9,10,11,12,13,14},0)</f>
        <v>0</v>
      </c>
      <c r="Y86" s="16" t="str">
        <f ca="1"/>
        <v>Nobody</v>
      </c>
      <c r="Z86" s="261" t="str">
        <f ca="1"/>
        <v>M</v>
      </c>
      <c r="AA86" s="77" t="str">
        <f ca="1"/>
        <v>Daily</v>
      </c>
      <c r="AB86" s="77">
        <f ca="1"/>
        <v>0</v>
      </c>
      <c r="AC86" s="77">
        <f ca="1"/>
        <v>0</v>
      </c>
      <c r="AD86" s="77">
        <f ca="1"/>
        <v>0</v>
      </c>
      <c r="AE86" s="77">
        <f ca="1"/>
        <v>0</v>
      </c>
      <c r="AF86" s="261" t="str">
        <f ca="1"/>
        <v>N</v>
      </c>
      <c r="AG86" s="261">
        <f ca="1"/>
        <v>1</v>
      </c>
      <c r="AH86" s="261">
        <f ca="1"/>
        <v>1</v>
      </c>
      <c r="AI86" s="262">
        <f ca="1"/>
        <v>0</v>
      </c>
    </row>
    <row r="87" spans="1:35" hidden="1" outlineLevel="1" x14ac:dyDescent="0.25">
      <c r="A87" s="120">
        <f t="shared" si="67"/>
        <v>0</v>
      </c>
      <c r="B87" s="231"/>
      <c r="C87" s="77"/>
      <c r="D87" s="238"/>
      <c r="E87" s="76">
        <f ca="1">SUMIF(payNonMonth,"="&amp;$W87,$E$371:OFFSET($E$371,ROWS(payNonMonth)-1,0))</f>
        <v>0</v>
      </c>
      <c r="F87" s="76"/>
      <c r="G87" s="77">
        <f t="shared" ca="1" si="68"/>
        <v>0</v>
      </c>
      <c r="H87" s="76">
        <f t="shared" ca="1" si="73"/>
        <v>0</v>
      </c>
      <c r="I87" s="76">
        <f t="shared" ca="1" si="74"/>
        <v>0</v>
      </c>
      <c r="J87" s="233">
        <f t="shared" ca="1" si="75"/>
        <v>0</v>
      </c>
      <c r="K87" s="76">
        <f t="shared" ca="1" si="81"/>
        <v>0</v>
      </c>
      <c r="L87" s="76">
        <f t="shared" ca="1" si="76"/>
        <v>0</v>
      </c>
      <c r="M87" s="76">
        <f t="shared" ca="1" si="82"/>
        <v>0</v>
      </c>
      <c r="N87" s="76">
        <f t="shared" ca="1" si="77"/>
        <v>0</v>
      </c>
      <c r="O87" s="76"/>
      <c r="P87" s="76">
        <f t="shared" ca="1" si="78"/>
        <v>0</v>
      </c>
      <c r="Q87" s="76">
        <f t="shared" ca="1" si="69"/>
        <v>0</v>
      </c>
      <c r="R87" s="76">
        <f t="shared" ca="1" si="70"/>
        <v>0</v>
      </c>
      <c r="S87" s="232">
        <f t="shared" ca="1" si="79"/>
        <v>0</v>
      </c>
      <c r="U87" s="120" t="str">
        <f t="shared" si="80"/>
        <v>:0</v>
      </c>
      <c r="V87" s="120" t="str">
        <f t="shared" si="71"/>
        <v>:</v>
      </c>
      <c r="W87" s="120" t="str">
        <f t="shared" si="72"/>
        <v>:0</v>
      </c>
      <c r="X87" s="250">
        <f t="array" aca="1" ref="X87:AI87" ca="1">VLOOKUP($D87&amp;":"&amp;$C87,tblPayRates,{3,4,5,6,7,8,9,10,11,12,13,14},0)</f>
        <v>0</v>
      </c>
      <c r="Y87" s="16" t="str">
        <f ca="1"/>
        <v>Nobody</v>
      </c>
      <c r="Z87" s="261" t="str">
        <f ca="1"/>
        <v>M</v>
      </c>
      <c r="AA87" s="77" t="str">
        <f ca="1"/>
        <v>Daily</v>
      </c>
      <c r="AB87" s="77">
        <f ca="1"/>
        <v>0</v>
      </c>
      <c r="AC87" s="77">
        <f ca="1"/>
        <v>0</v>
      </c>
      <c r="AD87" s="77">
        <f ca="1"/>
        <v>0</v>
      </c>
      <c r="AE87" s="77">
        <f ca="1"/>
        <v>0</v>
      </c>
      <c r="AF87" s="261" t="str">
        <f ca="1"/>
        <v>N</v>
      </c>
      <c r="AG87" s="261">
        <f ca="1"/>
        <v>1</v>
      </c>
      <c r="AH87" s="261">
        <f ca="1"/>
        <v>1</v>
      </c>
      <c r="AI87" s="262">
        <f ca="1"/>
        <v>0</v>
      </c>
    </row>
    <row r="88" spans="1:35" hidden="1" outlineLevel="1" x14ac:dyDescent="0.25">
      <c r="A88" s="120">
        <f>GETPAYMONTH(B88)</f>
        <v>0</v>
      </c>
      <c r="B88" s="231"/>
      <c r="C88" s="77"/>
      <c r="D88" s="238"/>
      <c r="E88" s="76">
        <f ca="1">SUMIF(payNonMonth,"="&amp;$W88,$E$371:OFFSET($E$371,ROWS(payNonMonth)-1,0))</f>
        <v>0</v>
      </c>
      <c r="F88" s="76"/>
      <c r="G88" s="77">
        <f ca="1">IF(AND($E88=0,$F88=0),0,1)</f>
        <v>0</v>
      </c>
      <c r="H88" s="76">
        <f t="shared" ca="1" si="73"/>
        <v>0</v>
      </c>
      <c r="I88" s="76">
        <f t="shared" ca="1" si="74"/>
        <v>0</v>
      </c>
      <c r="J88" s="233">
        <f t="shared" ca="1" si="75"/>
        <v>0</v>
      </c>
      <c r="K88" s="76">
        <f t="shared" ca="1" si="81"/>
        <v>0</v>
      </c>
      <c r="L88" s="76">
        <f t="shared" ca="1" si="76"/>
        <v>0</v>
      </c>
      <c r="M88" s="76">
        <f t="shared" ca="1" si="82"/>
        <v>0</v>
      </c>
      <c r="N88" s="76">
        <f t="shared" ca="1" si="77"/>
        <v>0</v>
      </c>
      <c r="O88" s="76"/>
      <c r="P88" s="76">
        <f t="shared" ca="1" si="78"/>
        <v>0</v>
      </c>
      <c r="Q88" s="76">
        <f ca="1">GETTAX(P88,Z88)</f>
        <v>0</v>
      </c>
      <c r="R88" s="76">
        <f ca="1">P88-Q88</f>
        <v>0</v>
      </c>
      <c r="S88" s="232">
        <f t="shared" ca="1" si="79"/>
        <v>0</v>
      </c>
      <c r="U88" s="120" t="str">
        <f t="shared" si="80"/>
        <v>:0</v>
      </c>
      <c r="V88" s="120" t="str">
        <f>$C88 &amp;":"&amp; $B88</f>
        <v>:</v>
      </c>
      <c r="W88" s="120" t="str">
        <f t="shared" si="72"/>
        <v>:0</v>
      </c>
      <c r="X88" s="250">
        <f t="array" aca="1" ref="X88:AI88" ca="1">VLOOKUP($D88&amp;":"&amp;$C88,tblPayRates,{3,4,5,6,7,8,9,10,11,12,13,14},0)</f>
        <v>0</v>
      </c>
      <c r="Y88" s="16" t="str">
        <f ca="1"/>
        <v>Nobody</v>
      </c>
      <c r="Z88" s="261" t="str">
        <f ca="1"/>
        <v>M</v>
      </c>
      <c r="AA88" s="77" t="str">
        <f ca="1"/>
        <v>Daily</v>
      </c>
      <c r="AB88" s="77">
        <f ca="1"/>
        <v>0</v>
      </c>
      <c r="AC88" s="77">
        <f ca="1"/>
        <v>0</v>
      </c>
      <c r="AD88" s="77">
        <f ca="1"/>
        <v>0</v>
      </c>
      <c r="AE88" s="77">
        <f ca="1"/>
        <v>0</v>
      </c>
      <c r="AF88" s="261" t="str">
        <f ca="1"/>
        <v>N</v>
      </c>
      <c r="AG88" s="261">
        <f ca="1"/>
        <v>1</v>
      </c>
      <c r="AH88" s="261">
        <f ca="1"/>
        <v>1</v>
      </c>
      <c r="AI88" s="262">
        <f ca="1"/>
        <v>0</v>
      </c>
    </row>
    <row r="89" spans="1:35" hidden="1" outlineLevel="1" x14ac:dyDescent="0.25">
      <c r="A89" s="120">
        <f t="shared" ref="A89:A148" si="83">GETPAYMONTH(B89)</f>
        <v>0</v>
      </c>
      <c r="B89" s="231"/>
      <c r="C89" s="77"/>
      <c r="D89" s="238"/>
      <c r="E89" s="76">
        <f ca="1">SUMIF(payNonMonth,"="&amp;$W89,$E$371:OFFSET($E$371,ROWS(payNonMonth)-1,0))</f>
        <v>0</v>
      </c>
      <c r="F89" s="76"/>
      <c r="G89" s="77">
        <f t="shared" ref="G89:G147" ca="1" si="84">IF(AND($E89=0,$F89=0),0,1)</f>
        <v>0</v>
      </c>
      <c r="H89" s="76">
        <f t="shared" ca="1" si="73"/>
        <v>0</v>
      </c>
      <c r="I89" s="76">
        <f t="shared" ca="1" si="74"/>
        <v>0</v>
      </c>
      <c r="J89" s="233">
        <f t="shared" ca="1" si="75"/>
        <v>0</v>
      </c>
      <c r="K89" s="76">
        <f t="shared" ca="1" si="81"/>
        <v>0</v>
      </c>
      <c r="L89" s="76">
        <f t="shared" ca="1" si="76"/>
        <v>0</v>
      </c>
      <c r="M89" s="76">
        <f t="shared" ca="1" si="82"/>
        <v>0</v>
      </c>
      <c r="N89" s="76">
        <f t="shared" ca="1" si="77"/>
        <v>0</v>
      </c>
      <c r="O89" s="76"/>
      <c r="P89" s="76">
        <f t="shared" ca="1" si="78"/>
        <v>0</v>
      </c>
      <c r="Q89" s="76">
        <f t="shared" ref="Q89:Q147" ca="1" si="85">GETTAX(P89,Z89)</f>
        <v>0</v>
      </c>
      <c r="R89" s="76">
        <f t="shared" ref="R89:R147" ca="1" si="86">P89-Q89</f>
        <v>0</v>
      </c>
      <c r="S89" s="232">
        <f t="shared" ca="1" si="79"/>
        <v>0</v>
      </c>
      <c r="U89" s="120" t="str">
        <f t="shared" si="80"/>
        <v>:0</v>
      </c>
      <c r="V89" s="120" t="str">
        <f t="shared" ref="V89:V147" si="87">$C89 &amp;":"&amp; $B89</f>
        <v>:</v>
      </c>
      <c r="W89" s="120" t="str">
        <f t="shared" ref="W89:W94" si="88">C89 &amp;":"&amp; B89</f>
        <v>:</v>
      </c>
      <c r="X89" s="250">
        <f t="array" aca="1" ref="X89:AI89" ca="1">VLOOKUP($D89&amp;":"&amp;$C89,tblPayRates,{3,4,5,6,7,8,9,10,11,12,13,14},0)</f>
        <v>0</v>
      </c>
      <c r="Y89" s="16" t="str">
        <f ca="1"/>
        <v>Nobody</v>
      </c>
      <c r="Z89" s="261" t="str">
        <f ca="1"/>
        <v>M</v>
      </c>
      <c r="AA89" s="77" t="str">
        <f ca="1"/>
        <v>Daily</v>
      </c>
      <c r="AB89" s="77">
        <f ca="1"/>
        <v>0</v>
      </c>
      <c r="AC89" s="77">
        <f ca="1"/>
        <v>0</v>
      </c>
      <c r="AD89" s="77">
        <f ca="1"/>
        <v>0</v>
      </c>
      <c r="AE89" s="77">
        <f ca="1"/>
        <v>0</v>
      </c>
      <c r="AF89" s="261" t="str">
        <f ca="1"/>
        <v>N</v>
      </c>
      <c r="AG89" s="261">
        <f ca="1"/>
        <v>1</v>
      </c>
      <c r="AH89" s="261">
        <f ca="1"/>
        <v>1</v>
      </c>
      <c r="AI89" s="262">
        <f ca="1"/>
        <v>0</v>
      </c>
    </row>
    <row r="90" spans="1:35" hidden="1" outlineLevel="1" x14ac:dyDescent="0.25">
      <c r="A90" s="120">
        <f t="shared" si="83"/>
        <v>0</v>
      </c>
      <c r="B90" s="231"/>
      <c r="C90" s="77"/>
      <c r="D90" s="238"/>
      <c r="E90" s="76">
        <f ca="1">SUMIF(payNonMonth,"="&amp;$W90,$E$371:OFFSET($E$371,ROWS(payNonMonth)-1,0))</f>
        <v>0</v>
      </c>
      <c r="F90" s="76"/>
      <c r="G90" s="77">
        <f t="shared" ca="1" si="84"/>
        <v>0</v>
      </c>
      <c r="H90" s="76">
        <f t="shared" ca="1" si="73"/>
        <v>0</v>
      </c>
      <c r="I90" s="76">
        <f t="shared" ca="1" si="74"/>
        <v>0</v>
      </c>
      <c r="J90" s="233">
        <f t="shared" ca="1" si="75"/>
        <v>0</v>
      </c>
      <c r="K90" s="76">
        <f t="shared" ca="1" si="81"/>
        <v>0</v>
      </c>
      <c r="L90" s="76">
        <f t="shared" ca="1" si="76"/>
        <v>0</v>
      </c>
      <c r="M90" s="76">
        <f t="shared" ca="1" si="82"/>
        <v>0</v>
      </c>
      <c r="N90" s="76">
        <f t="shared" ca="1" si="77"/>
        <v>0</v>
      </c>
      <c r="O90" s="76"/>
      <c r="P90" s="76">
        <f t="shared" ca="1" si="78"/>
        <v>0</v>
      </c>
      <c r="Q90" s="76">
        <f t="shared" ca="1" si="85"/>
        <v>0</v>
      </c>
      <c r="R90" s="76">
        <f t="shared" ca="1" si="86"/>
        <v>0</v>
      </c>
      <c r="S90" s="232">
        <f t="shared" ca="1" si="79"/>
        <v>0</v>
      </c>
      <c r="U90" s="120" t="str">
        <f t="shared" si="80"/>
        <v>:0</v>
      </c>
      <c r="V90" s="120" t="str">
        <f t="shared" si="87"/>
        <v>:</v>
      </c>
      <c r="W90" s="120" t="str">
        <f t="shared" si="88"/>
        <v>:</v>
      </c>
      <c r="X90" s="250">
        <f t="array" aca="1" ref="X90:AI90" ca="1">VLOOKUP($D90&amp;":"&amp;$C90,tblPayRates,{3,4,5,6,7,8,9,10,11,12,13,14},0)</f>
        <v>0</v>
      </c>
      <c r="Y90" s="16" t="str">
        <f ca="1"/>
        <v>Nobody</v>
      </c>
      <c r="Z90" s="261" t="str">
        <f ca="1"/>
        <v>M</v>
      </c>
      <c r="AA90" s="77" t="str">
        <f ca="1"/>
        <v>Daily</v>
      </c>
      <c r="AB90" s="77">
        <f ca="1"/>
        <v>0</v>
      </c>
      <c r="AC90" s="77">
        <f ca="1"/>
        <v>0</v>
      </c>
      <c r="AD90" s="77">
        <f ca="1"/>
        <v>0</v>
      </c>
      <c r="AE90" s="77">
        <f ca="1"/>
        <v>0</v>
      </c>
      <c r="AF90" s="261" t="str">
        <f ca="1"/>
        <v>N</v>
      </c>
      <c r="AG90" s="261">
        <f ca="1"/>
        <v>1</v>
      </c>
      <c r="AH90" s="261">
        <f ca="1"/>
        <v>1</v>
      </c>
      <c r="AI90" s="262">
        <f ca="1"/>
        <v>0</v>
      </c>
    </row>
    <row r="91" spans="1:35" hidden="1" outlineLevel="1" x14ac:dyDescent="0.25">
      <c r="A91" s="120">
        <f t="shared" si="83"/>
        <v>0</v>
      </c>
      <c r="B91" s="231"/>
      <c r="C91" s="77"/>
      <c r="D91" s="238"/>
      <c r="E91" s="76">
        <f ca="1">SUMIF(payNonMonth,"="&amp;$W91,$E$371:OFFSET($E$371,ROWS(payNonMonth)-1,0))</f>
        <v>0</v>
      </c>
      <c r="F91" s="76"/>
      <c r="G91" s="77">
        <f t="shared" ca="1" si="84"/>
        <v>0</v>
      </c>
      <c r="H91" s="76">
        <f t="shared" ca="1" si="73"/>
        <v>0</v>
      </c>
      <c r="I91" s="76">
        <f t="shared" ca="1" si="74"/>
        <v>0</v>
      </c>
      <c r="J91" s="233">
        <f t="shared" ca="1" si="75"/>
        <v>0</v>
      </c>
      <c r="K91" s="76">
        <f t="shared" ca="1" si="81"/>
        <v>0</v>
      </c>
      <c r="L91" s="76">
        <f t="shared" ca="1" si="76"/>
        <v>0</v>
      </c>
      <c r="M91" s="76">
        <f t="shared" ca="1" si="82"/>
        <v>0</v>
      </c>
      <c r="N91" s="76">
        <f t="shared" ca="1" si="77"/>
        <v>0</v>
      </c>
      <c r="O91" s="76"/>
      <c r="P91" s="76">
        <f t="shared" ca="1" si="78"/>
        <v>0</v>
      </c>
      <c r="Q91" s="76">
        <f t="shared" ca="1" si="85"/>
        <v>0</v>
      </c>
      <c r="R91" s="76">
        <f t="shared" ca="1" si="86"/>
        <v>0</v>
      </c>
      <c r="S91" s="232">
        <f t="shared" ca="1" si="79"/>
        <v>0</v>
      </c>
      <c r="U91" s="120" t="str">
        <f t="shared" si="80"/>
        <v>:0</v>
      </c>
      <c r="V91" s="120" t="str">
        <f t="shared" si="87"/>
        <v>:</v>
      </c>
      <c r="W91" s="120" t="str">
        <f t="shared" si="88"/>
        <v>:</v>
      </c>
      <c r="X91" s="250">
        <f t="array" aca="1" ref="X91:AI91" ca="1">VLOOKUP($D91&amp;":"&amp;$C91,tblPayRates,{3,4,5,6,7,8,9,10,11,12,13,14},0)</f>
        <v>0</v>
      </c>
      <c r="Y91" s="16" t="str">
        <f ca="1"/>
        <v>Nobody</v>
      </c>
      <c r="Z91" s="261" t="str">
        <f ca="1"/>
        <v>M</v>
      </c>
      <c r="AA91" s="77" t="str">
        <f ca="1"/>
        <v>Daily</v>
      </c>
      <c r="AB91" s="77">
        <f ca="1"/>
        <v>0</v>
      </c>
      <c r="AC91" s="77">
        <f ca="1"/>
        <v>0</v>
      </c>
      <c r="AD91" s="77">
        <f ca="1"/>
        <v>0</v>
      </c>
      <c r="AE91" s="77">
        <f ca="1"/>
        <v>0</v>
      </c>
      <c r="AF91" s="261" t="str">
        <f ca="1"/>
        <v>N</v>
      </c>
      <c r="AG91" s="261">
        <f ca="1"/>
        <v>1</v>
      </c>
      <c r="AH91" s="261">
        <f ca="1"/>
        <v>1</v>
      </c>
      <c r="AI91" s="262">
        <f ca="1"/>
        <v>0</v>
      </c>
    </row>
    <row r="92" spans="1:35" hidden="1" outlineLevel="1" x14ac:dyDescent="0.25">
      <c r="A92" s="120">
        <f t="shared" si="83"/>
        <v>0</v>
      </c>
      <c r="B92" s="231"/>
      <c r="C92" s="77"/>
      <c r="D92" s="238"/>
      <c r="E92" s="76">
        <f ca="1">SUMIF(payNonMonth,"="&amp;$W92,$E$371:OFFSET($E$371,ROWS(payNonMonth)-1,0))</f>
        <v>0</v>
      </c>
      <c r="F92" s="76"/>
      <c r="G92" s="77">
        <f t="shared" ca="1" si="84"/>
        <v>0</v>
      </c>
      <c r="H92" s="76">
        <f t="shared" ca="1" si="73"/>
        <v>0</v>
      </c>
      <c r="I92" s="76">
        <f t="shared" ca="1" si="74"/>
        <v>0</v>
      </c>
      <c r="J92" s="233">
        <f t="shared" ca="1" si="75"/>
        <v>0</v>
      </c>
      <c r="K92" s="76">
        <f t="shared" ca="1" si="81"/>
        <v>0</v>
      </c>
      <c r="L92" s="76">
        <f t="shared" ca="1" si="76"/>
        <v>0</v>
      </c>
      <c r="M92" s="76">
        <f t="shared" ca="1" si="82"/>
        <v>0</v>
      </c>
      <c r="N92" s="76">
        <f t="shared" ca="1" si="77"/>
        <v>0</v>
      </c>
      <c r="O92" s="76"/>
      <c r="P92" s="76">
        <f t="shared" ca="1" si="78"/>
        <v>0</v>
      </c>
      <c r="Q92" s="76">
        <f t="shared" ca="1" si="85"/>
        <v>0</v>
      </c>
      <c r="R92" s="76">
        <f t="shared" ca="1" si="86"/>
        <v>0</v>
      </c>
      <c r="S92" s="232">
        <f t="shared" ca="1" si="79"/>
        <v>0</v>
      </c>
      <c r="U92" s="120" t="str">
        <f t="shared" si="80"/>
        <v>:0</v>
      </c>
      <c r="V92" s="120" t="str">
        <f t="shared" si="87"/>
        <v>:</v>
      </c>
      <c r="W92" s="120" t="str">
        <f t="shared" si="88"/>
        <v>:</v>
      </c>
      <c r="X92" s="250">
        <f t="array" aca="1" ref="X92:AI92" ca="1">VLOOKUP($D92&amp;":"&amp;$C92,tblPayRates,{3,4,5,6,7,8,9,10,11,12,13,14},0)</f>
        <v>0</v>
      </c>
      <c r="Y92" s="16" t="str">
        <f ca="1"/>
        <v>Nobody</v>
      </c>
      <c r="Z92" s="261" t="str">
        <f ca="1"/>
        <v>M</v>
      </c>
      <c r="AA92" s="77" t="str">
        <f ca="1"/>
        <v>Daily</v>
      </c>
      <c r="AB92" s="77">
        <f ca="1"/>
        <v>0</v>
      </c>
      <c r="AC92" s="77">
        <f ca="1"/>
        <v>0</v>
      </c>
      <c r="AD92" s="77">
        <f ca="1"/>
        <v>0</v>
      </c>
      <c r="AE92" s="77">
        <f ca="1"/>
        <v>0</v>
      </c>
      <c r="AF92" s="261" t="str">
        <f ca="1"/>
        <v>N</v>
      </c>
      <c r="AG92" s="261">
        <f ca="1"/>
        <v>1</v>
      </c>
      <c r="AH92" s="261">
        <f ca="1"/>
        <v>1</v>
      </c>
      <c r="AI92" s="262">
        <f ca="1"/>
        <v>0</v>
      </c>
    </row>
    <row r="93" spans="1:35" hidden="1" outlineLevel="1" x14ac:dyDescent="0.25">
      <c r="A93" s="120">
        <f t="shared" si="83"/>
        <v>0</v>
      </c>
      <c r="B93" s="231"/>
      <c r="C93" s="77"/>
      <c r="D93" s="238"/>
      <c r="E93" s="76">
        <f ca="1">SUMIF(payNonMonth,"="&amp;$W93,$E$371:OFFSET($E$371,ROWS(payNonMonth)-1,0))</f>
        <v>0</v>
      </c>
      <c r="F93" s="76"/>
      <c r="G93" s="77">
        <f t="shared" ca="1" si="84"/>
        <v>0</v>
      </c>
      <c r="H93" s="76">
        <f t="shared" ca="1" si="73"/>
        <v>0</v>
      </c>
      <c r="I93" s="76">
        <f t="shared" ca="1" si="74"/>
        <v>0</v>
      </c>
      <c r="J93" s="233">
        <f t="shared" ca="1" si="75"/>
        <v>0</v>
      </c>
      <c r="K93" s="76">
        <f t="shared" ca="1" si="81"/>
        <v>0</v>
      </c>
      <c r="L93" s="76">
        <f t="shared" ca="1" si="76"/>
        <v>0</v>
      </c>
      <c r="M93" s="76">
        <f t="shared" ca="1" si="82"/>
        <v>0</v>
      </c>
      <c r="N93" s="76">
        <f t="shared" ca="1" si="77"/>
        <v>0</v>
      </c>
      <c r="O93" s="76"/>
      <c r="P93" s="76">
        <f t="shared" ca="1" si="78"/>
        <v>0</v>
      </c>
      <c r="Q93" s="76">
        <f t="shared" ca="1" si="85"/>
        <v>0</v>
      </c>
      <c r="R93" s="76">
        <f t="shared" ca="1" si="86"/>
        <v>0</v>
      </c>
      <c r="S93" s="232">
        <f t="shared" ca="1" si="79"/>
        <v>0</v>
      </c>
      <c r="U93" s="120" t="str">
        <f t="shared" si="80"/>
        <v>:0</v>
      </c>
      <c r="V93" s="120" t="str">
        <f t="shared" si="87"/>
        <v>:</v>
      </c>
      <c r="W93" s="120" t="str">
        <f t="shared" si="88"/>
        <v>:</v>
      </c>
      <c r="X93" s="250">
        <f t="array" aca="1" ref="X93:AI93" ca="1">VLOOKUP($D93&amp;":"&amp;$C93,tblPayRates,{3,4,5,6,7,8,9,10,11,12,13,14},0)</f>
        <v>0</v>
      </c>
      <c r="Y93" s="16" t="str">
        <f ca="1"/>
        <v>Nobody</v>
      </c>
      <c r="Z93" s="261" t="str">
        <f ca="1"/>
        <v>M</v>
      </c>
      <c r="AA93" s="77" t="str">
        <f ca="1"/>
        <v>Daily</v>
      </c>
      <c r="AB93" s="77">
        <f ca="1"/>
        <v>0</v>
      </c>
      <c r="AC93" s="77">
        <f ca="1"/>
        <v>0</v>
      </c>
      <c r="AD93" s="77">
        <f ca="1"/>
        <v>0</v>
      </c>
      <c r="AE93" s="77">
        <f ca="1"/>
        <v>0</v>
      </c>
      <c r="AF93" s="261" t="str">
        <f ca="1"/>
        <v>N</v>
      </c>
      <c r="AG93" s="261">
        <f ca="1"/>
        <v>1</v>
      </c>
      <c r="AH93" s="261">
        <f ca="1"/>
        <v>1</v>
      </c>
      <c r="AI93" s="262">
        <f ca="1"/>
        <v>0</v>
      </c>
    </row>
    <row r="94" spans="1:35" hidden="1" outlineLevel="1" x14ac:dyDescent="0.25">
      <c r="A94" s="120">
        <f t="shared" si="83"/>
        <v>0</v>
      </c>
      <c r="B94" s="231"/>
      <c r="C94" s="77"/>
      <c r="D94" s="238"/>
      <c r="E94" s="76">
        <f ca="1">SUMIF(payNonMonth,"="&amp;$W94,$E$371:OFFSET($E$371,ROWS(payNonMonth)-1,0))</f>
        <v>0</v>
      </c>
      <c r="F94" s="76"/>
      <c r="G94" s="77">
        <f t="shared" ca="1" si="84"/>
        <v>0</v>
      </c>
      <c r="H94" s="76">
        <f t="shared" ca="1" si="73"/>
        <v>0</v>
      </c>
      <c r="I94" s="76">
        <f t="shared" ca="1" si="74"/>
        <v>0</v>
      </c>
      <c r="J94" s="233">
        <f t="shared" ca="1" si="75"/>
        <v>0</v>
      </c>
      <c r="K94" s="76">
        <f t="shared" ca="1" si="81"/>
        <v>0</v>
      </c>
      <c r="L94" s="76">
        <f t="shared" ca="1" si="76"/>
        <v>0</v>
      </c>
      <c r="M94" s="76">
        <f t="shared" ca="1" si="82"/>
        <v>0</v>
      </c>
      <c r="N94" s="76">
        <f t="shared" ca="1" si="77"/>
        <v>0</v>
      </c>
      <c r="O94" s="76"/>
      <c r="P94" s="76">
        <f t="shared" ca="1" si="78"/>
        <v>0</v>
      </c>
      <c r="Q94" s="76">
        <f t="shared" ca="1" si="85"/>
        <v>0</v>
      </c>
      <c r="R94" s="76">
        <f t="shared" ca="1" si="86"/>
        <v>0</v>
      </c>
      <c r="S94" s="232">
        <f t="shared" ca="1" si="79"/>
        <v>0</v>
      </c>
      <c r="U94" s="120" t="str">
        <f t="shared" si="80"/>
        <v>:0</v>
      </c>
      <c r="V94" s="120" t="str">
        <f t="shared" si="87"/>
        <v>:</v>
      </c>
      <c r="W94" s="120" t="str">
        <f t="shared" si="88"/>
        <v>:</v>
      </c>
      <c r="X94" s="250">
        <f t="array" aca="1" ref="X94:AI94" ca="1">VLOOKUP($D94&amp;":"&amp;$C94,tblPayRates,{3,4,5,6,7,8,9,10,11,12,13,14},0)</f>
        <v>0</v>
      </c>
      <c r="Y94" s="16" t="str">
        <f ca="1"/>
        <v>Nobody</v>
      </c>
      <c r="Z94" s="261" t="str">
        <f ca="1"/>
        <v>M</v>
      </c>
      <c r="AA94" s="77" t="str">
        <f ca="1"/>
        <v>Daily</v>
      </c>
      <c r="AB94" s="77">
        <f ca="1"/>
        <v>0</v>
      </c>
      <c r="AC94" s="77">
        <f ca="1"/>
        <v>0</v>
      </c>
      <c r="AD94" s="77">
        <f ca="1"/>
        <v>0</v>
      </c>
      <c r="AE94" s="77">
        <f ca="1"/>
        <v>0</v>
      </c>
      <c r="AF94" s="261" t="str">
        <f ca="1"/>
        <v>N</v>
      </c>
      <c r="AG94" s="261">
        <f ca="1"/>
        <v>1</v>
      </c>
      <c r="AH94" s="261">
        <f ca="1"/>
        <v>1</v>
      </c>
      <c r="AI94" s="262">
        <f ca="1"/>
        <v>0</v>
      </c>
    </row>
    <row r="95" spans="1:35" hidden="1" outlineLevel="1" x14ac:dyDescent="0.25">
      <c r="A95" s="120">
        <f t="shared" si="83"/>
        <v>0</v>
      </c>
      <c r="B95" s="231"/>
      <c r="C95" s="77"/>
      <c r="D95" s="238"/>
      <c r="E95" s="76">
        <f ca="1">SUMIF(payNonMonth,"="&amp;$W95,$E$371:OFFSET($E$371,ROWS(payNonMonth)-1,0))</f>
        <v>0</v>
      </c>
      <c r="F95" s="76"/>
      <c r="G95" s="77">
        <f t="shared" ca="1" si="84"/>
        <v>0</v>
      </c>
      <c r="H95" s="76">
        <f t="shared" ca="1" si="73"/>
        <v>0</v>
      </c>
      <c r="I95" s="76">
        <f t="shared" ca="1" si="74"/>
        <v>0</v>
      </c>
      <c r="J95" s="233">
        <f t="shared" ca="1" si="75"/>
        <v>0</v>
      </c>
      <c r="K95" s="76">
        <f t="shared" ca="1" si="81"/>
        <v>0</v>
      </c>
      <c r="L95" s="76">
        <f t="shared" ca="1" si="76"/>
        <v>0</v>
      </c>
      <c r="M95" s="76">
        <f t="shared" ca="1" si="82"/>
        <v>0</v>
      </c>
      <c r="N95" s="76">
        <f t="shared" ca="1" si="77"/>
        <v>0</v>
      </c>
      <c r="O95" s="76"/>
      <c r="P95" s="76">
        <f t="shared" ca="1" si="78"/>
        <v>0</v>
      </c>
      <c r="Q95" s="76">
        <f t="shared" ca="1" si="85"/>
        <v>0</v>
      </c>
      <c r="R95" s="76">
        <f t="shared" ca="1" si="86"/>
        <v>0</v>
      </c>
      <c r="S95" s="232">
        <f t="shared" ca="1" si="79"/>
        <v>0</v>
      </c>
      <c r="U95" s="120" t="str">
        <f t="shared" si="80"/>
        <v>:0</v>
      </c>
      <c r="V95" s="120" t="str">
        <f t="shared" si="87"/>
        <v>:</v>
      </c>
      <c r="W95" s="120" t="str">
        <f t="shared" ref="W95:W100" si="89">C95 &amp;":"&amp; A95</f>
        <v>:0</v>
      </c>
      <c r="X95" s="250">
        <f t="array" aca="1" ref="X95:AI95" ca="1">VLOOKUP($D95&amp;":"&amp;$C95,tblPayRates,{3,4,5,6,7,8,9,10,11,12,13,14},0)</f>
        <v>0</v>
      </c>
      <c r="Y95" s="16" t="str">
        <f ca="1"/>
        <v>Nobody</v>
      </c>
      <c r="Z95" s="261" t="str">
        <f ca="1"/>
        <v>M</v>
      </c>
      <c r="AA95" s="77" t="str">
        <f ca="1"/>
        <v>Daily</v>
      </c>
      <c r="AB95" s="77">
        <f ca="1"/>
        <v>0</v>
      </c>
      <c r="AC95" s="77">
        <f ca="1"/>
        <v>0</v>
      </c>
      <c r="AD95" s="77">
        <f ca="1"/>
        <v>0</v>
      </c>
      <c r="AE95" s="77">
        <f ca="1"/>
        <v>0</v>
      </c>
      <c r="AF95" s="261" t="str">
        <f ca="1"/>
        <v>N</v>
      </c>
      <c r="AG95" s="261">
        <f ca="1"/>
        <v>1</v>
      </c>
      <c r="AH95" s="261">
        <f ca="1"/>
        <v>1</v>
      </c>
      <c r="AI95" s="262">
        <f ca="1"/>
        <v>0</v>
      </c>
    </row>
    <row r="96" spans="1:35" hidden="1" outlineLevel="1" x14ac:dyDescent="0.25">
      <c r="A96" s="120">
        <f t="shared" si="83"/>
        <v>0</v>
      </c>
      <c r="B96" s="231"/>
      <c r="C96" s="77"/>
      <c r="D96" s="238"/>
      <c r="E96" s="76">
        <f ca="1">SUMIF(payNonMonth,"="&amp;$W96,$E$371:OFFSET($E$371,ROWS(payNonMonth)-1,0))</f>
        <v>0</v>
      </c>
      <c r="F96" s="76"/>
      <c r="G96" s="77">
        <f t="shared" ca="1" si="84"/>
        <v>0</v>
      </c>
      <c r="H96" s="76">
        <f t="shared" ca="1" si="73"/>
        <v>0</v>
      </c>
      <c r="I96" s="76">
        <f t="shared" ca="1" si="74"/>
        <v>0</v>
      </c>
      <c r="J96" s="233">
        <f t="shared" ca="1" si="75"/>
        <v>0</v>
      </c>
      <c r="K96" s="76">
        <f t="shared" ca="1" si="81"/>
        <v>0</v>
      </c>
      <c r="L96" s="76">
        <f t="shared" ca="1" si="76"/>
        <v>0</v>
      </c>
      <c r="M96" s="76">
        <f t="shared" ca="1" si="82"/>
        <v>0</v>
      </c>
      <c r="N96" s="76">
        <f t="shared" ca="1" si="77"/>
        <v>0</v>
      </c>
      <c r="O96" s="76"/>
      <c r="P96" s="76">
        <f t="shared" ca="1" si="78"/>
        <v>0</v>
      </c>
      <c r="Q96" s="76">
        <f t="shared" ca="1" si="85"/>
        <v>0</v>
      </c>
      <c r="R96" s="76">
        <f t="shared" ca="1" si="86"/>
        <v>0</v>
      </c>
      <c r="S96" s="232">
        <f t="shared" ca="1" si="79"/>
        <v>0</v>
      </c>
      <c r="U96" s="120" t="str">
        <f t="shared" si="80"/>
        <v>:0</v>
      </c>
      <c r="V96" s="120" t="str">
        <f t="shared" si="87"/>
        <v>:</v>
      </c>
      <c r="W96" s="120" t="str">
        <f t="shared" si="89"/>
        <v>:0</v>
      </c>
      <c r="X96" s="250">
        <f t="array" aca="1" ref="X96:AI96" ca="1">VLOOKUP($D96&amp;":"&amp;$C96,tblPayRates,{3,4,5,6,7,8,9,10,11,12,13,14},0)</f>
        <v>0</v>
      </c>
      <c r="Y96" s="16" t="str">
        <f ca="1"/>
        <v>Nobody</v>
      </c>
      <c r="Z96" s="261" t="str">
        <f ca="1"/>
        <v>M</v>
      </c>
      <c r="AA96" s="77" t="str">
        <f ca="1"/>
        <v>Daily</v>
      </c>
      <c r="AB96" s="77">
        <f ca="1"/>
        <v>0</v>
      </c>
      <c r="AC96" s="77">
        <f ca="1"/>
        <v>0</v>
      </c>
      <c r="AD96" s="77">
        <f ca="1"/>
        <v>0</v>
      </c>
      <c r="AE96" s="77">
        <f ca="1"/>
        <v>0</v>
      </c>
      <c r="AF96" s="261" t="str">
        <f ca="1"/>
        <v>N</v>
      </c>
      <c r="AG96" s="261">
        <f ca="1"/>
        <v>1</v>
      </c>
      <c r="AH96" s="261">
        <f ca="1"/>
        <v>1</v>
      </c>
      <c r="AI96" s="262">
        <f ca="1"/>
        <v>0</v>
      </c>
    </row>
    <row r="97" spans="1:35" hidden="1" outlineLevel="1" x14ac:dyDescent="0.25">
      <c r="A97" s="120">
        <f t="shared" si="83"/>
        <v>0</v>
      </c>
      <c r="B97" s="231"/>
      <c r="C97" s="77"/>
      <c r="D97" s="238"/>
      <c r="E97" s="76">
        <f ca="1">SUMIF(payNonMonth,"="&amp;$W97,$E$371:OFFSET($E$371,ROWS(payNonMonth)-1,0))</f>
        <v>0</v>
      </c>
      <c r="F97" s="76"/>
      <c r="G97" s="77">
        <f t="shared" ca="1" si="84"/>
        <v>0</v>
      </c>
      <c r="H97" s="76">
        <f t="shared" ca="1" si="73"/>
        <v>0</v>
      </c>
      <c r="I97" s="76">
        <f t="shared" ca="1" si="74"/>
        <v>0</v>
      </c>
      <c r="J97" s="233">
        <f t="shared" ca="1" si="75"/>
        <v>0</v>
      </c>
      <c r="K97" s="76">
        <f t="shared" ca="1" si="81"/>
        <v>0</v>
      </c>
      <c r="L97" s="76">
        <f t="shared" ca="1" si="76"/>
        <v>0</v>
      </c>
      <c r="M97" s="76">
        <f t="shared" ca="1" si="82"/>
        <v>0</v>
      </c>
      <c r="N97" s="76">
        <f t="shared" ca="1" si="77"/>
        <v>0</v>
      </c>
      <c r="O97" s="76"/>
      <c r="P97" s="76">
        <f t="shared" ca="1" si="78"/>
        <v>0</v>
      </c>
      <c r="Q97" s="76">
        <f t="shared" ca="1" si="85"/>
        <v>0</v>
      </c>
      <c r="R97" s="76">
        <f t="shared" ca="1" si="86"/>
        <v>0</v>
      </c>
      <c r="S97" s="232">
        <f t="shared" ca="1" si="79"/>
        <v>0</v>
      </c>
      <c r="U97" s="120" t="str">
        <f t="shared" si="80"/>
        <v>:0</v>
      </c>
      <c r="V97" s="120" t="str">
        <f t="shared" si="87"/>
        <v>:</v>
      </c>
      <c r="W97" s="120" t="str">
        <f t="shared" si="89"/>
        <v>:0</v>
      </c>
      <c r="X97" s="250">
        <f t="array" aca="1" ref="X97:AI97" ca="1">VLOOKUP($D97&amp;":"&amp;$C97,tblPayRates,{3,4,5,6,7,8,9,10,11,12,13,14},0)</f>
        <v>0</v>
      </c>
      <c r="Y97" s="16" t="str">
        <f ca="1"/>
        <v>Nobody</v>
      </c>
      <c r="Z97" s="261" t="str">
        <f ca="1"/>
        <v>M</v>
      </c>
      <c r="AA97" s="77" t="str">
        <f ca="1"/>
        <v>Daily</v>
      </c>
      <c r="AB97" s="77">
        <f ca="1"/>
        <v>0</v>
      </c>
      <c r="AC97" s="77">
        <f ca="1"/>
        <v>0</v>
      </c>
      <c r="AD97" s="77">
        <f ca="1"/>
        <v>0</v>
      </c>
      <c r="AE97" s="77">
        <f ca="1"/>
        <v>0</v>
      </c>
      <c r="AF97" s="261" t="str">
        <f ca="1"/>
        <v>N</v>
      </c>
      <c r="AG97" s="261">
        <f ca="1"/>
        <v>1</v>
      </c>
      <c r="AH97" s="261">
        <f ca="1"/>
        <v>1</v>
      </c>
      <c r="AI97" s="262">
        <f ca="1"/>
        <v>0</v>
      </c>
    </row>
    <row r="98" spans="1:35" hidden="1" outlineLevel="1" x14ac:dyDescent="0.25">
      <c r="A98" s="120">
        <f t="shared" si="83"/>
        <v>0</v>
      </c>
      <c r="B98" s="231"/>
      <c r="C98" s="77"/>
      <c r="D98" s="238"/>
      <c r="E98" s="76">
        <f ca="1">SUMIF(payNonMonth,"="&amp;$W98,$E$371:OFFSET($E$371,ROWS(payNonMonth)-1,0))</f>
        <v>0</v>
      </c>
      <c r="F98" s="76"/>
      <c r="G98" s="77">
        <f t="shared" ca="1" si="84"/>
        <v>0</v>
      </c>
      <c r="H98" s="76">
        <f t="shared" ca="1" si="73"/>
        <v>0</v>
      </c>
      <c r="I98" s="76">
        <f t="shared" ca="1" si="74"/>
        <v>0</v>
      </c>
      <c r="J98" s="233">
        <f t="shared" ca="1" si="75"/>
        <v>0</v>
      </c>
      <c r="K98" s="76">
        <f t="shared" ca="1" si="81"/>
        <v>0</v>
      </c>
      <c r="L98" s="76">
        <f t="shared" ca="1" si="76"/>
        <v>0</v>
      </c>
      <c r="M98" s="76">
        <f t="shared" ca="1" si="82"/>
        <v>0</v>
      </c>
      <c r="N98" s="76">
        <f t="shared" ca="1" si="77"/>
        <v>0</v>
      </c>
      <c r="O98" s="76"/>
      <c r="P98" s="76">
        <f t="shared" ca="1" si="78"/>
        <v>0</v>
      </c>
      <c r="Q98" s="76">
        <f t="shared" ca="1" si="85"/>
        <v>0</v>
      </c>
      <c r="R98" s="76">
        <f t="shared" ca="1" si="86"/>
        <v>0</v>
      </c>
      <c r="S98" s="232">
        <f t="shared" ca="1" si="79"/>
        <v>0</v>
      </c>
      <c r="U98" s="120" t="str">
        <f t="shared" si="80"/>
        <v>:0</v>
      </c>
      <c r="V98" s="120" t="str">
        <f t="shared" si="87"/>
        <v>:</v>
      </c>
      <c r="W98" s="120" t="str">
        <f t="shared" si="89"/>
        <v>:0</v>
      </c>
      <c r="X98" s="250">
        <f t="array" aca="1" ref="X98:AI98" ca="1">VLOOKUP($D98&amp;":"&amp;$C98,tblPayRates,{3,4,5,6,7,8,9,10,11,12,13,14},0)</f>
        <v>0</v>
      </c>
      <c r="Y98" s="16" t="str">
        <f ca="1"/>
        <v>Nobody</v>
      </c>
      <c r="Z98" s="261" t="str">
        <f ca="1"/>
        <v>M</v>
      </c>
      <c r="AA98" s="77" t="str">
        <f ca="1"/>
        <v>Daily</v>
      </c>
      <c r="AB98" s="77">
        <f ca="1"/>
        <v>0</v>
      </c>
      <c r="AC98" s="77">
        <f ca="1"/>
        <v>0</v>
      </c>
      <c r="AD98" s="77">
        <f ca="1"/>
        <v>0</v>
      </c>
      <c r="AE98" s="77">
        <f ca="1"/>
        <v>0</v>
      </c>
      <c r="AF98" s="261" t="str">
        <f ca="1"/>
        <v>N</v>
      </c>
      <c r="AG98" s="261">
        <f ca="1"/>
        <v>1</v>
      </c>
      <c r="AH98" s="261">
        <f ca="1"/>
        <v>1</v>
      </c>
      <c r="AI98" s="262">
        <f ca="1"/>
        <v>0</v>
      </c>
    </row>
    <row r="99" spans="1:35" hidden="1" outlineLevel="1" x14ac:dyDescent="0.25">
      <c r="A99" s="120">
        <f t="shared" si="83"/>
        <v>0</v>
      </c>
      <c r="B99" s="231"/>
      <c r="C99" s="77"/>
      <c r="D99" s="238"/>
      <c r="E99" s="76">
        <f ca="1">SUMIF(payNonMonth,"="&amp;$W99,$E$371:OFFSET($E$371,ROWS(payNonMonth)-1,0))</f>
        <v>0</v>
      </c>
      <c r="F99" s="76"/>
      <c r="G99" s="77">
        <f t="shared" ca="1" si="84"/>
        <v>0</v>
      </c>
      <c r="H99" s="76">
        <f t="shared" ca="1" si="73"/>
        <v>0</v>
      </c>
      <c r="I99" s="76">
        <f t="shared" ca="1" si="74"/>
        <v>0</v>
      </c>
      <c r="J99" s="233">
        <f t="shared" ca="1" si="75"/>
        <v>0</v>
      </c>
      <c r="K99" s="76">
        <f t="shared" ca="1" si="81"/>
        <v>0</v>
      </c>
      <c r="L99" s="76">
        <f t="shared" ca="1" si="76"/>
        <v>0</v>
      </c>
      <c r="M99" s="76">
        <f t="shared" ca="1" si="82"/>
        <v>0</v>
      </c>
      <c r="N99" s="76">
        <f t="shared" ca="1" si="77"/>
        <v>0</v>
      </c>
      <c r="O99" s="76"/>
      <c r="P99" s="76">
        <f t="shared" ca="1" si="78"/>
        <v>0</v>
      </c>
      <c r="Q99" s="76">
        <f t="shared" ca="1" si="85"/>
        <v>0</v>
      </c>
      <c r="R99" s="76">
        <f t="shared" ca="1" si="86"/>
        <v>0</v>
      </c>
      <c r="S99" s="232">
        <f t="shared" ca="1" si="79"/>
        <v>0</v>
      </c>
      <c r="U99" s="120" t="str">
        <f t="shared" si="80"/>
        <v>:0</v>
      </c>
      <c r="V99" s="120" t="str">
        <f t="shared" si="87"/>
        <v>:</v>
      </c>
      <c r="W99" s="120" t="str">
        <f t="shared" si="89"/>
        <v>:0</v>
      </c>
      <c r="X99" s="250">
        <f t="array" aca="1" ref="X99:AI99" ca="1">VLOOKUP($D99&amp;":"&amp;$C99,tblPayRates,{3,4,5,6,7,8,9,10,11,12,13,14},0)</f>
        <v>0</v>
      </c>
      <c r="Y99" s="16" t="str">
        <f ca="1"/>
        <v>Nobody</v>
      </c>
      <c r="Z99" s="261" t="str">
        <f ca="1"/>
        <v>M</v>
      </c>
      <c r="AA99" s="77" t="str">
        <f ca="1"/>
        <v>Daily</v>
      </c>
      <c r="AB99" s="77">
        <f ca="1"/>
        <v>0</v>
      </c>
      <c r="AC99" s="77">
        <f ca="1"/>
        <v>0</v>
      </c>
      <c r="AD99" s="77">
        <f ca="1"/>
        <v>0</v>
      </c>
      <c r="AE99" s="77">
        <f ca="1"/>
        <v>0</v>
      </c>
      <c r="AF99" s="261" t="str">
        <f ca="1"/>
        <v>N</v>
      </c>
      <c r="AG99" s="261">
        <f ca="1"/>
        <v>1</v>
      </c>
      <c r="AH99" s="261">
        <f ca="1"/>
        <v>1</v>
      </c>
      <c r="AI99" s="262">
        <f ca="1"/>
        <v>0</v>
      </c>
    </row>
    <row r="100" spans="1:35" hidden="1" outlineLevel="1" x14ac:dyDescent="0.25">
      <c r="A100" s="120">
        <f t="shared" si="83"/>
        <v>0</v>
      </c>
      <c r="B100" s="231"/>
      <c r="C100" s="77"/>
      <c r="D100" s="238"/>
      <c r="E100" s="76">
        <f ca="1">SUMIF(payNonMonth,"="&amp;$W100,$E$371:OFFSET($E$371,ROWS(payNonMonth)-1,0))</f>
        <v>0</v>
      </c>
      <c r="F100" s="76"/>
      <c r="G100" s="77">
        <f t="shared" ca="1" si="84"/>
        <v>0</v>
      </c>
      <c r="H100" s="76">
        <f t="shared" ca="1" si="73"/>
        <v>0</v>
      </c>
      <c r="I100" s="76">
        <f t="shared" ca="1" si="74"/>
        <v>0</v>
      </c>
      <c r="J100" s="233">
        <f t="shared" ca="1" si="75"/>
        <v>0</v>
      </c>
      <c r="K100" s="76">
        <f t="shared" ca="1" si="81"/>
        <v>0</v>
      </c>
      <c r="L100" s="76">
        <f t="shared" ca="1" si="76"/>
        <v>0</v>
      </c>
      <c r="M100" s="76">
        <f t="shared" ca="1" si="82"/>
        <v>0</v>
      </c>
      <c r="N100" s="76">
        <f t="shared" ca="1" si="77"/>
        <v>0</v>
      </c>
      <c r="O100" s="76"/>
      <c r="P100" s="76">
        <f t="shared" ca="1" si="78"/>
        <v>0</v>
      </c>
      <c r="Q100" s="76">
        <f t="shared" ca="1" si="85"/>
        <v>0</v>
      </c>
      <c r="R100" s="76">
        <f t="shared" ca="1" si="86"/>
        <v>0</v>
      </c>
      <c r="S100" s="232">
        <f t="shared" ca="1" si="79"/>
        <v>0</v>
      </c>
      <c r="U100" s="120" t="str">
        <f t="shared" si="80"/>
        <v>:0</v>
      </c>
      <c r="V100" s="120" t="str">
        <f t="shared" si="87"/>
        <v>:</v>
      </c>
      <c r="W100" s="120" t="str">
        <f t="shared" si="89"/>
        <v>:0</v>
      </c>
      <c r="X100" s="250">
        <f t="array" aca="1" ref="X100:AI100" ca="1">VLOOKUP($D100&amp;":"&amp;$C100,tblPayRates,{3,4,5,6,7,8,9,10,11,12,13,14},0)</f>
        <v>0</v>
      </c>
      <c r="Y100" s="16" t="str">
        <f ca="1"/>
        <v>Nobody</v>
      </c>
      <c r="Z100" s="261" t="str">
        <f ca="1"/>
        <v>M</v>
      </c>
      <c r="AA100" s="77" t="str">
        <f ca="1"/>
        <v>Daily</v>
      </c>
      <c r="AB100" s="77">
        <f ca="1"/>
        <v>0</v>
      </c>
      <c r="AC100" s="77">
        <f ca="1"/>
        <v>0</v>
      </c>
      <c r="AD100" s="77">
        <f ca="1"/>
        <v>0</v>
      </c>
      <c r="AE100" s="77">
        <f ca="1"/>
        <v>0</v>
      </c>
      <c r="AF100" s="261" t="str">
        <f ca="1"/>
        <v>N</v>
      </c>
      <c r="AG100" s="261">
        <f ca="1"/>
        <v>1</v>
      </c>
      <c r="AH100" s="261">
        <f ca="1"/>
        <v>1</v>
      </c>
      <c r="AI100" s="262">
        <f ca="1"/>
        <v>0</v>
      </c>
    </row>
    <row r="101" spans="1:35" hidden="1" outlineLevel="1" x14ac:dyDescent="0.25">
      <c r="A101" s="120">
        <f t="shared" si="83"/>
        <v>0</v>
      </c>
      <c r="B101" s="231"/>
      <c r="C101" s="77"/>
      <c r="D101" s="238"/>
      <c r="E101" s="76">
        <f ca="1">SUMIF(payNonMonth,"="&amp;$W101,$E$371:OFFSET($E$371,ROWS(payNonMonth)-1,0))</f>
        <v>0</v>
      </c>
      <c r="F101" s="76"/>
      <c r="G101" s="77">
        <f t="shared" ca="1" si="84"/>
        <v>0</v>
      </c>
      <c r="H101" s="76">
        <f t="shared" ca="1" si="73"/>
        <v>0</v>
      </c>
      <c r="I101" s="76">
        <f t="shared" ca="1" si="74"/>
        <v>0</v>
      </c>
      <c r="J101" s="233">
        <f t="shared" ca="1" si="75"/>
        <v>0</v>
      </c>
      <c r="K101" s="76">
        <f t="shared" ca="1" si="81"/>
        <v>0</v>
      </c>
      <c r="L101" s="76">
        <f t="shared" ca="1" si="76"/>
        <v>0</v>
      </c>
      <c r="M101" s="76">
        <f t="shared" ca="1" si="82"/>
        <v>0</v>
      </c>
      <c r="N101" s="76">
        <f t="shared" ca="1" si="77"/>
        <v>0</v>
      </c>
      <c r="O101" s="76"/>
      <c r="P101" s="76">
        <f t="shared" ca="1" si="78"/>
        <v>0</v>
      </c>
      <c r="Q101" s="76">
        <f t="shared" ca="1" si="85"/>
        <v>0</v>
      </c>
      <c r="R101" s="76">
        <f t="shared" ca="1" si="86"/>
        <v>0</v>
      </c>
      <c r="S101" s="232">
        <f t="shared" ca="1" si="79"/>
        <v>0</v>
      </c>
      <c r="U101" s="120" t="str">
        <f t="shared" si="80"/>
        <v>:0</v>
      </c>
      <c r="V101" s="120" t="str">
        <f t="shared" si="87"/>
        <v>:</v>
      </c>
      <c r="W101" s="120" t="str">
        <f>C101 &amp;":"&amp; B101</f>
        <v>:</v>
      </c>
      <c r="X101" s="250">
        <f t="array" aca="1" ref="X101:AI101" ca="1">VLOOKUP($D101&amp;":"&amp;$C101,tblPayRates,{3,4,5,6,7,8,9,10,11,12,13,14},0)</f>
        <v>0</v>
      </c>
      <c r="Y101" s="16" t="str">
        <f ca="1"/>
        <v>Nobody</v>
      </c>
      <c r="Z101" s="261" t="str">
        <f ca="1"/>
        <v>M</v>
      </c>
      <c r="AA101" s="77" t="str">
        <f ca="1"/>
        <v>Daily</v>
      </c>
      <c r="AB101" s="77">
        <f ca="1"/>
        <v>0</v>
      </c>
      <c r="AC101" s="77">
        <f ca="1"/>
        <v>0</v>
      </c>
      <c r="AD101" s="77">
        <f ca="1"/>
        <v>0</v>
      </c>
      <c r="AE101" s="77">
        <f ca="1"/>
        <v>0</v>
      </c>
      <c r="AF101" s="261" t="str">
        <f ca="1"/>
        <v>N</v>
      </c>
      <c r="AG101" s="261">
        <f ca="1"/>
        <v>1</v>
      </c>
      <c r="AH101" s="261">
        <f ca="1"/>
        <v>1</v>
      </c>
      <c r="AI101" s="262">
        <f ca="1"/>
        <v>0</v>
      </c>
    </row>
    <row r="102" spans="1:35" hidden="1" outlineLevel="1" x14ac:dyDescent="0.25">
      <c r="A102" s="120">
        <f t="shared" si="83"/>
        <v>0</v>
      </c>
      <c r="B102" s="231"/>
      <c r="C102" s="77"/>
      <c r="D102" s="238"/>
      <c r="E102" s="76">
        <f ca="1">SUMIF(payNonMonth,"="&amp;$W102,$E$371:OFFSET($E$371,ROWS(payNonMonth)-1,0))</f>
        <v>0</v>
      </c>
      <c r="F102" s="76"/>
      <c r="G102" s="77">
        <f t="shared" ca="1" si="84"/>
        <v>0</v>
      </c>
      <c r="H102" s="76">
        <f t="shared" ca="1" si="73"/>
        <v>0</v>
      </c>
      <c r="I102" s="76">
        <f t="shared" ca="1" si="74"/>
        <v>0</v>
      </c>
      <c r="J102" s="233">
        <f t="shared" ca="1" si="75"/>
        <v>0</v>
      </c>
      <c r="K102" s="76">
        <f t="shared" ca="1" si="81"/>
        <v>0</v>
      </c>
      <c r="L102" s="76">
        <f t="shared" ca="1" si="76"/>
        <v>0</v>
      </c>
      <c r="M102" s="76">
        <f t="shared" ca="1" si="82"/>
        <v>0</v>
      </c>
      <c r="N102" s="76">
        <f t="shared" ca="1" si="77"/>
        <v>0</v>
      </c>
      <c r="O102" s="76"/>
      <c r="P102" s="76">
        <f t="shared" ca="1" si="78"/>
        <v>0</v>
      </c>
      <c r="Q102" s="76">
        <f t="shared" ca="1" si="85"/>
        <v>0</v>
      </c>
      <c r="R102" s="76">
        <f t="shared" ca="1" si="86"/>
        <v>0</v>
      </c>
      <c r="S102" s="232">
        <f t="shared" ca="1" si="79"/>
        <v>0</v>
      </c>
      <c r="U102" s="120" t="str">
        <f t="shared" si="80"/>
        <v>:0</v>
      </c>
      <c r="V102" s="120" t="str">
        <f t="shared" si="87"/>
        <v>:</v>
      </c>
      <c r="W102" s="120" t="str">
        <f>C102 &amp;":"&amp; B102</f>
        <v>:</v>
      </c>
      <c r="X102" s="250">
        <f t="array" aca="1" ref="X102:AI102" ca="1">VLOOKUP($D102&amp;":"&amp;$C102,tblPayRates,{3,4,5,6,7,8,9,10,11,12,13,14},0)</f>
        <v>0</v>
      </c>
      <c r="Y102" s="16" t="str">
        <f ca="1"/>
        <v>Nobody</v>
      </c>
      <c r="Z102" s="261" t="str">
        <f ca="1"/>
        <v>M</v>
      </c>
      <c r="AA102" s="77" t="str">
        <f ca="1"/>
        <v>Daily</v>
      </c>
      <c r="AB102" s="77">
        <f ca="1"/>
        <v>0</v>
      </c>
      <c r="AC102" s="77">
        <f ca="1"/>
        <v>0</v>
      </c>
      <c r="AD102" s="77">
        <f ca="1"/>
        <v>0</v>
      </c>
      <c r="AE102" s="77">
        <f ca="1"/>
        <v>0</v>
      </c>
      <c r="AF102" s="261" t="str">
        <f ca="1"/>
        <v>N</v>
      </c>
      <c r="AG102" s="261">
        <f ca="1"/>
        <v>1</v>
      </c>
      <c r="AH102" s="261">
        <f ca="1"/>
        <v>1</v>
      </c>
      <c r="AI102" s="262">
        <f ca="1"/>
        <v>0</v>
      </c>
    </row>
    <row r="103" spans="1:35" hidden="1" outlineLevel="1" x14ac:dyDescent="0.25">
      <c r="A103" s="120">
        <f t="shared" si="83"/>
        <v>0</v>
      </c>
      <c r="B103" s="231"/>
      <c r="C103" s="77"/>
      <c r="D103" s="238"/>
      <c r="E103" s="76">
        <f ca="1">SUMIF(payNonMonth,"="&amp;$W103,$E$371:OFFSET($E$371,ROWS(payNonMonth)-1,0))</f>
        <v>0</v>
      </c>
      <c r="F103" s="76"/>
      <c r="G103" s="77">
        <f t="shared" ca="1" si="84"/>
        <v>0</v>
      </c>
      <c r="H103" s="76">
        <f t="shared" ca="1" si="73"/>
        <v>0</v>
      </c>
      <c r="I103" s="76">
        <f t="shared" ca="1" si="74"/>
        <v>0</v>
      </c>
      <c r="J103" s="233">
        <f t="shared" ca="1" si="75"/>
        <v>0</v>
      </c>
      <c r="K103" s="76">
        <f t="shared" ca="1" si="81"/>
        <v>0</v>
      </c>
      <c r="L103" s="76">
        <f t="shared" ca="1" si="76"/>
        <v>0</v>
      </c>
      <c r="M103" s="76">
        <f t="shared" ca="1" si="82"/>
        <v>0</v>
      </c>
      <c r="N103" s="76">
        <f t="shared" ca="1" si="77"/>
        <v>0</v>
      </c>
      <c r="O103" s="76"/>
      <c r="P103" s="76">
        <f t="shared" ca="1" si="78"/>
        <v>0</v>
      </c>
      <c r="Q103" s="76">
        <f t="shared" ca="1" si="85"/>
        <v>0</v>
      </c>
      <c r="R103" s="76">
        <f t="shared" ca="1" si="86"/>
        <v>0</v>
      </c>
      <c r="S103" s="232">
        <f t="shared" ca="1" si="79"/>
        <v>0</v>
      </c>
      <c r="U103" s="120" t="str">
        <f t="shared" si="80"/>
        <v>:0</v>
      </c>
      <c r="V103" s="120" t="str">
        <f t="shared" si="87"/>
        <v>:</v>
      </c>
      <c r="W103" s="120" t="str">
        <f>C103 &amp;":"&amp; B103</f>
        <v>:</v>
      </c>
      <c r="X103" s="250">
        <f t="array" aca="1" ref="X103:AI103" ca="1">VLOOKUP($D103&amp;":"&amp;$C103,tblPayRates,{3,4,5,6,7,8,9,10,11,12,13,14},0)</f>
        <v>0</v>
      </c>
      <c r="Y103" s="16" t="str">
        <f ca="1"/>
        <v>Nobody</v>
      </c>
      <c r="Z103" s="261" t="str">
        <f ca="1"/>
        <v>M</v>
      </c>
      <c r="AA103" s="77" t="str">
        <f ca="1"/>
        <v>Daily</v>
      </c>
      <c r="AB103" s="77">
        <f ca="1"/>
        <v>0</v>
      </c>
      <c r="AC103" s="77">
        <f ca="1"/>
        <v>0</v>
      </c>
      <c r="AD103" s="77">
        <f ca="1"/>
        <v>0</v>
      </c>
      <c r="AE103" s="77">
        <f ca="1"/>
        <v>0</v>
      </c>
      <c r="AF103" s="261" t="str">
        <f ca="1"/>
        <v>N</v>
      </c>
      <c r="AG103" s="261">
        <f ca="1"/>
        <v>1</v>
      </c>
      <c r="AH103" s="261">
        <f ca="1"/>
        <v>1</v>
      </c>
      <c r="AI103" s="262">
        <f ca="1"/>
        <v>0</v>
      </c>
    </row>
    <row r="104" spans="1:35" hidden="1" outlineLevel="1" x14ac:dyDescent="0.25">
      <c r="A104" s="120">
        <f t="shared" si="83"/>
        <v>0</v>
      </c>
      <c r="B104" s="231"/>
      <c r="C104" s="77"/>
      <c r="D104" s="238"/>
      <c r="E104" s="76">
        <f ca="1">SUMIF(payNonMonth,"="&amp;$W104,$E$371:OFFSET($E$371,ROWS(payNonMonth)-1,0))</f>
        <v>0</v>
      </c>
      <c r="F104" s="76"/>
      <c r="G104" s="77">
        <f t="shared" ca="1" si="84"/>
        <v>0</v>
      </c>
      <c r="H104" s="76">
        <f t="shared" ca="1" si="73"/>
        <v>0</v>
      </c>
      <c r="I104" s="76">
        <f t="shared" ca="1" si="74"/>
        <v>0</v>
      </c>
      <c r="J104" s="233">
        <f t="shared" ca="1" si="75"/>
        <v>0</v>
      </c>
      <c r="K104" s="76">
        <f t="shared" ca="1" si="81"/>
        <v>0</v>
      </c>
      <c r="L104" s="76">
        <f t="shared" ca="1" si="76"/>
        <v>0</v>
      </c>
      <c r="M104" s="76">
        <f t="shared" ca="1" si="82"/>
        <v>0</v>
      </c>
      <c r="N104" s="76">
        <f t="shared" ca="1" si="77"/>
        <v>0</v>
      </c>
      <c r="O104" s="76"/>
      <c r="P104" s="76">
        <f t="shared" ca="1" si="78"/>
        <v>0</v>
      </c>
      <c r="Q104" s="76">
        <f t="shared" ca="1" si="85"/>
        <v>0</v>
      </c>
      <c r="R104" s="76">
        <f t="shared" ca="1" si="86"/>
        <v>0</v>
      </c>
      <c r="S104" s="232">
        <f t="shared" ca="1" si="79"/>
        <v>0</v>
      </c>
      <c r="U104" s="120" t="str">
        <f t="shared" si="80"/>
        <v>:0</v>
      </c>
      <c r="V104" s="120" t="str">
        <f t="shared" si="87"/>
        <v>:</v>
      </c>
      <c r="W104" s="120" t="str">
        <f>C104 &amp;":"&amp; B104</f>
        <v>:</v>
      </c>
      <c r="X104" s="250">
        <f t="array" aca="1" ref="X104:AI104" ca="1">VLOOKUP($D104&amp;":"&amp;$C104,tblPayRates,{3,4,5,6,7,8,9,10,11,12,13,14},0)</f>
        <v>0</v>
      </c>
      <c r="Y104" s="16" t="str">
        <f ca="1"/>
        <v>Nobody</v>
      </c>
      <c r="Z104" s="261" t="str">
        <f ca="1"/>
        <v>M</v>
      </c>
      <c r="AA104" s="77" t="str">
        <f ca="1"/>
        <v>Daily</v>
      </c>
      <c r="AB104" s="77">
        <f ca="1"/>
        <v>0</v>
      </c>
      <c r="AC104" s="77">
        <f ca="1"/>
        <v>0</v>
      </c>
      <c r="AD104" s="77">
        <f ca="1"/>
        <v>0</v>
      </c>
      <c r="AE104" s="77">
        <f ca="1"/>
        <v>0</v>
      </c>
      <c r="AF104" s="261" t="str">
        <f ca="1"/>
        <v>N</v>
      </c>
      <c r="AG104" s="261">
        <f ca="1"/>
        <v>1</v>
      </c>
      <c r="AH104" s="261">
        <f ca="1"/>
        <v>1</v>
      </c>
      <c r="AI104" s="262">
        <f ca="1"/>
        <v>0</v>
      </c>
    </row>
    <row r="105" spans="1:35" hidden="1" outlineLevel="1" x14ac:dyDescent="0.25">
      <c r="A105" s="120">
        <f t="shared" si="83"/>
        <v>0</v>
      </c>
      <c r="B105" s="231"/>
      <c r="C105" s="77"/>
      <c r="D105" s="238"/>
      <c r="E105" s="76">
        <f ca="1">SUMIF(payNonMonth,"="&amp;$W105,$E$371:OFFSET($E$371,ROWS(payNonMonth)-1,0))</f>
        <v>0</v>
      </c>
      <c r="F105" s="76"/>
      <c r="G105" s="77">
        <f t="shared" ca="1" si="84"/>
        <v>0</v>
      </c>
      <c r="H105" s="76">
        <f t="shared" ca="1" si="73"/>
        <v>0</v>
      </c>
      <c r="I105" s="76">
        <f t="shared" ca="1" si="74"/>
        <v>0</v>
      </c>
      <c r="J105" s="233">
        <f t="shared" ca="1" si="75"/>
        <v>0</v>
      </c>
      <c r="K105" s="76">
        <f t="shared" ca="1" si="81"/>
        <v>0</v>
      </c>
      <c r="L105" s="76">
        <f t="shared" ca="1" si="76"/>
        <v>0</v>
      </c>
      <c r="M105" s="76">
        <f t="shared" ca="1" si="82"/>
        <v>0</v>
      </c>
      <c r="N105" s="76">
        <f t="shared" ca="1" si="77"/>
        <v>0</v>
      </c>
      <c r="O105" s="76"/>
      <c r="P105" s="76">
        <f t="shared" ca="1" si="78"/>
        <v>0</v>
      </c>
      <c r="Q105" s="76">
        <f t="shared" ca="1" si="85"/>
        <v>0</v>
      </c>
      <c r="R105" s="76">
        <f t="shared" ca="1" si="86"/>
        <v>0</v>
      </c>
      <c r="S105" s="232">
        <f t="shared" ca="1" si="79"/>
        <v>0</v>
      </c>
      <c r="U105" s="120" t="str">
        <f t="shared" si="80"/>
        <v>:0</v>
      </c>
      <c r="V105" s="120" t="str">
        <f t="shared" si="87"/>
        <v>:</v>
      </c>
      <c r="W105" s="120" t="str">
        <f t="shared" ref="W105:W110" si="90">C105 &amp;":"&amp; A105</f>
        <v>:0</v>
      </c>
      <c r="X105" s="250">
        <f t="array" aca="1" ref="X105:AI105" ca="1">VLOOKUP($D105&amp;":"&amp;$C105,tblPayRates,{3,4,5,6,7,8,9,10,11,12,13,14},0)</f>
        <v>0</v>
      </c>
      <c r="Y105" s="16" t="str">
        <f ca="1"/>
        <v>Nobody</v>
      </c>
      <c r="Z105" s="261" t="str">
        <f ca="1"/>
        <v>M</v>
      </c>
      <c r="AA105" s="77" t="str">
        <f ca="1"/>
        <v>Daily</v>
      </c>
      <c r="AB105" s="77">
        <f ca="1"/>
        <v>0</v>
      </c>
      <c r="AC105" s="77">
        <f ca="1"/>
        <v>0</v>
      </c>
      <c r="AD105" s="77">
        <f ca="1"/>
        <v>0</v>
      </c>
      <c r="AE105" s="77">
        <f ca="1"/>
        <v>0</v>
      </c>
      <c r="AF105" s="261" t="str">
        <f ca="1"/>
        <v>N</v>
      </c>
      <c r="AG105" s="261">
        <f ca="1"/>
        <v>1</v>
      </c>
      <c r="AH105" s="261">
        <f ca="1"/>
        <v>1</v>
      </c>
      <c r="AI105" s="262">
        <f ca="1"/>
        <v>0</v>
      </c>
    </row>
    <row r="106" spans="1:35" hidden="1" outlineLevel="1" x14ac:dyDescent="0.25">
      <c r="A106" s="120">
        <f t="shared" si="83"/>
        <v>0</v>
      </c>
      <c r="B106" s="231"/>
      <c r="C106" s="77"/>
      <c r="D106" s="238"/>
      <c r="E106" s="76">
        <f ca="1">SUMIF(payNonMonth,"="&amp;$W106,$E$371:OFFSET($E$371,ROWS(payNonMonth)-1,0))</f>
        <v>0</v>
      </c>
      <c r="F106" s="76"/>
      <c r="G106" s="77">
        <f t="shared" ca="1" si="84"/>
        <v>0</v>
      </c>
      <c r="H106" s="76">
        <f t="shared" ca="1" si="73"/>
        <v>0</v>
      </c>
      <c r="I106" s="76">
        <f t="shared" ca="1" si="74"/>
        <v>0</v>
      </c>
      <c r="J106" s="233">
        <f t="shared" ca="1" si="75"/>
        <v>0</v>
      </c>
      <c r="K106" s="76">
        <f t="shared" ca="1" si="81"/>
        <v>0</v>
      </c>
      <c r="L106" s="76">
        <f t="shared" ca="1" si="76"/>
        <v>0</v>
      </c>
      <c r="M106" s="76">
        <f t="shared" ca="1" si="82"/>
        <v>0</v>
      </c>
      <c r="N106" s="76">
        <f t="shared" ca="1" si="77"/>
        <v>0</v>
      </c>
      <c r="O106" s="76"/>
      <c r="P106" s="76">
        <f t="shared" ca="1" si="78"/>
        <v>0</v>
      </c>
      <c r="Q106" s="76">
        <f t="shared" ca="1" si="85"/>
        <v>0</v>
      </c>
      <c r="R106" s="76">
        <f t="shared" ca="1" si="86"/>
        <v>0</v>
      </c>
      <c r="S106" s="232">
        <f t="shared" ca="1" si="79"/>
        <v>0</v>
      </c>
      <c r="U106" s="120" t="str">
        <f t="shared" si="80"/>
        <v>:0</v>
      </c>
      <c r="V106" s="120" t="str">
        <f t="shared" si="87"/>
        <v>:</v>
      </c>
      <c r="W106" s="120" t="str">
        <f t="shared" si="90"/>
        <v>:0</v>
      </c>
      <c r="X106" s="250">
        <f t="array" aca="1" ref="X106:AI106" ca="1">VLOOKUP($D106&amp;":"&amp;$C106,tblPayRates,{3,4,5,6,7,8,9,10,11,12,13,14},0)</f>
        <v>0</v>
      </c>
      <c r="Y106" s="16" t="str">
        <f ca="1"/>
        <v>Nobody</v>
      </c>
      <c r="Z106" s="261" t="str">
        <f ca="1"/>
        <v>M</v>
      </c>
      <c r="AA106" s="77" t="str">
        <f ca="1"/>
        <v>Daily</v>
      </c>
      <c r="AB106" s="77">
        <f ca="1"/>
        <v>0</v>
      </c>
      <c r="AC106" s="77">
        <f ca="1"/>
        <v>0</v>
      </c>
      <c r="AD106" s="77">
        <f ca="1"/>
        <v>0</v>
      </c>
      <c r="AE106" s="77">
        <f ca="1"/>
        <v>0</v>
      </c>
      <c r="AF106" s="261" t="str">
        <f ca="1"/>
        <v>N</v>
      </c>
      <c r="AG106" s="261">
        <f ca="1"/>
        <v>1</v>
      </c>
      <c r="AH106" s="261">
        <f ca="1"/>
        <v>1</v>
      </c>
      <c r="AI106" s="262">
        <f ca="1"/>
        <v>0</v>
      </c>
    </row>
    <row r="107" spans="1:35" hidden="1" outlineLevel="1" x14ac:dyDescent="0.25">
      <c r="A107" s="120">
        <f t="shared" si="83"/>
        <v>0</v>
      </c>
      <c r="B107" s="231"/>
      <c r="C107" s="77"/>
      <c r="D107" s="238"/>
      <c r="E107" s="76">
        <f ca="1">SUMIF(payNonMonth,"="&amp;$W107,$E$371:OFFSET($E$371,ROWS(payNonMonth)-1,0))</f>
        <v>0</v>
      </c>
      <c r="F107" s="76"/>
      <c r="G107" s="77">
        <f t="shared" ca="1" si="84"/>
        <v>0</v>
      </c>
      <c r="H107" s="76">
        <f t="shared" ca="1" si="73"/>
        <v>0</v>
      </c>
      <c r="I107" s="76">
        <f t="shared" ca="1" si="74"/>
        <v>0</v>
      </c>
      <c r="J107" s="233">
        <f t="shared" ca="1" si="75"/>
        <v>0</v>
      </c>
      <c r="K107" s="76">
        <f t="shared" ca="1" si="81"/>
        <v>0</v>
      </c>
      <c r="L107" s="76">
        <f t="shared" ca="1" si="76"/>
        <v>0</v>
      </c>
      <c r="M107" s="76">
        <f t="shared" ca="1" si="82"/>
        <v>0</v>
      </c>
      <c r="N107" s="76">
        <f t="shared" ca="1" si="77"/>
        <v>0</v>
      </c>
      <c r="O107" s="76"/>
      <c r="P107" s="76">
        <f t="shared" ca="1" si="78"/>
        <v>0</v>
      </c>
      <c r="Q107" s="76">
        <f t="shared" ca="1" si="85"/>
        <v>0</v>
      </c>
      <c r="R107" s="76">
        <f t="shared" ca="1" si="86"/>
        <v>0</v>
      </c>
      <c r="S107" s="232">
        <f t="shared" ca="1" si="79"/>
        <v>0</v>
      </c>
      <c r="U107" s="120" t="str">
        <f t="shared" si="80"/>
        <v>:0</v>
      </c>
      <c r="V107" s="120" t="str">
        <f t="shared" si="87"/>
        <v>:</v>
      </c>
      <c r="W107" s="120" t="str">
        <f t="shared" si="90"/>
        <v>:0</v>
      </c>
      <c r="X107" s="250">
        <f t="array" aca="1" ref="X107:AI107" ca="1">VLOOKUP($D107&amp;":"&amp;$C107,tblPayRates,{3,4,5,6,7,8,9,10,11,12,13,14},0)</f>
        <v>0</v>
      </c>
      <c r="Y107" s="16" t="str">
        <f ca="1"/>
        <v>Nobody</v>
      </c>
      <c r="Z107" s="261" t="str">
        <f ca="1"/>
        <v>M</v>
      </c>
      <c r="AA107" s="77" t="str">
        <f ca="1"/>
        <v>Daily</v>
      </c>
      <c r="AB107" s="77">
        <f ca="1"/>
        <v>0</v>
      </c>
      <c r="AC107" s="77">
        <f ca="1"/>
        <v>0</v>
      </c>
      <c r="AD107" s="77">
        <f ca="1"/>
        <v>0</v>
      </c>
      <c r="AE107" s="77">
        <f ca="1"/>
        <v>0</v>
      </c>
      <c r="AF107" s="261" t="str">
        <f ca="1"/>
        <v>N</v>
      </c>
      <c r="AG107" s="261">
        <f ca="1"/>
        <v>1</v>
      </c>
      <c r="AH107" s="261">
        <f ca="1"/>
        <v>1</v>
      </c>
      <c r="AI107" s="262">
        <f ca="1"/>
        <v>0</v>
      </c>
    </row>
    <row r="108" spans="1:35" hidden="1" outlineLevel="1" x14ac:dyDescent="0.25">
      <c r="A108" s="120">
        <f t="shared" si="83"/>
        <v>0</v>
      </c>
      <c r="B108" s="231"/>
      <c r="C108" s="77"/>
      <c r="D108" s="238"/>
      <c r="E108" s="76">
        <f ca="1">SUMIF(payNonMonth,"="&amp;$W108,$E$371:OFFSET($E$371,ROWS(payNonMonth)-1,0))</f>
        <v>0</v>
      </c>
      <c r="F108" s="76"/>
      <c r="G108" s="77">
        <f t="shared" ca="1" si="84"/>
        <v>0</v>
      </c>
      <c r="H108" s="76">
        <f t="shared" ca="1" si="73"/>
        <v>0</v>
      </c>
      <c r="I108" s="76">
        <f t="shared" ca="1" si="74"/>
        <v>0</v>
      </c>
      <c r="J108" s="233">
        <f t="shared" ca="1" si="75"/>
        <v>0</v>
      </c>
      <c r="K108" s="76">
        <f t="shared" ca="1" si="81"/>
        <v>0</v>
      </c>
      <c r="L108" s="76">
        <f t="shared" ca="1" si="76"/>
        <v>0</v>
      </c>
      <c r="M108" s="76">
        <f t="shared" ca="1" si="82"/>
        <v>0</v>
      </c>
      <c r="N108" s="76">
        <f t="shared" ca="1" si="77"/>
        <v>0</v>
      </c>
      <c r="O108" s="76"/>
      <c r="P108" s="76">
        <f t="shared" ca="1" si="78"/>
        <v>0</v>
      </c>
      <c r="Q108" s="76">
        <f t="shared" ca="1" si="85"/>
        <v>0</v>
      </c>
      <c r="R108" s="76">
        <f t="shared" ca="1" si="86"/>
        <v>0</v>
      </c>
      <c r="S108" s="232">
        <f t="shared" ca="1" si="79"/>
        <v>0</v>
      </c>
      <c r="U108" s="120" t="str">
        <f t="shared" si="80"/>
        <v>:0</v>
      </c>
      <c r="V108" s="120" t="str">
        <f t="shared" si="87"/>
        <v>:</v>
      </c>
      <c r="W108" s="120" t="str">
        <f t="shared" si="90"/>
        <v>:0</v>
      </c>
      <c r="X108" s="250">
        <f t="array" aca="1" ref="X108:AI108" ca="1">VLOOKUP($D108&amp;":"&amp;$C108,tblPayRates,{3,4,5,6,7,8,9,10,11,12,13,14},0)</f>
        <v>0</v>
      </c>
      <c r="Y108" s="16" t="str">
        <f ca="1"/>
        <v>Nobody</v>
      </c>
      <c r="Z108" s="261" t="str">
        <f ca="1"/>
        <v>M</v>
      </c>
      <c r="AA108" s="77" t="str">
        <f ca="1"/>
        <v>Daily</v>
      </c>
      <c r="AB108" s="77">
        <f ca="1"/>
        <v>0</v>
      </c>
      <c r="AC108" s="77">
        <f ca="1"/>
        <v>0</v>
      </c>
      <c r="AD108" s="77">
        <f ca="1"/>
        <v>0</v>
      </c>
      <c r="AE108" s="77">
        <f ca="1"/>
        <v>0</v>
      </c>
      <c r="AF108" s="261" t="str">
        <f ca="1"/>
        <v>N</v>
      </c>
      <c r="AG108" s="261">
        <f ca="1"/>
        <v>1</v>
      </c>
      <c r="AH108" s="261">
        <f ca="1"/>
        <v>1</v>
      </c>
      <c r="AI108" s="262">
        <f ca="1"/>
        <v>0</v>
      </c>
    </row>
    <row r="109" spans="1:35" hidden="1" outlineLevel="1" x14ac:dyDescent="0.25">
      <c r="A109" s="120">
        <f t="shared" si="83"/>
        <v>0</v>
      </c>
      <c r="B109" s="231"/>
      <c r="C109" s="77"/>
      <c r="D109" s="238"/>
      <c r="E109" s="76">
        <f ca="1">SUMIF(payNonMonth,"="&amp;$W109,$E$371:OFFSET($E$371,ROWS(payNonMonth)-1,0))</f>
        <v>0</v>
      </c>
      <c r="F109" s="76"/>
      <c r="G109" s="77">
        <f t="shared" ca="1" si="84"/>
        <v>0</v>
      </c>
      <c r="H109" s="76">
        <f t="shared" ca="1" si="73"/>
        <v>0</v>
      </c>
      <c r="I109" s="76">
        <f t="shared" ca="1" si="74"/>
        <v>0</v>
      </c>
      <c r="J109" s="233">
        <f t="shared" ca="1" si="75"/>
        <v>0</v>
      </c>
      <c r="K109" s="76">
        <f t="shared" ca="1" si="81"/>
        <v>0</v>
      </c>
      <c r="L109" s="76">
        <f t="shared" ca="1" si="76"/>
        <v>0</v>
      </c>
      <c r="M109" s="76">
        <f t="shared" ca="1" si="82"/>
        <v>0</v>
      </c>
      <c r="N109" s="76">
        <f t="shared" ca="1" si="77"/>
        <v>0</v>
      </c>
      <c r="O109" s="76"/>
      <c r="P109" s="76">
        <f t="shared" ca="1" si="78"/>
        <v>0</v>
      </c>
      <c r="Q109" s="76">
        <f t="shared" ca="1" si="85"/>
        <v>0</v>
      </c>
      <c r="R109" s="76">
        <f t="shared" ca="1" si="86"/>
        <v>0</v>
      </c>
      <c r="S109" s="232">
        <f t="shared" ca="1" si="79"/>
        <v>0</v>
      </c>
      <c r="U109" s="120" t="str">
        <f t="shared" si="80"/>
        <v>:0</v>
      </c>
      <c r="V109" s="120" t="str">
        <f t="shared" si="87"/>
        <v>:</v>
      </c>
      <c r="W109" s="120" t="str">
        <f t="shared" si="90"/>
        <v>:0</v>
      </c>
      <c r="X109" s="250">
        <f t="array" aca="1" ref="X109:AI109" ca="1">VLOOKUP($D109&amp;":"&amp;$C109,tblPayRates,{3,4,5,6,7,8,9,10,11,12,13,14},0)</f>
        <v>0</v>
      </c>
      <c r="Y109" s="16" t="str">
        <f ca="1"/>
        <v>Nobody</v>
      </c>
      <c r="Z109" s="261" t="str">
        <f ca="1"/>
        <v>M</v>
      </c>
      <c r="AA109" s="77" t="str">
        <f ca="1"/>
        <v>Daily</v>
      </c>
      <c r="AB109" s="77">
        <f ca="1"/>
        <v>0</v>
      </c>
      <c r="AC109" s="77">
        <f ca="1"/>
        <v>0</v>
      </c>
      <c r="AD109" s="77">
        <f ca="1"/>
        <v>0</v>
      </c>
      <c r="AE109" s="77">
        <f ca="1"/>
        <v>0</v>
      </c>
      <c r="AF109" s="261" t="str">
        <f ca="1"/>
        <v>N</v>
      </c>
      <c r="AG109" s="261">
        <f ca="1"/>
        <v>1</v>
      </c>
      <c r="AH109" s="261">
        <f ca="1"/>
        <v>1</v>
      </c>
      <c r="AI109" s="262">
        <f ca="1"/>
        <v>0</v>
      </c>
    </row>
    <row r="110" spans="1:35" hidden="1" outlineLevel="1" x14ac:dyDescent="0.25">
      <c r="A110" s="120">
        <f t="shared" si="83"/>
        <v>0</v>
      </c>
      <c r="B110" s="231"/>
      <c r="C110" s="77"/>
      <c r="D110" s="238"/>
      <c r="E110" s="76">
        <f ca="1">SUMIF(payNonMonth,"="&amp;$W110,$E$371:OFFSET($E$371,ROWS(payNonMonth)-1,0))</f>
        <v>0</v>
      </c>
      <c r="F110" s="76"/>
      <c r="G110" s="77">
        <f t="shared" ca="1" si="84"/>
        <v>0</v>
      </c>
      <c r="H110" s="76">
        <f t="shared" ca="1" si="73"/>
        <v>0</v>
      </c>
      <c r="I110" s="76">
        <f t="shared" ca="1" si="74"/>
        <v>0</v>
      </c>
      <c r="J110" s="233">
        <f t="shared" ca="1" si="75"/>
        <v>0</v>
      </c>
      <c r="K110" s="76">
        <f t="shared" ca="1" si="81"/>
        <v>0</v>
      </c>
      <c r="L110" s="76">
        <f t="shared" ca="1" si="76"/>
        <v>0</v>
      </c>
      <c r="M110" s="76">
        <f t="shared" ca="1" si="82"/>
        <v>0</v>
      </c>
      <c r="N110" s="76">
        <f t="shared" ca="1" si="77"/>
        <v>0</v>
      </c>
      <c r="O110" s="76"/>
      <c r="P110" s="76">
        <f t="shared" ca="1" si="78"/>
        <v>0</v>
      </c>
      <c r="Q110" s="76">
        <f t="shared" ca="1" si="85"/>
        <v>0</v>
      </c>
      <c r="R110" s="76">
        <f t="shared" ca="1" si="86"/>
        <v>0</v>
      </c>
      <c r="S110" s="232">
        <f t="shared" ca="1" si="79"/>
        <v>0</v>
      </c>
      <c r="U110" s="120" t="str">
        <f t="shared" si="80"/>
        <v>:0</v>
      </c>
      <c r="V110" s="120" t="str">
        <f t="shared" si="87"/>
        <v>:</v>
      </c>
      <c r="W110" s="120" t="str">
        <f t="shared" si="90"/>
        <v>:0</v>
      </c>
      <c r="X110" s="250">
        <f t="array" aca="1" ref="X110:AI110" ca="1">VLOOKUP($D110&amp;":"&amp;$C110,tblPayRates,{3,4,5,6,7,8,9,10,11,12,13,14},0)</f>
        <v>0</v>
      </c>
      <c r="Y110" s="16" t="str">
        <f ca="1"/>
        <v>Nobody</v>
      </c>
      <c r="Z110" s="261" t="str">
        <f ca="1"/>
        <v>M</v>
      </c>
      <c r="AA110" s="77" t="str">
        <f ca="1"/>
        <v>Daily</v>
      </c>
      <c r="AB110" s="77">
        <f ca="1"/>
        <v>0</v>
      </c>
      <c r="AC110" s="77">
        <f ca="1"/>
        <v>0</v>
      </c>
      <c r="AD110" s="77">
        <f ca="1"/>
        <v>0</v>
      </c>
      <c r="AE110" s="77">
        <f ca="1"/>
        <v>0</v>
      </c>
      <c r="AF110" s="261" t="str">
        <f ca="1"/>
        <v>N</v>
      </c>
      <c r="AG110" s="261">
        <f ca="1"/>
        <v>1</v>
      </c>
      <c r="AH110" s="261">
        <f ca="1"/>
        <v>1</v>
      </c>
      <c r="AI110" s="262">
        <f ca="1"/>
        <v>0</v>
      </c>
    </row>
    <row r="111" spans="1:35" hidden="1" outlineLevel="1" x14ac:dyDescent="0.25">
      <c r="A111" s="120">
        <f t="shared" si="83"/>
        <v>0</v>
      </c>
      <c r="B111" s="231"/>
      <c r="C111" s="77"/>
      <c r="D111" s="238"/>
      <c r="E111" s="76">
        <f ca="1">SUMIF(payNonMonth,"="&amp;$W111,$E$371:OFFSET($E$371,ROWS(payNonMonth)-1,0))</f>
        <v>0</v>
      </c>
      <c r="F111" s="76"/>
      <c r="G111" s="77">
        <f t="shared" ca="1" si="84"/>
        <v>0</v>
      </c>
      <c r="H111" s="76">
        <f t="shared" ca="1" si="73"/>
        <v>0</v>
      </c>
      <c r="I111" s="76">
        <f t="shared" ca="1" si="74"/>
        <v>0</v>
      </c>
      <c r="J111" s="233">
        <f t="shared" ca="1" si="75"/>
        <v>0</v>
      </c>
      <c r="K111" s="76">
        <f t="shared" ca="1" si="81"/>
        <v>0</v>
      </c>
      <c r="L111" s="76">
        <f t="shared" ca="1" si="76"/>
        <v>0</v>
      </c>
      <c r="M111" s="76">
        <f t="shared" ca="1" si="82"/>
        <v>0</v>
      </c>
      <c r="N111" s="76">
        <f t="shared" ca="1" si="77"/>
        <v>0</v>
      </c>
      <c r="O111" s="76"/>
      <c r="P111" s="76">
        <f t="shared" ca="1" si="78"/>
        <v>0</v>
      </c>
      <c r="Q111" s="76">
        <f t="shared" ca="1" si="85"/>
        <v>0</v>
      </c>
      <c r="R111" s="76">
        <f t="shared" ca="1" si="86"/>
        <v>0</v>
      </c>
      <c r="S111" s="232">
        <f t="shared" ca="1" si="79"/>
        <v>0</v>
      </c>
      <c r="U111" s="120" t="str">
        <f t="shared" si="80"/>
        <v>:0</v>
      </c>
      <c r="V111" s="120" t="str">
        <f t="shared" si="87"/>
        <v>:</v>
      </c>
      <c r="W111" s="120" t="str">
        <f>C111 &amp;":"&amp; B111</f>
        <v>:</v>
      </c>
      <c r="X111" s="250">
        <f t="array" aca="1" ref="X111:AI111" ca="1">VLOOKUP($D111&amp;":"&amp;$C111,tblPayRates,{3,4,5,6,7,8,9,10,11,12,13,14},0)</f>
        <v>0</v>
      </c>
      <c r="Y111" s="16" t="str">
        <f ca="1"/>
        <v>Nobody</v>
      </c>
      <c r="Z111" s="261" t="str">
        <f ca="1"/>
        <v>M</v>
      </c>
      <c r="AA111" s="77" t="str">
        <f ca="1"/>
        <v>Daily</v>
      </c>
      <c r="AB111" s="77">
        <f ca="1"/>
        <v>0</v>
      </c>
      <c r="AC111" s="77">
        <f ca="1"/>
        <v>0</v>
      </c>
      <c r="AD111" s="77">
        <f ca="1"/>
        <v>0</v>
      </c>
      <c r="AE111" s="77">
        <f ca="1"/>
        <v>0</v>
      </c>
      <c r="AF111" s="261" t="str">
        <f ca="1"/>
        <v>N</v>
      </c>
      <c r="AG111" s="261">
        <f ca="1"/>
        <v>1</v>
      </c>
      <c r="AH111" s="261">
        <f ca="1"/>
        <v>1</v>
      </c>
      <c r="AI111" s="262">
        <f ca="1"/>
        <v>0</v>
      </c>
    </row>
    <row r="112" spans="1:35" hidden="1" outlineLevel="1" x14ac:dyDescent="0.25">
      <c r="A112" s="120">
        <f t="shared" si="83"/>
        <v>0</v>
      </c>
      <c r="B112" s="231"/>
      <c r="C112" s="77"/>
      <c r="D112" s="238"/>
      <c r="E112" s="76">
        <f ca="1">SUMIF(payNonMonth,"="&amp;$W112,$E$371:OFFSET($E$371,ROWS(payNonMonth)-1,0))</f>
        <v>0</v>
      </c>
      <c r="F112" s="76"/>
      <c r="G112" s="77">
        <f t="shared" ca="1" si="84"/>
        <v>0</v>
      </c>
      <c r="H112" s="76">
        <f t="shared" ca="1" si="73"/>
        <v>0</v>
      </c>
      <c r="I112" s="76">
        <f t="shared" ca="1" si="74"/>
        <v>0</v>
      </c>
      <c r="J112" s="233">
        <f t="shared" ca="1" si="75"/>
        <v>0</v>
      </c>
      <c r="K112" s="76">
        <f t="shared" ca="1" si="81"/>
        <v>0</v>
      </c>
      <c r="L112" s="76">
        <f t="shared" ca="1" si="76"/>
        <v>0</v>
      </c>
      <c r="M112" s="76">
        <f t="shared" ca="1" si="82"/>
        <v>0</v>
      </c>
      <c r="N112" s="76">
        <f t="shared" ca="1" si="77"/>
        <v>0</v>
      </c>
      <c r="O112" s="76"/>
      <c r="P112" s="76">
        <f t="shared" ca="1" si="78"/>
        <v>0</v>
      </c>
      <c r="Q112" s="76">
        <f t="shared" ca="1" si="85"/>
        <v>0</v>
      </c>
      <c r="R112" s="76">
        <f t="shared" ca="1" si="86"/>
        <v>0</v>
      </c>
      <c r="S112" s="232">
        <f t="shared" ca="1" si="79"/>
        <v>0</v>
      </c>
      <c r="U112" s="120" t="str">
        <f t="shared" si="80"/>
        <v>:0</v>
      </c>
      <c r="V112" s="120" t="str">
        <f t="shared" si="87"/>
        <v>:</v>
      </c>
      <c r="W112" s="120" t="str">
        <f>C112 &amp;":"&amp; B112</f>
        <v>:</v>
      </c>
      <c r="X112" s="250">
        <f t="array" aca="1" ref="X112:AI112" ca="1">VLOOKUP($D112&amp;":"&amp;$C112,tblPayRates,{3,4,5,6,7,8,9,10,11,12,13,14},0)</f>
        <v>0</v>
      </c>
      <c r="Y112" s="16" t="str">
        <f ca="1"/>
        <v>Nobody</v>
      </c>
      <c r="Z112" s="261" t="str">
        <f ca="1"/>
        <v>M</v>
      </c>
      <c r="AA112" s="77" t="str">
        <f ca="1"/>
        <v>Daily</v>
      </c>
      <c r="AB112" s="77">
        <f ca="1"/>
        <v>0</v>
      </c>
      <c r="AC112" s="77">
        <f ca="1"/>
        <v>0</v>
      </c>
      <c r="AD112" s="77">
        <f ca="1"/>
        <v>0</v>
      </c>
      <c r="AE112" s="77">
        <f ca="1"/>
        <v>0</v>
      </c>
      <c r="AF112" s="261" t="str">
        <f ca="1"/>
        <v>N</v>
      </c>
      <c r="AG112" s="261">
        <f ca="1"/>
        <v>1</v>
      </c>
      <c r="AH112" s="261">
        <f ca="1"/>
        <v>1</v>
      </c>
      <c r="AI112" s="262">
        <f ca="1"/>
        <v>0</v>
      </c>
    </row>
    <row r="113" spans="1:35" hidden="1" outlineLevel="1" x14ac:dyDescent="0.25">
      <c r="A113" s="120">
        <f t="shared" si="83"/>
        <v>0</v>
      </c>
      <c r="B113" s="231"/>
      <c r="C113" s="77"/>
      <c r="D113" s="238"/>
      <c r="E113" s="76">
        <f ca="1">SUMIF(payNonMonth,"="&amp;$W113,$E$371:OFFSET($E$371,ROWS(payNonMonth)-1,0))</f>
        <v>0</v>
      </c>
      <c r="F113" s="76"/>
      <c r="G113" s="77">
        <f t="shared" ca="1" si="84"/>
        <v>0</v>
      </c>
      <c r="H113" s="76">
        <f t="shared" ca="1" si="73"/>
        <v>0</v>
      </c>
      <c r="I113" s="76">
        <f t="shared" ca="1" si="74"/>
        <v>0</v>
      </c>
      <c r="J113" s="233">
        <f t="shared" ca="1" si="75"/>
        <v>0</v>
      </c>
      <c r="K113" s="76">
        <f t="shared" ca="1" si="81"/>
        <v>0</v>
      </c>
      <c r="L113" s="76">
        <f t="shared" ca="1" si="76"/>
        <v>0</v>
      </c>
      <c r="M113" s="76">
        <f t="shared" ca="1" si="82"/>
        <v>0</v>
      </c>
      <c r="N113" s="76">
        <f t="shared" ca="1" si="77"/>
        <v>0</v>
      </c>
      <c r="O113" s="76"/>
      <c r="P113" s="76">
        <f t="shared" ca="1" si="78"/>
        <v>0</v>
      </c>
      <c r="Q113" s="76">
        <f t="shared" ca="1" si="85"/>
        <v>0</v>
      </c>
      <c r="R113" s="76">
        <f t="shared" ca="1" si="86"/>
        <v>0</v>
      </c>
      <c r="S113" s="232">
        <f t="shared" ca="1" si="79"/>
        <v>0</v>
      </c>
      <c r="U113" s="120" t="str">
        <f t="shared" si="80"/>
        <v>:0</v>
      </c>
      <c r="V113" s="120" t="str">
        <f t="shared" si="87"/>
        <v>:</v>
      </c>
      <c r="W113" s="120" t="str">
        <f>C113 &amp;":"&amp; B113</f>
        <v>:</v>
      </c>
      <c r="X113" s="250">
        <f t="array" aca="1" ref="X113:AI113" ca="1">VLOOKUP($D113&amp;":"&amp;$C113,tblPayRates,{3,4,5,6,7,8,9,10,11,12,13,14},0)</f>
        <v>0</v>
      </c>
      <c r="Y113" s="16" t="str">
        <f ca="1"/>
        <v>Nobody</v>
      </c>
      <c r="Z113" s="261" t="str">
        <f ca="1"/>
        <v>M</v>
      </c>
      <c r="AA113" s="77" t="str">
        <f ca="1"/>
        <v>Daily</v>
      </c>
      <c r="AB113" s="77">
        <f ca="1"/>
        <v>0</v>
      </c>
      <c r="AC113" s="77">
        <f ca="1"/>
        <v>0</v>
      </c>
      <c r="AD113" s="77">
        <f ca="1"/>
        <v>0</v>
      </c>
      <c r="AE113" s="77">
        <f ca="1"/>
        <v>0</v>
      </c>
      <c r="AF113" s="261" t="str">
        <f ca="1"/>
        <v>N</v>
      </c>
      <c r="AG113" s="261">
        <f ca="1"/>
        <v>1</v>
      </c>
      <c r="AH113" s="261">
        <f ca="1"/>
        <v>1</v>
      </c>
      <c r="AI113" s="262">
        <f ca="1"/>
        <v>0</v>
      </c>
    </row>
    <row r="114" spans="1:35" hidden="1" outlineLevel="1" x14ac:dyDescent="0.25">
      <c r="A114" s="120">
        <f t="shared" si="83"/>
        <v>0</v>
      </c>
      <c r="B114" s="231"/>
      <c r="C114" s="77"/>
      <c r="D114" s="238"/>
      <c r="E114" s="76">
        <f ca="1">SUMIF(payNonMonth,"="&amp;$W114,$E$371:OFFSET($E$371,ROWS(payNonMonth)-1,0))</f>
        <v>0</v>
      </c>
      <c r="F114" s="76"/>
      <c r="G114" s="77">
        <f t="shared" ca="1" si="84"/>
        <v>0</v>
      </c>
      <c r="H114" s="76">
        <f t="shared" ca="1" si="73"/>
        <v>0</v>
      </c>
      <c r="I114" s="76">
        <f t="shared" ca="1" si="74"/>
        <v>0</v>
      </c>
      <c r="J114" s="233">
        <f t="shared" ca="1" si="75"/>
        <v>0</v>
      </c>
      <c r="K114" s="76">
        <f t="shared" ca="1" si="81"/>
        <v>0</v>
      </c>
      <c r="L114" s="76">
        <f t="shared" ca="1" si="76"/>
        <v>0</v>
      </c>
      <c r="M114" s="76">
        <f t="shared" ca="1" si="82"/>
        <v>0</v>
      </c>
      <c r="N114" s="76">
        <f t="shared" ca="1" si="77"/>
        <v>0</v>
      </c>
      <c r="O114" s="76"/>
      <c r="P114" s="76">
        <f t="shared" ca="1" si="78"/>
        <v>0</v>
      </c>
      <c r="Q114" s="76">
        <f t="shared" ca="1" si="85"/>
        <v>0</v>
      </c>
      <c r="R114" s="76">
        <f t="shared" ca="1" si="86"/>
        <v>0</v>
      </c>
      <c r="S114" s="232">
        <f t="shared" ca="1" si="79"/>
        <v>0</v>
      </c>
      <c r="U114" s="120" t="str">
        <f t="shared" si="80"/>
        <v>:0</v>
      </c>
      <c r="V114" s="120" t="str">
        <f t="shared" si="87"/>
        <v>:</v>
      </c>
      <c r="W114" s="120" t="str">
        <f>C114 &amp;":"&amp; B114</f>
        <v>:</v>
      </c>
      <c r="X114" s="250">
        <f t="array" aca="1" ref="X114:AI114" ca="1">VLOOKUP($D114&amp;":"&amp;$C114,tblPayRates,{3,4,5,6,7,8,9,10,11,12,13,14},0)</f>
        <v>0</v>
      </c>
      <c r="Y114" s="16" t="str">
        <f ca="1"/>
        <v>Nobody</v>
      </c>
      <c r="Z114" s="261" t="str">
        <f ca="1"/>
        <v>M</v>
      </c>
      <c r="AA114" s="77" t="str">
        <f ca="1"/>
        <v>Daily</v>
      </c>
      <c r="AB114" s="77">
        <f ca="1"/>
        <v>0</v>
      </c>
      <c r="AC114" s="77">
        <f ca="1"/>
        <v>0</v>
      </c>
      <c r="AD114" s="77">
        <f ca="1"/>
        <v>0</v>
      </c>
      <c r="AE114" s="77">
        <f ca="1"/>
        <v>0</v>
      </c>
      <c r="AF114" s="261" t="str">
        <f ca="1"/>
        <v>N</v>
      </c>
      <c r="AG114" s="261">
        <f ca="1"/>
        <v>1</v>
      </c>
      <c r="AH114" s="261">
        <f ca="1"/>
        <v>1</v>
      </c>
      <c r="AI114" s="262">
        <f ca="1"/>
        <v>0</v>
      </c>
    </row>
    <row r="115" spans="1:35" hidden="1" outlineLevel="1" x14ac:dyDescent="0.25">
      <c r="A115" s="120">
        <f t="shared" si="83"/>
        <v>0</v>
      </c>
      <c r="B115" s="231"/>
      <c r="C115" s="77"/>
      <c r="D115" s="238"/>
      <c r="E115" s="76">
        <f ca="1">SUMIF(payNonMonth,"="&amp;$W115,$E$371:OFFSET($E$371,ROWS(payNonMonth)-1,0))</f>
        <v>0</v>
      </c>
      <c r="F115" s="76"/>
      <c r="G115" s="77">
        <f t="shared" ca="1" si="84"/>
        <v>0</v>
      </c>
      <c r="H115" s="76">
        <f t="shared" ca="1" si="73"/>
        <v>0</v>
      </c>
      <c r="I115" s="76">
        <f t="shared" ca="1" si="74"/>
        <v>0</v>
      </c>
      <c r="J115" s="233">
        <f t="shared" ca="1" si="75"/>
        <v>0</v>
      </c>
      <c r="K115" s="76">
        <f t="shared" ca="1" si="81"/>
        <v>0</v>
      </c>
      <c r="L115" s="76">
        <f t="shared" ca="1" si="76"/>
        <v>0</v>
      </c>
      <c r="M115" s="76">
        <f t="shared" ca="1" si="82"/>
        <v>0</v>
      </c>
      <c r="N115" s="76">
        <f t="shared" ca="1" si="77"/>
        <v>0</v>
      </c>
      <c r="O115" s="76"/>
      <c r="P115" s="76">
        <f t="shared" ca="1" si="78"/>
        <v>0</v>
      </c>
      <c r="Q115" s="76">
        <f t="shared" ca="1" si="85"/>
        <v>0</v>
      </c>
      <c r="R115" s="76">
        <f t="shared" ca="1" si="86"/>
        <v>0</v>
      </c>
      <c r="S115" s="232">
        <f t="shared" ca="1" si="79"/>
        <v>0</v>
      </c>
      <c r="U115" s="120" t="str">
        <f t="shared" si="80"/>
        <v>:0</v>
      </c>
      <c r="V115" s="120" t="str">
        <f t="shared" si="87"/>
        <v>:</v>
      </c>
      <c r="W115" s="120" t="str">
        <f t="shared" ref="W115:W147" si="91">C115 &amp;":"&amp; A115</f>
        <v>:0</v>
      </c>
      <c r="X115" s="250">
        <f t="array" aca="1" ref="X115:AI115" ca="1">VLOOKUP($D115&amp;":"&amp;$C115,tblPayRates,{3,4,5,6,7,8,9,10,11,12,13,14},0)</f>
        <v>0</v>
      </c>
      <c r="Y115" s="16" t="str">
        <f ca="1"/>
        <v>Nobody</v>
      </c>
      <c r="Z115" s="261" t="str">
        <f ca="1"/>
        <v>M</v>
      </c>
      <c r="AA115" s="77" t="str">
        <f ca="1"/>
        <v>Daily</v>
      </c>
      <c r="AB115" s="77">
        <f ca="1"/>
        <v>0</v>
      </c>
      <c r="AC115" s="77">
        <f ca="1"/>
        <v>0</v>
      </c>
      <c r="AD115" s="77">
        <f ca="1"/>
        <v>0</v>
      </c>
      <c r="AE115" s="77">
        <f ca="1"/>
        <v>0</v>
      </c>
      <c r="AF115" s="261" t="str">
        <f ca="1"/>
        <v>N</v>
      </c>
      <c r="AG115" s="261">
        <f ca="1"/>
        <v>1</v>
      </c>
      <c r="AH115" s="261">
        <f ca="1"/>
        <v>1</v>
      </c>
      <c r="AI115" s="262">
        <f ca="1"/>
        <v>0</v>
      </c>
    </row>
    <row r="116" spans="1:35" hidden="1" outlineLevel="1" x14ac:dyDescent="0.25">
      <c r="A116" s="120">
        <f t="shared" si="83"/>
        <v>0</v>
      </c>
      <c r="B116" s="231"/>
      <c r="C116" s="77"/>
      <c r="D116" s="238"/>
      <c r="E116" s="76">
        <f ca="1">SUMIF(payNonMonth,"="&amp;$W116,$E$371:OFFSET($E$371,ROWS(payNonMonth)-1,0))</f>
        <v>0</v>
      </c>
      <c r="F116" s="76"/>
      <c r="G116" s="77">
        <f t="shared" ca="1" si="84"/>
        <v>0</v>
      </c>
      <c r="H116" s="76">
        <f t="shared" ca="1" si="73"/>
        <v>0</v>
      </c>
      <c r="I116" s="76">
        <f t="shared" ca="1" si="74"/>
        <v>0</v>
      </c>
      <c r="J116" s="233">
        <f t="shared" ca="1" si="75"/>
        <v>0</v>
      </c>
      <c r="K116" s="76">
        <f t="shared" ca="1" si="81"/>
        <v>0</v>
      </c>
      <c r="L116" s="76">
        <f t="shared" ca="1" si="76"/>
        <v>0</v>
      </c>
      <c r="M116" s="76">
        <f t="shared" ca="1" si="82"/>
        <v>0</v>
      </c>
      <c r="N116" s="76">
        <f t="shared" ca="1" si="77"/>
        <v>0</v>
      </c>
      <c r="O116" s="76"/>
      <c r="P116" s="76">
        <f t="shared" ca="1" si="78"/>
        <v>0</v>
      </c>
      <c r="Q116" s="76">
        <f t="shared" ca="1" si="85"/>
        <v>0</v>
      </c>
      <c r="R116" s="76">
        <f t="shared" ca="1" si="86"/>
        <v>0</v>
      </c>
      <c r="S116" s="232">
        <f t="shared" ca="1" si="79"/>
        <v>0</v>
      </c>
      <c r="U116" s="120" t="str">
        <f t="shared" si="80"/>
        <v>:0</v>
      </c>
      <c r="V116" s="120" t="str">
        <f t="shared" si="87"/>
        <v>:</v>
      </c>
      <c r="W116" s="120" t="str">
        <f t="shared" si="91"/>
        <v>:0</v>
      </c>
      <c r="X116" s="250">
        <f t="array" aca="1" ref="X116:AI116" ca="1">VLOOKUP($D116&amp;":"&amp;$C116,tblPayRates,{3,4,5,6,7,8,9,10,11,12,13,14},0)</f>
        <v>0</v>
      </c>
      <c r="Y116" s="16" t="str">
        <f ca="1"/>
        <v>Nobody</v>
      </c>
      <c r="Z116" s="261" t="str">
        <f ca="1"/>
        <v>M</v>
      </c>
      <c r="AA116" s="77" t="str">
        <f ca="1"/>
        <v>Daily</v>
      </c>
      <c r="AB116" s="77">
        <f ca="1"/>
        <v>0</v>
      </c>
      <c r="AC116" s="77">
        <f ca="1"/>
        <v>0</v>
      </c>
      <c r="AD116" s="77">
        <f ca="1"/>
        <v>0</v>
      </c>
      <c r="AE116" s="77">
        <f ca="1"/>
        <v>0</v>
      </c>
      <c r="AF116" s="261" t="str">
        <f ca="1"/>
        <v>N</v>
      </c>
      <c r="AG116" s="261">
        <f ca="1"/>
        <v>1</v>
      </c>
      <c r="AH116" s="261">
        <f ca="1"/>
        <v>1</v>
      </c>
      <c r="AI116" s="262">
        <f ca="1"/>
        <v>0</v>
      </c>
    </row>
    <row r="117" spans="1:35" hidden="1" outlineLevel="1" x14ac:dyDescent="0.25">
      <c r="A117" s="120">
        <f t="shared" si="83"/>
        <v>0</v>
      </c>
      <c r="B117" s="231"/>
      <c r="C117" s="77"/>
      <c r="D117" s="238"/>
      <c r="E117" s="76">
        <f ca="1">SUMIF(payNonMonth,"="&amp;$W117,$E$371:OFFSET($E$371,ROWS(payNonMonth)-1,0))</f>
        <v>0</v>
      </c>
      <c r="F117" s="76"/>
      <c r="G117" s="77">
        <f t="shared" ca="1" si="84"/>
        <v>0</v>
      </c>
      <c r="H117" s="76">
        <f t="shared" ref="H117:H147" ca="1" si="92">ROUND(SUM(E117:F117)*AB117,2)</f>
        <v>0</v>
      </c>
      <c r="I117" s="76">
        <f t="shared" ref="I117:I147" ca="1" si="93">H117*OFFSET(payMgmtRate,0,$AG117)</f>
        <v>0</v>
      </c>
      <c r="J117" s="233">
        <f t="shared" ref="J117:J147" ca="1" si="94">ROUND(IF(AH117,$E117,1)*AD117+$F117*AE117+SUMIF(payAllow,$V117,$J$266:$J$368),2)</f>
        <v>0</v>
      </c>
      <c r="K117" s="76">
        <f t="shared" ca="1" si="81"/>
        <v>0</v>
      </c>
      <c r="L117" s="76">
        <f t="shared" ref="L117:L147" ca="1" si="95">SUMIF(payAllow,$V117,L$266:L$368)*$G117</f>
        <v>0</v>
      </c>
      <c r="M117" s="76">
        <f t="shared" ca="1" si="82"/>
        <v>0</v>
      </c>
      <c r="N117" s="76">
        <f t="shared" ref="N117:N147" ca="1" si="96">SUMIF(payAllow,$V117,N$266:N$368)*G117</f>
        <v>0</v>
      </c>
      <c r="O117" s="76"/>
      <c r="P117" s="76">
        <f t="shared" ref="P117:P147" ca="1" si="97">J117-SUM(K117:O117)</f>
        <v>0</v>
      </c>
      <c r="Q117" s="76">
        <f t="shared" ca="1" si="85"/>
        <v>0</v>
      </c>
      <c r="R117" s="76">
        <f t="shared" ca="1" si="86"/>
        <v>0</v>
      </c>
      <c r="S117" s="232">
        <f t="shared" ref="S117:S147" ca="1" si="98">SUMIF(payAllow,V117,S$266:S$368)*G117</f>
        <v>0</v>
      </c>
      <c r="U117" s="120" t="str">
        <f t="shared" ref="U117:U147" si="99">IF(EmpID="*","*",C117) &amp;":"&amp; $A117</f>
        <v>:0</v>
      </c>
      <c r="V117" s="120" t="str">
        <f t="shared" si="87"/>
        <v>:</v>
      </c>
      <c r="W117" s="120" t="str">
        <f t="shared" si="91"/>
        <v>:0</v>
      </c>
      <c r="X117" s="250">
        <f t="array" aca="1" ref="X117:AI117" ca="1">VLOOKUP($D117&amp;":"&amp;$C117,tblPayRates,{3,4,5,6,7,8,9,10,11,12,13,14},0)</f>
        <v>0</v>
      </c>
      <c r="Y117" s="16" t="str">
        <f ca="1"/>
        <v>Nobody</v>
      </c>
      <c r="Z117" s="261" t="str">
        <f ca="1"/>
        <v>M</v>
      </c>
      <c r="AA117" s="77" t="str">
        <f ca="1"/>
        <v>Daily</v>
      </c>
      <c r="AB117" s="77">
        <f ca="1"/>
        <v>0</v>
      </c>
      <c r="AC117" s="77">
        <f ca="1"/>
        <v>0</v>
      </c>
      <c r="AD117" s="77">
        <f ca="1"/>
        <v>0</v>
      </c>
      <c r="AE117" s="77">
        <f ca="1"/>
        <v>0</v>
      </c>
      <c r="AF117" s="261" t="str">
        <f ca="1"/>
        <v>N</v>
      </c>
      <c r="AG117" s="261">
        <f ca="1"/>
        <v>1</v>
      </c>
      <c r="AH117" s="261">
        <f ca="1"/>
        <v>1</v>
      </c>
      <c r="AI117" s="262">
        <f ca="1"/>
        <v>0</v>
      </c>
    </row>
    <row r="118" spans="1:35" hidden="1" outlineLevel="1" x14ac:dyDescent="0.25">
      <c r="A118" s="120">
        <f t="shared" si="83"/>
        <v>0</v>
      </c>
      <c r="B118" s="231"/>
      <c r="C118" s="77"/>
      <c r="D118" s="238"/>
      <c r="E118" s="76">
        <f ca="1">SUMIF(payNonMonth,"="&amp;$W118,$E$371:OFFSET($E$371,ROWS(payNonMonth)-1,0))</f>
        <v>0</v>
      </c>
      <c r="F118" s="76"/>
      <c r="G118" s="77">
        <f t="shared" ca="1" si="84"/>
        <v>0</v>
      </c>
      <c r="H118" s="76">
        <f t="shared" ca="1" si="92"/>
        <v>0</v>
      </c>
      <c r="I118" s="76">
        <f t="shared" ca="1" si="93"/>
        <v>0</v>
      </c>
      <c r="J118" s="233">
        <f t="shared" ca="1" si="94"/>
        <v>0</v>
      </c>
      <c r="K118" s="76">
        <f t="shared" ref="K118:K147" ca="1" si="100">ROUND(J118*InsureRate2,2)</f>
        <v>0</v>
      </c>
      <c r="L118" s="76">
        <f t="shared" ca="1" si="95"/>
        <v>0</v>
      </c>
      <c r="M118" s="76">
        <f t="shared" ca="1" si="82"/>
        <v>0</v>
      </c>
      <c r="N118" s="76">
        <f t="shared" ca="1" si="96"/>
        <v>0</v>
      </c>
      <c r="O118" s="76"/>
      <c r="P118" s="76">
        <f t="shared" ca="1" si="97"/>
        <v>0</v>
      </c>
      <c r="Q118" s="76">
        <f t="shared" ca="1" si="85"/>
        <v>0</v>
      </c>
      <c r="R118" s="76">
        <f t="shared" ca="1" si="86"/>
        <v>0</v>
      </c>
      <c r="S118" s="232">
        <f t="shared" ca="1" si="98"/>
        <v>0</v>
      </c>
      <c r="U118" s="120" t="str">
        <f t="shared" si="99"/>
        <v>:0</v>
      </c>
      <c r="V118" s="120" t="str">
        <f t="shared" si="87"/>
        <v>:</v>
      </c>
      <c r="W118" s="120" t="str">
        <f t="shared" si="91"/>
        <v>:0</v>
      </c>
      <c r="X118" s="250">
        <f t="array" aca="1" ref="X118:AI118" ca="1">VLOOKUP($D118&amp;":"&amp;$C118,tblPayRates,{3,4,5,6,7,8,9,10,11,12,13,14},0)</f>
        <v>0</v>
      </c>
      <c r="Y118" s="16" t="str">
        <f ca="1"/>
        <v>Nobody</v>
      </c>
      <c r="Z118" s="261" t="str">
        <f ca="1"/>
        <v>M</v>
      </c>
      <c r="AA118" s="77" t="str">
        <f ca="1"/>
        <v>Daily</v>
      </c>
      <c r="AB118" s="77">
        <f ca="1"/>
        <v>0</v>
      </c>
      <c r="AC118" s="77">
        <f ca="1"/>
        <v>0</v>
      </c>
      <c r="AD118" s="77">
        <f ca="1"/>
        <v>0</v>
      </c>
      <c r="AE118" s="77">
        <f ca="1"/>
        <v>0</v>
      </c>
      <c r="AF118" s="261" t="str">
        <f ca="1"/>
        <v>N</v>
      </c>
      <c r="AG118" s="261">
        <f ca="1"/>
        <v>1</v>
      </c>
      <c r="AH118" s="261">
        <f ca="1"/>
        <v>1</v>
      </c>
      <c r="AI118" s="262">
        <f ca="1"/>
        <v>0</v>
      </c>
    </row>
    <row r="119" spans="1:35" hidden="1" outlineLevel="1" x14ac:dyDescent="0.25">
      <c r="A119" s="120">
        <f t="shared" si="83"/>
        <v>0</v>
      </c>
      <c r="B119" s="231"/>
      <c r="C119" s="77"/>
      <c r="D119" s="238"/>
      <c r="E119" s="76">
        <f ca="1">SUMIF(payNonMonth,"="&amp;$W119,$E$371:OFFSET($E$371,ROWS(payNonMonth)-1,0))</f>
        <v>0</v>
      </c>
      <c r="F119" s="76"/>
      <c r="G119" s="77">
        <f t="shared" ca="1" si="84"/>
        <v>0</v>
      </c>
      <c r="H119" s="76">
        <f t="shared" ca="1" si="92"/>
        <v>0</v>
      </c>
      <c r="I119" s="76">
        <f t="shared" ca="1" si="93"/>
        <v>0</v>
      </c>
      <c r="J119" s="233">
        <f t="shared" ca="1" si="94"/>
        <v>0</v>
      </c>
      <c r="K119" s="76">
        <f t="shared" ca="1" si="100"/>
        <v>0</v>
      </c>
      <c r="L119" s="76">
        <f t="shared" ca="1" si="95"/>
        <v>0</v>
      </c>
      <c r="M119" s="76">
        <f t="shared" ca="1" si="82"/>
        <v>0</v>
      </c>
      <c r="N119" s="76">
        <f t="shared" ca="1" si="96"/>
        <v>0</v>
      </c>
      <c r="O119" s="76"/>
      <c r="P119" s="76">
        <f t="shared" ca="1" si="97"/>
        <v>0</v>
      </c>
      <c r="Q119" s="76">
        <f t="shared" ca="1" si="85"/>
        <v>0</v>
      </c>
      <c r="R119" s="76">
        <f t="shared" ca="1" si="86"/>
        <v>0</v>
      </c>
      <c r="S119" s="232">
        <f t="shared" ca="1" si="98"/>
        <v>0</v>
      </c>
      <c r="U119" s="120" t="str">
        <f t="shared" si="99"/>
        <v>:0</v>
      </c>
      <c r="V119" s="120" t="str">
        <f t="shared" si="87"/>
        <v>:</v>
      </c>
      <c r="W119" s="120" t="str">
        <f t="shared" si="91"/>
        <v>:0</v>
      </c>
      <c r="X119" s="250">
        <f t="array" aca="1" ref="X119:AI119" ca="1">VLOOKUP($D119&amp;":"&amp;$C119,tblPayRates,{3,4,5,6,7,8,9,10,11,12,13,14},0)</f>
        <v>0</v>
      </c>
      <c r="Y119" s="16" t="str">
        <f ca="1"/>
        <v>Nobody</v>
      </c>
      <c r="Z119" s="261" t="str">
        <f ca="1"/>
        <v>M</v>
      </c>
      <c r="AA119" s="77" t="str">
        <f ca="1"/>
        <v>Daily</v>
      </c>
      <c r="AB119" s="77">
        <f ca="1"/>
        <v>0</v>
      </c>
      <c r="AC119" s="77">
        <f ca="1"/>
        <v>0</v>
      </c>
      <c r="AD119" s="77">
        <f ca="1"/>
        <v>0</v>
      </c>
      <c r="AE119" s="77">
        <f ca="1"/>
        <v>0</v>
      </c>
      <c r="AF119" s="261" t="str">
        <f ca="1"/>
        <v>N</v>
      </c>
      <c r="AG119" s="261">
        <f ca="1"/>
        <v>1</v>
      </c>
      <c r="AH119" s="261">
        <f ca="1"/>
        <v>1</v>
      </c>
      <c r="AI119" s="262">
        <f ca="1"/>
        <v>0</v>
      </c>
    </row>
    <row r="120" spans="1:35" hidden="1" outlineLevel="1" x14ac:dyDescent="0.25">
      <c r="A120" s="120">
        <f t="shared" si="83"/>
        <v>0</v>
      </c>
      <c r="B120" s="231"/>
      <c r="C120" s="77"/>
      <c r="D120" s="238"/>
      <c r="E120" s="76">
        <f ca="1">SUMIF(payNonMonth,"="&amp;$W120,$E$371:OFFSET($E$371,ROWS(payNonMonth)-1,0))</f>
        <v>0</v>
      </c>
      <c r="F120" s="76"/>
      <c r="G120" s="77">
        <f t="shared" ca="1" si="84"/>
        <v>0</v>
      </c>
      <c r="H120" s="76">
        <f t="shared" ca="1" si="92"/>
        <v>0</v>
      </c>
      <c r="I120" s="76">
        <f t="shared" ca="1" si="93"/>
        <v>0</v>
      </c>
      <c r="J120" s="233">
        <f t="shared" ca="1" si="94"/>
        <v>0</v>
      </c>
      <c r="K120" s="76">
        <f t="shared" ca="1" si="100"/>
        <v>0</v>
      </c>
      <c r="L120" s="76">
        <f t="shared" ca="1" si="95"/>
        <v>0</v>
      </c>
      <c r="M120" s="76">
        <f t="shared" ca="1" si="82"/>
        <v>0</v>
      </c>
      <c r="N120" s="76">
        <f t="shared" ca="1" si="96"/>
        <v>0</v>
      </c>
      <c r="O120" s="76"/>
      <c r="P120" s="76">
        <f t="shared" ca="1" si="97"/>
        <v>0</v>
      </c>
      <c r="Q120" s="76">
        <f t="shared" ca="1" si="85"/>
        <v>0</v>
      </c>
      <c r="R120" s="76">
        <f t="shared" ca="1" si="86"/>
        <v>0</v>
      </c>
      <c r="S120" s="232">
        <f t="shared" ca="1" si="98"/>
        <v>0</v>
      </c>
      <c r="U120" s="120" t="str">
        <f t="shared" si="99"/>
        <v>:0</v>
      </c>
      <c r="V120" s="120" t="str">
        <f t="shared" si="87"/>
        <v>:</v>
      </c>
      <c r="W120" s="120" t="str">
        <f t="shared" si="91"/>
        <v>:0</v>
      </c>
      <c r="X120" s="250">
        <f t="array" aca="1" ref="X120:AI120" ca="1">VLOOKUP($D120&amp;":"&amp;$C120,tblPayRates,{3,4,5,6,7,8,9,10,11,12,13,14},0)</f>
        <v>0</v>
      </c>
      <c r="Y120" s="16" t="str">
        <f ca="1"/>
        <v>Nobody</v>
      </c>
      <c r="Z120" s="261" t="str">
        <f ca="1"/>
        <v>M</v>
      </c>
      <c r="AA120" s="77" t="str">
        <f ca="1"/>
        <v>Daily</v>
      </c>
      <c r="AB120" s="77">
        <f ca="1"/>
        <v>0</v>
      </c>
      <c r="AC120" s="77">
        <f ca="1"/>
        <v>0</v>
      </c>
      <c r="AD120" s="77">
        <f ca="1"/>
        <v>0</v>
      </c>
      <c r="AE120" s="77">
        <f ca="1"/>
        <v>0</v>
      </c>
      <c r="AF120" s="261" t="str">
        <f ca="1"/>
        <v>N</v>
      </c>
      <c r="AG120" s="261">
        <f ca="1"/>
        <v>1</v>
      </c>
      <c r="AH120" s="261">
        <f ca="1"/>
        <v>1</v>
      </c>
      <c r="AI120" s="262">
        <f ca="1"/>
        <v>0</v>
      </c>
    </row>
    <row r="121" spans="1:35" hidden="1" outlineLevel="1" x14ac:dyDescent="0.25">
      <c r="A121" s="120">
        <f t="shared" si="83"/>
        <v>0</v>
      </c>
      <c r="B121" s="231"/>
      <c r="C121" s="77"/>
      <c r="D121" s="238"/>
      <c r="E121" s="76">
        <f ca="1">SUMIF(payNonMonth,"="&amp;$W121,$E$371:OFFSET($E$371,ROWS(payNonMonth)-1,0))</f>
        <v>0</v>
      </c>
      <c r="F121" s="76"/>
      <c r="G121" s="77">
        <f t="shared" ca="1" si="84"/>
        <v>0</v>
      </c>
      <c r="H121" s="76">
        <f t="shared" ca="1" si="92"/>
        <v>0</v>
      </c>
      <c r="I121" s="76">
        <f t="shared" ca="1" si="93"/>
        <v>0</v>
      </c>
      <c r="J121" s="233">
        <f t="shared" ca="1" si="94"/>
        <v>0</v>
      </c>
      <c r="K121" s="76">
        <f t="shared" ca="1" si="100"/>
        <v>0</v>
      </c>
      <c r="L121" s="76">
        <f t="shared" ca="1" si="95"/>
        <v>0</v>
      </c>
      <c r="M121" s="76">
        <f t="shared" ca="1" si="82"/>
        <v>0</v>
      </c>
      <c r="N121" s="76">
        <f t="shared" ca="1" si="96"/>
        <v>0</v>
      </c>
      <c r="O121" s="76"/>
      <c r="P121" s="76">
        <f t="shared" ca="1" si="97"/>
        <v>0</v>
      </c>
      <c r="Q121" s="76">
        <f t="shared" ca="1" si="85"/>
        <v>0</v>
      </c>
      <c r="R121" s="76">
        <f t="shared" ca="1" si="86"/>
        <v>0</v>
      </c>
      <c r="S121" s="232">
        <f t="shared" ca="1" si="98"/>
        <v>0</v>
      </c>
      <c r="U121" s="120" t="str">
        <f t="shared" si="99"/>
        <v>:0</v>
      </c>
      <c r="V121" s="120" t="str">
        <f t="shared" si="87"/>
        <v>:</v>
      </c>
      <c r="W121" s="120" t="str">
        <f t="shared" si="91"/>
        <v>:0</v>
      </c>
      <c r="X121" s="250">
        <f t="array" aca="1" ref="X121:AI121" ca="1">VLOOKUP($D121&amp;":"&amp;$C121,tblPayRates,{3,4,5,6,7,8,9,10,11,12,13,14},0)</f>
        <v>0</v>
      </c>
      <c r="Y121" s="16" t="str">
        <f ca="1"/>
        <v>Nobody</v>
      </c>
      <c r="Z121" s="261" t="str">
        <f ca="1"/>
        <v>M</v>
      </c>
      <c r="AA121" s="77" t="str">
        <f ca="1"/>
        <v>Daily</v>
      </c>
      <c r="AB121" s="77">
        <f ca="1"/>
        <v>0</v>
      </c>
      <c r="AC121" s="77">
        <f ca="1"/>
        <v>0</v>
      </c>
      <c r="AD121" s="77">
        <f ca="1"/>
        <v>0</v>
      </c>
      <c r="AE121" s="77">
        <f ca="1"/>
        <v>0</v>
      </c>
      <c r="AF121" s="261" t="str">
        <f ca="1"/>
        <v>N</v>
      </c>
      <c r="AG121" s="261">
        <f ca="1"/>
        <v>1</v>
      </c>
      <c r="AH121" s="261">
        <f ca="1"/>
        <v>1</v>
      </c>
      <c r="AI121" s="262">
        <f ca="1"/>
        <v>0</v>
      </c>
    </row>
    <row r="122" spans="1:35" hidden="1" outlineLevel="1" x14ac:dyDescent="0.25">
      <c r="A122" s="120">
        <f t="shared" si="83"/>
        <v>0</v>
      </c>
      <c r="B122" s="231"/>
      <c r="C122" s="77"/>
      <c r="D122" s="238"/>
      <c r="E122" s="76">
        <f ca="1">SUMIF(payNonMonth,"="&amp;$W122,$E$371:OFFSET($E$371,ROWS(payNonMonth)-1,0))</f>
        <v>0</v>
      </c>
      <c r="F122" s="76"/>
      <c r="G122" s="77">
        <f t="shared" ca="1" si="84"/>
        <v>0</v>
      </c>
      <c r="H122" s="76">
        <f t="shared" ca="1" si="92"/>
        <v>0</v>
      </c>
      <c r="I122" s="76">
        <f t="shared" ca="1" si="93"/>
        <v>0</v>
      </c>
      <c r="J122" s="233">
        <f t="shared" ca="1" si="94"/>
        <v>0</v>
      </c>
      <c r="K122" s="76">
        <f t="shared" ca="1" si="100"/>
        <v>0</v>
      </c>
      <c r="L122" s="76">
        <f t="shared" ca="1" si="95"/>
        <v>0</v>
      </c>
      <c r="M122" s="76">
        <f t="shared" ca="1" si="82"/>
        <v>0</v>
      </c>
      <c r="N122" s="76">
        <f t="shared" ca="1" si="96"/>
        <v>0</v>
      </c>
      <c r="O122" s="76"/>
      <c r="P122" s="76">
        <f t="shared" ca="1" si="97"/>
        <v>0</v>
      </c>
      <c r="Q122" s="76">
        <f t="shared" ca="1" si="85"/>
        <v>0</v>
      </c>
      <c r="R122" s="76">
        <f t="shared" ca="1" si="86"/>
        <v>0</v>
      </c>
      <c r="S122" s="232">
        <f t="shared" ca="1" si="98"/>
        <v>0</v>
      </c>
      <c r="U122" s="120" t="str">
        <f t="shared" si="99"/>
        <v>:0</v>
      </c>
      <c r="V122" s="120" t="str">
        <f t="shared" si="87"/>
        <v>:</v>
      </c>
      <c r="W122" s="120" t="str">
        <f t="shared" si="91"/>
        <v>:0</v>
      </c>
      <c r="X122" s="250">
        <f t="array" aca="1" ref="X122:AI122" ca="1">VLOOKUP($D122&amp;":"&amp;$C122,tblPayRates,{3,4,5,6,7,8,9,10,11,12,13,14},0)</f>
        <v>0</v>
      </c>
      <c r="Y122" s="16" t="str">
        <f ca="1"/>
        <v>Nobody</v>
      </c>
      <c r="Z122" s="261" t="str">
        <f ca="1"/>
        <v>M</v>
      </c>
      <c r="AA122" s="77" t="str">
        <f ca="1"/>
        <v>Daily</v>
      </c>
      <c r="AB122" s="77">
        <f ca="1"/>
        <v>0</v>
      </c>
      <c r="AC122" s="77">
        <f ca="1"/>
        <v>0</v>
      </c>
      <c r="AD122" s="77">
        <f ca="1"/>
        <v>0</v>
      </c>
      <c r="AE122" s="77">
        <f ca="1"/>
        <v>0</v>
      </c>
      <c r="AF122" s="261" t="str">
        <f ca="1"/>
        <v>N</v>
      </c>
      <c r="AG122" s="261">
        <f ca="1"/>
        <v>1</v>
      </c>
      <c r="AH122" s="261">
        <f ca="1"/>
        <v>1</v>
      </c>
      <c r="AI122" s="262">
        <f ca="1"/>
        <v>0</v>
      </c>
    </row>
    <row r="123" spans="1:35" hidden="1" outlineLevel="1" x14ac:dyDescent="0.25">
      <c r="A123" s="120">
        <f t="shared" si="83"/>
        <v>0</v>
      </c>
      <c r="B123" s="231"/>
      <c r="C123" s="77"/>
      <c r="D123" s="238"/>
      <c r="E123" s="76">
        <f ca="1">SUMIF(payNonMonth,"="&amp;$W123,$E$371:OFFSET($E$371,ROWS(payNonMonth)-1,0))</f>
        <v>0</v>
      </c>
      <c r="F123" s="76"/>
      <c r="G123" s="77">
        <f t="shared" ca="1" si="84"/>
        <v>0</v>
      </c>
      <c r="H123" s="76">
        <f t="shared" ca="1" si="92"/>
        <v>0</v>
      </c>
      <c r="I123" s="76">
        <f t="shared" ca="1" si="93"/>
        <v>0</v>
      </c>
      <c r="J123" s="233">
        <f t="shared" ca="1" si="94"/>
        <v>0</v>
      </c>
      <c r="K123" s="76">
        <f t="shared" ca="1" si="100"/>
        <v>0</v>
      </c>
      <c r="L123" s="76">
        <f t="shared" ca="1" si="95"/>
        <v>0</v>
      </c>
      <c r="M123" s="76">
        <f t="shared" ca="1" si="82"/>
        <v>0</v>
      </c>
      <c r="N123" s="76">
        <f t="shared" ca="1" si="96"/>
        <v>0</v>
      </c>
      <c r="O123" s="76"/>
      <c r="P123" s="76">
        <f t="shared" ca="1" si="97"/>
        <v>0</v>
      </c>
      <c r="Q123" s="76">
        <f t="shared" ca="1" si="85"/>
        <v>0</v>
      </c>
      <c r="R123" s="76">
        <f t="shared" ca="1" si="86"/>
        <v>0</v>
      </c>
      <c r="S123" s="232">
        <f t="shared" ca="1" si="98"/>
        <v>0</v>
      </c>
      <c r="U123" s="120" t="str">
        <f t="shared" si="99"/>
        <v>:0</v>
      </c>
      <c r="V123" s="120" t="str">
        <f t="shared" si="87"/>
        <v>:</v>
      </c>
      <c r="W123" s="120" t="str">
        <f t="shared" si="91"/>
        <v>:0</v>
      </c>
      <c r="X123" s="250">
        <f t="array" aca="1" ref="X123:AI123" ca="1">VLOOKUP($D123&amp;":"&amp;$C123,tblPayRates,{3,4,5,6,7,8,9,10,11,12,13,14},0)</f>
        <v>0</v>
      </c>
      <c r="Y123" s="16" t="str">
        <f ca="1"/>
        <v>Nobody</v>
      </c>
      <c r="Z123" s="261" t="str">
        <f ca="1"/>
        <v>M</v>
      </c>
      <c r="AA123" s="77" t="str">
        <f ca="1"/>
        <v>Daily</v>
      </c>
      <c r="AB123" s="77">
        <f ca="1"/>
        <v>0</v>
      </c>
      <c r="AC123" s="77">
        <f ca="1"/>
        <v>0</v>
      </c>
      <c r="AD123" s="77">
        <f ca="1"/>
        <v>0</v>
      </c>
      <c r="AE123" s="77">
        <f ca="1"/>
        <v>0</v>
      </c>
      <c r="AF123" s="261" t="str">
        <f ca="1"/>
        <v>N</v>
      </c>
      <c r="AG123" s="261">
        <f ca="1"/>
        <v>1</v>
      </c>
      <c r="AH123" s="261">
        <f ca="1"/>
        <v>1</v>
      </c>
      <c r="AI123" s="262">
        <f ca="1"/>
        <v>0</v>
      </c>
    </row>
    <row r="124" spans="1:35" hidden="1" outlineLevel="1" x14ac:dyDescent="0.25">
      <c r="A124" s="120">
        <f t="shared" si="83"/>
        <v>0</v>
      </c>
      <c r="B124" s="231"/>
      <c r="C124" s="77"/>
      <c r="D124" s="238"/>
      <c r="E124" s="76">
        <f ca="1">SUMIF(payNonMonth,"="&amp;$W124,$E$371:OFFSET($E$371,ROWS(payNonMonth)-1,0))</f>
        <v>0</v>
      </c>
      <c r="F124" s="76"/>
      <c r="G124" s="77">
        <f t="shared" ca="1" si="84"/>
        <v>0</v>
      </c>
      <c r="H124" s="76">
        <f t="shared" ca="1" si="92"/>
        <v>0</v>
      </c>
      <c r="I124" s="76">
        <f t="shared" ca="1" si="93"/>
        <v>0</v>
      </c>
      <c r="J124" s="233">
        <f t="shared" ca="1" si="94"/>
        <v>0</v>
      </c>
      <c r="K124" s="76">
        <f t="shared" ca="1" si="100"/>
        <v>0</v>
      </c>
      <c r="L124" s="76">
        <f t="shared" ca="1" si="95"/>
        <v>0</v>
      </c>
      <c r="M124" s="76">
        <f t="shared" ca="1" si="82"/>
        <v>0</v>
      </c>
      <c r="N124" s="76">
        <f t="shared" ca="1" si="96"/>
        <v>0</v>
      </c>
      <c r="O124" s="76"/>
      <c r="P124" s="76">
        <f t="shared" ca="1" si="97"/>
        <v>0</v>
      </c>
      <c r="Q124" s="76">
        <f t="shared" ca="1" si="85"/>
        <v>0</v>
      </c>
      <c r="R124" s="76">
        <f t="shared" ca="1" si="86"/>
        <v>0</v>
      </c>
      <c r="S124" s="232">
        <f t="shared" ca="1" si="98"/>
        <v>0</v>
      </c>
      <c r="U124" s="120" t="str">
        <f t="shared" si="99"/>
        <v>:0</v>
      </c>
      <c r="V124" s="120" t="str">
        <f t="shared" si="87"/>
        <v>:</v>
      </c>
      <c r="W124" s="120" t="str">
        <f t="shared" si="91"/>
        <v>:0</v>
      </c>
      <c r="X124" s="250">
        <f t="array" aca="1" ref="X124:AI124" ca="1">VLOOKUP($D124&amp;":"&amp;$C124,tblPayRates,{3,4,5,6,7,8,9,10,11,12,13,14},0)</f>
        <v>0</v>
      </c>
      <c r="Y124" s="16" t="str">
        <f ca="1"/>
        <v>Nobody</v>
      </c>
      <c r="Z124" s="261" t="str">
        <f ca="1"/>
        <v>M</v>
      </c>
      <c r="AA124" s="77" t="str">
        <f ca="1"/>
        <v>Daily</v>
      </c>
      <c r="AB124" s="77">
        <f ca="1"/>
        <v>0</v>
      </c>
      <c r="AC124" s="77">
        <f ca="1"/>
        <v>0</v>
      </c>
      <c r="AD124" s="77">
        <f ca="1"/>
        <v>0</v>
      </c>
      <c r="AE124" s="77">
        <f ca="1"/>
        <v>0</v>
      </c>
      <c r="AF124" s="261" t="str">
        <f ca="1"/>
        <v>N</v>
      </c>
      <c r="AG124" s="261">
        <f ca="1"/>
        <v>1</v>
      </c>
      <c r="AH124" s="261">
        <f ca="1"/>
        <v>1</v>
      </c>
      <c r="AI124" s="262">
        <f ca="1"/>
        <v>0</v>
      </c>
    </row>
    <row r="125" spans="1:35" hidden="1" outlineLevel="1" x14ac:dyDescent="0.25">
      <c r="A125" s="120">
        <f t="shared" si="83"/>
        <v>0</v>
      </c>
      <c r="B125" s="231"/>
      <c r="C125" s="77"/>
      <c r="D125" s="238"/>
      <c r="E125" s="76">
        <f ca="1">SUMIF(payNonMonth,"="&amp;$W125,$E$371:OFFSET($E$371,ROWS(payNonMonth)-1,0))</f>
        <v>0</v>
      </c>
      <c r="F125" s="76"/>
      <c r="G125" s="77">
        <f t="shared" ca="1" si="84"/>
        <v>0</v>
      </c>
      <c r="H125" s="76">
        <f t="shared" ca="1" si="92"/>
        <v>0</v>
      </c>
      <c r="I125" s="76">
        <f t="shared" ca="1" si="93"/>
        <v>0</v>
      </c>
      <c r="J125" s="233">
        <f t="shared" ca="1" si="94"/>
        <v>0</v>
      </c>
      <c r="K125" s="76">
        <f t="shared" ca="1" si="100"/>
        <v>0</v>
      </c>
      <c r="L125" s="76">
        <f t="shared" ca="1" si="95"/>
        <v>0</v>
      </c>
      <c r="M125" s="76">
        <f t="shared" ca="1" si="82"/>
        <v>0</v>
      </c>
      <c r="N125" s="76">
        <f t="shared" ca="1" si="96"/>
        <v>0</v>
      </c>
      <c r="O125" s="76"/>
      <c r="P125" s="76">
        <f t="shared" ca="1" si="97"/>
        <v>0</v>
      </c>
      <c r="Q125" s="76">
        <f t="shared" ca="1" si="85"/>
        <v>0</v>
      </c>
      <c r="R125" s="76">
        <f t="shared" ca="1" si="86"/>
        <v>0</v>
      </c>
      <c r="S125" s="232">
        <f t="shared" ca="1" si="98"/>
        <v>0</v>
      </c>
      <c r="U125" s="120" t="str">
        <f t="shared" si="99"/>
        <v>:0</v>
      </c>
      <c r="V125" s="120" t="str">
        <f t="shared" si="87"/>
        <v>:</v>
      </c>
      <c r="W125" s="120" t="str">
        <f t="shared" si="91"/>
        <v>:0</v>
      </c>
      <c r="X125" s="250">
        <f t="array" aca="1" ref="X125:AI125" ca="1">VLOOKUP($D125&amp;":"&amp;$C125,tblPayRates,{3,4,5,6,7,8,9,10,11,12,13,14},0)</f>
        <v>0</v>
      </c>
      <c r="Y125" s="16" t="str">
        <f ca="1"/>
        <v>Nobody</v>
      </c>
      <c r="Z125" s="261" t="str">
        <f ca="1"/>
        <v>M</v>
      </c>
      <c r="AA125" s="77" t="str">
        <f ca="1"/>
        <v>Daily</v>
      </c>
      <c r="AB125" s="77">
        <f ca="1"/>
        <v>0</v>
      </c>
      <c r="AC125" s="77">
        <f ca="1"/>
        <v>0</v>
      </c>
      <c r="AD125" s="77">
        <f ca="1"/>
        <v>0</v>
      </c>
      <c r="AE125" s="77">
        <f ca="1"/>
        <v>0</v>
      </c>
      <c r="AF125" s="261" t="str">
        <f ca="1"/>
        <v>N</v>
      </c>
      <c r="AG125" s="261">
        <f ca="1"/>
        <v>1</v>
      </c>
      <c r="AH125" s="261">
        <f ca="1"/>
        <v>1</v>
      </c>
      <c r="AI125" s="262">
        <f ca="1"/>
        <v>0</v>
      </c>
    </row>
    <row r="126" spans="1:35" hidden="1" outlineLevel="1" x14ac:dyDescent="0.25">
      <c r="A126" s="120">
        <f t="shared" si="83"/>
        <v>0</v>
      </c>
      <c r="B126" s="231"/>
      <c r="C126" s="77"/>
      <c r="D126" s="238"/>
      <c r="E126" s="76">
        <f ca="1">SUMIF(payNonMonth,"="&amp;$W126,$E$371:OFFSET($E$371,ROWS(payNonMonth)-1,0))</f>
        <v>0</v>
      </c>
      <c r="F126" s="76"/>
      <c r="G126" s="77">
        <f t="shared" ca="1" si="84"/>
        <v>0</v>
      </c>
      <c r="H126" s="76">
        <f t="shared" ca="1" si="92"/>
        <v>0</v>
      </c>
      <c r="I126" s="76">
        <f t="shared" ca="1" si="93"/>
        <v>0</v>
      </c>
      <c r="J126" s="233">
        <f t="shared" ca="1" si="94"/>
        <v>0</v>
      </c>
      <c r="K126" s="76">
        <f t="shared" ca="1" si="100"/>
        <v>0</v>
      </c>
      <c r="L126" s="76">
        <f t="shared" ca="1" si="95"/>
        <v>0</v>
      </c>
      <c r="M126" s="76">
        <f t="shared" ca="1" si="82"/>
        <v>0</v>
      </c>
      <c r="N126" s="76">
        <f t="shared" ca="1" si="96"/>
        <v>0</v>
      </c>
      <c r="O126" s="76"/>
      <c r="P126" s="76">
        <f t="shared" ca="1" si="97"/>
        <v>0</v>
      </c>
      <c r="Q126" s="76">
        <f t="shared" ca="1" si="85"/>
        <v>0</v>
      </c>
      <c r="R126" s="76">
        <f t="shared" ca="1" si="86"/>
        <v>0</v>
      </c>
      <c r="S126" s="232">
        <f t="shared" ca="1" si="98"/>
        <v>0</v>
      </c>
      <c r="U126" s="120" t="str">
        <f t="shared" si="99"/>
        <v>:0</v>
      </c>
      <c r="V126" s="120" t="str">
        <f t="shared" si="87"/>
        <v>:</v>
      </c>
      <c r="W126" s="120" t="str">
        <f t="shared" si="91"/>
        <v>:0</v>
      </c>
      <c r="X126" s="250">
        <f t="array" aca="1" ref="X126:AI126" ca="1">VLOOKUP($D126&amp;":"&amp;$C126,tblPayRates,{3,4,5,6,7,8,9,10,11,12,13,14},0)</f>
        <v>0</v>
      </c>
      <c r="Y126" s="16" t="str">
        <f ca="1"/>
        <v>Nobody</v>
      </c>
      <c r="Z126" s="261" t="str">
        <f ca="1"/>
        <v>M</v>
      </c>
      <c r="AA126" s="77" t="str">
        <f ca="1"/>
        <v>Daily</v>
      </c>
      <c r="AB126" s="77">
        <f ca="1"/>
        <v>0</v>
      </c>
      <c r="AC126" s="77">
        <f ca="1"/>
        <v>0</v>
      </c>
      <c r="AD126" s="77">
        <f ca="1"/>
        <v>0</v>
      </c>
      <c r="AE126" s="77">
        <f ca="1"/>
        <v>0</v>
      </c>
      <c r="AF126" s="261" t="str">
        <f ca="1"/>
        <v>N</v>
      </c>
      <c r="AG126" s="261">
        <f ca="1"/>
        <v>1</v>
      </c>
      <c r="AH126" s="261">
        <f ca="1"/>
        <v>1</v>
      </c>
      <c r="AI126" s="262">
        <f ca="1"/>
        <v>0</v>
      </c>
    </row>
    <row r="127" spans="1:35" hidden="1" outlineLevel="1" x14ac:dyDescent="0.25">
      <c r="A127" s="120">
        <f t="shared" si="83"/>
        <v>0</v>
      </c>
      <c r="B127" s="231"/>
      <c r="C127" s="77"/>
      <c r="D127" s="238"/>
      <c r="E127" s="76">
        <f ca="1">SUMIF(payNonMonth,"="&amp;$W127,$E$371:OFFSET($E$371,ROWS(payNonMonth)-1,0))</f>
        <v>0</v>
      </c>
      <c r="F127" s="76"/>
      <c r="G127" s="77">
        <f t="shared" ca="1" si="84"/>
        <v>0</v>
      </c>
      <c r="H127" s="76">
        <f t="shared" ca="1" si="92"/>
        <v>0</v>
      </c>
      <c r="I127" s="76">
        <f t="shared" ca="1" si="93"/>
        <v>0</v>
      </c>
      <c r="J127" s="233">
        <f t="shared" ca="1" si="94"/>
        <v>0</v>
      </c>
      <c r="K127" s="76">
        <f t="shared" ca="1" si="100"/>
        <v>0</v>
      </c>
      <c r="L127" s="76">
        <f t="shared" ca="1" si="95"/>
        <v>0</v>
      </c>
      <c r="M127" s="76">
        <f t="shared" ca="1" si="82"/>
        <v>0</v>
      </c>
      <c r="N127" s="76">
        <f t="shared" ca="1" si="96"/>
        <v>0</v>
      </c>
      <c r="O127" s="76"/>
      <c r="P127" s="76">
        <f t="shared" ca="1" si="97"/>
        <v>0</v>
      </c>
      <c r="Q127" s="76">
        <f t="shared" ca="1" si="85"/>
        <v>0</v>
      </c>
      <c r="R127" s="76">
        <f t="shared" ca="1" si="86"/>
        <v>0</v>
      </c>
      <c r="S127" s="232">
        <f t="shared" ca="1" si="98"/>
        <v>0</v>
      </c>
      <c r="U127" s="120" t="str">
        <f t="shared" si="99"/>
        <v>:0</v>
      </c>
      <c r="V127" s="120" t="str">
        <f t="shared" si="87"/>
        <v>:</v>
      </c>
      <c r="W127" s="120" t="str">
        <f t="shared" si="91"/>
        <v>:0</v>
      </c>
      <c r="X127" s="250">
        <f t="array" aca="1" ref="X127:AI127" ca="1">VLOOKUP($D127&amp;":"&amp;$C127,tblPayRates,{3,4,5,6,7,8,9,10,11,12,13,14},0)</f>
        <v>0</v>
      </c>
      <c r="Y127" s="16" t="str">
        <f ca="1"/>
        <v>Nobody</v>
      </c>
      <c r="Z127" s="261" t="str">
        <f ca="1"/>
        <v>M</v>
      </c>
      <c r="AA127" s="77" t="str">
        <f ca="1"/>
        <v>Daily</v>
      </c>
      <c r="AB127" s="77">
        <f ca="1"/>
        <v>0</v>
      </c>
      <c r="AC127" s="77">
        <f ca="1"/>
        <v>0</v>
      </c>
      <c r="AD127" s="77">
        <f ca="1"/>
        <v>0</v>
      </c>
      <c r="AE127" s="77">
        <f ca="1"/>
        <v>0</v>
      </c>
      <c r="AF127" s="261" t="str">
        <f ca="1"/>
        <v>N</v>
      </c>
      <c r="AG127" s="261">
        <f ca="1"/>
        <v>1</v>
      </c>
      <c r="AH127" s="261">
        <f ca="1"/>
        <v>1</v>
      </c>
      <c r="AI127" s="262">
        <f ca="1"/>
        <v>0</v>
      </c>
    </row>
    <row r="128" spans="1:35" hidden="1" outlineLevel="1" x14ac:dyDescent="0.25">
      <c r="A128" s="120">
        <f t="shared" si="83"/>
        <v>0</v>
      </c>
      <c r="B128" s="231"/>
      <c r="C128" s="77"/>
      <c r="D128" s="238"/>
      <c r="E128" s="76">
        <f ca="1">SUMIF(payNonMonth,"="&amp;$W128,$E$371:OFFSET($E$371,ROWS(payNonMonth)-1,0))</f>
        <v>0</v>
      </c>
      <c r="F128" s="76"/>
      <c r="G128" s="77">
        <f t="shared" ca="1" si="84"/>
        <v>0</v>
      </c>
      <c r="H128" s="76">
        <f t="shared" ca="1" si="92"/>
        <v>0</v>
      </c>
      <c r="I128" s="76">
        <f t="shared" ca="1" si="93"/>
        <v>0</v>
      </c>
      <c r="J128" s="233">
        <f t="shared" ca="1" si="94"/>
        <v>0</v>
      </c>
      <c r="K128" s="76">
        <f t="shared" ca="1" si="100"/>
        <v>0</v>
      </c>
      <c r="L128" s="76">
        <f t="shared" ca="1" si="95"/>
        <v>0</v>
      </c>
      <c r="M128" s="76">
        <f t="shared" ca="1" si="82"/>
        <v>0</v>
      </c>
      <c r="N128" s="76">
        <f t="shared" ca="1" si="96"/>
        <v>0</v>
      </c>
      <c r="O128" s="76"/>
      <c r="P128" s="76">
        <f t="shared" ca="1" si="97"/>
        <v>0</v>
      </c>
      <c r="Q128" s="76">
        <f t="shared" ca="1" si="85"/>
        <v>0</v>
      </c>
      <c r="R128" s="76">
        <f t="shared" ca="1" si="86"/>
        <v>0</v>
      </c>
      <c r="S128" s="232">
        <f t="shared" ca="1" si="98"/>
        <v>0</v>
      </c>
      <c r="U128" s="120" t="str">
        <f t="shared" si="99"/>
        <v>:0</v>
      </c>
      <c r="V128" s="120" t="str">
        <f t="shared" si="87"/>
        <v>:</v>
      </c>
      <c r="W128" s="120" t="str">
        <f t="shared" si="91"/>
        <v>:0</v>
      </c>
      <c r="X128" s="250">
        <f t="array" aca="1" ref="X128:AI128" ca="1">VLOOKUP($D128&amp;":"&amp;$C128,tblPayRates,{3,4,5,6,7,8,9,10,11,12,13,14},0)</f>
        <v>0</v>
      </c>
      <c r="Y128" s="16" t="str">
        <f ca="1"/>
        <v>Nobody</v>
      </c>
      <c r="Z128" s="261" t="str">
        <f ca="1"/>
        <v>M</v>
      </c>
      <c r="AA128" s="77" t="str">
        <f ca="1"/>
        <v>Daily</v>
      </c>
      <c r="AB128" s="77">
        <f ca="1"/>
        <v>0</v>
      </c>
      <c r="AC128" s="77">
        <f ca="1"/>
        <v>0</v>
      </c>
      <c r="AD128" s="77">
        <f ca="1"/>
        <v>0</v>
      </c>
      <c r="AE128" s="77">
        <f ca="1"/>
        <v>0</v>
      </c>
      <c r="AF128" s="261" t="str">
        <f ca="1"/>
        <v>N</v>
      </c>
      <c r="AG128" s="261">
        <f ca="1"/>
        <v>1</v>
      </c>
      <c r="AH128" s="261">
        <f ca="1"/>
        <v>1</v>
      </c>
      <c r="AI128" s="262">
        <f ca="1"/>
        <v>0</v>
      </c>
    </row>
    <row r="129" spans="1:35" hidden="1" outlineLevel="1" x14ac:dyDescent="0.25">
      <c r="A129" s="120">
        <f t="shared" si="83"/>
        <v>0</v>
      </c>
      <c r="B129" s="231"/>
      <c r="C129" s="77"/>
      <c r="D129" s="238"/>
      <c r="E129" s="76">
        <f ca="1">SUMIF(payNonMonth,"="&amp;$W129,$E$371:OFFSET($E$371,ROWS(payNonMonth)-1,0))</f>
        <v>0</v>
      </c>
      <c r="F129" s="76"/>
      <c r="G129" s="77">
        <f t="shared" ca="1" si="84"/>
        <v>0</v>
      </c>
      <c r="H129" s="76">
        <f t="shared" ca="1" si="92"/>
        <v>0</v>
      </c>
      <c r="I129" s="76">
        <f t="shared" ca="1" si="93"/>
        <v>0</v>
      </c>
      <c r="J129" s="233">
        <f t="shared" ca="1" si="94"/>
        <v>0</v>
      </c>
      <c r="K129" s="76">
        <f t="shared" ca="1" si="100"/>
        <v>0</v>
      </c>
      <c r="L129" s="76">
        <f t="shared" ca="1" si="95"/>
        <v>0</v>
      </c>
      <c r="M129" s="76">
        <f t="shared" ca="1" si="82"/>
        <v>0</v>
      </c>
      <c r="N129" s="76">
        <f t="shared" ca="1" si="96"/>
        <v>0</v>
      </c>
      <c r="O129" s="76"/>
      <c r="P129" s="76">
        <f t="shared" ca="1" si="97"/>
        <v>0</v>
      </c>
      <c r="Q129" s="76">
        <f t="shared" ca="1" si="85"/>
        <v>0</v>
      </c>
      <c r="R129" s="76">
        <f t="shared" ca="1" si="86"/>
        <v>0</v>
      </c>
      <c r="S129" s="232">
        <f t="shared" ca="1" si="98"/>
        <v>0</v>
      </c>
      <c r="U129" s="120" t="str">
        <f t="shared" si="99"/>
        <v>:0</v>
      </c>
      <c r="V129" s="120" t="str">
        <f t="shared" si="87"/>
        <v>:</v>
      </c>
      <c r="W129" s="120" t="str">
        <f t="shared" si="91"/>
        <v>:0</v>
      </c>
      <c r="X129" s="250">
        <f t="array" aca="1" ref="X129:AI129" ca="1">VLOOKUP($D129&amp;":"&amp;$C129,tblPayRates,{3,4,5,6,7,8,9,10,11,12,13,14},0)</f>
        <v>0</v>
      </c>
      <c r="Y129" s="16" t="str">
        <f ca="1"/>
        <v>Nobody</v>
      </c>
      <c r="Z129" s="261" t="str">
        <f ca="1"/>
        <v>M</v>
      </c>
      <c r="AA129" s="77" t="str">
        <f ca="1"/>
        <v>Daily</v>
      </c>
      <c r="AB129" s="77">
        <f ca="1"/>
        <v>0</v>
      </c>
      <c r="AC129" s="77">
        <f ca="1"/>
        <v>0</v>
      </c>
      <c r="AD129" s="77">
        <f ca="1"/>
        <v>0</v>
      </c>
      <c r="AE129" s="77">
        <f ca="1"/>
        <v>0</v>
      </c>
      <c r="AF129" s="261" t="str">
        <f ca="1"/>
        <v>N</v>
      </c>
      <c r="AG129" s="261">
        <f ca="1"/>
        <v>1</v>
      </c>
      <c r="AH129" s="261">
        <f ca="1"/>
        <v>1</v>
      </c>
      <c r="AI129" s="262">
        <f ca="1"/>
        <v>0</v>
      </c>
    </row>
    <row r="130" spans="1:35" hidden="1" outlineLevel="1" x14ac:dyDescent="0.25">
      <c r="A130" s="120">
        <f t="shared" si="83"/>
        <v>0</v>
      </c>
      <c r="B130" s="231"/>
      <c r="C130" s="77"/>
      <c r="D130" s="238"/>
      <c r="E130" s="76">
        <f ca="1">SUMIF(payNonMonth,"="&amp;$W130,$E$371:OFFSET($E$371,ROWS(payNonMonth)-1,0))</f>
        <v>0</v>
      </c>
      <c r="F130" s="76"/>
      <c r="G130" s="77">
        <f t="shared" ca="1" si="84"/>
        <v>0</v>
      </c>
      <c r="H130" s="76">
        <f t="shared" ca="1" si="92"/>
        <v>0</v>
      </c>
      <c r="I130" s="76">
        <f t="shared" ca="1" si="93"/>
        <v>0</v>
      </c>
      <c r="J130" s="233">
        <f t="shared" ca="1" si="94"/>
        <v>0</v>
      </c>
      <c r="K130" s="76">
        <f t="shared" ca="1" si="100"/>
        <v>0</v>
      </c>
      <c r="L130" s="76">
        <f t="shared" ca="1" si="95"/>
        <v>0</v>
      </c>
      <c r="M130" s="76">
        <f t="shared" ca="1" si="82"/>
        <v>0</v>
      </c>
      <c r="N130" s="76">
        <f t="shared" ca="1" si="96"/>
        <v>0</v>
      </c>
      <c r="O130" s="76"/>
      <c r="P130" s="76">
        <f t="shared" ca="1" si="97"/>
        <v>0</v>
      </c>
      <c r="Q130" s="76">
        <f t="shared" ca="1" si="85"/>
        <v>0</v>
      </c>
      <c r="R130" s="76">
        <f t="shared" ca="1" si="86"/>
        <v>0</v>
      </c>
      <c r="S130" s="232">
        <f t="shared" ca="1" si="98"/>
        <v>0</v>
      </c>
      <c r="U130" s="120" t="str">
        <f t="shared" si="99"/>
        <v>:0</v>
      </c>
      <c r="V130" s="120" t="str">
        <f t="shared" si="87"/>
        <v>:</v>
      </c>
      <c r="W130" s="120" t="str">
        <f t="shared" si="91"/>
        <v>:0</v>
      </c>
      <c r="X130" s="250">
        <f t="array" aca="1" ref="X130:AI130" ca="1">VLOOKUP($D130&amp;":"&amp;$C130,tblPayRates,{3,4,5,6,7,8,9,10,11,12,13,14},0)</f>
        <v>0</v>
      </c>
      <c r="Y130" s="16" t="str">
        <f ca="1"/>
        <v>Nobody</v>
      </c>
      <c r="Z130" s="261" t="str">
        <f ca="1"/>
        <v>M</v>
      </c>
      <c r="AA130" s="77" t="str">
        <f ca="1"/>
        <v>Daily</v>
      </c>
      <c r="AB130" s="77">
        <f ca="1"/>
        <v>0</v>
      </c>
      <c r="AC130" s="77">
        <f ca="1"/>
        <v>0</v>
      </c>
      <c r="AD130" s="77">
        <f ca="1"/>
        <v>0</v>
      </c>
      <c r="AE130" s="77">
        <f ca="1"/>
        <v>0</v>
      </c>
      <c r="AF130" s="261" t="str">
        <f ca="1"/>
        <v>N</v>
      </c>
      <c r="AG130" s="261">
        <f ca="1"/>
        <v>1</v>
      </c>
      <c r="AH130" s="261">
        <f ca="1"/>
        <v>1</v>
      </c>
      <c r="AI130" s="262">
        <f ca="1"/>
        <v>0</v>
      </c>
    </row>
    <row r="131" spans="1:35" hidden="1" outlineLevel="1" x14ac:dyDescent="0.25">
      <c r="A131" s="120">
        <f t="shared" si="83"/>
        <v>0</v>
      </c>
      <c r="B131" s="231"/>
      <c r="C131" s="77"/>
      <c r="D131" s="238"/>
      <c r="E131" s="76">
        <f ca="1">SUMIF(payNonMonth,"="&amp;$W131,$E$371:OFFSET($E$371,ROWS(payNonMonth)-1,0))</f>
        <v>0</v>
      </c>
      <c r="F131" s="76"/>
      <c r="G131" s="77">
        <f t="shared" ca="1" si="84"/>
        <v>0</v>
      </c>
      <c r="H131" s="76">
        <f t="shared" ca="1" si="92"/>
        <v>0</v>
      </c>
      <c r="I131" s="76">
        <f t="shared" ca="1" si="93"/>
        <v>0</v>
      </c>
      <c r="J131" s="233">
        <f t="shared" ca="1" si="94"/>
        <v>0</v>
      </c>
      <c r="K131" s="76">
        <f t="shared" ca="1" si="100"/>
        <v>0</v>
      </c>
      <c r="L131" s="76">
        <f t="shared" ca="1" si="95"/>
        <v>0</v>
      </c>
      <c r="M131" s="76">
        <f t="shared" ca="1" si="82"/>
        <v>0</v>
      </c>
      <c r="N131" s="76">
        <f t="shared" ca="1" si="96"/>
        <v>0</v>
      </c>
      <c r="O131" s="76"/>
      <c r="P131" s="76">
        <f t="shared" ca="1" si="97"/>
        <v>0</v>
      </c>
      <c r="Q131" s="76">
        <f t="shared" ca="1" si="85"/>
        <v>0</v>
      </c>
      <c r="R131" s="76">
        <f t="shared" ca="1" si="86"/>
        <v>0</v>
      </c>
      <c r="S131" s="232">
        <f t="shared" ca="1" si="98"/>
        <v>0</v>
      </c>
      <c r="U131" s="120" t="str">
        <f t="shared" si="99"/>
        <v>:0</v>
      </c>
      <c r="V131" s="120" t="str">
        <f t="shared" si="87"/>
        <v>:</v>
      </c>
      <c r="W131" s="120" t="str">
        <f t="shared" si="91"/>
        <v>:0</v>
      </c>
      <c r="X131" s="250">
        <f t="array" aca="1" ref="X131:AI131" ca="1">VLOOKUP($D131&amp;":"&amp;$C131,tblPayRates,{3,4,5,6,7,8,9,10,11,12,13,14},0)</f>
        <v>0</v>
      </c>
      <c r="Y131" s="16" t="str">
        <f ca="1"/>
        <v>Nobody</v>
      </c>
      <c r="Z131" s="261" t="str">
        <f ca="1"/>
        <v>M</v>
      </c>
      <c r="AA131" s="77" t="str">
        <f ca="1"/>
        <v>Daily</v>
      </c>
      <c r="AB131" s="77">
        <f ca="1"/>
        <v>0</v>
      </c>
      <c r="AC131" s="77">
        <f ca="1"/>
        <v>0</v>
      </c>
      <c r="AD131" s="77">
        <f ca="1"/>
        <v>0</v>
      </c>
      <c r="AE131" s="77">
        <f ca="1"/>
        <v>0</v>
      </c>
      <c r="AF131" s="261" t="str">
        <f ca="1"/>
        <v>N</v>
      </c>
      <c r="AG131" s="261">
        <f ca="1"/>
        <v>1</v>
      </c>
      <c r="AH131" s="261">
        <f ca="1"/>
        <v>1</v>
      </c>
      <c r="AI131" s="262">
        <f ca="1"/>
        <v>0</v>
      </c>
    </row>
    <row r="132" spans="1:35" hidden="1" outlineLevel="1" x14ac:dyDescent="0.25">
      <c r="A132" s="120">
        <f t="shared" si="83"/>
        <v>0</v>
      </c>
      <c r="B132" s="231"/>
      <c r="C132" s="77"/>
      <c r="D132" s="238"/>
      <c r="E132" s="76">
        <f ca="1">SUMIF(payNonMonth,"="&amp;$W132,$E$371:OFFSET($E$371,ROWS(payNonMonth)-1,0))</f>
        <v>0</v>
      </c>
      <c r="F132" s="76"/>
      <c r="G132" s="77">
        <f t="shared" ca="1" si="84"/>
        <v>0</v>
      </c>
      <c r="H132" s="76">
        <f t="shared" ca="1" si="92"/>
        <v>0</v>
      </c>
      <c r="I132" s="76">
        <f t="shared" ca="1" si="93"/>
        <v>0</v>
      </c>
      <c r="J132" s="233">
        <f t="shared" ca="1" si="94"/>
        <v>0</v>
      </c>
      <c r="K132" s="76">
        <f t="shared" ca="1" si="100"/>
        <v>0</v>
      </c>
      <c r="L132" s="76">
        <f t="shared" ca="1" si="95"/>
        <v>0</v>
      </c>
      <c r="M132" s="76">
        <f t="shared" ca="1" si="82"/>
        <v>0</v>
      </c>
      <c r="N132" s="76">
        <f t="shared" ca="1" si="96"/>
        <v>0</v>
      </c>
      <c r="O132" s="76"/>
      <c r="P132" s="76">
        <f t="shared" ca="1" si="97"/>
        <v>0</v>
      </c>
      <c r="Q132" s="76">
        <f t="shared" ca="1" si="85"/>
        <v>0</v>
      </c>
      <c r="R132" s="76">
        <f t="shared" ca="1" si="86"/>
        <v>0</v>
      </c>
      <c r="S132" s="232">
        <f t="shared" ca="1" si="98"/>
        <v>0</v>
      </c>
      <c r="U132" s="120" t="str">
        <f t="shared" si="99"/>
        <v>:0</v>
      </c>
      <c r="V132" s="120" t="str">
        <f t="shared" si="87"/>
        <v>:</v>
      </c>
      <c r="W132" s="120" t="str">
        <f t="shared" si="91"/>
        <v>:0</v>
      </c>
      <c r="X132" s="250">
        <f t="array" aca="1" ref="X132:AI132" ca="1">VLOOKUP($D132&amp;":"&amp;$C132,tblPayRates,{3,4,5,6,7,8,9,10,11,12,13,14},0)</f>
        <v>0</v>
      </c>
      <c r="Y132" s="16" t="str">
        <f ca="1"/>
        <v>Nobody</v>
      </c>
      <c r="Z132" s="261" t="str">
        <f ca="1"/>
        <v>M</v>
      </c>
      <c r="AA132" s="77" t="str">
        <f ca="1"/>
        <v>Daily</v>
      </c>
      <c r="AB132" s="77">
        <f ca="1"/>
        <v>0</v>
      </c>
      <c r="AC132" s="77">
        <f ca="1"/>
        <v>0</v>
      </c>
      <c r="AD132" s="77">
        <f ca="1"/>
        <v>0</v>
      </c>
      <c r="AE132" s="77">
        <f ca="1"/>
        <v>0</v>
      </c>
      <c r="AF132" s="261" t="str">
        <f ca="1"/>
        <v>N</v>
      </c>
      <c r="AG132" s="261">
        <f ca="1"/>
        <v>1</v>
      </c>
      <c r="AH132" s="261">
        <f ca="1"/>
        <v>1</v>
      </c>
      <c r="AI132" s="262">
        <f ca="1"/>
        <v>0</v>
      </c>
    </row>
    <row r="133" spans="1:35" hidden="1" outlineLevel="1" x14ac:dyDescent="0.25">
      <c r="A133" s="120">
        <f t="shared" si="83"/>
        <v>0</v>
      </c>
      <c r="B133" s="231"/>
      <c r="C133" s="77"/>
      <c r="D133" s="238"/>
      <c r="E133" s="76">
        <f ca="1">SUMIF(payNonMonth,"="&amp;$W133,$E$371:OFFSET($E$371,ROWS(payNonMonth)-1,0))</f>
        <v>0</v>
      </c>
      <c r="F133" s="76"/>
      <c r="G133" s="77">
        <f t="shared" ca="1" si="84"/>
        <v>0</v>
      </c>
      <c r="H133" s="76">
        <f t="shared" ca="1" si="92"/>
        <v>0</v>
      </c>
      <c r="I133" s="76">
        <f t="shared" ca="1" si="93"/>
        <v>0</v>
      </c>
      <c r="J133" s="233">
        <f t="shared" ca="1" si="94"/>
        <v>0</v>
      </c>
      <c r="K133" s="76">
        <f t="shared" ca="1" si="100"/>
        <v>0</v>
      </c>
      <c r="L133" s="76">
        <f t="shared" ca="1" si="95"/>
        <v>0</v>
      </c>
      <c r="M133" s="76">
        <f t="shared" ca="1" si="82"/>
        <v>0</v>
      </c>
      <c r="N133" s="76">
        <f t="shared" ca="1" si="96"/>
        <v>0</v>
      </c>
      <c r="O133" s="76"/>
      <c r="P133" s="76">
        <f t="shared" ca="1" si="97"/>
        <v>0</v>
      </c>
      <c r="Q133" s="76">
        <f t="shared" ca="1" si="85"/>
        <v>0</v>
      </c>
      <c r="R133" s="76">
        <f t="shared" ca="1" si="86"/>
        <v>0</v>
      </c>
      <c r="S133" s="232">
        <f t="shared" ca="1" si="98"/>
        <v>0</v>
      </c>
      <c r="U133" s="120" t="str">
        <f t="shared" si="99"/>
        <v>:0</v>
      </c>
      <c r="V133" s="120" t="str">
        <f t="shared" si="87"/>
        <v>:</v>
      </c>
      <c r="W133" s="120" t="str">
        <f t="shared" si="91"/>
        <v>:0</v>
      </c>
      <c r="X133" s="250">
        <f t="array" aca="1" ref="X133:AI133" ca="1">VLOOKUP($D133&amp;":"&amp;$C133,tblPayRates,{3,4,5,6,7,8,9,10,11,12,13,14},0)</f>
        <v>0</v>
      </c>
      <c r="Y133" s="16" t="str">
        <f ca="1"/>
        <v>Nobody</v>
      </c>
      <c r="Z133" s="261" t="str">
        <f ca="1"/>
        <v>M</v>
      </c>
      <c r="AA133" s="77" t="str">
        <f ca="1"/>
        <v>Daily</v>
      </c>
      <c r="AB133" s="77">
        <f ca="1"/>
        <v>0</v>
      </c>
      <c r="AC133" s="77">
        <f ca="1"/>
        <v>0</v>
      </c>
      <c r="AD133" s="77">
        <f ca="1"/>
        <v>0</v>
      </c>
      <c r="AE133" s="77">
        <f ca="1"/>
        <v>0</v>
      </c>
      <c r="AF133" s="261" t="str">
        <f ca="1"/>
        <v>N</v>
      </c>
      <c r="AG133" s="261">
        <f ca="1"/>
        <v>1</v>
      </c>
      <c r="AH133" s="261">
        <f ca="1"/>
        <v>1</v>
      </c>
      <c r="AI133" s="262">
        <f ca="1"/>
        <v>0</v>
      </c>
    </row>
    <row r="134" spans="1:35" hidden="1" outlineLevel="1" x14ac:dyDescent="0.25">
      <c r="A134" s="120">
        <f t="shared" si="83"/>
        <v>0</v>
      </c>
      <c r="B134" s="231"/>
      <c r="C134" s="77"/>
      <c r="D134" s="238"/>
      <c r="E134" s="76">
        <f ca="1">SUMIF(payNonMonth,"="&amp;$W134,$E$371:OFFSET($E$371,ROWS(payNonMonth)-1,0))</f>
        <v>0</v>
      </c>
      <c r="F134" s="76"/>
      <c r="G134" s="77">
        <f t="shared" ca="1" si="84"/>
        <v>0</v>
      </c>
      <c r="H134" s="76">
        <f t="shared" ca="1" si="92"/>
        <v>0</v>
      </c>
      <c r="I134" s="76">
        <f t="shared" ca="1" si="93"/>
        <v>0</v>
      </c>
      <c r="J134" s="233">
        <f t="shared" ca="1" si="94"/>
        <v>0</v>
      </c>
      <c r="K134" s="76">
        <f t="shared" ca="1" si="100"/>
        <v>0</v>
      </c>
      <c r="L134" s="76">
        <f t="shared" ca="1" si="95"/>
        <v>0</v>
      </c>
      <c r="M134" s="76">
        <f t="shared" ca="1" si="82"/>
        <v>0</v>
      </c>
      <c r="N134" s="76">
        <f t="shared" ca="1" si="96"/>
        <v>0</v>
      </c>
      <c r="O134" s="76"/>
      <c r="P134" s="76">
        <f t="shared" ca="1" si="97"/>
        <v>0</v>
      </c>
      <c r="Q134" s="76">
        <f t="shared" ca="1" si="85"/>
        <v>0</v>
      </c>
      <c r="R134" s="76">
        <f t="shared" ca="1" si="86"/>
        <v>0</v>
      </c>
      <c r="S134" s="232">
        <f t="shared" ca="1" si="98"/>
        <v>0</v>
      </c>
      <c r="U134" s="120" t="str">
        <f t="shared" si="99"/>
        <v>:0</v>
      </c>
      <c r="V134" s="120" t="str">
        <f t="shared" si="87"/>
        <v>:</v>
      </c>
      <c r="W134" s="120" t="str">
        <f t="shared" si="91"/>
        <v>:0</v>
      </c>
      <c r="X134" s="250">
        <f t="array" aca="1" ref="X134:AI134" ca="1">VLOOKUP($D134&amp;":"&amp;$C134,tblPayRates,{3,4,5,6,7,8,9,10,11,12,13,14},0)</f>
        <v>0</v>
      </c>
      <c r="Y134" s="16" t="str">
        <f ca="1"/>
        <v>Nobody</v>
      </c>
      <c r="Z134" s="261" t="str">
        <f ca="1"/>
        <v>M</v>
      </c>
      <c r="AA134" s="77" t="str">
        <f ca="1"/>
        <v>Daily</v>
      </c>
      <c r="AB134" s="77">
        <f ca="1"/>
        <v>0</v>
      </c>
      <c r="AC134" s="77">
        <f ca="1"/>
        <v>0</v>
      </c>
      <c r="AD134" s="77">
        <f ca="1"/>
        <v>0</v>
      </c>
      <c r="AE134" s="77">
        <f ca="1"/>
        <v>0</v>
      </c>
      <c r="AF134" s="261" t="str">
        <f ca="1"/>
        <v>N</v>
      </c>
      <c r="AG134" s="261">
        <f ca="1"/>
        <v>1</v>
      </c>
      <c r="AH134" s="261">
        <f ca="1"/>
        <v>1</v>
      </c>
      <c r="AI134" s="262">
        <f ca="1"/>
        <v>0</v>
      </c>
    </row>
    <row r="135" spans="1:35" hidden="1" outlineLevel="1" x14ac:dyDescent="0.25">
      <c r="A135" s="120">
        <f t="shared" si="83"/>
        <v>0</v>
      </c>
      <c r="B135" s="231"/>
      <c r="C135" s="77"/>
      <c r="D135" s="238"/>
      <c r="E135" s="76">
        <f ca="1">SUMIF(payNonMonth,"="&amp;$W135,$E$371:OFFSET($E$371,ROWS(payNonMonth)-1,0))</f>
        <v>0</v>
      </c>
      <c r="F135" s="76"/>
      <c r="G135" s="77">
        <f t="shared" ca="1" si="84"/>
        <v>0</v>
      </c>
      <c r="H135" s="76">
        <f t="shared" ca="1" si="92"/>
        <v>0</v>
      </c>
      <c r="I135" s="76">
        <f t="shared" ca="1" si="93"/>
        <v>0</v>
      </c>
      <c r="J135" s="233">
        <f t="shared" ca="1" si="94"/>
        <v>0</v>
      </c>
      <c r="K135" s="76">
        <f t="shared" ca="1" si="100"/>
        <v>0</v>
      </c>
      <c r="L135" s="76">
        <f t="shared" ca="1" si="95"/>
        <v>0</v>
      </c>
      <c r="M135" s="76">
        <f t="shared" ca="1" si="82"/>
        <v>0</v>
      </c>
      <c r="N135" s="76">
        <f t="shared" ca="1" si="96"/>
        <v>0</v>
      </c>
      <c r="O135" s="76"/>
      <c r="P135" s="76">
        <f t="shared" ca="1" si="97"/>
        <v>0</v>
      </c>
      <c r="Q135" s="76">
        <f t="shared" ca="1" si="85"/>
        <v>0</v>
      </c>
      <c r="R135" s="76">
        <f t="shared" ca="1" si="86"/>
        <v>0</v>
      </c>
      <c r="S135" s="232">
        <f t="shared" ca="1" si="98"/>
        <v>0</v>
      </c>
      <c r="U135" s="120" t="str">
        <f t="shared" si="99"/>
        <v>:0</v>
      </c>
      <c r="V135" s="120" t="str">
        <f t="shared" si="87"/>
        <v>:</v>
      </c>
      <c r="W135" s="120" t="str">
        <f t="shared" si="91"/>
        <v>:0</v>
      </c>
      <c r="X135" s="250">
        <f t="array" aca="1" ref="X135:AI135" ca="1">VLOOKUP($D135&amp;":"&amp;$C135,tblPayRates,{3,4,5,6,7,8,9,10,11,12,13,14},0)</f>
        <v>0</v>
      </c>
      <c r="Y135" s="16" t="str">
        <f ca="1"/>
        <v>Nobody</v>
      </c>
      <c r="Z135" s="261" t="str">
        <f ca="1"/>
        <v>M</v>
      </c>
      <c r="AA135" s="77" t="str">
        <f ca="1"/>
        <v>Daily</v>
      </c>
      <c r="AB135" s="77">
        <f ca="1"/>
        <v>0</v>
      </c>
      <c r="AC135" s="77">
        <f ca="1"/>
        <v>0</v>
      </c>
      <c r="AD135" s="77">
        <f ca="1"/>
        <v>0</v>
      </c>
      <c r="AE135" s="77">
        <f ca="1"/>
        <v>0</v>
      </c>
      <c r="AF135" s="261" t="str">
        <f ca="1"/>
        <v>N</v>
      </c>
      <c r="AG135" s="261">
        <f ca="1"/>
        <v>1</v>
      </c>
      <c r="AH135" s="261">
        <f ca="1"/>
        <v>1</v>
      </c>
      <c r="AI135" s="262">
        <f ca="1"/>
        <v>0</v>
      </c>
    </row>
    <row r="136" spans="1:35" hidden="1" outlineLevel="1" x14ac:dyDescent="0.25">
      <c r="A136" s="120">
        <f t="shared" si="83"/>
        <v>0</v>
      </c>
      <c r="B136" s="231"/>
      <c r="C136" s="77"/>
      <c r="D136" s="238"/>
      <c r="E136" s="76">
        <f ca="1">SUMIF(payNonMonth,"="&amp;$W136,$E$371:OFFSET($E$371,ROWS(payNonMonth)-1,0))</f>
        <v>0</v>
      </c>
      <c r="F136" s="76"/>
      <c r="G136" s="77">
        <f t="shared" ca="1" si="84"/>
        <v>0</v>
      </c>
      <c r="H136" s="76">
        <f t="shared" ca="1" si="92"/>
        <v>0</v>
      </c>
      <c r="I136" s="76">
        <f t="shared" ca="1" si="93"/>
        <v>0</v>
      </c>
      <c r="J136" s="233">
        <f t="shared" ca="1" si="94"/>
        <v>0</v>
      </c>
      <c r="K136" s="76">
        <f t="shared" ca="1" si="100"/>
        <v>0</v>
      </c>
      <c r="L136" s="76">
        <f t="shared" ca="1" si="95"/>
        <v>0</v>
      </c>
      <c r="M136" s="76">
        <f t="shared" ca="1" si="82"/>
        <v>0</v>
      </c>
      <c r="N136" s="76">
        <f t="shared" ca="1" si="96"/>
        <v>0</v>
      </c>
      <c r="O136" s="76"/>
      <c r="P136" s="76">
        <f t="shared" ca="1" si="97"/>
        <v>0</v>
      </c>
      <c r="Q136" s="76">
        <f t="shared" ca="1" si="85"/>
        <v>0</v>
      </c>
      <c r="R136" s="76">
        <f t="shared" ca="1" si="86"/>
        <v>0</v>
      </c>
      <c r="S136" s="232">
        <f t="shared" ca="1" si="98"/>
        <v>0</v>
      </c>
      <c r="U136" s="120" t="str">
        <f t="shared" si="99"/>
        <v>:0</v>
      </c>
      <c r="V136" s="120" t="str">
        <f t="shared" si="87"/>
        <v>:</v>
      </c>
      <c r="W136" s="120" t="str">
        <f t="shared" si="91"/>
        <v>:0</v>
      </c>
      <c r="X136" s="250">
        <f t="array" aca="1" ref="X136:AI136" ca="1">VLOOKUP($D136&amp;":"&amp;$C136,tblPayRates,{3,4,5,6,7,8,9,10,11,12,13,14},0)</f>
        <v>0</v>
      </c>
      <c r="Y136" s="16" t="str">
        <f ca="1"/>
        <v>Nobody</v>
      </c>
      <c r="Z136" s="261" t="str">
        <f ca="1"/>
        <v>M</v>
      </c>
      <c r="AA136" s="77" t="str">
        <f ca="1"/>
        <v>Daily</v>
      </c>
      <c r="AB136" s="77">
        <f ca="1"/>
        <v>0</v>
      </c>
      <c r="AC136" s="77">
        <f ca="1"/>
        <v>0</v>
      </c>
      <c r="AD136" s="77">
        <f ca="1"/>
        <v>0</v>
      </c>
      <c r="AE136" s="77">
        <f ca="1"/>
        <v>0</v>
      </c>
      <c r="AF136" s="261" t="str">
        <f ca="1"/>
        <v>N</v>
      </c>
      <c r="AG136" s="261">
        <f ca="1"/>
        <v>1</v>
      </c>
      <c r="AH136" s="261">
        <f ca="1"/>
        <v>1</v>
      </c>
      <c r="AI136" s="262">
        <f ca="1"/>
        <v>0</v>
      </c>
    </row>
    <row r="137" spans="1:35" hidden="1" outlineLevel="1" x14ac:dyDescent="0.25">
      <c r="A137" s="120">
        <f t="shared" si="83"/>
        <v>0</v>
      </c>
      <c r="B137" s="231"/>
      <c r="C137" s="77"/>
      <c r="D137" s="238"/>
      <c r="E137" s="76">
        <f ca="1">SUMIF(payNonMonth,"="&amp;$W137,$E$371:OFFSET($E$371,ROWS(payNonMonth)-1,0))</f>
        <v>0</v>
      </c>
      <c r="F137" s="76"/>
      <c r="G137" s="77">
        <f t="shared" ca="1" si="84"/>
        <v>0</v>
      </c>
      <c r="H137" s="76">
        <f t="shared" ca="1" si="92"/>
        <v>0</v>
      </c>
      <c r="I137" s="76">
        <f t="shared" ca="1" si="93"/>
        <v>0</v>
      </c>
      <c r="J137" s="233">
        <f t="shared" ca="1" si="94"/>
        <v>0</v>
      </c>
      <c r="K137" s="76">
        <f t="shared" ca="1" si="100"/>
        <v>0</v>
      </c>
      <c r="L137" s="76">
        <f t="shared" ca="1" si="95"/>
        <v>0</v>
      </c>
      <c r="M137" s="76">
        <f t="shared" ca="1" si="82"/>
        <v>0</v>
      </c>
      <c r="N137" s="76">
        <f t="shared" ca="1" si="96"/>
        <v>0</v>
      </c>
      <c r="O137" s="76"/>
      <c r="P137" s="76">
        <f t="shared" ca="1" si="97"/>
        <v>0</v>
      </c>
      <c r="Q137" s="76">
        <f t="shared" ca="1" si="85"/>
        <v>0</v>
      </c>
      <c r="R137" s="76">
        <f t="shared" ca="1" si="86"/>
        <v>0</v>
      </c>
      <c r="S137" s="232">
        <f t="shared" ca="1" si="98"/>
        <v>0</v>
      </c>
      <c r="U137" s="120" t="str">
        <f t="shared" si="99"/>
        <v>:0</v>
      </c>
      <c r="V137" s="120" t="str">
        <f t="shared" si="87"/>
        <v>:</v>
      </c>
      <c r="W137" s="120" t="str">
        <f t="shared" si="91"/>
        <v>:0</v>
      </c>
      <c r="X137" s="250">
        <f t="array" aca="1" ref="X137:AI137" ca="1">VLOOKUP($D137&amp;":"&amp;$C137,tblPayRates,{3,4,5,6,7,8,9,10,11,12,13,14},0)</f>
        <v>0</v>
      </c>
      <c r="Y137" s="16" t="str">
        <f ca="1"/>
        <v>Nobody</v>
      </c>
      <c r="Z137" s="261" t="str">
        <f ca="1"/>
        <v>M</v>
      </c>
      <c r="AA137" s="77" t="str">
        <f ca="1"/>
        <v>Daily</v>
      </c>
      <c r="AB137" s="77">
        <f ca="1"/>
        <v>0</v>
      </c>
      <c r="AC137" s="77">
        <f ca="1"/>
        <v>0</v>
      </c>
      <c r="AD137" s="77">
        <f ca="1"/>
        <v>0</v>
      </c>
      <c r="AE137" s="77">
        <f ca="1"/>
        <v>0</v>
      </c>
      <c r="AF137" s="261" t="str">
        <f ca="1"/>
        <v>N</v>
      </c>
      <c r="AG137" s="261">
        <f ca="1"/>
        <v>1</v>
      </c>
      <c r="AH137" s="261">
        <f ca="1"/>
        <v>1</v>
      </c>
      <c r="AI137" s="262">
        <f ca="1"/>
        <v>0</v>
      </c>
    </row>
    <row r="138" spans="1:35" hidden="1" outlineLevel="1" x14ac:dyDescent="0.25">
      <c r="A138" s="120">
        <f t="shared" si="83"/>
        <v>0</v>
      </c>
      <c r="B138" s="231"/>
      <c r="C138" s="77"/>
      <c r="D138" s="238"/>
      <c r="E138" s="76">
        <f ca="1">SUMIF(payNonMonth,"="&amp;$W138,$E$371:OFFSET($E$371,ROWS(payNonMonth)-1,0))</f>
        <v>0</v>
      </c>
      <c r="F138" s="76"/>
      <c r="G138" s="77">
        <f t="shared" ca="1" si="84"/>
        <v>0</v>
      </c>
      <c r="H138" s="76">
        <f t="shared" ca="1" si="92"/>
        <v>0</v>
      </c>
      <c r="I138" s="76">
        <f t="shared" ca="1" si="93"/>
        <v>0</v>
      </c>
      <c r="J138" s="233">
        <f t="shared" ca="1" si="94"/>
        <v>0</v>
      </c>
      <c r="K138" s="76">
        <f t="shared" ca="1" si="100"/>
        <v>0</v>
      </c>
      <c r="L138" s="76">
        <f t="shared" ca="1" si="95"/>
        <v>0</v>
      </c>
      <c r="M138" s="76">
        <f t="shared" ca="1" si="82"/>
        <v>0</v>
      </c>
      <c r="N138" s="76">
        <f t="shared" ca="1" si="96"/>
        <v>0</v>
      </c>
      <c r="O138" s="76"/>
      <c r="P138" s="76">
        <f t="shared" ca="1" si="97"/>
        <v>0</v>
      </c>
      <c r="Q138" s="76">
        <f t="shared" ca="1" si="85"/>
        <v>0</v>
      </c>
      <c r="R138" s="76">
        <f t="shared" ca="1" si="86"/>
        <v>0</v>
      </c>
      <c r="S138" s="232">
        <f t="shared" ca="1" si="98"/>
        <v>0</v>
      </c>
      <c r="U138" s="120" t="str">
        <f t="shared" si="99"/>
        <v>:0</v>
      </c>
      <c r="V138" s="120" t="str">
        <f t="shared" si="87"/>
        <v>:</v>
      </c>
      <c r="W138" s="120" t="str">
        <f t="shared" si="91"/>
        <v>:0</v>
      </c>
      <c r="X138" s="250">
        <f t="array" aca="1" ref="X138:AI138" ca="1">VLOOKUP($D138&amp;":"&amp;$C138,tblPayRates,{3,4,5,6,7,8,9,10,11,12,13,14},0)</f>
        <v>0</v>
      </c>
      <c r="Y138" s="16" t="str">
        <f ca="1"/>
        <v>Nobody</v>
      </c>
      <c r="Z138" s="261" t="str">
        <f ca="1"/>
        <v>M</v>
      </c>
      <c r="AA138" s="77" t="str">
        <f ca="1"/>
        <v>Daily</v>
      </c>
      <c r="AB138" s="77">
        <f ca="1"/>
        <v>0</v>
      </c>
      <c r="AC138" s="77">
        <f ca="1"/>
        <v>0</v>
      </c>
      <c r="AD138" s="77">
        <f ca="1"/>
        <v>0</v>
      </c>
      <c r="AE138" s="77">
        <f ca="1"/>
        <v>0</v>
      </c>
      <c r="AF138" s="261" t="str">
        <f ca="1"/>
        <v>N</v>
      </c>
      <c r="AG138" s="261">
        <f ca="1"/>
        <v>1</v>
      </c>
      <c r="AH138" s="261">
        <f ca="1"/>
        <v>1</v>
      </c>
      <c r="AI138" s="262">
        <f ca="1"/>
        <v>0</v>
      </c>
    </row>
    <row r="139" spans="1:35" hidden="1" outlineLevel="1" x14ac:dyDescent="0.25">
      <c r="A139" s="120">
        <f t="shared" si="83"/>
        <v>0</v>
      </c>
      <c r="B139" s="231"/>
      <c r="C139" s="77"/>
      <c r="D139" s="238"/>
      <c r="E139" s="76">
        <f ca="1">SUMIF(payNonMonth,"="&amp;$W139,$E$371:OFFSET($E$371,ROWS(payNonMonth)-1,0))</f>
        <v>0</v>
      </c>
      <c r="F139" s="76"/>
      <c r="G139" s="77">
        <f t="shared" ca="1" si="84"/>
        <v>0</v>
      </c>
      <c r="H139" s="76">
        <f t="shared" ca="1" si="92"/>
        <v>0</v>
      </c>
      <c r="I139" s="76">
        <f t="shared" ca="1" si="93"/>
        <v>0</v>
      </c>
      <c r="J139" s="233">
        <f t="shared" ca="1" si="94"/>
        <v>0</v>
      </c>
      <c r="K139" s="76">
        <f t="shared" ca="1" si="100"/>
        <v>0</v>
      </c>
      <c r="L139" s="76">
        <f t="shared" ca="1" si="95"/>
        <v>0</v>
      </c>
      <c r="M139" s="76">
        <f t="shared" ca="1" si="82"/>
        <v>0</v>
      </c>
      <c r="N139" s="76">
        <f t="shared" ca="1" si="96"/>
        <v>0</v>
      </c>
      <c r="O139" s="76"/>
      <c r="P139" s="76">
        <f t="shared" ca="1" si="97"/>
        <v>0</v>
      </c>
      <c r="Q139" s="76">
        <f t="shared" ca="1" si="85"/>
        <v>0</v>
      </c>
      <c r="R139" s="76">
        <f t="shared" ca="1" si="86"/>
        <v>0</v>
      </c>
      <c r="S139" s="232">
        <f t="shared" ca="1" si="98"/>
        <v>0</v>
      </c>
      <c r="U139" s="120" t="str">
        <f t="shared" si="99"/>
        <v>:0</v>
      </c>
      <c r="V139" s="120" t="str">
        <f t="shared" si="87"/>
        <v>:</v>
      </c>
      <c r="W139" s="120" t="str">
        <f t="shared" si="91"/>
        <v>:0</v>
      </c>
      <c r="X139" s="250">
        <f t="array" aca="1" ref="X139:AI139" ca="1">VLOOKUP($D139&amp;":"&amp;$C139,tblPayRates,{3,4,5,6,7,8,9,10,11,12,13,14},0)</f>
        <v>0</v>
      </c>
      <c r="Y139" s="16" t="str">
        <f ca="1"/>
        <v>Nobody</v>
      </c>
      <c r="Z139" s="261" t="str">
        <f ca="1"/>
        <v>M</v>
      </c>
      <c r="AA139" s="77" t="str">
        <f ca="1"/>
        <v>Daily</v>
      </c>
      <c r="AB139" s="77">
        <f ca="1"/>
        <v>0</v>
      </c>
      <c r="AC139" s="77">
        <f ca="1"/>
        <v>0</v>
      </c>
      <c r="AD139" s="77">
        <f ca="1"/>
        <v>0</v>
      </c>
      <c r="AE139" s="77">
        <f ca="1"/>
        <v>0</v>
      </c>
      <c r="AF139" s="261" t="str">
        <f ca="1"/>
        <v>N</v>
      </c>
      <c r="AG139" s="261">
        <f ca="1"/>
        <v>1</v>
      </c>
      <c r="AH139" s="261">
        <f ca="1"/>
        <v>1</v>
      </c>
      <c r="AI139" s="262">
        <f ca="1"/>
        <v>0</v>
      </c>
    </row>
    <row r="140" spans="1:35" hidden="1" outlineLevel="1" x14ac:dyDescent="0.25">
      <c r="A140" s="120">
        <f t="shared" si="83"/>
        <v>0</v>
      </c>
      <c r="B140" s="231"/>
      <c r="C140" s="77"/>
      <c r="D140" s="238"/>
      <c r="E140" s="76">
        <f ca="1">SUMIF(payNonMonth,"="&amp;$W140,$E$371:OFFSET($E$371,ROWS(payNonMonth)-1,0))</f>
        <v>0</v>
      </c>
      <c r="F140" s="76"/>
      <c r="G140" s="77">
        <f t="shared" ca="1" si="84"/>
        <v>0</v>
      </c>
      <c r="H140" s="76">
        <f t="shared" ca="1" si="92"/>
        <v>0</v>
      </c>
      <c r="I140" s="76">
        <f t="shared" ca="1" si="93"/>
        <v>0</v>
      </c>
      <c r="J140" s="233">
        <f t="shared" ca="1" si="94"/>
        <v>0</v>
      </c>
      <c r="K140" s="76">
        <f t="shared" ca="1" si="100"/>
        <v>0</v>
      </c>
      <c r="L140" s="76">
        <f t="shared" ca="1" si="95"/>
        <v>0</v>
      </c>
      <c r="M140" s="76">
        <f t="shared" ca="1" si="82"/>
        <v>0</v>
      </c>
      <c r="N140" s="76">
        <f t="shared" ca="1" si="96"/>
        <v>0</v>
      </c>
      <c r="O140" s="76"/>
      <c r="P140" s="76">
        <f t="shared" ca="1" si="97"/>
        <v>0</v>
      </c>
      <c r="Q140" s="76">
        <f t="shared" ca="1" si="85"/>
        <v>0</v>
      </c>
      <c r="R140" s="76">
        <f t="shared" ca="1" si="86"/>
        <v>0</v>
      </c>
      <c r="S140" s="232">
        <f t="shared" ca="1" si="98"/>
        <v>0</v>
      </c>
      <c r="U140" s="120" t="str">
        <f t="shared" si="99"/>
        <v>:0</v>
      </c>
      <c r="V140" s="120" t="str">
        <f t="shared" si="87"/>
        <v>:</v>
      </c>
      <c r="W140" s="120" t="str">
        <f t="shared" si="91"/>
        <v>:0</v>
      </c>
      <c r="X140" s="250">
        <f t="array" aca="1" ref="X140:AI140" ca="1">VLOOKUP($D140&amp;":"&amp;$C140,tblPayRates,{3,4,5,6,7,8,9,10,11,12,13,14},0)</f>
        <v>0</v>
      </c>
      <c r="Y140" s="16" t="str">
        <f ca="1"/>
        <v>Nobody</v>
      </c>
      <c r="Z140" s="261" t="str">
        <f ca="1"/>
        <v>M</v>
      </c>
      <c r="AA140" s="77" t="str">
        <f ca="1"/>
        <v>Daily</v>
      </c>
      <c r="AB140" s="77">
        <f ca="1"/>
        <v>0</v>
      </c>
      <c r="AC140" s="77">
        <f ca="1"/>
        <v>0</v>
      </c>
      <c r="AD140" s="77">
        <f ca="1"/>
        <v>0</v>
      </c>
      <c r="AE140" s="77">
        <f ca="1"/>
        <v>0</v>
      </c>
      <c r="AF140" s="261" t="str">
        <f ca="1"/>
        <v>N</v>
      </c>
      <c r="AG140" s="261">
        <f ca="1"/>
        <v>1</v>
      </c>
      <c r="AH140" s="261">
        <f ca="1"/>
        <v>1</v>
      </c>
      <c r="AI140" s="262">
        <f ca="1"/>
        <v>0</v>
      </c>
    </row>
    <row r="141" spans="1:35" hidden="1" outlineLevel="1" x14ac:dyDescent="0.25">
      <c r="A141" s="120">
        <f t="shared" si="83"/>
        <v>0</v>
      </c>
      <c r="B141" s="231"/>
      <c r="C141" s="77"/>
      <c r="D141" s="238"/>
      <c r="E141" s="76">
        <f ca="1">SUMIF(payNonMonth,"="&amp;$W141,$E$371:OFFSET($E$371,ROWS(payNonMonth)-1,0))</f>
        <v>0</v>
      </c>
      <c r="F141" s="76"/>
      <c r="G141" s="77">
        <f t="shared" ca="1" si="84"/>
        <v>0</v>
      </c>
      <c r="H141" s="76">
        <f t="shared" ca="1" si="92"/>
        <v>0</v>
      </c>
      <c r="I141" s="76">
        <f t="shared" ca="1" si="93"/>
        <v>0</v>
      </c>
      <c r="J141" s="233">
        <f t="shared" ca="1" si="94"/>
        <v>0</v>
      </c>
      <c r="K141" s="76">
        <f t="shared" ca="1" si="100"/>
        <v>0</v>
      </c>
      <c r="L141" s="76">
        <f t="shared" ca="1" si="95"/>
        <v>0</v>
      </c>
      <c r="M141" s="76">
        <f t="shared" ca="1" si="82"/>
        <v>0</v>
      </c>
      <c r="N141" s="76">
        <f t="shared" ca="1" si="96"/>
        <v>0</v>
      </c>
      <c r="O141" s="76"/>
      <c r="P141" s="76">
        <f t="shared" ca="1" si="97"/>
        <v>0</v>
      </c>
      <c r="Q141" s="76">
        <f t="shared" ca="1" si="85"/>
        <v>0</v>
      </c>
      <c r="R141" s="76">
        <f t="shared" ca="1" si="86"/>
        <v>0</v>
      </c>
      <c r="S141" s="232">
        <f t="shared" ca="1" si="98"/>
        <v>0</v>
      </c>
      <c r="U141" s="120" t="str">
        <f t="shared" si="99"/>
        <v>:0</v>
      </c>
      <c r="V141" s="120" t="str">
        <f t="shared" si="87"/>
        <v>:</v>
      </c>
      <c r="W141" s="120" t="str">
        <f t="shared" si="91"/>
        <v>:0</v>
      </c>
      <c r="X141" s="250">
        <f t="array" aca="1" ref="X141:AI141" ca="1">VLOOKUP($D141&amp;":"&amp;$C141,tblPayRates,{3,4,5,6,7,8,9,10,11,12,13,14},0)</f>
        <v>0</v>
      </c>
      <c r="Y141" s="16" t="str">
        <f ca="1"/>
        <v>Nobody</v>
      </c>
      <c r="Z141" s="261" t="str">
        <f ca="1"/>
        <v>M</v>
      </c>
      <c r="AA141" s="77" t="str">
        <f ca="1"/>
        <v>Daily</v>
      </c>
      <c r="AB141" s="77">
        <f ca="1"/>
        <v>0</v>
      </c>
      <c r="AC141" s="77">
        <f ca="1"/>
        <v>0</v>
      </c>
      <c r="AD141" s="77">
        <f ca="1"/>
        <v>0</v>
      </c>
      <c r="AE141" s="77">
        <f ca="1"/>
        <v>0</v>
      </c>
      <c r="AF141" s="261" t="str">
        <f ca="1"/>
        <v>N</v>
      </c>
      <c r="AG141" s="261">
        <f ca="1"/>
        <v>1</v>
      </c>
      <c r="AH141" s="261">
        <f ca="1"/>
        <v>1</v>
      </c>
      <c r="AI141" s="262">
        <f ca="1"/>
        <v>0</v>
      </c>
    </row>
    <row r="142" spans="1:35" hidden="1" outlineLevel="1" x14ac:dyDescent="0.25">
      <c r="A142" s="120">
        <f t="shared" si="83"/>
        <v>0</v>
      </c>
      <c r="B142" s="231"/>
      <c r="C142" s="77"/>
      <c r="D142" s="238"/>
      <c r="E142" s="76">
        <f ca="1">SUMIF(payNonMonth,"="&amp;$W142,$E$371:OFFSET($E$371,ROWS(payNonMonth)-1,0))</f>
        <v>0</v>
      </c>
      <c r="F142" s="76"/>
      <c r="G142" s="77">
        <f t="shared" ca="1" si="84"/>
        <v>0</v>
      </c>
      <c r="H142" s="76">
        <f t="shared" ca="1" si="92"/>
        <v>0</v>
      </c>
      <c r="I142" s="76">
        <f t="shared" ca="1" si="93"/>
        <v>0</v>
      </c>
      <c r="J142" s="233">
        <f t="shared" ca="1" si="94"/>
        <v>0</v>
      </c>
      <c r="K142" s="76">
        <f t="shared" ca="1" si="100"/>
        <v>0</v>
      </c>
      <c r="L142" s="76">
        <f t="shared" ca="1" si="95"/>
        <v>0</v>
      </c>
      <c r="M142" s="76">
        <f t="shared" ca="1" si="82"/>
        <v>0</v>
      </c>
      <c r="N142" s="76">
        <f t="shared" ca="1" si="96"/>
        <v>0</v>
      </c>
      <c r="O142" s="76"/>
      <c r="P142" s="76">
        <f t="shared" ca="1" si="97"/>
        <v>0</v>
      </c>
      <c r="Q142" s="76">
        <f t="shared" ca="1" si="85"/>
        <v>0</v>
      </c>
      <c r="R142" s="76">
        <f t="shared" ca="1" si="86"/>
        <v>0</v>
      </c>
      <c r="S142" s="232">
        <f t="shared" ca="1" si="98"/>
        <v>0</v>
      </c>
      <c r="U142" s="120" t="str">
        <f t="shared" si="99"/>
        <v>:0</v>
      </c>
      <c r="V142" s="120" t="str">
        <f t="shared" si="87"/>
        <v>:</v>
      </c>
      <c r="W142" s="120" t="str">
        <f t="shared" si="91"/>
        <v>:0</v>
      </c>
      <c r="X142" s="250">
        <f t="array" aca="1" ref="X142:AI142" ca="1">VLOOKUP($D142&amp;":"&amp;$C142,tblPayRates,{3,4,5,6,7,8,9,10,11,12,13,14},0)</f>
        <v>0</v>
      </c>
      <c r="Y142" s="16" t="str">
        <f ca="1"/>
        <v>Nobody</v>
      </c>
      <c r="Z142" s="261" t="str">
        <f ca="1"/>
        <v>M</v>
      </c>
      <c r="AA142" s="77" t="str">
        <f ca="1"/>
        <v>Daily</v>
      </c>
      <c r="AB142" s="77">
        <f ca="1"/>
        <v>0</v>
      </c>
      <c r="AC142" s="77">
        <f ca="1"/>
        <v>0</v>
      </c>
      <c r="AD142" s="77">
        <f ca="1"/>
        <v>0</v>
      </c>
      <c r="AE142" s="77">
        <f ca="1"/>
        <v>0</v>
      </c>
      <c r="AF142" s="261" t="str">
        <f ca="1"/>
        <v>N</v>
      </c>
      <c r="AG142" s="261">
        <f ca="1"/>
        <v>1</v>
      </c>
      <c r="AH142" s="261">
        <f ca="1"/>
        <v>1</v>
      </c>
      <c r="AI142" s="262">
        <f ca="1"/>
        <v>0</v>
      </c>
    </row>
    <row r="143" spans="1:35" hidden="1" outlineLevel="1" x14ac:dyDescent="0.25">
      <c r="A143" s="120">
        <f t="shared" si="83"/>
        <v>0</v>
      </c>
      <c r="B143" s="231"/>
      <c r="C143" s="77"/>
      <c r="D143" s="238"/>
      <c r="E143" s="76">
        <f ca="1">SUMIF(payNonMonth,"="&amp;$W143,$E$371:OFFSET($E$371,ROWS(payNonMonth)-1,0))</f>
        <v>0</v>
      </c>
      <c r="F143" s="76"/>
      <c r="G143" s="77">
        <f t="shared" ca="1" si="84"/>
        <v>0</v>
      </c>
      <c r="H143" s="76">
        <f t="shared" ca="1" si="92"/>
        <v>0</v>
      </c>
      <c r="I143" s="76">
        <f t="shared" ca="1" si="93"/>
        <v>0</v>
      </c>
      <c r="J143" s="233">
        <f t="shared" ca="1" si="94"/>
        <v>0</v>
      </c>
      <c r="K143" s="76">
        <f t="shared" ca="1" si="100"/>
        <v>0</v>
      </c>
      <c r="L143" s="76">
        <f t="shared" ca="1" si="95"/>
        <v>0</v>
      </c>
      <c r="M143" s="76">
        <f t="shared" ca="1" si="82"/>
        <v>0</v>
      </c>
      <c r="N143" s="76">
        <f t="shared" ca="1" si="96"/>
        <v>0</v>
      </c>
      <c r="O143" s="76"/>
      <c r="P143" s="76">
        <f t="shared" ca="1" si="97"/>
        <v>0</v>
      </c>
      <c r="Q143" s="76">
        <f t="shared" ca="1" si="85"/>
        <v>0</v>
      </c>
      <c r="R143" s="76">
        <f t="shared" ca="1" si="86"/>
        <v>0</v>
      </c>
      <c r="S143" s="232">
        <f t="shared" ca="1" si="98"/>
        <v>0</v>
      </c>
      <c r="U143" s="120" t="str">
        <f t="shared" si="99"/>
        <v>:0</v>
      </c>
      <c r="V143" s="120" t="str">
        <f t="shared" si="87"/>
        <v>:</v>
      </c>
      <c r="W143" s="120" t="str">
        <f t="shared" si="91"/>
        <v>:0</v>
      </c>
      <c r="X143" s="250">
        <f t="array" aca="1" ref="X143:AI143" ca="1">VLOOKUP($D143&amp;":"&amp;$C143,tblPayRates,{3,4,5,6,7,8,9,10,11,12,13,14},0)</f>
        <v>0</v>
      </c>
      <c r="Y143" s="16" t="str">
        <f ca="1"/>
        <v>Nobody</v>
      </c>
      <c r="Z143" s="261" t="str">
        <f ca="1"/>
        <v>M</v>
      </c>
      <c r="AA143" s="77" t="str">
        <f ca="1"/>
        <v>Daily</v>
      </c>
      <c r="AB143" s="77">
        <f ca="1"/>
        <v>0</v>
      </c>
      <c r="AC143" s="77">
        <f ca="1"/>
        <v>0</v>
      </c>
      <c r="AD143" s="77">
        <f ca="1"/>
        <v>0</v>
      </c>
      <c r="AE143" s="77">
        <f ca="1"/>
        <v>0</v>
      </c>
      <c r="AF143" s="261" t="str">
        <f ca="1"/>
        <v>N</v>
      </c>
      <c r="AG143" s="261">
        <f ca="1"/>
        <v>1</v>
      </c>
      <c r="AH143" s="261">
        <f ca="1"/>
        <v>1</v>
      </c>
      <c r="AI143" s="262">
        <f ca="1"/>
        <v>0</v>
      </c>
    </row>
    <row r="144" spans="1:35" hidden="1" outlineLevel="1" x14ac:dyDescent="0.25">
      <c r="A144" s="120">
        <f t="shared" si="83"/>
        <v>0</v>
      </c>
      <c r="B144" s="231"/>
      <c r="C144" s="77"/>
      <c r="D144" s="238"/>
      <c r="E144" s="76">
        <f ca="1">SUMIF(payNonMonth,"="&amp;$W144,$E$371:OFFSET($E$371,ROWS(payNonMonth)-1,0))</f>
        <v>0</v>
      </c>
      <c r="F144" s="76"/>
      <c r="G144" s="77">
        <f t="shared" ca="1" si="84"/>
        <v>0</v>
      </c>
      <c r="H144" s="76">
        <f t="shared" ca="1" si="92"/>
        <v>0</v>
      </c>
      <c r="I144" s="76">
        <f t="shared" ca="1" si="93"/>
        <v>0</v>
      </c>
      <c r="J144" s="233">
        <f t="shared" ca="1" si="94"/>
        <v>0</v>
      </c>
      <c r="K144" s="76">
        <f t="shared" ca="1" si="100"/>
        <v>0</v>
      </c>
      <c r="L144" s="76">
        <f t="shared" ca="1" si="95"/>
        <v>0</v>
      </c>
      <c r="M144" s="76">
        <f t="shared" ca="1" si="82"/>
        <v>0</v>
      </c>
      <c r="N144" s="76">
        <f t="shared" ca="1" si="96"/>
        <v>0</v>
      </c>
      <c r="O144" s="76"/>
      <c r="P144" s="76">
        <f t="shared" ca="1" si="97"/>
        <v>0</v>
      </c>
      <c r="Q144" s="76">
        <f t="shared" ca="1" si="85"/>
        <v>0</v>
      </c>
      <c r="R144" s="76">
        <f t="shared" ca="1" si="86"/>
        <v>0</v>
      </c>
      <c r="S144" s="232">
        <f t="shared" ca="1" si="98"/>
        <v>0</v>
      </c>
      <c r="U144" s="120" t="str">
        <f t="shared" si="99"/>
        <v>:0</v>
      </c>
      <c r="V144" s="120" t="str">
        <f t="shared" si="87"/>
        <v>:</v>
      </c>
      <c r="W144" s="120" t="str">
        <f t="shared" si="91"/>
        <v>:0</v>
      </c>
      <c r="X144" s="250">
        <f t="array" aca="1" ref="X144:AI144" ca="1">VLOOKUP($D144&amp;":"&amp;$C144,tblPayRates,{3,4,5,6,7,8,9,10,11,12,13,14},0)</f>
        <v>0</v>
      </c>
      <c r="Y144" s="16" t="str">
        <f ca="1"/>
        <v>Nobody</v>
      </c>
      <c r="Z144" s="261" t="str">
        <f ca="1"/>
        <v>M</v>
      </c>
      <c r="AA144" s="77" t="str">
        <f ca="1"/>
        <v>Daily</v>
      </c>
      <c r="AB144" s="77">
        <f ca="1"/>
        <v>0</v>
      </c>
      <c r="AC144" s="77">
        <f ca="1"/>
        <v>0</v>
      </c>
      <c r="AD144" s="77">
        <f ca="1"/>
        <v>0</v>
      </c>
      <c r="AE144" s="77">
        <f ca="1"/>
        <v>0</v>
      </c>
      <c r="AF144" s="261" t="str">
        <f ca="1"/>
        <v>N</v>
      </c>
      <c r="AG144" s="261">
        <f ca="1"/>
        <v>1</v>
      </c>
      <c r="AH144" s="261">
        <f ca="1"/>
        <v>1</v>
      </c>
      <c r="AI144" s="262">
        <f ca="1"/>
        <v>0</v>
      </c>
    </row>
    <row r="145" spans="1:35" hidden="1" outlineLevel="1" x14ac:dyDescent="0.25">
      <c r="A145" s="120">
        <f t="shared" si="83"/>
        <v>0</v>
      </c>
      <c r="B145" s="231"/>
      <c r="C145" s="77"/>
      <c r="D145" s="238"/>
      <c r="E145" s="76">
        <f ca="1">SUMIF(payNonMonth,"="&amp;$W145,$E$371:OFFSET($E$371,ROWS(payNonMonth)-1,0))</f>
        <v>0</v>
      </c>
      <c r="F145" s="76"/>
      <c r="G145" s="77">
        <f t="shared" ca="1" si="84"/>
        <v>0</v>
      </c>
      <c r="H145" s="76">
        <f t="shared" ca="1" si="92"/>
        <v>0</v>
      </c>
      <c r="I145" s="76">
        <f t="shared" ca="1" si="93"/>
        <v>0</v>
      </c>
      <c r="J145" s="233">
        <f t="shared" ca="1" si="94"/>
        <v>0</v>
      </c>
      <c r="K145" s="76">
        <f t="shared" ca="1" si="100"/>
        <v>0</v>
      </c>
      <c r="L145" s="76">
        <f t="shared" ca="1" si="95"/>
        <v>0</v>
      </c>
      <c r="M145" s="76">
        <f t="shared" ca="1" si="82"/>
        <v>0</v>
      </c>
      <c r="N145" s="76">
        <f t="shared" ca="1" si="96"/>
        <v>0</v>
      </c>
      <c r="O145" s="76"/>
      <c r="P145" s="76">
        <f t="shared" ca="1" si="97"/>
        <v>0</v>
      </c>
      <c r="Q145" s="76">
        <f t="shared" ca="1" si="85"/>
        <v>0</v>
      </c>
      <c r="R145" s="76">
        <f t="shared" ca="1" si="86"/>
        <v>0</v>
      </c>
      <c r="S145" s="232">
        <f t="shared" ca="1" si="98"/>
        <v>0</v>
      </c>
      <c r="U145" s="120" t="str">
        <f t="shared" si="99"/>
        <v>:0</v>
      </c>
      <c r="V145" s="120" t="str">
        <f t="shared" si="87"/>
        <v>:</v>
      </c>
      <c r="W145" s="120" t="str">
        <f t="shared" si="91"/>
        <v>:0</v>
      </c>
      <c r="X145" s="250">
        <f t="array" aca="1" ref="X145:AI145" ca="1">VLOOKUP($D145&amp;":"&amp;$C145,tblPayRates,{3,4,5,6,7,8,9,10,11,12,13,14},0)</f>
        <v>0</v>
      </c>
      <c r="Y145" s="16" t="str">
        <f ca="1"/>
        <v>Nobody</v>
      </c>
      <c r="Z145" s="261" t="str">
        <f ca="1"/>
        <v>M</v>
      </c>
      <c r="AA145" s="77" t="str">
        <f ca="1"/>
        <v>Daily</v>
      </c>
      <c r="AB145" s="77">
        <f ca="1"/>
        <v>0</v>
      </c>
      <c r="AC145" s="77">
        <f ca="1"/>
        <v>0</v>
      </c>
      <c r="AD145" s="77">
        <f ca="1"/>
        <v>0</v>
      </c>
      <c r="AE145" s="77">
        <f ca="1"/>
        <v>0</v>
      </c>
      <c r="AF145" s="261" t="str">
        <f ca="1"/>
        <v>N</v>
      </c>
      <c r="AG145" s="261">
        <f ca="1"/>
        <v>1</v>
      </c>
      <c r="AH145" s="261">
        <f ca="1"/>
        <v>1</v>
      </c>
      <c r="AI145" s="262">
        <f ca="1"/>
        <v>0</v>
      </c>
    </row>
    <row r="146" spans="1:35" hidden="1" outlineLevel="1" x14ac:dyDescent="0.25">
      <c r="A146" s="120">
        <f t="shared" si="83"/>
        <v>0</v>
      </c>
      <c r="B146" s="231"/>
      <c r="C146" s="77"/>
      <c r="D146" s="238"/>
      <c r="E146" s="76">
        <f ca="1">SUMIF(payNonMonth,"="&amp;$W146,$E$371:OFFSET($E$371,ROWS(payNonMonth)-1,0))</f>
        <v>0</v>
      </c>
      <c r="F146" s="76"/>
      <c r="G146" s="77">
        <f t="shared" ca="1" si="84"/>
        <v>0</v>
      </c>
      <c r="H146" s="76">
        <f t="shared" ca="1" si="92"/>
        <v>0</v>
      </c>
      <c r="I146" s="76">
        <f t="shared" ca="1" si="93"/>
        <v>0</v>
      </c>
      <c r="J146" s="233">
        <f t="shared" ca="1" si="94"/>
        <v>0</v>
      </c>
      <c r="K146" s="76">
        <f t="shared" ca="1" si="100"/>
        <v>0</v>
      </c>
      <c r="L146" s="76">
        <f t="shared" ca="1" si="95"/>
        <v>0</v>
      </c>
      <c r="M146" s="76">
        <f t="shared" ca="1" si="82"/>
        <v>0</v>
      </c>
      <c r="N146" s="76">
        <f t="shared" ca="1" si="96"/>
        <v>0</v>
      </c>
      <c r="O146" s="76"/>
      <c r="P146" s="76">
        <f t="shared" ca="1" si="97"/>
        <v>0</v>
      </c>
      <c r="Q146" s="76">
        <f t="shared" ca="1" si="85"/>
        <v>0</v>
      </c>
      <c r="R146" s="76">
        <f t="shared" ca="1" si="86"/>
        <v>0</v>
      </c>
      <c r="S146" s="232">
        <f t="shared" ca="1" si="98"/>
        <v>0</v>
      </c>
      <c r="U146" s="120" t="str">
        <f t="shared" si="99"/>
        <v>:0</v>
      </c>
      <c r="V146" s="120" t="str">
        <f t="shared" si="87"/>
        <v>:</v>
      </c>
      <c r="W146" s="120" t="str">
        <f t="shared" si="91"/>
        <v>:0</v>
      </c>
      <c r="X146" s="250">
        <f t="array" aca="1" ref="X146:AI146" ca="1">VLOOKUP($D146&amp;":"&amp;$C146,tblPayRates,{3,4,5,6,7,8,9,10,11,12,13,14},0)</f>
        <v>0</v>
      </c>
      <c r="Y146" s="16" t="str">
        <f ca="1"/>
        <v>Nobody</v>
      </c>
      <c r="Z146" s="261" t="str">
        <f ca="1"/>
        <v>M</v>
      </c>
      <c r="AA146" s="77" t="str">
        <f ca="1"/>
        <v>Daily</v>
      </c>
      <c r="AB146" s="77">
        <f ca="1"/>
        <v>0</v>
      </c>
      <c r="AC146" s="77">
        <f ca="1"/>
        <v>0</v>
      </c>
      <c r="AD146" s="77">
        <f ca="1"/>
        <v>0</v>
      </c>
      <c r="AE146" s="77">
        <f ca="1"/>
        <v>0</v>
      </c>
      <c r="AF146" s="261" t="str">
        <f ca="1"/>
        <v>N</v>
      </c>
      <c r="AG146" s="261">
        <f ca="1"/>
        <v>1</v>
      </c>
      <c r="AH146" s="261">
        <f ca="1"/>
        <v>1</v>
      </c>
      <c r="AI146" s="262">
        <f ca="1"/>
        <v>0</v>
      </c>
    </row>
    <row r="147" spans="1:35" hidden="1" outlineLevel="1" x14ac:dyDescent="0.25">
      <c r="A147" s="120">
        <f t="shared" si="83"/>
        <v>0</v>
      </c>
      <c r="B147" s="231"/>
      <c r="C147" s="77"/>
      <c r="D147" s="238"/>
      <c r="E147" s="76">
        <f ca="1">SUMIF(payNonMonth,"="&amp;$W147,$E$371:OFFSET($E$371,ROWS(payNonMonth)-1,0))</f>
        <v>0</v>
      </c>
      <c r="F147" s="76"/>
      <c r="G147" s="77">
        <f t="shared" ca="1" si="84"/>
        <v>0</v>
      </c>
      <c r="H147" s="76">
        <f t="shared" ca="1" si="92"/>
        <v>0</v>
      </c>
      <c r="I147" s="76">
        <f t="shared" ca="1" si="93"/>
        <v>0</v>
      </c>
      <c r="J147" s="233">
        <f t="shared" ca="1" si="94"/>
        <v>0</v>
      </c>
      <c r="K147" s="76">
        <f t="shared" ca="1" si="100"/>
        <v>0</v>
      </c>
      <c r="L147" s="76">
        <f t="shared" ca="1" si="95"/>
        <v>0</v>
      </c>
      <c r="M147" s="76">
        <f t="shared" ca="1" si="82"/>
        <v>0</v>
      </c>
      <c r="N147" s="76">
        <f t="shared" ca="1" si="96"/>
        <v>0</v>
      </c>
      <c r="O147" s="76"/>
      <c r="P147" s="76">
        <f t="shared" ca="1" si="97"/>
        <v>0</v>
      </c>
      <c r="Q147" s="76">
        <f t="shared" ca="1" si="85"/>
        <v>0</v>
      </c>
      <c r="R147" s="76">
        <f t="shared" ca="1" si="86"/>
        <v>0</v>
      </c>
      <c r="S147" s="232">
        <f t="shared" ca="1" si="98"/>
        <v>0</v>
      </c>
      <c r="U147" s="120" t="str">
        <f t="shared" si="99"/>
        <v>:0</v>
      </c>
      <c r="V147" s="120" t="str">
        <f t="shared" si="87"/>
        <v>:</v>
      </c>
      <c r="W147" s="120" t="str">
        <f t="shared" si="91"/>
        <v>:0</v>
      </c>
      <c r="X147" s="250">
        <f t="array" aca="1" ref="X147:AI147" ca="1">VLOOKUP($D147&amp;":"&amp;$C147,tblPayRates,{3,4,5,6,7,8,9,10,11,12,13,14},0)</f>
        <v>0</v>
      </c>
      <c r="Y147" s="16" t="str">
        <f ca="1"/>
        <v>Nobody</v>
      </c>
      <c r="Z147" s="261" t="str">
        <f ca="1"/>
        <v>M</v>
      </c>
      <c r="AA147" s="77" t="str">
        <f ca="1"/>
        <v>Daily</v>
      </c>
      <c r="AB147" s="77">
        <f ca="1"/>
        <v>0</v>
      </c>
      <c r="AC147" s="77">
        <f ca="1"/>
        <v>0</v>
      </c>
      <c r="AD147" s="77">
        <f ca="1"/>
        <v>0</v>
      </c>
      <c r="AE147" s="77">
        <f ca="1"/>
        <v>0</v>
      </c>
      <c r="AF147" s="261" t="str">
        <f ca="1"/>
        <v>N</v>
      </c>
      <c r="AG147" s="261">
        <f ca="1"/>
        <v>1</v>
      </c>
      <c r="AH147" s="261">
        <f ca="1"/>
        <v>1</v>
      </c>
      <c r="AI147" s="262">
        <f ca="1"/>
        <v>0</v>
      </c>
    </row>
    <row r="148" spans="1:35" hidden="1" outlineLevel="1" x14ac:dyDescent="0.25">
      <c r="A148" s="120">
        <f t="shared" si="83"/>
        <v>0</v>
      </c>
      <c r="B148" s="231"/>
      <c r="C148" s="77"/>
      <c r="D148" s="238"/>
      <c r="E148" s="76"/>
      <c r="F148" s="76"/>
      <c r="G148" s="77"/>
      <c r="H148" s="76"/>
      <c r="I148" s="76"/>
      <c r="J148" s="233"/>
      <c r="K148" s="76"/>
      <c r="L148" s="76"/>
      <c r="M148" s="76"/>
      <c r="N148" s="76"/>
      <c r="O148" s="76"/>
      <c r="P148" s="76"/>
      <c r="Q148" s="76"/>
      <c r="R148" s="76"/>
      <c r="S148" s="232"/>
      <c r="U148" s="120"/>
      <c r="V148" s="120"/>
      <c r="W148" s="120"/>
      <c r="X148" s="250"/>
      <c r="Y148" s="16"/>
      <c r="Z148" s="261"/>
      <c r="AA148" s="77"/>
      <c r="AB148" s="77"/>
      <c r="AC148" s="77"/>
      <c r="AD148" s="77"/>
      <c r="AE148" s="77"/>
      <c r="AF148" s="261"/>
      <c r="AG148" s="261"/>
      <c r="AH148" s="261"/>
      <c r="AI148" s="262"/>
    </row>
    <row r="149" spans="1:35" hidden="1" x14ac:dyDescent="0.25">
      <c r="F149"/>
      <c r="J149" s="2"/>
    </row>
    <row r="150" spans="1:35" ht="22.8" x14ac:dyDescent="0.4">
      <c r="A150" s="254"/>
      <c r="B150" s="255"/>
      <c r="C150" s="256" t="str">
        <f>EmpID</f>
        <v>ANK</v>
      </c>
      <c r="D150" s="255"/>
      <c r="E150" s="219"/>
      <c r="F150" s="145"/>
      <c r="G150" s="255"/>
      <c r="H150" s="219"/>
      <c r="I150" s="66"/>
      <c r="J150" s="221" t="s">
        <v>507</v>
      </c>
      <c r="K150" s="66"/>
      <c r="L150" s="66"/>
      <c r="M150" s="66"/>
      <c r="N150" s="66"/>
      <c r="O150" s="66"/>
      <c r="P150" s="66"/>
      <c r="Q150" s="66"/>
      <c r="R150" s="66"/>
      <c r="S150" s="66"/>
      <c r="U150" s="66" t="s">
        <v>465</v>
      </c>
      <c r="X150" s="224"/>
      <c r="Y150" s="224"/>
      <c r="Z150" s="224"/>
    </row>
    <row r="151" spans="1:35" s="224" customFormat="1" ht="13.8" thickBot="1" x14ac:dyDescent="0.3">
      <c r="A151" s="222"/>
      <c r="B151" s="156"/>
      <c r="C151" s="263" t="str">
        <f>EmpID</f>
        <v>ANK</v>
      </c>
      <c r="D151" s="156"/>
      <c r="E151" s="156"/>
      <c r="F151" s="380"/>
      <c r="G151" s="156"/>
      <c r="H151" s="156"/>
      <c r="I151" s="156"/>
      <c r="J151" s="156"/>
      <c r="K151" s="156"/>
      <c r="L151" s="156"/>
      <c r="M151" s="156"/>
      <c r="N151" s="156"/>
      <c r="O151" s="156"/>
      <c r="P151" s="156"/>
      <c r="Q151" s="156"/>
      <c r="R151" s="156"/>
      <c r="S151" s="156" t="s">
        <v>460</v>
      </c>
      <c r="U151" s="222" t="s">
        <v>508</v>
      </c>
      <c r="X151" s="22"/>
      <c r="Y151" s="22"/>
      <c r="Z151" s="22"/>
    </row>
    <row r="152" spans="1:35" s="22" customFormat="1" hidden="1" outlineLevel="1" x14ac:dyDescent="0.25">
      <c r="A152" s="120">
        <f t="shared" ref="A152:A215" si="101">GETPAYMONTH(B152)</f>
        <v>0</v>
      </c>
      <c r="B152" s="231"/>
      <c r="C152" s="231"/>
      <c r="D152" s="231"/>
      <c r="E152" s="231"/>
      <c r="F152" s="231"/>
      <c r="G152" s="231"/>
      <c r="H152" s="76"/>
      <c r="I152" s="232"/>
      <c r="J152" s="76">
        <f t="shared" ref="J152:J183" si="102">SUM(K152:S152)</f>
        <v>0</v>
      </c>
      <c r="K152" s="76"/>
      <c r="L152" s="76"/>
      <c r="M152" s="76"/>
      <c r="N152" s="76"/>
      <c r="O152" s="76"/>
      <c r="P152" s="76"/>
      <c r="Q152" s="76"/>
      <c r="R152" s="76"/>
      <c r="S152" s="76"/>
      <c r="U152" s="120">
        <f t="shared" ref="U152:U215" si="103">$C152</f>
        <v>0</v>
      </c>
      <c r="X152" s="35"/>
      <c r="Y152" s="35"/>
      <c r="Z152" s="35"/>
    </row>
    <row r="153" spans="1:35" s="22" customFormat="1" hidden="1" outlineLevel="1" x14ac:dyDescent="0.25">
      <c r="A153" s="120">
        <f t="shared" si="101"/>
        <v>1</v>
      </c>
      <c r="B153" s="231">
        <v>43658</v>
      </c>
      <c r="C153" s="231" t="s">
        <v>669</v>
      </c>
      <c r="D153" s="231"/>
      <c r="E153" s="231"/>
      <c r="F153" s="231"/>
      <c r="G153" s="231"/>
      <c r="H153" s="76"/>
      <c r="I153" s="232"/>
      <c r="J153" s="76">
        <f t="shared" si="102"/>
        <v>2348.06</v>
      </c>
      <c r="K153" s="76"/>
      <c r="L153" s="76"/>
      <c r="M153" s="76"/>
      <c r="N153" s="76"/>
      <c r="O153" s="76"/>
      <c r="P153" s="76"/>
      <c r="Q153" s="76"/>
      <c r="R153" s="76">
        <v>2348.06</v>
      </c>
      <c r="S153" s="76"/>
      <c r="U153" s="120" t="str">
        <f t="shared" si="103"/>
        <v>DP</v>
      </c>
      <c r="X153" s="35"/>
      <c r="Y153" s="35"/>
      <c r="Z153" s="35"/>
    </row>
    <row r="154" spans="1:35" s="22" customFormat="1" outlineLevel="1" x14ac:dyDescent="0.25">
      <c r="A154" s="120">
        <f t="shared" si="101"/>
        <v>1</v>
      </c>
      <c r="B154" s="231">
        <v>43658</v>
      </c>
      <c r="C154" s="231" t="s">
        <v>678</v>
      </c>
      <c r="D154" s="231"/>
      <c r="E154" s="231"/>
      <c r="F154" s="231"/>
      <c r="G154" s="231"/>
      <c r="H154" s="76"/>
      <c r="I154" s="232"/>
      <c r="J154" s="76">
        <f t="shared" si="102"/>
        <v>2348.06</v>
      </c>
      <c r="K154" s="76"/>
      <c r="L154" s="76"/>
      <c r="M154" s="76"/>
      <c r="N154" s="76"/>
      <c r="O154" s="76"/>
      <c r="P154" s="76"/>
      <c r="Q154" s="76"/>
      <c r="R154" s="76">
        <v>2348.06</v>
      </c>
      <c r="S154" s="76"/>
      <c r="U154" s="120" t="str">
        <f t="shared" si="103"/>
        <v>ANK</v>
      </c>
      <c r="X154" s="35"/>
      <c r="Y154" s="35"/>
      <c r="Z154" s="35"/>
    </row>
    <row r="155" spans="1:35" s="22" customFormat="1" hidden="1" outlineLevel="1" x14ac:dyDescent="0.25">
      <c r="A155" s="120">
        <f t="shared" si="101"/>
        <v>1</v>
      </c>
      <c r="B155" s="231">
        <v>43659</v>
      </c>
      <c r="C155" s="231" t="s">
        <v>57</v>
      </c>
      <c r="D155" s="231"/>
      <c r="E155" s="231"/>
      <c r="F155" s="231"/>
      <c r="G155" s="231"/>
      <c r="H155" s="76"/>
      <c r="I155" s="232"/>
      <c r="J155" s="76">
        <f t="shared" si="102"/>
        <v>8176.46</v>
      </c>
      <c r="K155" s="76"/>
      <c r="L155" s="76"/>
      <c r="M155" s="76"/>
      <c r="N155" s="76"/>
      <c r="O155" s="76"/>
      <c r="P155" s="76"/>
      <c r="Q155" s="76"/>
      <c r="R155" s="76">
        <v>5182.46</v>
      </c>
      <c r="S155" s="76">
        <v>2994</v>
      </c>
      <c r="U155" s="120" t="str">
        <f t="shared" si="103"/>
        <v>CRP</v>
      </c>
      <c r="X155" s="35"/>
      <c r="Y155" s="35"/>
      <c r="Z155" s="35"/>
    </row>
    <row r="156" spans="1:35" s="22" customFormat="1" hidden="1" outlineLevel="1" x14ac:dyDescent="0.25">
      <c r="A156" s="120">
        <f t="shared" si="101"/>
        <v>1</v>
      </c>
      <c r="B156" s="231">
        <v>43659</v>
      </c>
      <c r="C156" s="231" t="s">
        <v>58</v>
      </c>
      <c r="D156" s="231"/>
      <c r="E156" s="231"/>
      <c r="F156" s="231"/>
      <c r="G156" s="231"/>
      <c r="H156" s="76"/>
      <c r="I156" s="232"/>
      <c r="J156" s="76">
        <f t="shared" si="102"/>
        <v>7237.1</v>
      </c>
      <c r="K156" s="76"/>
      <c r="L156" s="76"/>
      <c r="M156" s="76"/>
      <c r="N156" s="76"/>
      <c r="O156" s="76"/>
      <c r="P156" s="76"/>
      <c r="Q156" s="76"/>
      <c r="R156" s="76">
        <v>6188.1</v>
      </c>
      <c r="S156" s="76">
        <v>1049</v>
      </c>
      <c r="U156" s="120" t="str">
        <f t="shared" si="103"/>
        <v>SM</v>
      </c>
      <c r="X156" s="35"/>
      <c r="Y156" s="35"/>
      <c r="Z156" s="35"/>
    </row>
    <row r="157" spans="1:35" s="22" customFormat="1" hidden="1" outlineLevel="1" x14ac:dyDescent="0.25">
      <c r="A157" s="120">
        <f t="shared" si="101"/>
        <v>1</v>
      </c>
      <c r="B157" s="231">
        <v>43659</v>
      </c>
      <c r="C157" s="231" t="s">
        <v>657</v>
      </c>
      <c r="D157" s="231"/>
      <c r="E157" s="231"/>
      <c r="F157" s="231"/>
      <c r="G157" s="231"/>
      <c r="H157" s="76"/>
      <c r="I157" s="232"/>
      <c r="J157" s="76">
        <f t="shared" si="102"/>
        <v>7141.1900000000005</v>
      </c>
      <c r="K157" s="76"/>
      <c r="L157" s="76"/>
      <c r="M157" s="76"/>
      <c r="N157" s="76"/>
      <c r="O157" s="76"/>
      <c r="P157" s="76"/>
      <c r="Q157" s="76"/>
      <c r="R157" s="76">
        <v>6904.39</v>
      </c>
      <c r="S157" s="76">
        <v>236.8</v>
      </c>
      <c r="U157" s="120" t="str">
        <f t="shared" si="103"/>
        <v>VAK</v>
      </c>
      <c r="X157" s="35"/>
      <c r="Y157" s="35"/>
      <c r="Z157" s="35"/>
    </row>
    <row r="158" spans="1:35" s="22" customFormat="1" hidden="1" outlineLevel="1" x14ac:dyDescent="0.25">
      <c r="A158" s="120">
        <f t="shared" si="101"/>
        <v>1</v>
      </c>
      <c r="B158" s="231">
        <v>43659</v>
      </c>
      <c r="C158" s="231" t="s">
        <v>658</v>
      </c>
      <c r="D158" s="231"/>
      <c r="E158" s="231"/>
      <c r="F158" s="231"/>
      <c r="G158" s="231"/>
      <c r="H158" s="76"/>
      <c r="I158" s="232"/>
      <c r="J158" s="76">
        <f t="shared" si="102"/>
        <v>4626.0200000000004</v>
      </c>
      <c r="K158" s="76"/>
      <c r="L158" s="76"/>
      <c r="M158" s="76"/>
      <c r="N158" s="76"/>
      <c r="O158" s="76"/>
      <c r="P158" s="76"/>
      <c r="Q158" s="76"/>
      <c r="R158" s="76">
        <v>4569.0200000000004</v>
      </c>
      <c r="S158" s="76">
        <v>57</v>
      </c>
      <c r="U158" s="120" t="str">
        <f t="shared" si="103"/>
        <v>ASW</v>
      </c>
      <c r="X158" s="35"/>
      <c r="Y158" s="35"/>
      <c r="Z158" s="35"/>
    </row>
    <row r="159" spans="1:35" s="22" customFormat="1" hidden="1" outlineLevel="1" x14ac:dyDescent="0.25">
      <c r="A159" s="120">
        <f t="shared" si="101"/>
        <v>1</v>
      </c>
      <c r="B159" s="231">
        <v>43659</v>
      </c>
      <c r="C159" s="231" t="s">
        <v>622</v>
      </c>
      <c r="D159" s="231"/>
      <c r="E159" s="231"/>
      <c r="F159" s="231"/>
      <c r="G159" s="231"/>
      <c r="H159" s="76"/>
      <c r="I159" s="232"/>
      <c r="J159" s="76">
        <f t="shared" si="102"/>
        <v>7179.2</v>
      </c>
      <c r="K159" s="76"/>
      <c r="L159" s="76"/>
      <c r="M159" s="76"/>
      <c r="N159" s="76"/>
      <c r="O159" s="76"/>
      <c r="P159" s="76"/>
      <c r="Q159" s="76"/>
      <c r="R159" s="76">
        <v>7000.3</v>
      </c>
      <c r="S159" s="76">
        <v>178.9</v>
      </c>
      <c r="U159" s="120" t="str">
        <f t="shared" si="103"/>
        <v>GEO</v>
      </c>
      <c r="X159" s="35"/>
      <c r="Y159" s="35"/>
      <c r="Z159" s="35"/>
    </row>
    <row r="160" spans="1:35" s="22" customFormat="1" hidden="1" outlineLevel="1" x14ac:dyDescent="0.25">
      <c r="A160" s="120">
        <f t="shared" si="101"/>
        <v>1</v>
      </c>
      <c r="B160" s="231">
        <v>43672</v>
      </c>
      <c r="C160" s="231" t="s">
        <v>669</v>
      </c>
      <c r="D160" s="231"/>
      <c r="E160" s="231"/>
      <c r="F160" s="231"/>
      <c r="G160" s="231"/>
      <c r="H160" s="76"/>
      <c r="I160" s="232"/>
      <c r="J160" s="76">
        <f t="shared" si="102"/>
        <v>3544.59</v>
      </c>
      <c r="K160" s="76"/>
      <c r="L160" s="76"/>
      <c r="M160" s="76"/>
      <c r="N160" s="76"/>
      <c r="O160" s="76"/>
      <c r="P160" s="76"/>
      <c r="Q160" s="76"/>
      <c r="R160" s="76">
        <v>3544.59</v>
      </c>
      <c r="S160" s="76"/>
      <c r="U160" s="120" t="str">
        <f t="shared" si="103"/>
        <v>DP</v>
      </c>
      <c r="X160" s="35"/>
      <c r="Y160" s="35"/>
      <c r="Z160" s="35"/>
    </row>
    <row r="161" spans="1:26" s="22" customFormat="1" outlineLevel="1" x14ac:dyDescent="0.25">
      <c r="A161" s="120">
        <f t="shared" si="101"/>
        <v>1</v>
      </c>
      <c r="B161" s="231">
        <v>43672</v>
      </c>
      <c r="C161" s="231" t="s">
        <v>678</v>
      </c>
      <c r="D161" s="231"/>
      <c r="E161" s="231"/>
      <c r="F161" s="231"/>
      <c r="G161" s="231"/>
      <c r="H161" s="76"/>
      <c r="I161" s="232"/>
      <c r="J161" s="76">
        <f t="shared" si="102"/>
        <v>3544.59</v>
      </c>
      <c r="K161" s="76"/>
      <c r="L161" s="76"/>
      <c r="M161" s="76"/>
      <c r="N161" s="76"/>
      <c r="O161" s="76"/>
      <c r="P161" s="76"/>
      <c r="Q161" s="76"/>
      <c r="R161" s="76">
        <v>3544.59</v>
      </c>
      <c r="S161" s="76"/>
      <c r="U161" s="120" t="str">
        <f t="shared" si="103"/>
        <v>ANK</v>
      </c>
      <c r="X161" s="35"/>
      <c r="Y161" s="35"/>
      <c r="Z161" s="35"/>
    </row>
    <row r="162" spans="1:26" s="22" customFormat="1" hidden="1" outlineLevel="1" x14ac:dyDescent="0.25">
      <c r="A162" s="120">
        <f>GETPAYMONTH(B162)</f>
        <v>2</v>
      </c>
      <c r="B162" s="231">
        <v>43686</v>
      </c>
      <c r="C162" s="231" t="s">
        <v>669</v>
      </c>
      <c r="D162" s="231"/>
      <c r="E162" s="231"/>
      <c r="F162" s="231"/>
      <c r="G162" s="231"/>
      <c r="H162" s="76"/>
      <c r="I162" s="232"/>
      <c r="J162" s="76">
        <f t="shared" si="102"/>
        <v>3785.72</v>
      </c>
      <c r="K162" s="76"/>
      <c r="L162" s="76"/>
      <c r="M162" s="76"/>
      <c r="N162" s="76"/>
      <c r="O162" s="76"/>
      <c r="P162" s="76"/>
      <c r="Q162" s="76"/>
      <c r="R162" s="76">
        <v>3116.72</v>
      </c>
      <c r="S162" s="76">
        <v>669</v>
      </c>
      <c r="U162" s="120" t="str">
        <f>$C162</f>
        <v>DP</v>
      </c>
      <c r="X162" s="35"/>
      <c r="Y162" s="35"/>
      <c r="Z162" s="35"/>
    </row>
    <row r="163" spans="1:26" s="22" customFormat="1" outlineLevel="1" x14ac:dyDescent="0.25">
      <c r="A163" s="120">
        <f t="shared" si="101"/>
        <v>2</v>
      </c>
      <c r="B163" s="231">
        <v>43686</v>
      </c>
      <c r="C163" s="231" t="s">
        <v>678</v>
      </c>
      <c r="D163" s="231"/>
      <c r="E163" s="231"/>
      <c r="F163" s="231"/>
      <c r="G163" s="231"/>
      <c r="H163" s="76"/>
      <c r="I163" s="232"/>
      <c r="J163" s="76">
        <f t="shared" si="102"/>
        <v>3791.59</v>
      </c>
      <c r="K163" s="76"/>
      <c r="L163" s="76"/>
      <c r="M163" s="76"/>
      <c r="N163" s="76"/>
      <c r="O163" s="76"/>
      <c r="P163" s="76"/>
      <c r="Q163" s="76"/>
      <c r="R163" s="76">
        <v>3111.59</v>
      </c>
      <c r="S163" s="76">
        <v>680</v>
      </c>
      <c r="U163" s="120" t="str">
        <f t="shared" si="103"/>
        <v>ANK</v>
      </c>
      <c r="X163" s="35"/>
      <c r="Y163" s="35"/>
      <c r="Z163" s="35"/>
    </row>
    <row r="164" spans="1:26" s="22" customFormat="1" hidden="1" outlineLevel="1" x14ac:dyDescent="0.25">
      <c r="A164" s="120">
        <f t="shared" si="101"/>
        <v>2</v>
      </c>
      <c r="B164" s="231">
        <v>43691</v>
      </c>
      <c r="C164" s="231" t="s">
        <v>57</v>
      </c>
      <c r="D164" s="231"/>
      <c r="E164" s="231"/>
      <c r="F164" s="231"/>
      <c r="G164" s="231"/>
      <c r="H164" s="76"/>
      <c r="I164" s="232"/>
      <c r="J164" s="76">
        <f t="shared" si="102"/>
        <v>9647.3799999999992</v>
      </c>
      <c r="K164" s="76"/>
      <c r="L164" s="76"/>
      <c r="M164" s="76"/>
      <c r="N164" s="76"/>
      <c r="O164" s="76"/>
      <c r="P164" s="76"/>
      <c r="Q164" s="76"/>
      <c r="R164" s="76">
        <v>8642.3799999999992</v>
      </c>
      <c r="S164" s="76">
        <v>1005</v>
      </c>
      <c r="U164" s="120" t="str">
        <f t="shared" si="103"/>
        <v>CRP</v>
      </c>
      <c r="X164" s="35"/>
      <c r="Y164" s="35"/>
      <c r="Z164" s="35"/>
    </row>
    <row r="165" spans="1:26" s="22" customFormat="1" hidden="1" outlineLevel="1" x14ac:dyDescent="0.25">
      <c r="A165" s="120">
        <f t="shared" si="101"/>
        <v>2</v>
      </c>
      <c r="B165" s="231">
        <v>43691</v>
      </c>
      <c r="C165" s="231" t="s">
        <v>58</v>
      </c>
      <c r="D165" s="231"/>
      <c r="E165" s="231"/>
      <c r="F165" s="231"/>
      <c r="G165" s="231"/>
      <c r="H165" s="76"/>
      <c r="I165" s="232"/>
      <c r="J165" s="76">
        <f t="shared" si="102"/>
        <v>7902.88</v>
      </c>
      <c r="K165" s="76"/>
      <c r="L165" s="76"/>
      <c r="M165" s="76"/>
      <c r="N165" s="76"/>
      <c r="O165" s="76"/>
      <c r="P165" s="76"/>
      <c r="Q165" s="76"/>
      <c r="R165" s="76">
        <v>6874.88</v>
      </c>
      <c r="S165" s="76">
        <v>1028</v>
      </c>
      <c r="U165" s="120" t="str">
        <f t="shared" si="103"/>
        <v>SM</v>
      </c>
      <c r="X165" s="35"/>
      <c r="Y165" s="35"/>
      <c r="Z165" s="35"/>
    </row>
    <row r="166" spans="1:26" s="22" customFormat="1" hidden="1" outlineLevel="1" x14ac:dyDescent="0.25">
      <c r="A166" s="120">
        <f t="shared" si="101"/>
        <v>2</v>
      </c>
      <c r="B166" s="231">
        <v>43691</v>
      </c>
      <c r="C166" s="231" t="s">
        <v>657</v>
      </c>
      <c r="D166" s="231"/>
      <c r="E166" s="231"/>
      <c r="F166" s="231"/>
      <c r="G166" s="231"/>
      <c r="H166" s="76"/>
      <c r="I166" s="232"/>
      <c r="J166" s="76">
        <f t="shared" si="102"/>
        <v>6940.02</v>
      </c>
      <c r="K166" s="76"/>
      <c r="L166" s="76"/>
      <c r="M166" s="76"/>
      <c r="N166" s="76"/>
      <c r="O166" s="76"/>
      <c r="P166" s="76"/>
      <c r="Q166" s="76"/>
      <c r="R166" s="76">
        <v>6813.92</v>
      </c>
      <c r="S166" s="76">
        <v>126.1</v>
      </c>
      <c r="U166" s="120" t="str">
        <f t="shared" si="103"/>
        <v>VAK</v>
      </c>
      <c r="X166" s="35"/>
      <c r="Y166" s="35"/>
      <c r="Z166" s="35"/>
    </row>
    <row r="167" spans="1:26" s="22" customFormat="1" hidden="1" outlineLevel="1" x14ac:dyDescent="0.25">
      <c r="A167" s="120">
        <f t="shared" si="101"/>
        <v>2</v>
      </c>
      <c r="B167" s="231">
        <v>43691</v>
      </c>
      <c r="C167" s="231" t="s">
        <v>658</v>
      </c>
      <c r="D167" s="231"/>
      <c r="E167" s="231"/>
      <c r="F167" s="231"/>
      <c r="G167" s="231"/>
      <c r="H167" s="76"/>
      <c r="I167" s="232"/>
      <c r="J167" s="76">
        <f t="shared" si="102"/>
        <v>4617.4500000000007</v>
      </c>
      <c r="K167" s="76"/>
      <c r="L167" s="76"/>
      <c r="M167" s="76"/>
      <c r="N167" s="76"/>
      <c r="O167" s="76"/>
      <c r="P167" s="76"/>
      <c r="Q167" s="76"/>
      <c r="R167" s="76">
        <v>4555.8500000000004</v>
      </c>
      <c r="S167" s="76">
        <v>61.6</v>
      </c>
      <c r="U167" s="120" t="str">
        <f t="shared" si="103"/>
        <v>ASW</v>
      </c>
      <c r="X167" s="35"/>
      <c r="Y167" s="35"/>
      <c r="Z167" s="35"/>
    </row>
    <row r="168" spans="1:26" s="22" customFormat="1" hidden="1" outlineLevel="1" x14ac:dyDescent="0.25">
      <c r="A168" s="120">
        <f t="shared" si="101"/>
        <v>2</v>
      </c>
      <c r="B168" s="231">
        <v>43691</v>
      </c>
      <c r="C168" s="231" t="s">
        <v>622</v>
      </c>
      <c r="D168" s="231"/>
      <c r="E168" s="231"/>
      <c r="F168" s="231"/>
      <c r="G168" s="231"/>
      <c r="H168" s="76"/>
      <c r="I168" s="232"/>
      <c r="J168" s="76">
        <f t="shared" si="102"/>
        <v>8280.9</v>
      </c>
      <c r="K168" s="76"/>
      <c r="L168" s="76"/>
      <c r="M168" s="76"/>
      <c r="N168" s="76"/>
      <c r="O168" s="76"/>
      <c r="P168" s="76"/>
      <c r="Q168" s="76"/>
      <c r="R168" s="76">
        <v>8102</v>
      </c>
      <c r="S168" s="76">
        <v>178.9</v>
      </c>
      <c r="U168" s="120" t="str">
        <f t="shared" si="103"/>
        <v>GEO</v>
      </c>
      <c r="X168" s="35"/>
      <c r="Y168" s="35"/>
      <c r="Z168" s="35"/>
    </row>
    <row r="169" spans="1:26" s="22" customFormat="1" hidden="1" outlineLevel="1" x14ac:dyDescent="0.25">
      <c r="A169" s="120">
        <f t="shared" si="101"/>
        <v>2</v>
      </c>
      <c r="B169" s="231">
        <v>43700</v>
      </c>
      <c r="C169" s="231" t="s">
        <v>669</v>
      </c>
      <c r="D169" s="231"/>
      <c r="E169" s="231"/>
      <c r="F169" s="231"/>
      <c r="G169" s="231"/>
      <c r="H169" s="76"/>
      <c r="I169" s="232"/>
      <c r="J169" s="76">
        <f t="shared" si="102"/>
        <v>3048.32</v>
      </c>
      <c r="K169" s="76"/>
      <c r="L169" s="76"/>
      <c r="M169" s="76"/>
      <c r="N169" s="76"/>
      <c r="O169" s="76"/>
      <c r="P169" s="76"/>
      <c r="Q169" s="76"/>
      <c r="R169" s="76">
        <v>3048.32</v>
      </c>
      <c r="S169" s="76"/>
      <c r="U169" s="120" t="str">
        <f t="shared" si="103"/>
        <v>DP</v>
      </c>
      <c r="X169" s="35"/>
      <c r="Y169" s="35"/>
      <c r="Z169" s="35"/>
    </row>
    <row r="170" spans="1:26" s="22" customFormat="1" outlineLevel="1" x14ac:dyDescent="0.25">
      <c r="A170" s="120">
        <f t="shared" si="101"/>
        <v>2</v>
      </c>
      <c r="B170" s="231">
        <v>43700</v>
      </c>
      <c r="C170" s="231" t="s">
        <v>678</v>
      </c>
      <c r="D170" s="231"/>
      <c r="E170" s="231"/>
      <c r="F170" s="231"/>
      <c r="G170" s="231"/>
      <c r="H170" s="76"/>
      <c r="I170" s="232"/>
      <c r="J170" s="76">
        <f t="shared" si="102"/>
        <v>3046.41</v>
      </c>
      <c r="K170" s="76"/>
      <c r="L170" s="76"/>
      <c r="M170" s="76"/>
      <c r="N170" s="76"/>
      <c r="O170" s="76"/>
      <c r="P170" s="76"/>
      <c r="Q170" s="76"/>
      <c r="R170" s="76">
        <v>3046.41</v>
      </c>
      <c r="S170" s="76"/>
      <c r="U170" s="120" t="str">
        <f t="shared" si="103"/>
        <v>ANK</v>
      </c>
      <c r="X170" s="35"/>
      <c r="Y170" s="35"/>
      <c r="Z170" s="35"/>
    </row>
    <row r="171" spans="1:26" s="22" customFormat="1" hidden="1" outlineLevel="1" x14ac:dyDescent="0.25">
      <c r="A171" s="120">
        <f t="shared" si="101"/>
        <v>3</v>
      </c>
      <c r="B171" s="231">
        <v>43713</v>
      </c>
      <c r="C171" s="231" t="s">
        <v>669</v>
      </c>
      <c r="D171" s="231"/>
      <c r="E171" s="231"/>
      <c r="F171" s="231"/>
      <c r="G171" s="231"/>
      <c r="H171" s="76"/>
      <c r="I171" s="232"/>
      <c r="J171" s="76">
        <f t="shared" si="102"/>
        <v>3948.24</v>
      </c>
      <c r="K171" s="76"/>
      <c r="L171" s="76"/>
      <c r="M171" s="76"/>
      <c r="N171" s="76"/>
      <c r="O171" s="76"/>
      <c r="P171" s="76"/>
      <c r="Q171" s="76"/>
      <c r="R171" s="76">
        <v>3373.24</v>
      </c>
      <c r="S171" s="76">
        <v>575</v>
      </c>
      <c r="U171" s="120" t="str">
        <f t="shared" si="103"/>
        <v>DP</v>
      </c>
      <c r="X171" s="35"/>
      <c r="Y171" s="35"/>
      <c r="Z171" s="35"/>
    </row>
    <row r="172" spans="1:26" s="22" customFormat="1" outlineLevel="1" x14ac:dyDescent="0.25">
      <c r="A172" s="120">
        <f t="shared" si="101"/>
        <v>3</v>
      </c>
      <c r="B172" s="231">
        <v>43713</v>
      </c>
      <c r="C172" s="231" t="s">
        <v>678</v>
      </c>
      <c r="D172" s="231"/>
      <c r="E172" s="231"/>
      <c r="F172" s="231"/>
      <c r="G172" s="231"/>
      <c r="H172" s="76"/>
      <c r="I172" s="232"/>
      <c r="J172" s="76">
        <f t="shared" si="102"/>
        <v>3935.9700000000003</v>
      </c>
      <c r="K172" s="76"/>
      <c r="L172" s="76"/>
      <c r="M172" s="76"/>
      <c r="N172" s="76"/>
      <c r="O172" s="76"/>
      <c r="P172" s="76"/>
      <c r="Q172" s="76"/>
      <c r="R172" s="76">
        <v>3384.9700000000003</v>
      </c>
      <c r="S172" s="76">
        <v>551</v>
      </c>
      <c r="U172" s="120" t="str">
        <f t="shared" si="103"/>
        <v>ANK</v>
      </c>
      <c r="X172" s="35"/>
      <c r="Y172" s="35"/>
      <c r="Z172" s="35"/>
    </row>
    <row r="173" spans="1:26" s="22" customFormat="1" hidden="1" outlineLevel="1" x14ac:dyDescent="0.25">
      <c r="A173" s="120">
        <f t="shared" si="101"/>
        <v>3</v>
      </c>
      <c r="B173" s="231">
        <v>43722</v>
      </c>
      <c r="C173" s="231" t="s">
        <v>57</v>
      </c>
      <c r="D173" s="231"/>
      <c r="E173" s="231"/>
      <c r="F173" s="231"/>
      <c r="G173" s="231"/>
      <c r="H173" s="76"/>
      <c r="I173" s="232"/>
      <c r="J173" s="76">
        <f t="shared" si="102"/>
        <v>10229.15</v>
      </c>
      <c r="K173" s="76"/>
      <c r="L173" s="76"/>
      <c r="M173" s="76"/>
      <c r="N173" s="76"/>
      <c r="O173" s="76"/>
      <c r="P173" s="76"/>
      <c r="Q173" s="76"/>
      <c r="R173" s="76">
        <v>4748.1499999999996</v>
      </c>
      <c r="S173" s="76">
        <v>5481</v>
      </c>
      <c r="U173" s="120" t="str">
        <f t="shared" si="103"/>
        <v>CRP</v>
      </c>
      <c r="X173" s="35"/>
      <c r="Y173" s="35"/>
      <c r="Z173" s="35"/>
    </row>
    <row r="174" spans="1:26" s="22" customFormat="1" hidden="1" outlineLevel="1" x14ac:dyDescent="0.25">
      <c r="A174" s="120">
        <f t="shared" si="101"/>
        <v>3</v>
      </c>
      <c r="B174" s="231">
        <v>43722</v>
      </c>
      <c r="C174" s="231" t="s">
        <v>58</v>
      </c>
      <c r="D174" s="231"/>
      <c r="E174" s="231"/>
      <c r="F174" s="231"/>
      <c r="G174" s="231"/>
      <c r="H174" s="76"/>
      <c r="I174" s="232"/>
      <c r="J174" s="76">
        <f t="shared" si="102"/>
        <v>10396.74</v>
      </c>
      <c r="K174" s="76"/>
      <c r="L174" s="76"/>
      <c r="M174" s="76"/>
      <c r="N174" s="76"/>
      <c r="O174" s="76"/>
      <c r="P174" s="76"/>
      <c r="Q174" s="76"/>
      <c r="R174" s="76">
        <v>8837.74</v>
      </c>
      <c r="S174" s="76">
        <v>1559</v>
      </c>
      <c r="U174" s="120" t="str">
        <f t="shared" si="103"/>
        <v>SM</v>
      </c>
      <c r="X174" s="35"/>
      <c r="Y174" s="35"/>
      <c r="Z174" s="35"/>
    </row>
    <row r="175" spans="1:26" s="22" customFormat="1" hidden="1" outlineLevel="1" x14ac:dyDescent="0.25">
      <c r="A175" s="120">
        <f t="shared" si="101"/>
        <v>3</v>
      </c>
      <c r="B175" s="231">
        <v>43722</v>
      </c>
      <c r="C175" s="231" t="s">
        <v>622</v>
      </c>
      <c r="D175" s="231"/>
      <c r="E175" s="231"/>
      <c r="F175" s="231"/>
      <c r="G175" s="231"/>
      <c r="H175" s="76"/>
      <c r="I175" s="232"/>
      <c r="J175" s="76">
        <f t="shared" si="102"/>
        <v>9158.01</v>
      </c>
      <c r="K175" s="76"/>
      <c r="L175" s="76"/>
      <c r="M175" s="76"/>
      <c r="N175" s="76"/>
      <c r="O175" s="76"/>
      <c r="P175" s="76"/>
      <c r="Q175" s="76"/>
      <c r="R175" s="76">
        <v>8979.11</v>
      </c>
      <c r="S175" s="76">
        <v>178.9</v>
      </c>
      <c r="U175" s="120" t="str">
        <f t="shared" si="103"/>
        <v>GEO</v>
      </c>
      <c r="X175" s="35"/>
      <c r="Y175" s="35"/>
      <c r="Z175" s="35"/>
    </row>
    <row r="176" spans="1:26" s="22" customFormat="1" hidden="1" outlineLevel="1" x14ac:dyDescent="0.25">
      <c r="A176" s="120">
        <f t="shared" si="101"/>
        <v>3</v>
      </c>
      <c r="B176" s="231">
        <v>43722</v>
      </c>
      <c r="C176" s="231" t="s">
        <v>657</v>
      </c>
      <c r="D176" s="231"/>
      <c r="E176" s="231"/>
      <c r="F176" s="231"/>
      <c r="G176" s="231"/>
      <c r="H176" s="76"/>
      <c r="I176" s="232"/>
      <c r="J176" s="76">
        <f t="shared" si="102"/>
        <v>8185.16</v>
      </c>
      <c r="K176" s="76"/>
      <c r="L176" s="76"/>
      <c r="M176" s="76"/>
      <c r="N176" s="76"/>
      <c r="O176" s="76"/>
      <c r="P176" s="76"/>
      <c r="Q176" s="76"/>
      <c r="R176" s="76">
        <v>8045.21</v>
      </c>
      <c r="S176" s="76">
        <v>139.94999999999999</v>
      </c>
      <c r="U176" s="120" t="str">
        <f t="shared" si="103"/>
        <v>VAK</v>
      </c>
      <c r="X176" s="35"/>
      <c r="Y176" s="35"/>
      <c r="Z176" s="35"/>
    </row>
    <row r="177" spans="1:26" s="22" customFormat="1" hidden="1" outlineLevel="1" x14ac:dyDescent="0.25">
      <c r="A177" s="120">
        <f t="shared" si="101"/>
        <v>3</v>
      </c>
      <c r="B177" s="231">
        <v>43722</v>
      </c>
      <c r="C177" s="231" t="s">
        <v>658</v>
      </c>
      <c r="D177" s="231"/>
      <c r="E177" s="231"/>
      <c r="F177" s="336"/>
      <c r="G177" s="231"/>
      <c r="H177" s="76"/>
      <c r="I177" s="232"/>
      <c r="J177" s="76">
        <f t="shared" si="102"/>
        <v>5388.7000000000007</v>
      </c>
      <c r="K177" s="76"/>
      <c r="L177" s="76"/>
      <c r="M177" s="76"/>
      <c r="N177" s="76"/>
      <c r="O177" s="76"/>
      <c r="P177" s="76"/>
      <c r="Q177" s="76"/>
      <c r="R177" s="76">
        <v>5327.1</v>
      </c>
      <c r="S177" s="76">
        <v>61.6</v>
      </c>
      <c r="U177" s="120" t="str">
        <f t="shared" si="103"/>
        <v>ASW</v>
      </c>
      <c r="X177" s="35"/>
      <c r="Y177" s="35"/>
      <c r="Z177" s="35"/>
    </row>
    <row r="178" spans="1:26" s="22" customFormat="1" hidden="1" outlineLevel="1" x14ac:dyDescent="0.25">
      <c r="A178" s="120">
        <f t="shared" si="101"/>
        <v>3</v>
      </c>
      <c r="B178" s="231">
        <v>43728</v>
      </c>
      <c r="C178" s="231" t="s">
        <v>669</v>
      </c>
      <c r="D178" s="231"/>
      <c r="E178" s="231"/>
      <c r="F178" s="231"/>
      <c r="G178" s="231"/>
      <c r="H178" s="76"/>
      <c r="I178" s="232"/>
      <c r="J178" s="76">
        <f t="shared" si="102"/>
        <v>3119.47</v>
      </c>
      <c r="K178" s="76"/>
      <c r="L178" s="76"/>
      <c r="M178" s="76"/>
      <c r="N178" s="76"/>
      <c r="O178" s="76"/>
      <c r="P178" s="76"/>
      <c r="Q178" s="76"/>
      <c r="R178" s="76">
        <v>3119.47</v>
      </c>
      <c r="S178" s="76"/>
      <c r="U178" s="120" t="str">
        <f t="shared" si="103"/>
        <v>DP</v>
      </c>
      <c r="X178" s="35"/>
      <c r="Y178" s="35"/>
      <c r="Z178" s="35"/>
    </row>
    <row r="179" spans="1:26" s="22" customFormat="1" outlineLevel="1" x14ac:dyDescent="0.25">
      <c r="A179" s="120">
        <f t="shared" si="101"/>
        <v>3</v>
      </c>
      <c r="B179" s="231">
        <v>43728</v>
      </c>
      <c r="C179" s="231" t="s">
        <v>678</v>
      </c>
      <c r="D179" s="231"/>
      <c r="E179" s="231"/>
      <c r="F179" s="231"/>
      <c r="G179" s="231"/>
      <c r="H179" s="76"/>
      <c r="I179" s="232"/>
      <c r="J179" s="76">
        <f t="shared" si="102"/>
        <v>3120.6</v>
      </c>
      <c r="K179" s="76"/>
      <c r="L179" s="76"/>
      <c r="M179" s="76"/>
      <c r="N179" s="76"/>
      <c r="O179" s="76"/>
      <c r="P179" s="76"/>
      <c r="Q179" s="76"/>
      <c r="R179" s="76">
        <v>3120.6</v>
      </c>
      <c r="S179" s="76"/>
      <c r="U179" s="120" t="str">
        <f t="shared" si="103"/>
        <v>ANK</v>
      </c>
      <c r="X179" s="35"/>
      <c r="Y179" s="35"/>
      <c r="Z179" s="35"/>
    </row>
    <row r="180" spans="1:26" s="22" customFormat="1" hidden="1" outlineLevel="1" x14ac:dyDescent="0.25">
      <c r="A180" s="120">
        <f t="shared" si="101"/>
        <v>4</v>
      </c>
      <c r="B180" s="231">
        <v>43742</v>
      </c>
      <c r="C180" s="231" t="s">
        <v>669</v>
      </c>
      <c r="D180" s="231"/>
      <c r="E180" s="231"/>
      <c r="F180" s="231"/>
      <c r="G180" s="231"/>
      <c r="H180" s="76"/>
      <c r="I180" s="232"/>
      <c r="J180" s="76">
        <f t="shared" si="102"/>
        <v>3096.05</v>
      </c>
      <c r="K180" s="76"/>
      <c r="L180" s="76"/>
      <c r="M180" s="76"/>
      <c r="N180" s="76"/>
      <c r="O180" s="76"/>
      <c r="P180" s="76"/>
      <c r="Q180" s="76"/>
      <c r="R180" s="76">
        <v>2496.0500000000002</v>
      </c>
      <c r="S180" s="76">
        <v>600</v>
      </c>
      <c r="U180" s="120" t="str">
        <f t="shared" si="103"/>
        <v>DP</v>
      </c>
      <c r="X180" s="35"/>
      <c r="Y180" s="35"/>
      <c r="Z180" s="35"/>
    </row>
    <row r="181" spans="1:26" s="22" customFormat="1" outlineLevel="1" x14ac:dyDescent="0.25">
      <c r="A181" s="120">
        <f t="shared" si="101"/>
        <v>4</v>
      </c>
      <c r="B181" s="231">
        <v>43742</v>
      </c>
      <c r="C181" s="231" t="s">
        <v>678</v>
      </c>
      <c r="D181" s="231"/>
      <c r="E181" s="231"/>
      <c r="F181" s="231"/>
      <c r="G181" s="231"/>
      <c r="H181" s="76"/>
      <c r="I181" s="232"/>
      <c r="J181" s="76">
        <f t="shared" si="102"/>
        <v>3067.32</v>
      </c>
      <c r="K181" s="76"/>
      <c r="L181" s="76"/>
      <c r="M181" s="76"/>
      <c r="N181" s="76"/>
      <c r="O181" s="76"/>
      <c r="P181" s="76"/>
      <c r="Q181" s="76"/>
      <c r="R181" s="76">
        <v>2541.3200000000002</v>
      </c>
      <c r="S181" s="76">
        <v>526</v>
      </c>
      <c r="U181" s="120" t="str">
        <f t="shared" si="103"/>
        <v>ANK</v>
      </c>
      <c r="X181" s="35"/>
      <c r="Y181" s="35"/>
      <c r="Z181" s="35"/>
    </row>
    <row r="182" spans="1:26" s="22" customFormat="1" hidden="1" outlineLevel="1" x14ac:dyDescent="0.25">
      <c r="A182" s="120">
        <f t="shared" si="101"/>
        <v>0</v>
      </c>
      <c r="B182" s="231"/>
      <c r="C182" s="231"/>
      <c r="D182" s="231"/>
      <c r="E182" s="231"/>
      <c r="F182" s="231"/>
      <c r="G182" s="231"/>
      <c r="H182" s="76"/>
      <c r="I182" s="232"/>
      <c r="J182" s="76">
        <f t="shared" si="102"/>
        <v>0</v>
      </c>
      <c r="K182" s="76"/>
      <c r="L182" s="76"/>
      <c r="M182" s="76"/>
      <c r="N182" s="76"/>
      <c r="O182" s="76"/>
      <c r="P182" s="76"/>
      <c r="Q182" s="76"/>
      <c r="R182" s="76"/>
      <c r="S182" s="76"/>
      <c r="U182" s="120">
        <f t="shared" si="103"/>
        <v>0</v>
      </c>
      <c r="X182" s="35"/>
      <c r="Y182" s="35"/>
      <c r="Z182" s="35"/>
    </row>
    <row r="183" spans="1:26" s="22" customFormat="1" hidden="1" outlineLevel="1" x14ac:dyDescent="0.25">
      <c r="A183" s="120">
        <f t="shared" si="101"/>
        <v>0</v>
      </c>
      <c r="B183" s="231"/>
      <c r="C183" s="231"/>
      <c r="D183" s="231"/>
      <c r="E183" s="231"/>
      <c r="F183" s="231"/>
      <c r="G183" s="231"/>
      <c r="H183" s="76"/>
      <c r="I183" s="232"/>
      <c r="J183" s="76">
        <f t="shared" si="102"/>
        <v>0</v>
      </c>
      <c r="K183" s="76"/>
      <c r="L183" s="76"/>
      <c r="M183" s="76"/>
      <c r="N183" s="76"/>
      <c r="O183" s="76"/>
      <c r="P183" s="76"/>
      <c r="Q183" s="76"/>
      <c r="R183" s="76"/>
      <c r="S183" s="76"/>
      <c r="U183" s="120">
        <f t="shared" si="103"/>
        <v>0</v>
      </c>
      <c r="X183" s="35"/>
      <c r="Y183" s="35"/>
      <c r="Z183" s="35"/>
    </row>
    <row r="184" spans="1:26" s="22" customFormat="1" hidden="1" outlineLevel="1" x14ac:dyDescent="0.25">
      <c r="A184" s="120">
        <f t="shared" si="101"/>
        <v>0</v>
      </c>
      <c r="B184" s="231"/>
      <c r="C184" s="231"/>
      <c r="D184" s="231"/>
      <c r="E184" s="231"/>
      <c r="F184" s="231"/>
      <c r="G184" s="231"/>
      <c r="H184" s="76"/>
      <c r="I184" s="232"/>
      <c r="J184" s="76">
        <f t="shared" ref="J184:J215" si="104">SUM(K184:S184)</f>
        <v>0</v>
      </c>
      <c r="K184" s="76"/>
      <c r="L184" s="76"/>
      <c r="M184" s="76"/>
      <c r="N184" s="76"/>
      <c r="O184" s="76"/>
      <c r="P184" s="76"/>
      <c r="Q184" s="76"/>
      <c r="R184" s="76"/>
      <c r="S184" s="76"/>
      <c r="U184" s="120">
        <f t="shared" si="103"/>
        <v>0</v>
      </c>
      <c r="V184" s="120" t="str">
        <f t="shared" ref="V184" si="105">$C184 &amp;":"&amp; $B184</f>
        <v>:</v>
      </c>
      <c r="W184" s="120" t="str">
        <f>C184 &amp;":"&amp; B184</f>
        <v>:</v>
      </c>
      <c r="X184" s="35"/>
      <c r="Y184" s="35"/>
      <c r="Z184" s="35"/>
    </row>
    <row r="185" spans="1:26" s="22" customFormat="1" hidden="1" outlineLevel="1" x14ac:dyDescent="0.25">
      <c r="A185" s="120">
        <f t="shared" si="101"/>
        <v>0</v>
      </c>
      <c r="B185" s="231"/>
      <c r="C185" s="231"/>
      <c r="D185" s="231"/>
      <c r="E185" s="231"/>
      <c r="F185" s="231"/>
      <c r="G185" s="231"/>
      <c r="H185" s="76"/>
      <c r="I185" s="232"/>
      <c r="J185" s="76">
        <f t="shared" si="104"/>
        <v>0</v>
      </c>
      <c r="K185" s="76"/>
      <c r="L185" s="76"/>
      <c r="M185" s="76"/>
      <c r="N185" s="76"/>
      <c r="O185" s="76"/>
      <c r="P185" s="76"/>
      <c r="Q185" s="76"/>
      <c r="R185" s="76"/>
      <c r="S185" s="76"/>
      <c r="U185" s="120">
        <f t="shared" si="103"/>
        <v>0</v>
      </c>
      <c r="X185" s="35"/>
      <c r="Y185" s="35"/>
      <c r="Z185" s="35"/>
    </row>
    <row r="186" spans="1:26" s="22" customFormat="1" hidden="1" outlineLevel="1" x14ac:dyDescent="0.25">
      <c r="A186" s="120">
        <f t="shared" si="101"/>
        <v>0</v>
      </c>
      <c r="B186" s="231"/>
      <c r="C186" s="231"/>
      <c r="D186" s="231"/>
      <c r="E186" s="231"/>
      <c r="F186" s="231"/>
      <c r="G186" s="231"/>
      <c r="H186" s="76"/>
      <c r="I186" s="232"/>
      <c r="J186" s="76">
        <f t="shared" si="104"/>
        <v>0</v>
      </c>
      <c r="K186" s="76"/>
      <c r="L186" s="76"/>
      <c r="M186" s="76"/>
      <c r="N186" s="76"/>
      <c r="O186" s="76"/>
      <c r="P186" s="76"/>
      <c r="Q186" s="76"/>
      <c r="R186" s="76"/>
      <c r="S186" s="76"/>
      <c r="U186" s="120">
        <f t="shared" si="103"/>
        <v>0</v>
      </c>
      <c r="V186" s="120" t="str">
        <f t="shared" ref="V186" si="106">$C186 &amp;":"&amp; $B186</f>
        <v>:</v>
      </c>
      <c r="W186" s="120" t="str">
        <f>C186 &amp;":"&amp; B186</f>
        <v>:</v>
      </c>
      <c r="X186" s="35"/>
      <c r="Y186" s="35"/>
      <c r="Z186" s="35"/>
    </row>
    <row r="187" spans="1:26" s="22" customFormat="1" hidden="1" outlineLevel="1" x14ac:dyDescent="0.25">
      <c r="A187" s="120">
        <f t="shared" si="101"/>
        <v>0</v>
      </c>
      <c r="B187" s="231"/>
      <c r="C187" s="231"/>
      <c r="D187" s="231"/>
      <c r="E187" s="231"/>
      <c r="F187" s="231"/>
      <c r="G187" s="231"/>
      <c r="H187" s="76"/>
      <c r="I187" s="232"/>
      <c r="J187" s="76">
        <f t="shared" si="104"/>
        <v>0</v>
      </c>
      <c r="K187" s="76"/>
      <c r="L187" s="76"/>
      <c r="M187" s="76"/>
      <c r="N187" s="76"/>
      <c r="O187" s="76"/>
      <c r="P187" s="76"/>
      <c r="Q187" s="76"/>
      <c r="R187" s="76"/>
      <c r="S187" s="76"/>
      <c r="U187" s="120">
        <f t="shared" si="103"/>
        <v>0</v>
      </c>
      <c r="X187" s="35"/>
      <c r="Y187" s="35"/>
      <c r="Z187" s="35"/>
    </row>
    <row r="188" spans="1:26" s="22" customFormat="1" hidden="1" outlineLevel="1" x14ac:dyDescent="0.25">
      <c r="A188" s="120">
        <f t="shared" si="101"/>
        <v>0</v>
      </c>
      <c r="B188" s="231"/>
      <c r="C188" s="231"/>
      <c r="D188" s="231"/>
      <c r="E188" s="231"/>
      <c r="F188" s="231"/>
      <c r="G188" s="231"/>
      <c r="H188" s="76"/>
      <c r="I188" s="232"/>
      <c r="J188" s="76">
        <f t="shared" si="104"/>
        <v>0</v>
      </c>
      <c r="K188" s="76"/>
      <c r="L188" s="76"/>
      <c r="M188" s="76"/>
      <c r="N188" s="76"/>
      <c r="O188" s="76"/>
      <c r="P188" s="76"/>
      <c r="Q188" s="76"/>
      <c r="R188" s="76"/>
      <c r="S188" s="76"/>
      <c r="U188" s="120">
        <f t="shared" si="103"/>
        <v>0</v>
      </c>
      <c r="V188" s="120" t="str">
        <f t="shared" ref="V188" si="107">$C188 &amp;":"&amp; $B188</f>
        <v>:</v>
      </c>
      <c r="W188" s="120" t="str">
        <f>C188 &amp;":"&amp; B188</f>
        <v>:</v>
      </c>
      <c r="X188" s="35"/>
      <c r="Y188" s="35"/>
      <c r="Z188" s="35"/>
    </row>
    <row r="189" spans="1:26" s="22" customFormat="1" hidden="1" outlineLevel="1" x14ac:dyDescent="0.25">
      <c r="A189" s="120">
        <f t="shared" si="101"/>
        <v>0</v>
      </c>
      <c r="B189" s="231"/>
      <c r="C189" s="231"/>
      <c r="D189" s="231"/>
      <c r="E189" s="231"/>
      <c r="F189" s="231"/>
      <c r="G189" s="231"/>
      <c r="H189" s="76"/>
      <c r="I189" s="232"/>
      <c r="J189" s="76">
        <f t="shared" si="104"/>
        <v>0</v>
      </c>
      <c r="K189" s="76"/>
      <c r="L189" s="76"/>
      <c r="M189" s="76"/>
      <c r="N189" s="76"/>
      <c r="O189" s="76"/>
      <c r="P189" s="76"/>
      <c r="Q189" s="76"/>
      <c r="R189" s="76"/>
      <c r="S189" s="76"/>
      <c r="U189" s="120">
        <f t="shared" si="103"/>
        <v>0</v>
      </c>
      <c r="X189" s="35"/>
      <c r="Y189" s="35"/>
      <c r="Z189" s="35"/>
    </row>
    <row r="190" spans="1:26" s="22" customFormat="1" hidden="1" outlineLevel="1" x14ac:dyDescent="0.25">
      <c r="A190" s="120">
        <f t="shared" si="101"/>
        <v>0</v>
      </c>
      <c r="B190" s="231"/>
      <c r="C190" s="231"/>
      <c r="D190" s="231"/>
      <c r="E190" s="231"/>
      <c r="F190" s="231"/>
      <c r="G190" s="231"/>
      <c r="H190" s="76"/>
      <c r="I190" s="232"/>
      <c r="J190" s="76">
        <f t="shared" si="104"/>
        <v>0</v>
      </c>
      <c r="K190" s="76"/>
      <c r="L190" s="76"/>
      <c r="M190" s="76"/>
      <c r="N190" s="76"/>
      <c r="O190" s="76"/>
      <c r="P190" s="76"/>
      <c r="Q190" s="76"/>
      <c r="R190" s="76"/>
      <c r="S190" s="76"/>
      <c r="U190" s="120">
        <f t="shared" si="103"/>
        <v>0</v>
      </c>
      <c r="X190" s="35"/>
      <c r="Y190" s="35"/>
      <c r="Z190" s="35"/>
    </row>
    <row r="191" spans="1:26" s="22" customFormat="1" hidden="1" outlineLevel="1" x14ac:dyDescent="0.25">
      <c r="A191" s="120">
        <f t="shared" si="101"/>
        <v>0</v>
      </c>
      <c r="B191" s="231"/>
      <c r="C191" s="231"/>
      <c r="D191" s="231"/>
      <c r="E191" s="231"/>
      <c r="F191" s="231"/>
      <c r="G191" s="231"/>
      <c r="H191" s="76"/>
      <c r="I191" s="232"/>
      <c r="J191" s="76">
        <f t="shared" si="104"/>
        <v>0</v>
      </c>
      <c r="K191" s="76"/>
      <c r="L191" s="76"/>
      <c r="M191" s="76"/>
      <c r="N191" s="76"/>
      <c r="O191" s="76"/>
      <c r="P191" s="76"/>
      <c r="Q191" s="76"/>
      <c r="R191" s="76"/>
      <c r="S191" s="76"/>
      <c r="U191" s="120">
        <f t="shared" si="103"/>
        <v>0</v>
      </c>
      <c r="X191" s="35"/>
      <c r="Y191" s="35"/>
      <c r="Z191" s="35"/>
    </row>
    <row r="192" spans="1:26" s="22" customFormat="1" hidden="1" outlineLevel="1" x14ac:dyDescent="0.25">
      <c r="A192" s="120">
        <f t="shared" si="101"/>
        <v>0</v>
      </c>
      <c r="B192" s="231"/>
      <c r="C192" s="231"/>
      <c r="D192" s="231"/>
      <c r="E192" s="231"/>
      <c r="F192" s="231"/>
      <c r="G192" s="231"/>
      <c r="H192" s="76"/>
      <c r="I192" s="232"/>
      <c r="J192" s="76">
        <f t="shared" si="104"/>
        <v>0</v>
      </c>
      <c r="K192" s="76"/>
      <c r="L192" s="76"/>
      <c r="M192" s="76"/>
      <c r="N192" s="76"/>
      <c r="O192" s="76"/>
      <c r="P192" s="76"/>
      <c r="Q192" s="76"/>
      <c r="R192" s="76"/>
      <c r="S192" s="76"/>
      <c r="U192" s="120">
        <f t="shared" si="103"/>
        <v>0</v>
      </c>
      <c r="X192" s="35"/>
      <c r="Y192" s="35"/>
      <c r="Z192" s="35"/>
    </row>
    <row r="193" spans="1:26" s="22" customFormat="1" hidden="1" outlineLevel="1" x14ac:dyDescent="0.25">
      <c r="A193" s="120">
        <f t="shared" si="101"/>
        <v>0</v>
      </c>
      <c r="B193" s="231"/>
      <c r="C193" s="231"/>
      <c r="D193" s="231"/>
      <c r="E193" s="231"/>
      <c r="F193" s="231"/>
      <c r="G193" s="231"/>
      <c r="H193" s="76"/>
      <c r="I193" s="232"/>
      <c r="J193" s="76">
        <f t="shared" si="104"/>
        <v>0</v>
      </c>
      <c r="K193" s="76"/>
      <c r="L193" s="76"/>
      <c r="M193" s="76"/>
      <c r="N193" s="76"/>
      <c r="O193" s="76"/>
      <c r="P193" s="76"/>
      <c r="Q193" s="76"/>
      <c r="R193" s="76"/>
      <c r="S193" s="76"/>
      <c r="U193" s="120">
        <f t="shared" si="103"/>
        <v>0</v>
      </c>
      <c r="X193" s="35"/>
      <c r="Y193" s="35"/>
      <c r="Z193" s="35"/>
    </row>
    <row r="194" spans="1:26" s="22" customFormat="1" hidden="1" outlineLevel="1" x14ac:dyDescent="0.25">
      <c r="A194" s="120">
        <f t="shared" si="101"/>
        <v>0</v>
      </c>
      <c r="B194" s="231"/>
      <c r="C194" s="231"/>
      <c r="D194" s="231"/>
      <c r="E194" s="231"/>
      <c r="F194" s="231"/>
      <c r="G194" s="231"/>
      <c r="H194" s="76"/>
      <c r="I194" s="232"/>
      <c r="J194" s="76">
        <f t="shared" si="104"/>
        <v>0</v>
      </c>
      <c r="K194" s="76"/>
      <c r="L194" s="76"/>
      <c r="M194" s="76"/>
      <c r="N194" s="76"/>
      <c r="O194" s="76"/>
      <c r="P194" s="76"/>
      <c r="Q194" s="76"/>
      <c r="R194" s="76"/>
      <c r="S194" s="76"/>
      <c r="U194" s="120">
        <f t="shared" si="103"/>
        <v>0</v>
      </c>
      <c r="X194" s="35"/>
      <c r="Y194" s="35"/>
      <c r="Z194" s="35"/>
    </row>
    <row r="195" spans="1:26" s="22" customFormat="1" hidden="1" outlineLevel="1" x14ac:dyDescent="0.25">
      <c r="A195" s="120">
        <f t="shared" si="101"/>
        <v>0</v>
      </c>
      <c r="B195" s="231"/>
      <c r="C195" s="231"/>
      <c r="D195" s="231"/>
      <c r="E195" s="231"/>
      <c r="F195" s="231"/>
      <c r="G195" s="231"/>
      <c r="H195" s="76"/>
      <c r="I195" s="232"/>
      <c r="J195" s="76">
        <f t="shared" si="104"/>
        <v>0</v>
      </c>
      <c r="K195" s="76"/>
      <c r="L195" s="76"/>
      <c r="M195" s="76"/>
      <c r="N195" s="76"/>
      <c r="O195" s="76"/>
      <c r="P195" s="76"/>
      <c r="Q195" s="76"/>
      <c r="R195" s="76"/>
      <c r="S195" s="76"/>
      <c r="U195" s="120">
        <f t="shared" si="103"/>
        <v>0</v>
      </c>
      <c r="V195" s="120" t="str">
        <f t="shared" ref="V195:V197" si="108">$C195 &amp;":"&amp; $B195</f>
        <v>:</v>
      </c>
      <c r="W195" s="120" t="str">
        <f>C195 &amp;":"&amp; B195</f>
        <v>:</v>
      </c>
      <c r="X195" s="35"/>
      <c r="Y195" s="35"/>
      <c r="Z195" s="35"/>
    </row>
    <row r="196" spans="1:26" s="22" customFormat="1" hidden="1" outlineLevel="1" x14ac:dyDescent="0.25">
      <c r="A196" s="120">
        <f t="shared" si="101"/>
        <v>0</v>
      </c>
      <c r="B196" s="231"/>
      <c r="C196" s="231"/>
      <c r="D196" s="231"/>
      <c r="E196" s="231"/>
      <c r="F196" s="231"/>
      <c r="G196" s="231"/>
      <c r="H196" s="76"/>
      <c r="I196" s="232"/>
      <c r="J196" s="76">
        <f t="shared" si="104"/>
        <v>0</v>
      </c>
      <c r="K196" s="76"/>
      <c r="L196" s="76"/>
      <c r="M196" s="76"/>
      <c r="N196" s="76"/>
      <c r="O196" s="76"/>
      <c r="P196" s="76"/>
      <c r="Q196" s="76"/>
      <c r="R196" s="76"/>
      <c r="S196" s="76"/>
      <c r="U196" s="120">
        <f t="shared" si="103"/>
        <v>0</v>
      </c>
      <c r="X196" s="35"/>
      <c r="Y196" s="35"/>
      <c r="Z196" s="35"/>
    </row>
    <row r="197" spans="1:26" s="22" customFormat="1" hidden="1" outlineLevel="1" x14ac:dyDescent="0.25">
      <c r="A197" s="120">
        <f t="shared" si="101"/>
        <v>0</v>
      </c>
      <c r="B197" s="231"/>
      <c r="C197" s="231"/>
      <c r="D197" s="231"/>
      <c r="E197" s="231"/>
      <c r="F197" s="231"/>
      <c r="G197" s="231"/>
      <c r="H197" s="76"/>
      <c r="I197" s="232"/>
      <c r="J197" s="76">
        <f t="shared" si="104"/>
        <v>0</v>
      </c>
      <c r="K197" s="76"/>
      <c r="L197" s="76"/>
      <c r="M197" s="76"/>
      <c r="N197" s="76"/>
      <c r="O197" s="76"/>
      <c r="P197" s="76"/>
      <c r="Q197" s="76"/>
      <c r="R197" s="76"/>
      <c r="S197" s="76"/>
      <c r="U197" s="120">
        <f t="shared" si="103"/>
        <v>0</v>
      </c>
      <c r="V197" s="120" t="str">
        <f t="shared" si="108"/>
        <v>:</v>
      </c>
      <c r="X197" s="35"/>
      <c r="Y197" s="35"/>
      <c r="Z197" s="35"/>
    </row>
    <row r="198" spans="1:26" s="22" customFormat="1" hidden="1" outlineLevel="1" x14ac:dyDescent="0.25">
      <c r="A198" s="120">
        <f t="shared" si="101"/>
        <v>0</v>
      </c>
      <c r="B198" s="231"/>
      <c r="C198" s="231"/>
      <c r="D198" s="231"/>
      <c r="E198" s="231"/>
      <c r="F198" s="231"/>
      <c r="G198" s="231"/>
      <c r="H198" s="76"/>
      <c r="I198" s="232"/>
      <c r="J198" s="76">
        <f t="shared" si="104"/>
        <v>0</v>
      </c>
      <c r="K198" s="76"/>
      <c r="L198" s="76"/>
      <c r="M198" s="76"/>
      <c r="N198" s="76"/>
      <c r="O198" s="76"/>
      <c r="P198" s="76"/>
      <c r="Q198" s="76"/>
      <c r="R198" s="76"/>
      <c r="S198" s="76"/>
      <c r="U198" s="120">
        <f t="shared" si="103"/>
        <v>0</v>
      </c>
      <c r="X198" s="35"/>
      <c r="Y198" s="35"/>
      <c r="Z198" s="35"/>
    </row>
    <row r="199" spans="1:26" s="22" customFormat="1" hidden="1" outlineLevel="1" x14ac:dyDescent="0.25">
      <c r="A199" s="120">
        <f t="shared" si="101"/>
        <v>0</v>
      </c>
      <c r="B199" s="231"/>
      <c r="C199" s="231"/>
      <c r="D199" s="231"/>
      <c r="E199" s="231"/>
      <c r="F199" s="231"/>
      <c r="G199" s="231"/>
      <c r="H199" s="76"/>
      <c r="I199" s="232"/>
      <c r="J199" s="76">
        <f t="shared" si="104"/>
        <v>0</v>
      </c>
      <c r="K199" s="76"/>
      <c r="L199" s="76"/>
      <c r="M199" s="76"/>
      <c r="N199" s="76"/>
      <c r="O199" s="76"/>
      <c r="P199" s="76"/>
      <c r="Q199" s="76"/>
      <c r="R199" s="76"/>
      <c r="S199" s="76"/>
      <c r="U199" s="120">
        <f t="shared" si="103"/>
        <v>0</v>
      </c>
      <c r="X199" s="35"/>
      <c r="Y199" s="35"/>
      <c r="Z199" s="35"/>
    </row>
    <row r="200" spans="1:26" s="22" customFormat="1" hidden="1" outlineLevel="1" x14ac:dyDescent="0.25">
      <c r="A200" s="120">
        <f t="shared" si="101"/>
        <v>0</v>
      </c>
      <c r="B200" s="231"/>
      <c r="C200" s="231"/>
      <c r="D200" s="231"/>
      <c r="E200" s="231"/>
      <c r="F200" s="231"/>
      <c r="G200" s="231"/>
      <c r="H200" s="76"/>
      <c r="I200" s="232"/>
      <c r="J200" s="76">
        <f t="shared" si="104"/>
        <v>0</v>
      </c>
      <c r="K200" s="76"/>
      <c r="L200" s="76"/>
      <c r="M200" s="76"/>
      <c r="N200" s="76"/>
      <c r="O200" s="76"/>
      <c r="P200" s="76"/>
      <c r="Q200" s="76"/>
      <c r="R200" s="76"/>
      <c r="S200" s="76"/>
      <c r="U200" s="120">
        <f t="shared" si="103"/>
        <v>0</v>
      </c>
      <c r="X200" s="35"/>
      <c r="Y200" s="35"/>
      <c r="Z200" s="35"/>
    </row>
    <row r="201" spans="1:26" s="22" customFormat="1" hidden="1" outlineLevel="1" x14ac:dyDescent="0.25">
      <c r="A201" s="120">
        <f t="shared" si="101"/>
        <v>0</v>
      </c>
      <c r="B201" s="231"/>
      <c r="C201" s="231"/>
      <c r="D201" s="231"/>
      <c r="E201" s="231"/>
      <c r="F201" s="231"/>
      <c r="G201" s="231"/>
      <c r="H201" s="76"/>
      <c r="I201" s="232"/>
      <c r="J201" s="76">
        <f t="shared" si="104"/>
        <v>0</v>
      </c>
      <c r="K201" s="76"/>
      <c r="L201" s="76"/>
      <c r="M201" s="76"/>
      <c r="N201" s="76"/>
      <c r="O201" s="76"/>
      <c r="P201" s="76"/>
      <c r="Q201" s="76"/>
      <c r="R201" s="76"/>
      <c r="S201" s="76"/>
      <c r="U201" s="120">
        <f t="shared" si="103"/>
        <v>0</v>
      </c>
      <c r="X201" s="35"/>
      <c r="Y201" s="35"/>
      <c r="Z201" s="35"/>
    </row>
    <row r="202" spans="1:26" s="22" customFormat="1" hidden="1" outlineLevel="1" x14ac:dyDescent="0.25">
      <c r="A202" s="120">
        <f t="shared" si="101"/>
        <v>0</v>
      </c>
      <c r="B202" s="231"/>
      <c r="C202" s="231"/>
      <c r="D202" s="231"/>
      <c r="E202" s="231"/>
      <c r="F202" s="231"/>
      <c r="G202" s="231"/>
      <c r="H202" s="76"/>
      <c r="I202" s="232"/>
      <c r="J202" s="76">
        <f t="shared" si="104"/>
        <v>0</v>
      </c>
      <c r="K202" s="76"/>
      <c r="L202" s="76"/>
      <c r="M202" s="76"/>
      <c r="N202" s="76"/>
      <c r="O202" s="76"/>
      <c r="P202" s="76"/>
      <c r="Q202" s="76"/>
      <c r="R202" s="76"/>
      <c r="S202" s="76"/>
      <c r="U202" s="120">
        <f t="shared" si="103"/>
        <v>0</v>
      </c>
      <c r="X202" s="35"/>
      <c r="Y202" s="35"/>
      <c r="Z202" s="35"/>
    </row>
    <row r="203" spans="1:26" s="22" customFormat="1" hidden="1" outlineLevel="1" x14ac:dyDescent="0.25">
      <c r="A203" s="120">
        <f t="shared" si="101"/>
        <v>0</v>
      </c>
      <c r="B203" s="231"/>
      <c r="C203" s="231"/>
      <c r="D203" s="231"/>
      <c r="E203" s="231"/>
      <c r="F203" s="231"/>
      <c r="G203" s="231"/>
      <c r="H203" s="76"/>
      <c r="I203" s="232"/>
      <c r="J203" s="76">
        <f t="shared" si="104"/>
        <v>0</v>
      </c>
      <c r="K203" s="76"/>
      <c r="L203" s="76"/>
      <c r="M203" s="76"/>
      <c r="N203" s="76"/>
      <c r="O203" s="76"/>
      <c r="P203" s="76"/>
      <c r="Q203" s="76"/>
      <c r="R203" s="76"/>
      <c r="S203" s="76"/>
      <c r="U203" s="120">
        <f t="shared" si="103"/>
        <v>0</v>
      </c>
      <c r="X203" s="35"/>
      <c r="Y203" s="35"/>
      <c r="Z203" s="35"/>
    </row>
    <row r="204" spans="1:26" s="22" customFormat="1" hidden="1" outlineLevel="1" x14ac:dyDescent="0.25">
      <c r="A204" s="120">
        <f t="shared" si="101"/>
        <v>0</v>
      </c>
      <c r="B204" s="231"/>
      <c r="C204" s="231"/>
      <c r="D204" s="231"/>
      <c r="E204" s="231"/>
      <c r="F204" s="231"/>
      <c r="G204" s="231"/>
      <c r="H204" s="76"/>
      <c r="I204" s="232"/>
      <c r="J204" s="76">
        <f t="shared" si="104"/>
        <v>0</v>
      </c>
      <c r="K204" s="76"/>
      <c r="L204" s="76"/>
      <c r="M204" s="76"/>
      <c r="N204" s="76"/>
      <c r="O204" s="76"/>
      <c r="P204" s="76"/>
      <c r="Q204" s="76"/>
      <c r="R204" s="76"/>
      <c r="S204" s="76"/>
      <c r="U204" s="120">
        <f t="shared" si="103"/>
        <v>0</v>
      </c>
      <c r="X204" s="35"/>
      <c r="Y204" s="35"/>
      <c r="Z204" s="35"/>
    </row>
    <row r="205" spans="1:26" s="22" customFormat="1" hidden="1" outlineLevel="1" x14ac:dyDescent="0.25">
      <c r="A205" s="120">
        <f t="shared" si="101"/>
        <v>0</v>
      </c>
      <c r="B205" s="231"/>
      <c r="C205" s="231"/>
      <c r="D205" s="231"/>
      <c r="E205" s="231"/>
      <c r="F205" s="231"/>
      <c r="G205" s="231"/>
      <c r="H205" s="76"/>
      <c r="I205" s="232"/>
      <c r="J205" s="76">
        <f t="shared" si="104"/>
        <v>0</v>
      </c>
      <c r="K205" s="76"/>
      <c r="L205" s="76"/>
      <c r="M205" s="76"/>
      <c r="N205" s="76"/>
      <c r="O205" s="76"/>
      <c r="P205" s="76"/>
      <c r="Q205" s="76"/>
      <c r="R205" s="76"/>
      <c r="S205" s="76"/>
      <c r="U205" s="120">
        <f t="shared" si="103"/>
        <v>0</v>
      </c>
      <c r="X205" s="35"/>
      <c r="Y205" s="35"/>
      <c r="Z205" s="35"/>
    </row>
    <row r="206" spans="1:26" s="22" customFormat="1" hidden="1" outlineLevel="1" x14ac:dyDescent="0.25">
      <c r="A206" s="120">
        <f t="shared" si="101"/>
        <v>0</v>
      </c>
      <c r="B206" s="231"/>
      <c r="C206" s="231"/>
      <c r="D206" s="231"/>
      <c r="E206" s="231"/>
      <c r="F206" s="231"/>
      <c r="G206" s="231"/>
      <c r="H206" s="76"/>
      <c r="I206" s="232"/>
      <c r="J206" s="76">
        <f t="shared" si="104"/>
        <v>0</v>
      </c>
      <c r="K206" s="76"/>
      <c r="L206" s="76"/>
      <c r="M206" s="76"/>
      <c r="N206" s="76"/>
      <c r="O206" s="76"/>
      <c r="P206" s="76"/>
      <c r="Q206" s="76"/>
      <c r="R206" s="76"/>
      <c r="S206" s="76"/>
      <c r="U206" s="120">
        <f t="shared" si="103"/>
        <v>0</v>
      </c>
      <c r="X206" s="35"/>
      <c r="Y206" s="35"/>
      <c r="Z206" s="35"/>
    </row>
    <row r="207" spans="1:26" s="22" customFormat="1" hidden="1" outlineLevel="1" x14ac:dyDescent="0.25">
      <c r="A207" s="120">
        <f t="shared" si="101"/>
        <v>0</v>
      </c>
      <c r="B207" s="231"/>
      <c r="C207" s="231"/>
      <c r="D207" s="231"/>
      <c r="E207" s="231"/>
      <c r="F207" s="231"/>
      <c r="G207" s="231"/>
      <c r="H207" s="76"/>
      <c r="I207" s="232"/>
      <c r="J207" s="76">
        <f t="shared" si="104"/>
        <v>0</v>
      </c>
      <c r="K207" s="76"/>
      <c r="L207" s="76"/>
      <c r="M207" s="76"/>
      <c r="N207" s="76"/>
      <c r="O207" s="76"/>
      <c r="P207" s="76"/>
      <c r="Q207" s="76"/>
      <c r="R207" s="76"/>
      <c r="S207" s="76"/>
      <c r="U207" s="120">
        <f t="shared" si="103"/>
        <v>0</v>
      </c>
      <c r="X207" s="35"/>
      <c r="Y207" s="35"/>
      <c r="Z207" s="35"/>
    </row>
    <row r="208" spans="1:26" s="22" customFormat="1" hidden="1" outlineLevel="1" x14ac:dyDescent="0.25">
      <c r="A208" s="120">
        <f t="shared" si="101"/>
        <v>0</v>
      </c>
      <c r="B208" s="231"/>
      <c r="C208" s="231"/>
      <c r="D208" s="231"/>
      <c r="E208" s="231"/>
      <c r="F208" s="231"/>
      <c r="G208" s="231"/>
      <c r="H208" s="76"/>
      <c r="I208" s="232"/>
      <c r="J208" s="76">
        <f t="shared" si="104"/>
        <v>0</v>
      </c>
      <c r="K208" s="76"/>
      <c r="L208" s="76"/>
      <c r="M208" s="76"/>
      <c r="N208" s="76"/>
      <c r="O208" s="76"/>
      <c r="P208" s="76"/>
      <c r="Q208" s="76"/>
      <c r="R208" s="76"/>
      <c r="S208" s="76"/>
      <c r="U208" s="120">
        <f t="shared" si="103"/>
        <v>0</v>
      </c>
      <c r="X208" s="35"/>
      <c r="Y208" s="35"/>
      <c r="Z208" s="35"/>
    </row>
    <row r="209" spans="1:26" s="22" customFormat="1" hidden="1" outlineLevel="1" x14ac:dyDescent="0.25">
      <c r="A209" s="120">
        <f t="shared" si="101"/>
        <v>0</v>
      </c>
      <c r="B209" s="231"/>
      <c r="C209" s="231"/>
      <c r="D209" s="231"/>
      <c r="E209" s="231"/>
      <c r="F209" s="231"/>
      <c r="G209" s="231"/>
      <c r="H209" s="76"/>
      <c r="I209" s="232"/>
      <c r="J209" s="76">
        <f t="shared" si="104"/>
        <v>0</v>
      </c>
      <c r="K209" s="76"/>
      <c r="L209" s="76"/>
      <c r="M209" s="76"/>
      <c r="N209" s="76"/>
      <c r="O209" s="76"/>
      <c r="P209" s="76"/>
      <c r="Q209" s="76"/>
      <c r="R209" s="76"/>
      <c r="S209" s="76"/>
      <c r="U209" s="120">
        <f t="shared" si="103"/>
        <v>0</v>
      </c>
      <c r="V209" s="120" t="str">
        <f t="shared" ref="V209" si="109">$C209 &amp;":"&amp; $B209</f>
        <v>:</v>
      </c>
      <c r="X209" s="35"/>
      <c r="Y209" s="35"/>
      <c r="Z209" s="35"/>
    </row>
    <row r="210" spans="1:26" s="22" customFormat="1" hidden="1" outlineLevel="1" x14ac:dyDescent="0.25">
      <c r="A210" s="120">
        <f t="shared" si="101"/>
        <v>0</v>
      </c>
      <c r="B210" s="231"/>
      <c r="C210" s="231"/>
      <c r="D210" s="231"/>
      <c r="E210" s="231"/>
      <c r="F210" s="231"/>
      <c r="G210" s="231"/>
      <c r="H210" s="76"/>
      <c r="I210" s="232"/>
      <c r="J210" s="76">
        <f t="shared" si="104"/>
        <v>0</v>
      </c>
      <c r="K210" s="76"/>
      <c r="L210" s="76"/>
      <c r="M210" s="76"/>
      <c r="N210" s="76"/>
      <c r="O210" s="76"/>
      <c r="P210" s="76"/>
      <c r="Q210" s="76"/>
      <c r="R210" s="76"/>
      <c r="S210" s="76"/>
      <c r="U210" s="120">
        <f t="shared" si="103"/>
        <v>0</v>
      </c>
      <c r="X210" s="35"/>
      <c r="Y210" s="35"/>
      <c r="Z210" s="35"/>
    </row>
    <row r="211" spans="1:26" s="22" customFormat="1" hidden="1" outlineLevel="1" x14ac:dyDescent="0.25">
      <c r="A211" s="120">
        <f t="shared" si="101"/>
        <v>0</v>
      </c>
      <c r="B211" s="231"/>
      <c r="C211" s="231"/>
      <c r="D211" s="231"/>
      <c r="E211" s="231"/>
      <c r="F211" s="231"/>
      <c r="G211" s="231"/>
      <c r="H211" s="76"/>
      <c r="I211" s="232"/>
      <c r="J211" s="76">
        <f t="shared" si="104"/>
        <v>0</v>
      </c>
      <c r="K211" s="76"/>
      <c r="L211" s="76"/>
      <c r="M211" s="76"/>
      <c r="N211" s="76"/>
      <c r="O211" s="76"/>
      <c r="P211" s="76"/>
      <c r="Q211" s="76"/>
      <c r="R211" s="76"/>
      <c r="S211" s="76"/>
      <c r="U211" s="120">
        <f t="shared" si="103"/>
        <v>0</v>
      </c>
      <c r="V211" s="120" t="str">
        <f t="shared" ref="V211" si="110">$C211 &amp;":"&amp; $B211</f>
        <v>:</v>
      </c>
      <c r="X211" s="35"/>
      <c r="Y211" s="35"/>
      <c r="Z211" s="35"/>
    </row>
    <row r="212" spans="1:26" s="22" customFormat="1" hidden="1" outlineLevel="1" x14ac:dyDescent="0.25">
      <c r="A212" s="120">
        <f t="shared" si="101"/>
        <v>0</v>
      </c>
      <c r="B212" s="231"/>
      <c r="C212" s="231"/>
      <c r="D212" s="231"/>
      <c r="E212" s="231"/>
      <c r="F212" s="231"/>
      <c r="G212" s="231"/>
      <c r="H212" s="76"/>
      <c r="I212" s="232"/>
      <c r="J212" s="76">
        <f t="shared" si="104"/>
        <v>0</v>
      </c>
      <c r="K212" s="76"/>
      <c r="L212" s="76"/>
      <c r="M212" s="76"/>
      <c r="N212" s="76"/>
      <c r="O212" s="76"/>
      <c r="P212" s="76"/>
      <c r="Q212" s="76"/>
      <c r="R212" s="76"/>
      <c r="S212" s="76"/>
      <c r="U212" s="120">
        <f t="shared" si="103"/>
        <v>0</v>
      </c>
      <c r="X212" s="35"/>
      <c r="Y212" s="35"/>
      <c r="Z212" s="35"/>
    </row>
    <row r="213" spans="1:26" s="22" customFormat="1" hidden="1" outlineLevel="1" x14ac:dyDescent="0.25">
      <c r="A213" s="120">
        <f t="shared" si="101"/>
        <v>0</v>
      </c>
      <c r="B213" s="231"/>
      <c r="C213" s="231"/>
      <c r="D213" s="231"/>
      <c r="E213" s="231"/>
      <c r="F213" s="231"/>
      <c r="G213" s="231"/>
      <c r="H213" s="76"/>
      <c r="I213" s="232"/>
      <c r="J213" s="76">
        <f t="shared" si="104"/>
        <v>0</v>
      </c>
      <c r="K213" s="76"/>
      <c r="L213" s="76"/>
      <c r="M213" s="76"/>
      <c r="N213" s="76"/>
      <c r="O213" s="76"/>
      <c r="P213" s="76"/>
      <c r="Q213" s="76"/>
      <c r="R213" s="76"/>
      <c r="S213" s="76"/>
      <c r="U213" s="120">
        <f t="shared" si="103"/>
        <v>0</v>
      </c>
      <c r="V213" s="120" t="str">
        <f t="shared" ref="V213:V215" si="111">$C213 &amp;":"&amp; $B213</f>
        <v>:</v>
      </c>
      <c r="X213" s="35"/>
      <c r="Y213" s="35"/>
      <c r="Z213" s="35"/>
    </row>
    <row r="214" spans="1:26" s="22" customFormat="1" hidden="1" outlineLevel="1" x14ac:dyDescent="0.25">
      <c r="A214" s="120">
        <f t="shared" si="101"/>
        <v>0</v>
      </c>
      <c r="B214" s="231"/>
      <c r="C214" s="231"/>
      <c r="D214" s="231"/>
      <c r="E214" s="231"/>
      <c r="F214" s="231"/>
      <c r="G214" s="231"/>
      <c r="H214" s="76"/>
      <c r="I214" s="232"/>
      <c r="J214" s="76">
        <f t="shared" si="104"/>
        <v>0</v>
      </c>
      <c r="K214" s="76"/>
      <c r="L214" s="76"/>
      <c r="M214" s="76"/>
      <c r="N214" s="76"/>
      <c r="O214" s="76"/>
      <c r="P214" s="76"/>
      <c r="Q214" s="76"/>
      <c r="R214" s="76"/>
      <c r="S214" s="76"/>
      <c r="U214" s="120">
        <f t="shared" si="103"/>
        <v>0</v>
      </c>
      <c r="X214" s="35"/>
      <c r="Y214" s="35"/>
      <c r="Z214" s="35"/>
    </row>
    <row r="215" spans="1:26" s="22" customFormat="1" hidden="1" outlineLevel="1" x14ac:dyDescent="0.25">
      <c r="A215" s="120">
        <f t="shared" si="101"/>
        <v>0</v>
      </c>
      <c r="B215" s="231"/>
      <c r="C215" s="231"/>
      <c r="D215" s="231"/>
      <c r="E215" s="231"/>
      <c r="F215" s="231"/>
      <c r="G215" s="231"/>
      <c r="H215" s="76"/>
      <c r="I215" s="232"/>
      <c r="J215" s="76">
        <f t="shared" si="104"/>
        <v>0</v>
      </c>
      <c r="K215" s="76"/>
      <c r="L215" s="76"/>
      <c r="M215" s="76"/>
      <c r="N215" s="76"/>
      <c r="O215" s="76"/>
      <c r="P215" s="76"/>
      <c r="Q215" s="76"/>
      <c r="R215" s="76"/>
      <c r="S215" s="76"/>
      <c r="U215" s="120">
        <f t="shared" si="103"/>
        <v>0</v>
      </c>
      <c r="V215" s="120" t="str">
        <f t="shared" si="111"/>
        <v>:</v>
      </c>
      <c r="X215" s="35"/>
      <c r="Y215" s="35"/>
      <c r="Z215" s="35"/>
    </row>
    <row r="216" spans="1:26" s="22" customFormat="1" hidden="1" outlineLevel="1" x14ac:dyDescent="0.25">
      <c r="A216" s="120">
        <f t="shared" ref="A216:A260" si="112">GETPAYMONTH(B216)</f>
        <v>0</v>
      </c>
      <c r="B216" s="231"/>
      <c r="C216" s="231"/>
      <c r="D216" s="231"/>
      <c r="E216" s="231"/>
      <c r="F216" s="231"/>
      <c r="G216" s="231"/>
      <c r="H216" s="76"/>
      <c r="I216" s="232"/>
      <c r="J216" s="76">
        <f t="shared" ref="J216:J247" si="113">SUM(K216:S216)</f>
        <v>0</v>
      </c>
      <c r="K216" s="76"/>
      <c r="L216" s="76"/>
      <c r="M216" s="76"/>
      <c r="N216" s="76"/>
      <c r="O216" s="76"/>
      <c r="P216" s="76"/>
      <c r="Q216" s="76"/>
      <c r="R216" s="76"/>
      <c r="S216" s="76"/>
      <c r="U216" s="120">
        <f t="shared" ref="U216:U261" si="114">$C216</f>
        <v>0</v>
      </c>
      <c r="X216" s="35"/>
      <c r="Y216" s="35"/>
      <c r="Z216" s="35"/>
    </row>
    <row r="217" spans="1:26" s="22" customFormat="1" hidden="1" outlineLevel="1" x14ac:dyDescent="0.25">
      <c r="A217" s="120">
        <f t="shared" si="112"/>
        <v>0</v>
      </c>
      <c r="B217" s="231"/>
      <c r="C217" s="231"/>
      <c r="D217" s="231"/>
      <c r="E217" s="231"/>
      <c r="F217" s="231"/>
      <c r="G217" s="231"/>
      <c r="H217" s="76"/>
      <c r="I217" s="232"/>
      <c r="J217" s="76">
        <f t="shared" si="113"/>
        <v>0</v>
      </c>
      <c r="K217" s="76"/>
      <c r="L217" s="76"/>
      <c r="M217" s="76"/>
      <c r="N217" s="76"/>
      <c r="O217" s="76"/>
      <c r="P217" s="76"/>
      <c r="Q217" s="76"/>
      <c r="R217" s="76"/>
      <c r="S217" s="76"/>
      <c r="U217" s="120">
        <f t="shared" si="114"/>
        <v>0</v>
      </c>
      <c r="X217" s="35"/>
      <c r="Y217" s="35"/>
      <c r="Z217" s="35"/>
    </row>
    <row r="218" spans="1:26" s="22" customFormat="1" hidden="1" outlineLevel="1" x14ac:dyDescent="0.25">
      <c r="A218" s="120">
        <f t="shared" si="112"/>
        <v>0</v>
      </c>
      <c r="B218" s="231"/>
      <c r="C218" s="231"/>
      <c r="D218" s="231"/>
      <c r="E218" s="231"/>
      <c r="F218" s="231"/>
      <c r="G218" s="231"/>
      <c r="H218" s="76"/>
      <c r="I218" s="232"/>
      <c r="J218" s="76">
        <f t="shared" si="113"/>
        <v>0</v>
      </c>
      <c r="K218" s="76"/>
      <c r="L218" s="76"/>
      <c r="M218" s="76"/>
      <c r="N218" s="76"/>
      <c r="O218" s="76"/>
      <c r="P218" s="76"/>
      <c r="Q218" s="76"/>
      <c r="R218" s="76"/>
      <c r="S218" s="76"/>
      <c r="U218" s="120">
        <f t="shared" si="114"/>
        <v>0</v>
      </c>
      <c r="X218" s="35"/>
      <c r="Y218" s="35"/>
      <c r="Z218" s="35"/>
    </row>
    <row r="219" spans="1:26" s="22" customFormat="1" hidden="1" outlineLevel="1" x14ac:dyDescent="0.25">
      <c r="A219" s="120">
        <f t="shared" si="112"/>
        <v>0</v>
      </c>
      <c r="B219" s="231"/>
      <c r="C219" s="231"/>
      <c r="D219" s="231"/>
      <c r="E219" s="231"/>
      <c r="F219" s="231"/>
      <c r="G219" s="231"/>
      <c r="H219" s="76"/>
      <c r="I219" s="232"/>
      <c r="J219" s="76">
        <f t="shared" si="113"/>
        <v>0</v>
      </c>
      <c r="K219" s="76"/>
      <c r="L219" s="76"/>
      <c r="M219" s="76"/>
      <c r="N219" s="76"/>
      <c r="O219" s="76"/>
      <c r="P219" s="76"/>
      <c r="Q219" s="76"/>
      <c r="R219" s="76"/>
      <c r="S219" s="76"/>
      <c r="U219" s="120">
        <f t="shared" si="114"/>
        <v>0</v>
      </c>
      <c r="X219" s="35"/>
      <c r="Y219" s="35"/>
      <c r="Z219" s="35"/>
    </row>
    <row r="220" spans="1:26" s="22" customFormat="1" hidden="1" outlineLevel="1" x14ac:dyDescent="0.25">
      <c r="A220" s="120">
        <f t="shared" si="112"/>
        <v>0</v>
      </c>
      <c r="B220" s="231"/>
      <c r="C220" s="231"/>
      <c r="D220" s="231"/>
      <c r="E220" s="231"/>
      <c r="F220" s="231"/>
      <c r="G220" s="231"/>
      <c r="H220" s="76"/>
      <c r="I220" s="232"/>
      <c r="J220" s="76">
        <f t="shared" si="113"/>
        <v>0</v>
      </c>
      <c r="K220" s="76"/>
      <c r="L220" s="76"/>
      <c r="M220" s="76"/>
      <c r="N220" s="76"/>
      <c r="O220" s="76"/>
      <c r="P220" s="76"/>
      <c r="Q220" s="76"/>
      <c r="R220" s="76"/>
      <c r="S220" s="76"/>
      <c r="U220" s="120">
        <f t="shared" si="114"/>
        <v>0</v>
      </c>
      <c r="X220" s="35"/>
      <c r="Y220" s="35"/>
      <c r="Z220" s="35"/>
    </row>
    <row r="221" spans="1:26" s="22" customFormat="1" hidden="1" outlineLevel="1" x14ac:dyDescent="0.25">
      <c r="A221" s="120">
        <f t="shared" si="112"/>
        <v>0</v>
      </c>
      <c r="B221" s="231"/>
      <c r="C221" s="231"/>
      <c r="D221" s="231"/>
      <c r="E221" s="231"/>
      <c r="F221" s="231"/>
      <c r="G221" s="231"/>
      <c r="H221" s="76"/>
      <c r="I221" s="232"/>
      <c r="J221" s="76">
        <f t="shared" si="113"/>
        <v>0</v>
      </c>
      <c r="K221" s="76"/>
      <c r="L221" s="76"/>
      <c r="M221" s="76"/>
      <c r="N221" s="76"/>
      <c r="O221" s="76"/>
      <c r="P221" s="76"/>
      <c r="Q221" s="76"/>
      <c r="R221" s="76"/>
      <c r="S221" s="76"/>
      <c r="U221" s="120">
        <f t="shared" si="114"/>
        <v>0</v>
      </c>
      <c r="X221" s="35"/>
      <c r="Y221" s="35"/>
      <c r="Z221" s="35"/>
    </row>
    <row r="222" spans="1:26" s="22" customFormat="1" hidden="1" outlineLevel="1" x14ac:dyDescent="0.25">
      <c r="A222" s="120">
        <f t="shared" si="112"/>
        <v>0</v>
      </c>
      <c r="B222" s="231"/>
      <c r="C222" s="231"/>
      <c r="D222" s="231"/>
      <c r="E222" s="231"/>
      <c r="F222" s="231"/>
      <c r="G222" s="231"/>
      <c r="H222" s="76"/>
      <c r="I222" s="232"/>
      <c r="J222" s="76">
        <f t="shared" si="113"/>
        <v>0</v>
      </c>
      <c r="K222" s="76"/>
      <c r="L222" s="76"/>
      <c r="M222" s="76"/>
      <c r="N222" s="76"/>
      <c r="O222" s="76"/>
      <c r="P222" s="76"/>
      <c r="Q222" s="76"/>
      <c r="R222" s="76"/>
      <c r="S222" s="76"/>
      <c r="U222" s="120">
        <f t="shared" si="114"/>
        <v>0</v>
      </c>
      <c r="V222" s="120" t="str">
        <f t="shared" ref="V222" si="115">$C222 &amp;":"&amp; $B222</f>
        <v>:</v>
      </c>
      <c r="X222" s="35"/>
      <c r="Y222" s="35"/>
      <c r="Z222" s="35"/>
    </row>
    <row r="223" spans="1:26" s="22" customFormat="1" hidden="1" outlineLevel="1" x14ac:dyDescent="0.25">
      <c r="A223" s="120">
        <f t="shared" si="112"/>
        <v>0</v>
      </c>
      <c r="B223" s="231"/>
      <c r="C223" s="231"/>
      <c r="D223" s="231"/>
      <c r="E223" s="231"/>
      <c r="F223" s="231"/>
      <c r="G223" s="231"/>
      <c r="H223" s="76"/>
      <c r="I223" s="232"/>
      <c r="J223" s="76">
        <f t="shared" si="113"/>
        <v>0</v>
      </c>
      <c r="K223" s="76"/>
      <c r="L223" s="76"/>
      <c r="M223" s="76"/>
      <c r="N223" s="76"/>
      <c r="O223" s="76"/>
      <c r="P223" s="76"/>
      <c r="Q223" s="76"/>
      <c r="R223" s="76"/>
      <c r="S223" s="76"/>
      <c r="U223" s="120">
        <f t="shared" si="114"/>
        <v>0</v>
      </c>
      <c r="X223" s="35"/>
      <c r="Y223" s="35"/>
      <c r="Z223" s="35"/>
    </row>
    <row r="224" spans="1:26" s="22" customFormat="1" hidden="1" outlineLevel="1" x14ac:dyDescent="0.25">
      <c r="A224" s="120">
        <f t="shared" si="112"/>
        <v>0</v>
      </c>
      <c r="B224" s="231"/>
      <c r="C224" s="231"/>
      <c r="D224" s="231"/>
      <c r="E224" s="231"/>
      <c r="F224" s="231"/>
      <c r="G224" s="231"/>
      <c r="H224" s="76"/>
      <c r="I224" s="232"/>
      <c r="J224" s="76">
        <f t="shared" si="113"/>
        <v>0</v>
      </c>
      <c r="K224" s="76"/>
      <c r="L224" s="76"/>
      <c r="M224" s="76"/>
      <c r="N224" s="76"/>
      <c r="O224" s="76"/>
      <c r="P224" s="76"/>
      <c r="Q224" s="76"/>
      <c r="R224" s="76"/>
      <c r="S224" s="76"/>
      <c r="U224" s="120">
        <f t="shared" si="114"/>
        <v>0</v>
      </c>
      <c r="V224" s="120" t="str">
        <f t="shared" ref="V224" si="116">$C224 &amp;":"&amp; $B224</f>
        <v>:</v>
      </c>
      <c r="X224" s="35"/>
      <c r="Y224" s="35"/>
      <c r="Z224" s="35"/>
    </row>
    <row r="225" spans="1:26" s="22" customFormat="1" hidden="1" outlineLevel="1" x14ac:dyDescent="0.25">
      <c r="A225" s="120">
        <f t="shared" si="112"/>
        <v>0</v>
      </c>
      <c r="B225" s="231"/>
      <c r="C225" s="231"/>
      <c r="D225" s="231"/>
      <c r="E225" s="231"/>
      <c r="F225" s="231"/>
      <c r="G225" s="231"/>
      <c r="H225" s="76"/>
      <c r="I225" s="232"/>
      <c r="J225" s="76">
        <f t="shared" si="113"/>
        <v>0</v>
      </c>
      <c r="K225" s="76"/>
      <c r="L225" s="76"/>
      <c r="M225" s="76"/>
      <c r="N225" s="76"/>
      <c r="O225" s="76"/>
      <c r="P225" s="76"/>
      <c r="Q225" s="76"/>
      <c r="R225" s="76"/>
      <c r="S225" s="76"/>
      <c r="U225" s="120">
        <f t="shared" si="114"/>
        <v>0</v>
      </c>
      <c r="X225" s="35"/>
      <c r="Y225" s="35"/>
      <c r="Z225" s="35"/>
    </row>
    <row r="226" spans="1:26" s="22" customFormat="1" hidden="1" outlineLevel="1" x14ac:dyDescent="0.25">
      <c r="A226" s="120">
        <f t="shared" si="112"/>
        <v>0</v>
      </c>
      <c r="B226" s="231"/>
      <c r="C226" s="231"/>
      <c r="D226" s="231"/>
      <c r="E226" s="231"/>
      <c r="F226" s="231"/>
      <c r="G226" s="231"/>
      <c r="H226" s="76"/>
      <c r="I226" s="232"/>
      <c r="J226" s="76">
        <f t="shared" si="113"/>
        <v>0</v>
      </c>
      <c r="K226" s="76"/>
      <c r="L226" s="76"/>
      <c r="M226" s="76"/>
      <c r="N226" s="76"/>
      <c r="O226" s="76"/>
      <c r="P226" s="76"/>
      <c r="Q226" s="76"/>
      <c r="R226" s="76"/>
      <c r="S226" s="76"/>
      <c r="U226" s="120">
        <f t="shared" si="114"/>
        <v>0</v>
      </c>
      <c r="X226" s="35"/>
      <c r="Y226" s="35"/>
      <c r="Z226" s="35"/>
    </row>
    <row r="227" spans="1:26" s="22" customFormat="1" hidden="1" outlineLevel="1" x14ac:dyDescent="0.25">
      <c r="A227" s="120">
        <f t="shared" si="112"/>
        <v>0</v>
      </c>
      <c r="B227" s="231"/>
      <c r="C227" s="231"/>
      <c r="D227" s="231"/>
      <c r="E227" s="231"/>
      <c r="F227" s="231"/>
      <c r="G227" s="231"/>
      <c r="H227" s="76"/>
      <c r="I227" s="232"/>
      <c r="J227" s="76">
        <f t="shared" si="113"/>
        <v>0</v>
      </c>
      <c r="K227" s="76"/>
      <c r="L227" s="76"/>
      <c r="M227" s="76"/>
      <c r="N227" s="76"/>
      <c r="O227" s="76"/>
      <c r="P227" s="76"/>
      <c r="Q227" s="76"/>
      <c r="R227" s="76"/>
      <c r="S227" s="76"/>
      <c r="U227" s="120">
        <f t="shared" si="114"/>
        <v>0</v>
      </c>
      <c r="X227" s="35"/>
      <c r="Y227" s="35"/>
      <c r="Z227" s="35"/>
    </row>
    <row r="228" spans="1:26" s="22" customFormat="1" hidden="1" outlineLevel="1" x14ac:dyDescent="0.25">
      <c r="A228" s="120">
        <f t="shared" si="112"/>
        <v>0</v>
      </c>
      <c r="B228" s="231"/>
      <c r="C228" s="231"/>
      <c r="D228" s="231"/>
      <c r="E228" s="231"/>
      <c r="F228" s="231"/>
      <c r="G228" s="231"/>
      <c r="H228" s="76"/>
      <c r="I228" s="232"/>
      <c r="J228" s="76">
        <f t="shared" si="113"/>
        <v>0</v>
      </c>
      <c r="K228" s="76"/>
      <c r="L228" s="76"/>
      <c r="M228" s="76"/>
      <c r="N228" s="76"/>
      <c r="O228" s="76"/>
      <c r="P228" s="76"/>
      <c r="Q228" s="76"/>
      <c r="R228" s="76"/>
      <c r="S228" s="76"/>
      <c r="U228" s="120">
        <f t="shared" si="114"/>
        <v>0</v>
      </c>
      <c r="X228" s="35"/>
      <c r="Y228" s="35"/>
      <c r="Z228" s="35"/>
    </row>
    <row r="229" spans="1:26" s="22" customFormat="1" hidden="1" outlineLevel="1" x14ac:dyDescent="0.25">
      <c r="A229" s="120">
        <f t="shared" si="112"/>
        <v>0</v>
      </c>
      <c r="B229" s="231"/>
      <c r="C229" s="231"/>
      <c r="D229" s="231"/>
      <c r="E229" s="231"/>
      <c r="F229" s="231"/>
      <c r="G229" s="231"/>
      <c r="H229" s="76"/>
      <c r="I229" s="232"/>
      <c r="J229" s="76">
        <f t="shared" si="113"/>
        <v>0</v>
      </c>
      <c r="K229" s="76"/>
      <c r="L229" s="76"/>
      <c r="M229" s="76"/>
      <c r="N229" s="76"/>
      <c r="O229" s="76"/>
      <c r="P229" s="76"/>
      <c r="Q229" s="76"/>
      <c r="R229" s="76"/>
      <c r="S229" s="76"/>
      <c r="U229" s="120">
        <f t="shared" si="114"/>
        <v>0</v>
      </c>
      <c r="X229" s="35"/>
      <c r="Y229" s="35"/>
      <c r="Z229" s="35"/>
    </row>
    <row r="230" spans="1:26" s="22" customFormat="1" hidden="1" outlineLevel="1" x14ac:dyDescent="0.25">
      <c r="A230" s="120">
        <f t="shared" si="112"/>
        <v>0</v>
      </c>
      <c r="B230" s="231"/>
      <c r="C230" s="231"/>
      <c r="D230" s="231"/>
      <c r="E230" s="231"/>
      <c r="F230" s="231"/>
      <c r="G230" s="231"/>
      <c r="H230" s="76"/>
      <c r="I230" s="232"/>
      <c r="J230" s="76">
        <f t="shared" si="113"/>
        <v>0</v>
      </c>
      <c r="K230" s="76"/>
      <c r="L230" s="76"/>
      <c r="M230" s="76"/>
      <c r="N230" s="76"/>
      <c r="O230" s="76"/>
      <c r="P230" s="76"/>
      <c r="Q230" s="76"/>
      <c r="R230" s="76"/>
      <c r="S230" s="76"/>
      <c r="U230" s="120">
        <f t="shared" si="114"/>
        <v>0</v>
      </c>
      <c r="X230" s="35"/>
      <c r="Y230" s="35"/>
      <c r="Z230" s="35"/>
    </row>
    <row r="231" spans="1:26" s="22" customFormat="1" hidden="1" outlineLevel="1" x14ac:dyDescent="0.25">
      <c r="A231" s="120">
        <f t="shared" si="112"/>
        <v>0</v>
      </c>
      <c r="B231" s="231"/>
      <c r="C231" s="231"/>
      <c r="D231" s="231"/>
      <c r="E231" s="231"/>
      <c r="F231" s="231"/>
      <c r="G231" s="231"/>
      <c r="H231" s="76"/>
      <c r="I231" s="232"/>
      <c r="J231" s="76">
        <f t="shared" si="113"/>
        <v>0</v>
      </c>
      <c r="K231" s="76"/>
      <c r="L231" s="76"/>
      <c r="M231" s="76"/>
      <c r="N231" s="76"/>
      <c r="O231" s="76"/>
      <c r="P231" s="76"/>
      <c r="Q231" s="76"/>
      <c r="R231" s="76"/>
      <c r="S231" s="76"/>
      <c r="U231" s="120">
        <f t="shared" si="114"/>
        <v>0</v>
      </c>
      <c r="V231" s="120" t="str">
        <f t="shared" ref="V231" si="117">$C231 &amp;":"&amp; $B231</f>
        <v>:</v>
      </c>
      <c r="X231" s="35"/>
      <c r="Y231" s="35"/>
      <c r="Z231" s="35"/>
    </row>
    <row r="232" spans="1:26" s="22" customFormat="1" hidden="1" outlineLevel="1" x14ac:dyDescent="0.25">
      <c r="A232" s="120">
        <f t="shared" si="112"/>
        <v>0</v>
      </c>
      <c r="B232" s="231"/>
      <c r="C232" s="231"/>
      <c r="D232" s="231"/>
      <c r="E232" s="231"/>
      <c r="F232" s="231"/>
      <c r="G232" s="231"/>
      <c r="H232" s="76"/>
      <c r="I232" s="232"/>
      <c r="J232" s="76">
        <f t="shared" si="113"/>
        <v>0</v>
      </c>
      <c r="K232" s="76"/>
      <c r="L232" s="76"/>
      <c r="M232" s="76"/>
      <c r="N232" s="76"/>
      <c r="O232" s="76"/>
      <c r="P232" s="76"/>
      <c r="Q232" s="76"/>
      <c r="R232" s="76"/>
      <c r="S232" s="76"/>
      <c r="U232" s="120">
        <f t="shared" si="114"/>
        <v>0</v>
      </c>
      <c r="X232" s="35"/>
      <c r="Y232" s="35"/>
      <c r="Z232" s="35"/>
    </row>
    <row r="233" spans="1:26" s="22" customFormat="1" hidden="1" outlineLevel="1" x14ac:dyDescent="0.25">
      <c r="A233" s="120">
        <f t="shared" si="112"/>
        <v>0</v>
      </c>
      <c r="B233" s="231"/>
      <c r="C233" s="231"/>
      <c r="D233" s="231"/>
      <c r="E233" s="231"/>
      <c r="F233" s="231"/>
      <c r="G233" s="231"/>
      <c r="H233" s="76"/>
      <c r="I233" s="232"/>
      <c r="J233" s="76">
        <f t="shared" si="113"/>
        <v>0</v>
      </c>
      <c r="K233" s="76"/>
      <c r="L233" s="76"/>
      <c r="M233" s="76"/>
      <c r="N233" s="76"/>
      <c r="O233" s="76"/>
      <c r="P233" s="76"/>
      <c r="Q233" s="76"/>
      <c r="R233" s="76"/>
      <c r="S233" s="76"/>
      <c r="U233" s="120">
        <f t="shared" si="114"/>
        <v>0</v>
      </c>
      <c r="X233" s="35"/>
      <c r="Y233" s="35"/>
      <c r="Z233" s="35"/>
    </row>
    <row r="234" spans="1:26" s="22" customFormat="1" hidden="1" outlineLevel="1" x14ac:dyDescent="0.25">
      <c r="A234" s="120">
        <f t="shared" si="112"/>
        <v>0</v>
      </c>
      <c r="B234" s="231"/>
      <c r="C234" s="231"/>
      <c r="D234" s="231"/>
      <c r="E234" s="231"/>
      <c r="F234" s="231"/>
      <c r="G234" s="231"/>
      <c r="H234" s="76"/>
      <c r="I234" s="232"/>
      <c r="J234" s="76">
        <f t="shared" si="113"/>
        <v>0</v>
      </c>
      <c r="K234" s="76"/>
      <c r="L234" s="76"/>
      <c r="M234" s="76"/>
      <c r="N234" s="76"/>
      <c r="O234" s="76"/>
      <c r="P234" s="76"/>
      <c r="Q234" s="76"/>
      <c r="R234" s="76"/>
      <c r="S234" s="232"/>
      <c r="U234" s="120">
        <f t="shared" si="114"/>
        <v>0</v>
      </c>
      <c r="X234" s="35"/>
      <c r="Y234" s="35"/>
      <c r="Z234" s="35"/>
    </row>
    <row r="235" spans="1:26" s="22" customFormat="1" hidden="1" outlineLevel="1" x14ac:dyDescent="0.25">
      <c r="A235" s="120">
        <f t="shared" si="112"/>
        <v>0</v>
      </c>
      <c r="B235" s="231"/>
      <c r="C235" s="231"/>
      <c r="D235" s="231"/>
      <c r="E235" s="231"/>
      <c r="F235" s="231"/>
      <c r="G235" s="231"/>
      <c r="H235" s="76"/>
      <c r="I235" s="232"/>
      <c r="J235" s="76">
        <f t="shared" si="113"/>
        <v>0</v>
      </c>
      <c r="K235" s="76"/>
      <c r="L235" s="76"/>
      <c r="M235" s="76"/>
      <c r="N235" s="76"/>
      <c r="O235" s="76"/>
      <c r="P235" s="76"/>
      <c r="Q235" s="76"/>
      <c r="R235" s="76"/>
      <c r="S235" s="76"/>
      <c r="U235" s="120">
        <f t="shared" si="114"/>
        <v>0</v>
      </c>
      <c r="X235" s="35"/>
      <c r="Y235" s="35"/>
      <c r="Z235" s="35"/>
    </row>
    <row r="236" spans="1:26" s="22" customFormat="1" hidden="1" outlineLevel="1" x14ac:dyDescent="0.25">
      <c r="A236" s="120">
        <f t="shared" si="112"/>
        <v>0</v>
      </c>
      <c r="B236" s="231"/>
      <c r="C236" s="231"/>
      <c r="D236" s="231"/>
      <c r="E236" s="231"/>
      <c r="F236" s="231"/>
      <c r="G236" s="231"/>
      <c r="H236" s="76"/>
      <c r="I236" s="232"/>
      <c r="J236" s="76">
        <f t="shared" si="113"/>
        <v>0</v>
      </c>
      <c r="K236" s="76"/>
      <c r="L236" s="76"/>
      <c r="M236" s="76"/>
      <c r="N236" s="76"/>
      <c r="O236" s="76"/>
      <c r="P236" s="76"/>
      <c r="Q236" s="76"/>
      <c r="R236" s="76"/>
      <c r="S236" s="76"/>
      <c r="U236" s="120">
        <f t="shared" si="114"/>
        <v>0</v>
      </c>
      <c r="X236" s="35"/>
      <c r="Y236" s="35"/>
      <c r="Z236" s="35"/>
    </row>
    <row r="237" spans="1:26" s="22" customFormat="1" hidden="1" outlineLevel="1" x14ac:dyDescent="0.25">
      <c r="A237" s="120">
        <f t="shared" si="112"/>
        <v>0</v>
      </c>
      <c r="B237" s="231"/>
      <c r="C237" s="231"/>
      <c r="D237" s="231"/>
      <c r="E237" s="231"/>
      <c r="F237" s="231"/>
      <c r="G237" s="231"/>
      <c r="H237" s="76"/>
      <c r="I237" s="232"/>
      <c r="J237" s="76">
        <f t="shared" si="113"/>
        <v>0</v>
      </c>
      <c r="K237" s="76"/>
      <c r="L237" s="76"/>
      <c r="M237" s="76"/>
      <c r="N237" s="76"/>
      <c r="O237" s="76"/>
      <c r="P237" s="76"/>
      <c r="Q237" s="76"/>
      <c r="R237" s="76"/>
      <c r="S237" s="76"/>
      <c r="U237" s="120">
        <f t="shared" si="114"/>
        <v>0</v>
      </c>
      <c r="X237" s="35"/>
      <c r="Y237" s="35"/>
      <c r="Z237" s="35"/>
    </row>
    <row r="238" spans="1:26" s="22" customFormat="1" hidden="1" outlineLevel="1" x14ac:dyDescent="0.25">
      <c r="A238" s="120">
        <f t="shared" si="112"/>
        <v>0</v>
      </c>
      <c r="B238" s="231"/>
      <c r="C238" s="231"/>
      <c r="D238" s="231"/>
      <c r="E238" s="231"/>
      <c r="F238" s="231"/>
      <c r="G238" s="231"/>
      <c r="H238" s="76"/>
      <c r="I238" s="232"/>
      <c r="J238" s="76">
        <f t="shared" si="113"/>
        <v>0</v>
      </c>
      <c r="K238" s="76"/>
      <c r="L238" s="76"/>
      <c r="M238" s="76"/>
      <c r="N238" s="76"/>
      <c r="O238" s="76"/>
      <c r="P238" s="76"/>
      <c r="Q238" s="76"/>
      <c r="R238" s="76"/>
      <c r="S238" s="76"/>
      <c r="U238" s="120">
        <f t="shared" si="114"/>
        <v>0</v>
      </c>
      <c r="X238" s="35"/>
      <c r="Y238" s="35"/>
      <c r="Z238" s="35"/>
    </row>
    <row r="239" spans="1:26" s="22" customFormat="1" hidden="1" outlineLevel="1" x14ac:dyDescent="0.25">
      <c r="A239" s="120">
        <f t="shared" si="112"/>
        <v>0</v>
      </c>
      <c r="B239" s="231"/>
      <c r="C239" s="231"/>
      <c r="D239" s="231"/>
      <c r="E239" s="231"/>
      <c r="F239" s="231"/>
      <c r="G239" s="231"/>
      <c r="H239" s="76"/>
      <c r="I239" s="232"/>
      <c r="J239" s="76">
        <f t="shared" si="113"/>
        <v>0</v>
      </c>
      <c r="K239" s="76"/>
      <c r="L239" s="76"/>
      <c r="M239" s="76"/>
      <c r="N239" s="76"/>
      <c r="O239" s="76"/>
      <c r="P239" s="76"/>
      <c r="Q239" s="76"/>
      <c r="R239" s="76"/>
      <c r="S239" s="76"/>
      <c r="U239" s="120">
        <f t="shared" si="114"/>
        <v>0</v>
      </c>
      <c r="X239" s="35"/>
      <c r="Y239" s="35"/>
      <c r="Z239" s="35"/>
    </row>
    <row r="240" spans="1:26" s="22" customFormat="1" hidden="1" outlineLevel="1" x14ac:dyDescent="0.25">
      <c r="A240" s="120">
        <f t="shared" si="112"/>
        <v>0</v>
      </c>
      <c r="B240" s="231"/>
      <c r="C240" s="231"/>
      <c r="D240" s="231"/>
      <c r="E240" s="231"/>
      <c r="F240" s="231"/>
      <c r="G240" s="231"/>
      <c r="H240" s="76"/>
      <c r="I240" s="232"/>
      <c r="J240" s="76">
        <f t="shared" si="113"/>
        <v>0</v>
      </c>
      <c r="K240" s="76"/>
      <c r="L240" s="76"/>
      <c r="M240" s="76"/>
      <c r="N240" s="76"/>
      <c r="O240" s="76"/>
      <c r="P240" s="76"/>
      <c r="Q240" s="76"/>
      <c r="R240" s="76"/>
      <c r="S240" s="76"/>
      <c r="U240" s="120">
        <f t="shared" si="114"/>
        <v>0</v>
      </c>
      <c r="X240" s="35"/>
      <c r="Y240" s="35"/>
      <c r="Z240" s="35"/>
    </row>
    <row r="241" spans="1:26" s="22" customFormat="1" hidden="1" outlineLevel="1" x14ac:dyDescent="0.25">
      <c r="A241" s="120">
        <f t="shared" si="112"/>
        <v>0</v>
      </c>
      <c r="B241" s="231"/>
      <c r="C241" s="231"/>
      <c r="D241" s="231"/>
      <c r="E241" s="231"/>
      <c r="F241" s="231"/>
      <c r="G241" s="231"/>
      <c r="H241" s="76"/>
      <c r="I241" s="232"/>
      <c r="J241" s="76">
        <f t="shared" si="113"/>
        <v>0</v>
      </c>
      <c r="K241" s="76"/>
      <c r="L241" s="76"/>
      <c r="M241" s="76"/>
      <c r="N241" s="76"/>
      <c r="O241" s="76"/>
      <c r="P241" s="76"/>
      <c r="Q241" s="76"/>
      <c r="R241" s="76"/>
      <c r="S241" s="76"/>
      <c r="U241" s="120">
        <f t="shared" si="114"/>
        <v>0</v>
      </c>
      <c r="X241" s="35"/>
      <c r="Y241" s="35"/>
      <c r="Z241" s="35"/>
    </row>
    <row r="242" spans="1:26" s="22" customFormat="1" hidden="1" outlineLevel="1" x14ac:dyDescent="0.25">
      <c r="A242" s="120">
        <f t="shared" si="112"/>
        <v>0</v>
      </c>
      <c r="B242" s="231"/>
      <c r="C242" s="231"/>
      <c r="D242" s="231"/>
      <c r="E242" s="231"/>
      <c r="F242" s="231"/>
      <c r="G242" s="231"/>
      <c r="H242" s="76"/>
      <c r="I242" s="232"/>
      <c r="J242" s="76">
        <f t="shared" si="113"/>
        <v>0</v>
      </c>
      <c r="K242" s="76"/>
      <c r="L242" s="76"/>
      <c r="M242" s="76"/>
      <c r="N242" s="76"/>
      <c r="O242" s="76"/>
      <c r="P242" s="76"/>
      <c r="Q242" s="76"/>
      <c r="R242" s="76"/>
      <c r="S242" s="76"/>
      <c r="U242" s="120">
        <f t="shared" si="114"/>
        <v>0</v>
      </c>
      <c r="X242" s="35"/>
      <c r="Y242" s="35"/>
      <c r="Z242" s="35"/>
    </row>
    <row r="243" spans="1:26" s="22" customFormat="1" hidden="1" outlineLevel="1" x14ac:dyDescent="0.25">
      <c r="A243" s="120">
        <f t="shared" si="112"/>
        <v>0</v>
      </c>
      <c r="B243" s="231"/>
      <c r="C243" s="231"/>
      <c r="D243" s="231"/>
      <c r="E243" s="231"/>
      <c r="F243" s="231"/>
      <c r="G243" s="231"/>
      <c r="H243" s="76"/>
      <c r="I243" s="232"/>
      <c r="J243" s="76">
        <f t="shared" si="113"/>
        <v>0</v>
      </c>
      <c r="K243" s="76"/>
      <c r="L243" s="76"/>
      <c r="M243" s="76"/>
      <c r="N243" s="76"/>
      <c r="O243" s="76"/>
      <c r="P243" s="76"/>
      <c r="Q243" s="76"/>
      <c r="R243" s="76"/>
      <c r="S243" s="76"/>
      <c r="U243" s="120">
        <f t="shared" si="114"/>
        <v>0</v>
      </c>
      <c r="X243" s="35"/>
      <c r="Y243" s="35"/>
      <c r="Z243" s="35"/>
    </row>
    <row r="244" spans="1:26" s="22" customFormat="1" hidden="1" outlineLevel="1" x14ac:dyDescent="0.25">
      <c r="A244" s="120">
        <f t="shared" si="112"/>
        <v>0</v>
      </c>
      <c r="B244" s="231"/>
      <c r="C244" s="231"/>
      <c r="D244" s="231"/>
      <c r="E244" s="231"/>
      <c r="F244" s="231"/>
      <c r="G244" s="231"/>
      <c r="H244" s="76"/>
      <c r="I244" s="232"/>
      <c r="J244" s="76">
        <f t="shared" si="113"/>
        <v>0</v>
      </c>
      <c r="K244" s="76"/>
      <c r="L244" s="76"/>
      <c r="M244" s="76"/>
      <c r="N244" s="76"/>
      <c r="O244" s="76"/>
      <c r="P244" s="76"/>
      <c r="Q244" s="76"/>
      <c r="R244" s="76"/>
      <c r="S244" s="76"/>
      <c r="U244" s="120">
        <f t="shared" si="114"/>
        <v>0</v>
      </c>
      <c r="X244" s="35"/>
      <c r="Y244" s="35"/>
      <c r="Z244" s="35"/>
    </row>
    <row r="245" spans="1:26" s="22" customFormat="1" hidden="1" outlineLevel="1" x14ac:dyDescent="0.25">
      <c r="A245" s="120">
        <f t="shared" si="112"/>
        <v>0</v>
      </c>
      <c r="B245" s="231"/>
      <c r="C245" s="231"/>
      <c r="D245" s="231"/>
      <c r="E245" s="231"/>
      <c r="F245" s="231"/>
      <c r="G245" s="231"/>
      <c r="H245" s="76"/>
      <c r="I245" s="232"/>
      <c r="J245" s="76">
        <f t="shared" si="113"/>
        <v>0</v>
      </c>
      <c r="K245" s="76"/>
      <c r="L245" s="76"/>
      <c r="M245" s="76"/>
      <c r="N245" s="76"/>
      <c r="O245" s="76"/>
      <c r="P245" s="76"/>
      <c r="Q245" s="76"/>
      <c r="R245" s="76"/>
      <c r="S245" s="76"/>
      <c r="U245" s="120">
        <f t="shared" si="114"/>
        <v>0</v>
      </c>
      <c r="X245" s="35"/>
      <c r="Y245" s="35"/>
      <c r="Z245" s="35"/>
    </row>
    <row r="246" spans="1:26" s="22" customFormat="1" hidden="1" outlineLevel="1" x14ac:dyDescent="0.25">
      <c r="A246" s="120">
        <f t="shared" si="112"/>
        <v>0</v>
      </c>
      <c r="B246" s="231"/>
      <c r="C246" s="231"/>
      <c r="D246" s="231"/>
      <c r="E246" s="231"/>
      <c r="F246" s="231"/>
      <c r="G246" s="231"/>
      <c r="H246" s="76"/>
      <c r="I246" s="232"/>
      <c r="J246" s="76">
        <f t="shared" si="113"/>
        <v>0</v>
      </c>
      <c r="K246" s="76"/>
      <c r="L246" s="76"/>
      <c r="M246" s="76"/>
      <c r="N246" s="76"/>
      <c r="O246" s="76"/>
      <c r="P246" s="76"/>
      <c r="Q246" s="76"/>
      <c r="R246" s="76"/>
      <c r="S246" s="76"/>
      <c r="U246" s="120">
        <f t="shared" si="114"/>
        <v>0</v>
      </c>
      <c r="X246" s="35"/>
      <c r="Y246" s="35"/>
      <c r="Z246" s="35"/>
    </row>
    <row r="247" spans="1:26" s="22" customFormat="1" hidden="1" outlineLevel="1" x14ac:dyDescent="0.25">
      <c r="A247" s="120">
        <f t="shared" si="112"/>
        <v>0</v>
      </c>
      <c r="B247" s="231"/>
      <c r="C247" s="231"/>
      <c r="D247" s="231"/>
      <c r="E247" s="231"/>
      <c r="F247" s="231"/>
      <c r="G247" s="231"/>
      <c r="H247" s="76"/>
      <c r="I247" s="232"/>
      <c r="J247" s="76">
        <f t="shared" si="113"/>
        <v>0</v>
      </c>
      <c r="K247" s="76"/>
      <c r="L247" s="76"/>
      <c r="M247" s="76"/>
      <c r="N247" s="76"/>
      <c r="O247" s="76"/>
      <c r="P247" s="76"/>
      <c r="Q247" s="76"/>
      <c r="R247" s="76"/>
      <c r="S247" s="76"/>
      <c r="U247" s="120">
        <f t="shared" si="114"/>
        <v>0</v>
      </c>
      <c r="X247" s="35"/>
      <c r="Y247" s="35"/>
      <c r="Z247" s="35"/>
    </row>
    <row r="248" spans="1:26" s="22" customFormat="1" hidden="1" outlineLevel="1" x14ac:dyDescent="0.25">
      <c r="A248" s="120">
        <f t="shared" si="112"/>
        <v>0</v>
      </c>
      <c r="B248" s="231"/>
      <c r="C248" s="231"/>
      <c r="D248" s="231"/>
      <c r="E248" s="231"/>
      <c r="F248" s="231"/>
      <c r="G248" s="231"/>
      <c r="H248" s="76"/>
      <c r="I248" s="232"/>
      <c r="J248" s="76">
        <f t="shared" ref="J248:J261" si="118">SUM(K248:S248)</f>
        <v>0</v>
      </c>
      <c r="K248" s="76"/>
      <c r="L248" s="76"/>
      <c r="M248" s="76"/>
      <c r="N248" s="76"/>
      <c r="O248" s="76"/>
      <c r="P248" s="76"/>
      <c r="Q248" s="76"/>
      <c r="R248" s="76"/>
      <c r="S248" s="76"/>
      <c r="U248" s="120">
        <f t="shared" si="114"/>
        <v>0</v>
      </c>
      <c r="X248" s="35"/>
      <c r="Y248" s="35"/>
      <c r="Z248" s="35"/>
    </row>
    <row r="249" spans="1:26" s="22" customFormat="1" hidden="1" outlineLevel="1" x14ac:dyDescent="0.25">
      <c r="A249" s="120">
        <f t="shared" si="112"/>
        <v>0</v>
      </c>
      <c r="B249" s="231"/>
      <c r="C249" s="231"/>
      <c r="D249" s="231"/>
      <c r="E249" s="231"/>
      <c r="F249" s="231"/>
      <c r="G249" s="231"/>
      <c r="H249" s="76"/>
      <c r="I249" s="232"/>
      <c r="J249" s="76">
        <f t="shared" si="118"/>
        <v>0</v>
      </c>
      <c r="K249" s="76"/>
      <c r="L249" s="76"/>
      <c r="M249" s="76"/>
      <c r="N249" s="76"/>
      <c r="O249" s="76"/>
      <c r="P249" s="76"/>
      <c r="Q249" s="76"/>
      <c r="R249" s="76"/>
      <c r="S249" s="76"/>
      <c r="U249" s="120">
        <f t="shared" si="114"/>
        <v>0</v>
      </c>
      <c r="X249" s="35"/>
      <c r="Y249" s="35"/>
      <c r="Z249" s="35"/>
    </row>
    <row r="250" spans="1:26" s="22" customFormat="1" hidden="1" outlineLevel="1" x14ac:dyDescent="0.25">
      <c r="A250" s="120">
        <f t="shared" si="112"/>
        <v>0</v>
      </c>
      <c r="B250" s="231"/>
      <c r="C250" s="231"/>
      <c r="D250" s="231"/>
      <c r="E250" s="231"/>
      <c r="F250" s="231"/>
      <c r="G250" s="231"/>
      <c r="H250" s="76"/>
      <c r="I250" s="232"/>
      <c r="J250" s="76">
        <f t="shared" si="118"/>
        <v>0</v>
      </c>
      <c r="K250" s="76"/>
      <c r="L250" s="76"/>
      <c r="M250" s="76"/>
      <c r="N250" s="76"/>
      <c r="O250" s="76"/>
      <c r="P250" s="76"/>
      <c r="Q250" s="76"/>
      <c r="R250" s="76"/>
      <c r="S250" s="76"/>
      <c r="U250" s="120">
        <f t="shared" si="114"/>
        <v>0</v>
      </c>
      <c r="X250" s="35"/>
      <c r="Y250" s="35"/>
      <c r="Z250" s="35"/>
    </row>
    <row r="251" spans="1:26" s="22" customFormat="1" hidden="1" outlineLevel="1" x14ac:dyDescent="0.25">
      <c r="A251" s="120">
        <f t="shared" si="112"/>
        <v>0</v>
      </c>
      <c r="B251" s="231"/>
      <c r="C251" s="231"/>
      <c r="D251" s="231"/>
      <c r="E251" s="231"/>
      <c r="F251" s="231"/>
      <c r="G251" s="231"/>
      <c r="H251" s="76"/>
      <c r="I251" s="232"/>
      <c r="J251" s="76">
        <f t="shared" si="118"/>
        <v>0</v>
      </c>
      <c r="K251" s="76"/>
      <c r="L251" s="76"/>
      <c r="M251" s="76"/>
      <c r="N251" s="76"/>
      <c r="O251" s="76"/>
      <c r="P251" s="76"/>
      <c r="Q251" s="76"/>
      <c r="R251" s="76"/>
      <c r="S251" s="76"/>
      <c r="U251" s="120">
        <f t="shared" si="114"/>
        <v>0</v>
      </c>
      <c r="X251" s="35"/>
      <c r="Y251" s="35"/>
      <c r="Z251" s="35"/>
    </row>
    <row r="252" spans="1:26" s="22" customFormat="1" hidden="1" outlineLevel="1" x14ac:dyDescent="0.25">
      <c r="A252" s="120">
        <f t="shared" si="112"/>
        <v>0</v>
      </c>
      <c r="B252" s="231"/>
      <c r="C252" s="231"/>
      <c r="D252" s="231"/>
      <c r="E252" s="231"/>
      <c r="F252" s="231"/>
      <c r="G252" s="231"/>
      <c r="H252" s="76"/>
      <c r="I252" s="232"/>
      <c r="J252" s="76">
        <f t="shared" si="118"/>
        <v>0</v>
      </c>
      <c r="K252" s="76"/>
      <c r="L252" s="76"/>
      <c r="M252" s="76"/>
      <c r="N252" s="76"/>
      <c r="O252" s="76"/>
      <c r="P252" s="76"/>
      <c r="Q252" s="76"/>
      <c r="R252" s="76"/>
      <c r="S252" s="76"/>
      <c r="U252" s="120">
        <f t="shared" si="114"/>
        <v>0</v>
      </c>
      <c r="X252" s="35"/>
      <c r="Y252" s="35"/>
      <c r="Z252" s="35"/>
    </row>
    <row r="253" spans="1:26" s="22" customFormat="1" hidden="1" outlineLevel="1" x14ac:dyDescent="0.25">
      <c r="A253" s="120">
        <f t="shared" si="112"/>
        <v>0</v>
      </c>
      <c r="B253" s="231"/>
      <c r="C253" s="231"/>
      <c r="D253" s="231"/>
      <c r="E253" s="231"/>
      <c r="F253" s="231"/>
      <c r="G253" s="231"/>
      <c r="H253" s="76"/>
      <c r="I253" s="232"/>
      <c r="J253" s="76">
        <f t="shared" si="118"/>
        <v>0</v>
      </c>
      <c r="K253" s="76"/>
      <c r="L253" s="76"/>
      <c r="M253" s="76"/>
      <c r="N253" s="76"/>
      <c r="O253" s="76"/>
      <c r="P253" s="76"/>
      <c r="Q253" s="76"/>
      <c r="R253" s="76"/>
      <c r="S253" s="76"/>
      <c r="U253" s="120">
        <f t="shared" si="114"/>
        <v>0</v>
      </c>
      <c r="X253" s="35"/>
      <c r="Y253" s="35"/>
      <c r="Z253" s="35"/>
    </row>
    <row r="254" spans="1:26" s="22" customFormat="1" hidden="1" outlineLevel="1" x14ac:dyDescent="0.25">
      <c r="A254" s="120">
        <f t="shared" si="112"/>
        <v>0</v>
      </c>
      <c r="B254" s="231"/>
      <c r="C254" s="231"/>
      <c r="D254" s="231"/>
      <c r="E254" s="231"/>
      <c r="F254" s="231"/>
      <c r="G254" s="231"/>
      <c r="H254" s="76"/>
      <c r="I254" s="232"/>
      <c r="J254" s="76">
        <f t="shared" si="118"/>
        <v>0</v>
      </c>
      <c r="K254" s="76"/>
      <c r="L254" s="76"/>
      <c r="M254" s="76"/>
      <c r="N254" s="76"/>
      <c r="O254" s="76"/>
      <c r="P254" s="76"/>
      <c r="Q254" s="76"/>
      <c r="R254" s="76"/>
      <c r="S254" s="76"/>
      <c r="U254" s="120">
        <f t="shared" si="114"/>
        <v>0</v>
      </c>
      <c r="X254" s="35"/>
      <c r="Y254" s="35"/>
      <c r="Z254" s="35"/>
    </row>
    <row r="255" spans="1:26" s="22" customFormat="1" hidden="1" outlineLevel="1" x14ac:dyDescent="0.25">
      <c r="A255" s="120">
        <f t="shared" si="112"/>
        <v>0</v>
      </c>
      <c r="B255" s="231"/>
      <c r="C255" s="231"/>
      <c r="D255" s="231"/>
      <c r="E255" s="231"/>
      <c r="F255" s="231"/>
      <c r="G255" s="231"/>
      <c r="H255" s="76"/>
      <c r="I255" s="232"/>
      <c r="J255" s="76">
        <f t="shared" si="118"/>
        <v>0</v>
      </c>
      <c r="K255" s="76"/>
      <c r="L255" s="76"/>
      <c r="M255" s="76"/>
      <c r="N255" s="76"/>
      <c r="O255" s="76"/>
      <c r="P255" s="76"/>
      <c r="Q255" s="76"/>
      <c r="R255" s="76"/>
      <c r="S255" s="76"/>
      <c r="U255" s="120">
        <f t="shared" si="114"/>
        <v>0</v>
      </c>
      <c r="X255" s="35"/>
      <c r="Y255" s="35"/>
      <c r="Z255" s="35"/>
    </row>
    <row r="256" spans="1:26" s="22" customFormat="1" hidden="1" outlineLevel="1" x14ac:dyDescent="0.25">
      <c r="A256" s="120">
        <f t="shared" si="112"/>
        <v>0</v>
      </c>
      <c r="B256" s="231"/>
      <c r="C256" s="231"/>
      <c r="D256" s="231"/>
      <c r="E256" s="231"/>
      <c r="F256" s="231"/>
      <c r="G256" s="231"/>
      <c r="H256" s="76"/>
      <c r="I256" s="232"/>
      <c r="J256" s="76">
        <f t="shared" si="118"/>
        <v>0</v>
      </c>
      <c r="K256" s="76"/>
      <c r="L256" s="76"/>
      <c r="M256" s="76"/>
      <c r="N256" s="76"/>
      <c r="O256" s="76"/>
      <c r="P256" s="76"/>
      <c r="Q256" s="76"/>
      <c r="R256" s="76"/>
      <c r="S256" s="76"/>
      <c r="U256" s="120">
        <f t="shared" si="114"/>
        <v>0</v>
      </c>
      <c r="X256" s="35"/>
      <c r="Y256" s="35"/>
      <c r="Z256" s="35"/>
    </row>
    <row r="257" spans="1:26" s="22" customFormat="1" hidden="1" outlineLevel="1" x14ac:dyDescent="0.25">
      <c r="A257" s="120">
        <f t="shared" si="112"/>
        <v>0</v>
      </c>
      <c r="B257" s="231"/>
      <c r="C257" s="231"/>
      <c r="D257" s="231"/>
      <c r="E257" s="231"/>
      <c r="F257" s="231"/>
      <c r="G257" s="231"/>
      <c r="H257" s="76"/>
      <c r="I257" s="232"/>
      <c r="J257" s="76">
        <f t="shared" si="118"/>
        <v>0</v>
      </c>
      <c r="K257" s="76"/>
      <c r="L257" s="76"/>
      <c r="M257" s="76"/>
      <c r="N257" s="76"/>
      <c r="O257" s="76"/>
      <c r="P257" s="76"/>
      <c r="Q257" s="76"/>
      <c r="R257" s="76"/>
      <c r="S257" s="76"/>
      <c r="U257" s="120">
        <f t="shared" si="114"/>
        <v>0</v>
      </c>
      <c r="X257" s="35"/>
      <c r="Y257" s="35"/>
      <c r="Z257" s="35"/>
    </row>
    <row r="258" spans="1:26" s="22" customFormat="1" hidden="1" outlineLevel="1" x14ac:dyDescent="0.25">
      <c r="A258" s="120">
        <f t="shared" si="112"/>
        <v>0</v>
      </c>
      <c r="B258" s="231"/>
      <c r="C258" s="231"/>
      <c r="D258" s="231"/>
      <c r="E258" s="231"/>
      <c r="F258" s="231"/>
      <c r="G258" s="231"/>
      <c r="H258" s="76"/>
      <c r="I258" s="232"/>
      <c r="J258" s="76">
        <f t="shared" si="118"/>
        <v>0</v>
      </c>
      <c r="K258" s="76"/>
      <c r="L258" s="76"/>
      <c r="M258" s="76"/>
      <c r="N258" s="76"/>
      <c r="O258" s="76"/>
      <c r="P258" s="76"/>
      <c r="Q258" s="76"/>
      <c r="R258" s="76"/>
      <c r="S258" s="76"/>
      <c r="U258" s="120">
        <f t="shared" si="114"/>
        <v>0</v>
      </c>
      <c r="X258" s="35"/>
      <c r="Y258" s="35"/>
      <c r="Z258" s="35"/>
    </row>
    <row r="259" spans="1:26" s="22" customFormat="1" hidden="1" outlineLevel="1" x14ac:dyDescent="0.25">
      <c r="A259" s="120">
        <f t="shared" si="112"/>
        <v>0</v>
      </c>
      <c r="B259" s="231"/>
      <c r="C259" s="231"/>
      <c r="D259" s="231"/>
      <c r="E259" s="231"/>
      <c r="F259" s="231"/>
      <c r="G259" s="231"/>
      <c r="H259" s="76"/>
      <c r="I259" s="232"/>
      <c r="J259" s="76">
        <f t="shared" si="118"/>
        <v>0</v>
      </c>
      <c r="K259" s="76"/>
      <c r="L259" s="76"/>
      <c r="M259" s="76"/>
      <c r="N259" s="76"/>
      <c r="O259" s="76"/>
      <c r="P259" s="76"/>
      <c r="Q259" s="76"/>
      <c r="R259" s="76"/>
      <c r="S259" s="76"/>
      <c r="U259" s="120">
        <f t="shared" si="114"/>
        <v>0</v>
      </c>
      <c r="X259" s="35"/>
      <c r="Y259" s="35"/>
      <c r="Z259" s="35"/>
    </row>
    <row r="260" spans="1:26" s="22" customFormat="1" hidden="1" outlineLevel="1" x14ac:dyDescent="0.25">
      <c r="A260" s="120">
        <f t="shared" si="112"/>
        <v>0</v>
      </c>
      <c r="B260" s="231"/>
      <c r="C260" s="231"/>
      <c r="D260" s="231"/>
      <c r="E260" s="231"/>
      <c r="F260" s="231"/>
      <c r="G260" s="231"/>
      <c r="H260" s="76"/>
      <c r="I260" s="232"/>
      <c r="J260" s="76">
        <f t="shared" si="118"/>
        <v>0</v>
      </c>
      <c r="K260" s="76"/>
      <c r="L260" s="76"/>
      <c r="M260" s="76"/>
      <c r="N260" s="76"/>
      <c r="O260" s="76"/>
      <c r="P260" s="76"/>
      <c r="Q260" s="76"/>
      <c r="R260" s="76"/>
      <c r="S260" s="76"/>
      <c r="U260" s="120">
        <f t="shared" si="114"/>
        <v>0</v>
      </c>
      <c r="X260" s="35"/>
      <c r="Y260" s="35"/>
      <c r="Z260" s="35"/>
    </row>
    <row r="261" spans="1:26" s="22" customFormat="1" hidden="1" x14ac:dyDescent="0.25">
      <c r="A261" s="120"/>
      <c r="B261" s="231"/>
      <c r="C261" s="231"/>
      <c r="D261" s="231"/>
      <c r="E261" s="231"/>
      <c r="F261" s="231"/>
      <c r="G261" s="231"/>
      <c r="H261" s="78"/>
      <c r="I261" s="232"/>
      <c r="J261" s="76">
        <f t="shared" si="118"/>
        <v>0</v>
      </c>
      <c r="K261" s="76"/>
      <c r="L261" s="76"/>
      <c r="M261" s="76"/>
      <c r="N261" s="76"/>
      <c r="O261" s="76"/>
      <c r="P261" s="76"/>
      <c r="Q261" s="76"/>
      <c r="R261" s="76"/>
      <c r="S261" s="76"/>
      <c r="U261" s="120">
        <f t="shared" si="114"/>
        <v>0</v>
      </c>
      <c r="X261" s="35"/>
      <c r="Y261" s="35"/>
      <c r="Z261" s="35"/>
    </row>
    <row r="262" spans="1:26" s="35" customFormat="1" x14ac:dyDescent="0.25">
      <c r="A262" s="131" t="s">
        <v>509</v>
      </c>
      <c r="B262" s="235"/>
      <c r="C262" s="264" t="str">
        <f>EmpID</f>
        <v>ANK</v>
      </c>
      <c r="D262" s="235"/>
      <c r="E262" s="235"/>
      <c r="F262" s="346"/>
      <c r="G262" s="235"/>
      <c r="H262" s="235"/>
      <c r="I262" s="132"/>
      <c r="J262" s="132">
        <f ca="1">SUM(R262:S262)</f>
        <v>0</v>
      </c>
      <c r="K262" s="132"/>
      <c r="L262" s="132"/>
      <c r="M262" s="132">
        <f ca="1">M19-SUMIF(payEmpPay,EmpID,M152:M261)</f>
        <v>2948.57</v>
      </c>
      <c r="N262" s="132">
        <f ca="1">N19-SUMIF(payEmpPay,EmpID,N152:N261)</f>
        <v>0</v>
      </c>
      <c r="O262" s="132"/>
      <c r="P262" s="132"/>
      <c r="Q262" s="132"/>
      <c r="R262" s="132">
        <f ca="1">R19-SUMIF(payEmpPay,EmpID,R152:R261)</f>
        <v>0</v>
      </c>
      <c r="S262" s="132">
        <f ca="1">S19-SUMIF(payEmpPay,EmpID,S152:S261)</f>
        <v>0</v>
      </c>
    </row>
    <row r="263" spans="1:26" hidden="1" x14ac:dyDescent="0.25">
      <c r="F263"/>
    </row>
    <row r="264" spans="1:26" ht="22.8" x14ac:dyDescent="0.4">
      <c r="A264" s="254"/>
      <c r="B264" s="255"/>
      <c r="C264" s="256" t="str">
        <f>EmpID</f>
        <v>ANK</v>
      </c>
      <c r="D264" s="255"/>
      <c r="E264" s="219"/>
      <c r="F264" s="145"/>
      <c r="G264" s="255"/>
      <c r="H264" s="219"/>
      <c r="I264" s="66"/>
      <c r="J264" s="221" t="s">
        <v>510</v>
      </c>
      <c r="K264" s="66"/>
      <c r="L264" s="66"/>
      <c r="M264" s="66"/>
      <c r="N264" s="66"/>
      <c r="O264" s="66"/>
      <c r="P264" s="66"/>
      <c r="Q264" s="66"/>
      <c r="R264" s="66"/>
      <c r="S264" s="66"/>
      <c r="U264" s="66" t="s">
        <v>465</v>
      </c>
      <c r="V264" s="66" t="s">
        <v>31</v>
      </c>
      <c r="X264" s="224"/>
      <c r="Y264" s="224"/>
      <c r="Z264" s="224"/>
    </row>
    <row r="265" spans="1:26" s="224" customFormat="1" ht="13.8" thickBot="1" x14ac:dyDescent="0.3">
      <c r="A265" s="222"/>
      <c r="B265" s="156"/>
      <c r="C265" s="263" t="str">
        <f>EmpID</f>
        <v>ANK</v>
      </c>
      <c r="D265" s="156"/>
      <c r="E265" s="156" t="s">
        <v>511</v>
      </c>
      <c r="F265" s="380"/>
      <c r="G265" s="156"/>
      <c r="H265" s="156" t="s">
        <v>512</v>
      </c>
      <c r="I265" s="156" t="s">
        <v>460</v>
      </c>
      <c r="J265" s="156" t="s">
        <v>513</v>
      </c>
      <c r="K265" s="156"/>
      <c r="L265" s="156" t="s">
        <v>452</v>
      </c>
      <c r="M265" s="156"/>
      <c r="N265" s="156" t="s">
        <v>454</v>
      </c>
      <c r="O265" s="156" t="s">
        <v>515</v>
      </c>
      <c r="P265" s="156"/>
      <c r="Q265" s="156" t="s">
        <v>516</v>
      </c>
      <c r="R265" s="156" t="s">
        <v>517</v>
      </c>
      <c r="S265" s="156" t="s">
        <v>460</v>
      </c>
      <c r="U265" s="156" t="s">
        <v>508</v>
      </c>
      <c r="V265" s="156" t="s">
        <v>95</v>
      </c>
      <c r="X265" s="22"/>
      <c r="Y265" s="22"/>
      <c r="Z265" s="22"/>
    </row>
    <row r="266" spans="1:26" s="22" customFormat="1" hidden="1" x14ac:dyDescent="0.25">
      <c r="A266" s="120">
        <f t="shared" ref="A266:A341" si="119">GETPAYMONTH(B266)</f>
        <v>0</v>
      </c>
      <c r="B266" s="231"/>
      <c r="C266" s="231"/>
      <c r="D266" s="76"/>
      <c r="E266" s="231"/>
      <c r="F266" s="231"/>
      <c r="G266" s="231"/>
      <c r="H266" s="76"/>
      <c r="I266" s="232"/>
      <c r="J266" s="76"/>
      <c r="K266" s="76"/>
      <c r="L266" s="76">
        <f t="shared" ref="L266:L341" si="120">ROUND($I266/11*10,2)</f>
        <v>0</v>
      </c>
      <c r="M266" s="76"/>
      <c r="N266" s="76"/>
      <c r="O266" s="76"/>
      <c r="P266" s="76"/>
      <c r="Q266" s="76"/>
      <c r="R266" s="76">
        <f t="shared" ref="R266:R297" si="121">SUM($K266:$L266)</f>
        <v>0</v>
      </c>
      <c r="S266" s="76">
        <f t="shared" ref="S266:S297" si="122">SUM(K266:L266)+O266+Q266</f>
        <v>0</v>
      </c>
      <c r="T266" s="129"/>
      <c r="U266" s="120" t="str">
        <f t="shared" ref="U266:U297" si="123">C266 &amp;":"&amp; B266</f>
        <v>:</v>
      </c>
      <c r="V266" s="265" t="e">
        <f t="shared" ref="V266:V297" si="124">DATE(YEAR(B266+1),MONTH(B266+1),VLOOKUP(C266,payEmpNames,4))</f>
        <v>#N/A</v>
      </c>
    </row>
    <row r="267" spans="1:26" s="22" customFormat="1" hidden="1" outlineLevel="1" x14ac:dyDescent="0.25">
      <c r="A267" s="120">
        <f t="shared" ref="A267:A278" si="125">GETPAYMONTH(B267)</f>
        <v>1</v>
      </c>
      <c r="B267" s="392">
        <v>43646</v>
      </c>
      <c r="C267" s="231" t="s">
        <v>55</v>
      </c>
      <c r="D267" s="76"/>
      <c r="E267" s="231"/>
      <c r="F267" s="231"/>
      <c r="G267" s="231"/>
      <c r="H267" s="76"/>
      <c r="I267" s="232">
        <v>1100</v>
      </c>
      <c r="J267" s="76"/>
      <c r="K267" s="76"/>
      <c r="L267" s="76">
        <f t="shared" si="120"/>
        <v>1000</v>
      </c>
      <c r="M267" s="76"/>
      <c r="N267" s="76"/>
      <c r="O267" s="76"/>
      <c r="P267" s="76"/>
      <c r="Q267" s="76">
        <f>H267+I267-L267</f>
        <v>100</v>
      </c>
      <c r="R267" s="76">
        <f t="shared" si="121"/>
        <v>1000</v>
      </c>
      <c r="S267" s="76">
        <f t="shared" si="122"/>
        <v>1100</v>
      </c>
      <c r="T267" s="129"/>
      <c r="U267" s="120" t="str">
        <f t="shared" si="123"/>
        <v>MAM:43646</v>
      </c>
      <c r="V267" s="265">
        <f t="shared" si="124"/>
        <v>43667</v>
      </c>
    </row>
    <row r="268" spans="1:26" s="22" customFormat="1" hidden="1" outlineLevel="1" x14ac:dyDescent="0.25">
      <c r="A268" s="120">
        <f t="shared" si="125"/>
        <v>2</v>
      </c>
      <c r="B268" s="392">
        <v>43677</v>
      </c>
      <c r="C268" s="231" t="s">
        <v>55</v>
      </c>
      <c r="D268" s="76"/>
      <c r="E268" s="231"/>
      <c r="F268" s="231"/>
      <c r="G268" s="231"/>
      <c r="H268" s="76"/>
      <c r="I268" s="232">
        <v>1100</v>
      </c>
      <c r="J268" s="76"/>
      <c r="K268" s="76"/>
      <c r="L268" s="76">
        <f t="shared" si="120"/>
        <v>1000</v>
      </c>
      <c r="M268" s="76"/>
      <c r="N268" s="76"/>
      <c r="O268" s="76"/>
      <c r="P268" s="76"/>
      <c r="Q268" s="76">
        <f t="shared" ref="Q268:Q331" si="126">H268+I268-L268</f>
        <v>100</v>
      </c>
      <c r="R268" s="76">
        <f t="shared" si="121"/>
        <v>1000</v>
      </c>
      <c r="S268" s="76">
        <f t="shared" si="122"/>
        <v>1100</v>
      </c>
      <c r="T268" s="129"/>
      <c r="U268" s="120" t="str">
        <f t="shared" si="123"/>
        <v>MAM:43677</v>
      </c>
      <c r="V268" s="265">
        <f t="shared" si="124"/>
        <v>43698</v>
      </c>
    </row>
    <row r="269" spans="1:26" s="22" customFormat="1" hidden="1" outlineLevel="1" x14ac:dyDescent="0.25">
      <c r="A269" s="120">
        <f t="shared" si="125"/>
        <v>3</v>
      </c>
      <c r="B269" s="392">
        <v>43708</v>
      </c>
      <c r="C269" s="231" t="s">
        <v>55</v>
      </c>
      <c r="D269" s="76"/>
      <c r="E269" s="231"/>
      <c r="F269" s="231"/>
      <c r="G269" s="231"/>
      <c r="H269" s="76"/>
      <c r="I269" s="232">
        <v>1100</v>
      </c>
      <c r="J269" s="76"/>
      <c r="K269" s="76"/>
      <c r="L269" s="76">
        <f t="shared" si="120"/>
        <v>1000</v>
      </c>
      <c r="M269" s="76"/>
      <c r="N269" s="76"/>
      <c r="O269" s="76"/>
      <c r="P269" s="76"/>
      <c r="Q269" s="76">
        <f t="shared" si="126"/>
        <v>100</v>
      </c>
      <c r="R269" s="76">
        <f t="shared" si="121"/>
        <v>1000</v>
      </c>
      <c r="S269" s="76">
        <f t="shared" si="122"/>
        <v>1100</v>
      </c>
      <c r="T269" s="129"/>
      <c r="U269" s="120" t="str">
        <f t="shared" si="123"/>
        <v>MAM:43708</v>
      </c>
      <c r="V269" s="265">
        <f t="shared" si="124"/>
        <v>43729</v>
      </c>
    </row>
    <row r="270" spans="1:26" s="22" customFormat="1" hidden="1" outlineLevel="1" x14ac:dyDescent="0.25">
      <c r="A270" s="120">
        <f t="shared" si="125"/>
        <v>4</v>
      </c>
      <c r="B270" s="392">
        <v>43738</v>
      </c>
      <c r="C270" s="231" t="s">
        <v>55</v>
      </c>
      <c r="D270" s="76"/>
      <c r="E270" s="231"/>
      <c r="F270" s="231"/>
      <c r="G270" s="231"/>
      <c r="H270" s="76"/>
      <c r="I270" s="232">
        <v>1100</v>
      </c>
      <c r="J270" s="76"/>
      <c r="K270" s="76"/>
      <c r="L270" s="76">
        <f t="shared" si="120"/>
        <v>1000</v>
      </c>
      <c r="M270" s="76"/>
      <c r="N270" s="76"/>
      <c r="O270" s="76"/>
      <c r="P270" s="76"/>
      <c r="Q270" s="76">
        <f t="shared" si="126"/>
        <v>100</v>
      </c>
      <c r="R270" s="76">
        <f t="shared" si="121"/>
        <v>1000</v>
      </c>
      <c r="S270" s="76">
        <f t="shared" si="122"/>
        <v>1100</v>
      </c>
      <c r="T270" s="129"/>
      <c r="U270" s="120" t="str">
        <f t="shared" si="123"/>
        <v>MAM:43738</v>
      </c>
      <c r="V270" s="265">
        <f t="shared" si="124"/>
        <v>43759</v>
      </c>
    </row>
    <row r="271" spans="1:26" s="22" customFormat="1" hidden="1" outlineLevel="1" x14ac:dyDescent="0.25">
      <c r="A271" s="120">
        <f t="shared" si="125"/>
        <v>5</v>
      </c>
      <c r="B271" s="392">
        <v>43769</v>
      </c>
      <c r="C271" s="231" t="s">
        <v>55</v>
      </c>
      <c r="D271" s="76"/>
      <c r="E271" s="231"/>
      <c r="F271" s="231"/>
      <c r="G271" s="231"/>
      <c r="H271" s="76"/>
      <c r="I271" s="232">
        <v>1100</v>
      </c>
      <c r="J271" s="76"/>
      <c r="K271" s="76"/>
      <c r="L271" s="76">
        <f t="shared" si="120"/>
        <v>1000</v>
      </c>
      <c r="M271" s="76"/>
      <c r="N271" s="76"/>
      <c r="O271" s="76"/>
      <c r="P271" s="76"/>
      <c r="Q271" s="76">
        <f t="shared" si="126"/>
        <v>100</v>
      </c>
      <c r="R271" s="76">
        <f t="shared" si="121"/>
        <v>1000</v>
      </c>
      <c r="S271" s="76">
        <f t="shared" si="122"/>
        <v>1100</v>
      </c>
      <c r="T271" s="129"/>
      <c r="U271" s="120" t="str">
        <f t="shared" si="123"/>
        <v>MAM:43769</v>
      </c>
      <c r="V271" s="265">
        <f t="shared" si="124"/>
        <v>43790</v>
      </c>
    </row>
    <row r="272" spans="1:26" s="22" customFormat="1" hidden="1" outlineLevel="1" x14ac:dyDescent="0.25">
      <c r="A272" s="120">
        <f t="shared" si="125"/>
        <v>6</v>
      </c>
      <c r="B272" s="392">
        <v>43799</v>
      </c>
      <c r="C272" s="231" t="s">
        <v>55</v>
      </c>
      <c r="D272" s="76"/>
      <c r="E272" s="231"/>
      <c r="F272" s="231"/>
      <c r="G272" s="231"/>
      <c r="H272" s="76"/>
      <c r="I272" s="232">
        <v>1100</v>
      </c>
      <c r="J272" s="76"/>
      <c r="K272" s="76"/>
      <c r="L272" s="76">
        <f t="shared" si="120"/>
        <v>1000</v>
      </c>
      <c r="M272" s="76"/>
      <c r="N272" s="76"/>
      <c r="O272" s="76"/>
      <c r="P272" s="76"/>
      <c r="Q272" s="76">
        <f t="shared" si="126"/>
        <v>100</v>
      </c>
      <c r="R272" s="76">
        <f t="shared" si="121"/>
        <v>1000</v>
      </c>
      <c r="S272" s="76">
        <f t="shared" si="122"/>
        <v>1100</v>
      </c>
      <c r="T272" s="129"/>
      <c r="U272" s="120" t="str">
        <f t="shared" si="123"/>
        <v>MAM:43799</v>
      </c>
      <c r="V272" s="265">
        <f t="shared" si="124"/>
        <v>43820</v>
      </c>
    </row>
    <row r="273" spans="1:26" s="22" customFormat="1" hidden="1" outlineLevel="1" x14ac:dyDescent="0.25">
      <c r="A273" s="120">
        <f t="shared" si="125"/>
        <v>7</v>
      </c>
      <c r="B273" s="392">
        <v>43830</v>
      </c>
      <c r="C273" s="231" t="s">
        <v>55</v>
      </c>
      <c r="D273" s="76"/>
      <c r="E273" s="231"/>
      <c r="F273" s="231"/>
      <c r="G273" s="231"/>
      <c r="H273" s="76"/>
      <c r="I273" s="232">
        <v>1100</v>
      </c>
      <c r="J273" s="76"/>
      <c r="K273" s="76"/>
      <c r="L273" s="76">
        <f t="shared" si="120"/>
        <v>1000</v>
      </c>
      <c r="M273" s="76"/>
      <c r="N273" s="76"/>
      <c r="O273" s="76"/>
      <c r="P273" s="76"/>
      <c r="Q273" s="76">
        <f t="shared" si="126"/>
        <v>100</v>
      </c>
      <c r="R273" s="76">
        <f t="shared" si="121"/>
        <v>1000</v>
      </c>
      <c r="S273" s="76">
        <f t="shared" si="122"/>
        <v>1100</v>
      </c>
      <c r="T273" s="129"/>
      <c r="U273" s="120" t="str">
        <f t="shared" si="123"/>
        <v>MAM:43830</v>
      </c>
      <c r="V273" s="265">
        <f t="shared" si="124"/>
        <v>43851</v>
      </c>
    </row>
    <row r="274" spans="1:26" s="22" customFormat="1" hidden="1" outlineLevel="1" x14ac:dyDescent="0.25">
      <c r="A274" s="120">
        <f t="shared" si="125"/>
        <v>8</v>
      </c>
      <c r="B274" s="392">
        <v>43861</v>
      </c>
      <c r="C274" s="231" t="s">
        <v>55</v>
      </c>
      <c r="D274" s="76"/>
      <c r="E274" s="231"/>
      <c r="F274" s="231"/>
      <c r="G274" s="231"/>
      <c r="H274" s="76"/>
      <c r="I274" s="232">
        <v>1100</v>
      </c>
      <c r="J274" s="76"/>
      <c r="K274" s="76"/>
      <c r="L274" s="76">
        <f t="shared" si="120"/>
        <v>1000</v>
      </c>
      <c r="M274" s="76"/>
      <c r="N274" s="76"/>
      <c r="O274" s="76"/>
      <c r="P274" s="76"/>
      <c r="Q274" s="76">
        <f t="shared" si="126"/>
        <v>100</v>
      </c>
      <c r="R274" s="76">
        <f t="shared" si="121"/>
        <v>1000</v>
      </c>
      <c r="S274" s="76">
        <f t="shared" si="122"/>
        <v>1100</v>
      </c>
      <c r="T274" s="129"/>
      <c r="U274" s="120" t="str">
        <f t="shared" si="123"/>
        <v>MAM:43861</v>
      </c>
      <c r="V274" s="265">
        <f t="shared" si="124"/>
        <v>43882</v>
      </c>
    </row>
    <row r="275" spans="1:26" s="22" customFormat="1" hidden="1" outlineLevel="1" x14ac:dyDescent="0.25">
      <c r="A275" s="120">
        <f t="shared" si="125"/>
        <v>9</v>
      </c>
      <c r="B275" s="392">
        <v>43889</v>
      </c>
      <c r="C275" s="231" t="s">
        <v>55</v>
      </c>
      <c r="D275" s="76"/>
      <c r="E275" s="231"/>
      <c r="F275" s="231"/>
      <c r="G275" s="231"/>
      <c r="H275" s="76"/>
      <c r="I275" s="232">
        <v>1100</v>
      </c>
      <c r="J275" s="76"/>
      <c r="K275" s="76"/>
      <c r="L275" s="76">
        <f t="shared" si="120"/>
        <v>1000</v>
      </c>
      <c r="M275" s="76"/>
      <c r="N275" s="76"/>
      <c r="O275" s="76"/>
      <c r="P275" s="76"/>
      <c r="Q275" s="76">
        <f t="shared" si="126"/>
        <v>100</v>
      </c>
      <c r="R275" s="76">
        <f t="shared" si="121"/>
        <v>1000</v>
      </c>
      <c r="S275" s="76">
        <f t="shared" si="122"/>
        <v>1100</v>
      </c>
      <c r="T275" s="129"/>
      <c r="U275" s="120" t="str">
        <f t="shared" si="123"/>
        <v>MAM:43889</v>
      </c>
      <c r="V275" s="265">
        <f t="shared" si="124"/>
        <v>43882</v>
      </c>
    </row>
    <row r="276" spans="1:26" s="22" customFormat="1" hidden="1" outlineLevel="1" x14ac:dyDescent="0.25">
      <c r="A276" s="120">
        <f t="shared" si="125"/>
        <v>10</v>
      </c>
      <c r="B276" s="392">
        <v>43921</v>
      </c>
      <c r="C276" s="231" t="s">
        <v>55</v>
      </c>
      <c r="D276" s="76"/>
      <c r="E276" s="231"/>
      <c r="F276" s="231"/>
      <c r="G276" s="231"/>
      <c r="H276" s="76"/>
      <c r="I276" s="232">
        <v>1100</v>
      </c>
      <c r="J276" s="76"/>
      <c r="K276" s="76"/>
      <c r="L276" s="76">
        <f t="shared" si="120"/>
        <v>1000</v>
      </c>
      <c r="M276" s="76"/>
      <c r="N276" s="76"/>
      <c r="O276" s="76"/>
      <c r="P276" s="76"/>
      <c r="Q276" s="76">
        <f t="shared" si="126"/>
        <v>100</v>
      </c>
      <c r="R276" s="76">
        <f t="shared" si="121"/>
        <v>1000</v>
      </c>
      <c r="S276" s="76">
        <f t="shared" si="122"/>
        <v>1100</v>
      </c>
      <c r="T276" s="129"/>
      <c r="U276" s="120" t="str">
        <f t="shared" si="123"/>
        <v>MAM:43921</v>
      </c>
      <c r="V276" s="265">
        <f t="shared" si="124"/>
        <v>43942</v>
      </c>
    </row>
    <row r="277" spans="1:26" s="22" customFormat="1" hidden="1" outlineLevel="1" x14ac:dyDescent="0.25">
      <c r="A277" s="120">
        <f t="shared" si="125"/>
        <v>11</v>
      </c>
      <c r="B277" s="392">
        <v>43951</v>
      </c>
      <c r="C277" s="231" t="s">
        <v>55</v>
      </c>
      <c r="D277" s="76"/>
      <c r="E277" s="231"/>
      <c r="F277" s="231"/>
      <c r="G277" s="231"/>
      <c r="H277" s="76"/>
      <c r="I277" s="232">
        <v>1100</v>
      </c>
      <c r="J277" s="76"/>
      <c r="K277" s="76"/>
      <c r="L277" s="76">
        <f t="shared" si="120"/>
        <v>1000</v>
      </c>
      <c r="M277" s="76"/>
      <c r="N277" s="76"/>
      <c r="O277" s="76"/>
      <c r="P277" s="76"/>
      <c r="Q277" s="76">
        <f t="shared" si="126"/>
        <v>100</v>
      </c>
      <c r="R277" s="76">
        <f t="shared" si="121"/>
        <v>1000</v>
      </c>
      <c r="S277" s="76">
        <f t="shared" si="122"/>
        <v>1100</v>
      </c>
      <c r="T277" s="129"/>
      <c r="U277" s="120" t="str">
        <f t="shared" si="123"/>
        <v>MAM:43951</v>
      </c>
      <c r="V277" s="265">
        <f t="shared" si="124"/>
        <v>43972</v>
      </c>
    </row>
    <row r="278" spans="1:26" s="22" customFormat="1" hidden="1" outlineLevel="1" x14ac:dyDescent="0.25">
      <c r="A278" s="120">
        <f t="shared" si="125"/>
        <v>12</v>
      </c>
      <c r="B278" s="392">
        <v>43982</v>
      </c>
      <c r="C278" s="231" t="s">
        <v>55</v>
      </c>
      <c r="D278" s="76"/>
      <c r="E278" s="231"/>
      <c r="F278" s="231"/>
      <c r="G278" s="231"/>
      <c r="H278" s="76"/>
      <c r="I278" s="232">
        <v>1100</v>
      </c>
      <c r="J278" s="76"/>
      <c r="K278" s="76"/>
      <c r="L278" s="76">
        <f t="shared" si="120"/>
        <v>1000</v>
      </c>
      <c r="M278" s="76"/>
      <c r="N278" s="76"/>
      <c r="O278" s="76"/>
      <c r="P278" s="76"/>
      <c r="Q278" s="76">
        <f t="shared" si="126"/>
        <v>100</v>
      </c>
      <c r="R278" s="76">
        <f t="shared" si="121"/>
        <v>1000</v>
      </c>
      <c r="S278" s="76">
        <f t="shared" si="122"/>
        <v>1100</v>
      </c>
      <c r="T278" s="129"/>
      <c r="U278" s="120" t="str">
        <f t="shared" si="123"/>
        <v>MAM:43982</v>
      </c>
      <c r="V278" s="265">
        <f t="shared" si="124"/>
        <v>44003</v>
      </c>
      <c r="X278" s="35"/>
      <c r="Y278" s="35"/>
      <c r="Z278" s="35"/>
    </row>
    <row r="279" spans="1:26" s="22" customFormat="1" hidden="1" outlineLevel="1" x14ac:dyDescent="0.25">
      <c r="A279" s="120">
        <f t="shared" si="119"/>
        <v>1</v>
      </c>
      <c r="B279" s="392">
        <v>43646</v>
      </c>
      <c r="C279" s="231" t="s">
        <v>57</v>
      </c>
      <c r="D279" s="76"/>
      <c r="E279" s="231"/>
      <c r="F279" s="231"/>
      <c r="G279" s="231"/>
      <c r="H279" s="76"/>
      <c r="I279" s="232">
        <v>2994</v>
      </c>
      <c r="J279" s="76"/>
      <c r="K279" s="76"/>
      <c r="L279" s="76">
        <f t="shared" si="120"/>
        <v>2721.82</v>
      </c>
      <c r="M279" s="76"/>
      <c r="N279" s="76"/>
      <c r="O279" s="76"/>
      <c r="P279" s="76"/>
      <c r="Q279" s="76">
        <f t="shared" si="126"/>
        <v>272.17999999999984</v>
      </c>
      <c r="R279" s="76">
        <f t="shared" si="121"/>
        <v>2721.82</v>
      </c>
      <c r="S279" s="76">
        <f t="shared" si="122"/>
        <v>2994</v>
      </c>
      <c r="T279" s="129"/>
      <c r="U279" s="120" t="str">
        <f t="shared" si="123"/>
        <v>CRP:43646</v>
      </c>
      <c r="V279" s="265">
        <f t="shared" si="124"/>
        <v>43667</v>
      </c>
    </row>
    <row r="280" spans="1:26" s="22" customFormat="1" hidden="1" outlineLevel="1" x14ac:dyDescent="0.25">
      <c r="A280" s="120">
        <f t="shared" si="119"/>
        <v>2</v>
      </c>
      <c r="B280" s="392">
        <v>43677</v>
      </c>
      <c r="C280" s="231" t="s">
        <v>57</v>
      </c>
      <c r="D280" s="76"/>
      <c r="E280" s="231"/>
      <c r="F280" s="231"/>
      <c r="G280" s="231"/>
      <c r="H280" s="76"/>
      <c r="I280" s="232">
        <v>1005</v>
      </c>
      <c r="J280" s="76"/>
      <c r="K280" s="76"/>
      <c r="L280" s="76">
        <f t="shared" si="120"/>
        <v>913.64</v>
      </c>
      <c r="M280" s="76"/>
      <c r="N280" s="76"/>
      <c r="O280" s="76"/>
      <c r="P280" s="76"/>
      <c r="Q280" s="76">
        <f t="shared" si="126"/>
        <v>91.360000000000014</v>
      </c>
      <c r="R280" s="76">
        <f t="shared" si="121"/>
        <v>913.64</v>
      </c>
      <c r="S280" s="76">
        <f t="shared" si="122"/>
        <v>1005</v>
      </c>
      <c r="T280" s="129"/>
      <c r="U280" s="120" t="str">
        <f t="shared" si="123"/>
        <v>CRP:43677</v>
      </c>
      <c r="V280" s="265">
        <f t="shared" si="124"/>
        <v>43698</v>
      </c>
    </row>
    <row r="281" spans="1:26" s="22" customFormat="1" hidden="1" outlineLevel="1" x14ac:dyDescent="0.25">
      <c r="A281" s="120">
        <f t="shared" si="119"/>
        <v>3</v>
      </c>
      <c r="B281" s="392">
        <v>43708</v>
      </c>
      <c r="C281" s="231" t="s">
        <v>57</v>
      </c>
      <c r="D281" s="76"/>
      <c r="E281" s="231"/>
      <c r="F281" s="231"/>
      <c r="G281" s="231"/>
      <c r="H281" s="76"/>
      <c r="I281" s="232">
        <v>5481</v>
      </c>
      <c r="J281" s="76"/>
      <c r="K281" s="76"/>
      <c r="L281" s="76">
        <f t="shared" si="120"/>
        <v>4982.7299999999996</v>
      </c>
      <c r="M281" s="76"/>
      <c r="N281" s="76"/>
      <c r="O281" s="76"/>
      <c r="P281" s="76"/>
      <c r="Q281" s="76">
        <f t="shared" si="126"/>
        <v>498.27000000000044</v>
      </c>
      <c r="R281" s="76">
        <f t="shared" si="121"/>
        <v>4982.7299999999996</v>
      </c>
      <c r="S281" s="76">
        <f t="shared" si="122"/>
        <v>5481</v>
      </c>
      <c r="T281" s="129"/>
      <c r="U281" s="120" t="str">
        <f t="shared" si="123"/>
        <v>CRP:43708</v>
      </c>
      <c r="V281" s="265">
        <f t="shared" si="124"/>
        <v>43729</v>
      </c>
    </row>
    <row r="282" spans="1:26" s="22" customFormat="1" hidden="1" outlineLevel="1" x14ac:dyDescent="0.25">
      <c r="A282" s="120">
        <f t="shared" si="119"/>
        <v>4</v>
      </c>
      <c r="B282" s="392">
        <v>43738</v>
      </c>
      <c r="C282" s="231" t="s">
        <v>57</v>
      </c>
      <c r="D282" s="76"/>
      <c r="E282" s="231"/>
      <c r="F282" s="231"/>
      <c r="G282" s="231"/>
      <c r="H282" s="76"/>
      <c r="I282" s="232"/>
      <c r="J282" s="76"/>
      <c r="K282" s="76"/>
      <c r="L282" s="76">
        <f t="shared" si="120"/>
        <v>0</v>
      </c>
      <c r="M282" s="76"/>
      <c r="N282" s="76"/>
      <c r="O282" s="76"/>
      <c r="P282" s="76"/>
      <c r="Q282" s="76">
        <f t="shared" si="126"/>
        <v>0</v>
      </c>
      <c r="R282" s="76">
        <f t="shared" si="121"/>
        <v>0</v>
      </c>
      <c r="S282" s="76">
        <f t="shared" si="122"/>
        <v>0</v>
      </c>
      <c r="T282" s="129"/>
      <c r="U282" s="120" t="str">
        <f t="shared" si="123"/>
        <v>CRP:43738</v>
      </c>
      <c r="V282" s="265">
        <f t="shared" si="124"/>
        <v>43759</v>
      </c>
    </row>
    <row r="283" spans="1:26" s="22" customFormat="1" hidden="1" outlineLevel="1" x14ac:dyDescent="0.25">
      <c r="A283" s="120">
        <f t="shared" si="119"/>
        <v>5</v>
      </c>
      <c r="B283" s="392">
        <v>43769</v>
      </c>
      <c r="C283" s="231" t="s">
        <v>57</v>
      </c>
      <c r="D283" s="76"/>
      <c r="E283" s="231"/>
      <c r="F283" s="231"/>
      <c r="G283" s="231"/>
      <c r="H283" s="76"/>
      <c r="I283" s="232"/>
      <c r="J283" s="76"/>
      <c r="K283" s="76"/>
      <c r="L283" s="76">
        <f t="shared" si="120"/>
        <v>0</v>
      </c>
      <c r="M283" s="76"/>
      <c r="N283" s="76"/>
      <c r="O283" s="76"/>
      <c r="P283" s="76"/>
      <c r="Q283" s="76">
        <f t="shared" si="126"/>
        <v>0</v>
      </c>
      <c r="R283" s="76">
        <f t="shared" si="121"/>
        <v>0</v>
      </c>
      <c r="S283" s="76">
        <f t="shared" si="122"/>
        <v>0</v>
      </c>
      <c r="T283" s="129"/>
      <c r="U283" s="120" t="str">
        <f t="shared" si="123"/>
        <v>CRP:43769</v>
      </c>
      <c r="V283" s="265">
        <f t="shared" si="124"/>
        <v>43790</v>
      </c>
    </row>
    <row r="284" spans="1:26" s="22" customFormat="1" hidden="1" outlineLevel="1" x14ac:dyDescent="0.25">
      <c r="A284" s="120">
        <f t="shared" si="119"/>
        <v>6</v>
      </c>
      <c r="B284" s="392">
        <v>43799</v>
      </c>
      <c r="C284" s="231" t="s">
        <v>57</v>
      </c>
      <c r="D284" s="76"/>
      <c r="E284" s="231"/>
      <c r="F284" s="231"/>
      <c r="G284" s="231"/>
      <c r="H284" s="76"/>
      <c r="I284" s="232"/>
      <c r="J284" s="76"/>
      <c r="K284" s="76"/>
      <c r="L284" s="76">
        <f t="shared" si="120"/>
        <v>0</v>
      </c>
      <c r="M284" s="76"/>
      <c r="N284" s="76"/>
      <c r="O284" s="76"/>
      <c r="P284" s="76"/>
      <c r="Q284" s="76">
        <f t="shared" si="126"/>
        <v>0</v>
      </c>
      <c r="R284" s="76">
        <f t="shared" si="121"/>
        <v>0</v>
      </c>
      <c r="S284" s="76">
        <f t="shared" si="122"/>
        <v>0</v>
      </c>
      <c r="T284" s="129"/>
      <c r="U284" s="120" t="str">
        <f t="shared" si="123"/>
        <v>CRP:43799</v>
      </c>
      <c r="V284" s="265">
        <f t="shared" si="124"/>
        <v>43820</v>
      </c>
    </row>
    <row r="285" spans="1:26" s="22" customFormat="1" hidden="1" outlineLevel="1" x14ac:dyDescent="0.25">
      <c r="A285" s="120">
        <f t="shared" si="119"/>
        <v>7</v>
      </c>
      <c r="B285" s="392">
        <v>43830</v>
      </c>
      <c r="C285" s="231" t="s">
        <v>57</v>
      </c>
      <c r="D285" s="76"/>
      <c r="E285" s="231"/>
      <c r="F285" s="231"/>
      <c r="G285" s="231"/>
      <c r="H285" s="76"/>
      <c r="I285" s="232"/>
      <c r="J285" s="76"/>
      <c r="K285" s="76"/>
      <c r="L285" s="76">
        <f t="shared" si="120"/>
        <v>0</v>
      </c>
      <c r="M285" s="76"/>
      <c r="N285" s="76"/>
      <c r="O285" s="76"/>
      <c r="P285" s="76"/>
      <c r="Q285" s="76">
        <f t="shared" si="126"/>
        <v>0</v>
      </c>
      <c r="R285" s="76">
        <f t="shared" si="121"/>
        <v>0</v>
      </c>
      <c r="S285" s="76">
        <f t="shared" si="122"/>
        <v>0</v>
      </c>
      <c r="T285" s="129"/>
      <c r="U285" s="120" t="str">
        <f t="shared" si="123"/>
        <v>CRP:43830</v>
      </c>
      <c r="V285" s="265">
        <f t="shared" si="124"/>
        <v>43851</v>
      </c>
    </row>
    <row r="286" spans="1:26" s="22" customFormat="1" hidden="1" outlineLevel="1" x14ac:dyDescent="0.25">
      <c r="A286" s="120">
        <f t="shared" si="119"/>
        <v>8</v>
      </c>
      <c r="B286" s="392">
        <v>43861</v>
      </c>
      <c r="C286" s="231" t="s">
        <v>57</v>
      </c>
      <c r="D286" s="76"/>
      <c r="E286" s="231"/>
      <c r="F286" s="231"/>
      <c r="G286" s="231"/>
      <c r="H286" s="76"/>
      <c r="I286" s="232"/>
      <c r="J286" s="76"/>
      <c r="K286" s="76"/>
      <c r="L286" s="76">
        <f t="shared" si="120"/>
        <v>0</v>
      </c>
      <c r="M286" s="76"/>
      <c r="N286" s="76"/>
      <c r="O286" s="76"/>
      <c r="P286" s="76"/>
      <c r="Q286" s="76">
        <f t="shared" si="126"/>
        <v>0</v>
      </c>
      <c r="R286" s="76">
        <f t="shared" si="121"/>
        <v>0</v>
      </c>
      <c r="S286" s="76">
        <f t="shared" si="122"/>
        <v>0</v>
      </c>
      <c r="T286" s="129"/>
      <c r="U286" s="120" t="str">
        <f t="shared" si="123"/>
        <v>CRP:43861</v>
      </c>
      <c r="V286" s="265">
        <f t="shared" si="124"/>
        <v>43882</v>
      </c>
    </row>
    <row r="287" spans="1:26" s="22" customFormat="1" hidden="1" outlineLevel="1" x14ac:dyDescent="0.25">
      <c r="A287" s="120">
        <f t="shared" si="119"/>
        <v>9</v>
      </c>
      <c r="B287" s="392">
        <v>43889</v>
      </c>
      <c r="C287" s="231" t="s">
        <v>57</v>
      </c>
      <c r="D287" s="76"/>
      <c r="E287" s="231"/>
      <c r="F287" s="231"/>
      <c r="G287" s="231"/>
      <c r="H287" s="76"/>
      <c r="I287" s="232"/>
      <c r="J287" s="76"/>
      <c r="K287" s="76"/>
      <c r="L287" s="76">
        <f t="shared" si="120"/>
        <v>0</v>
      </c>
      <c r="M287" s="76"/>
      <c r="N287" s="76"/>
      <c r="O287" s="76"/>
      <c r="P287" s="76"/>
      <c r="Q287" s="76">
        <f t="shared" si="126"/>
        <v>0</v>
      </c>
      <c r="R287" s="76">
        <f t="shared" si="121"/>
        <v>0</v>
      </c>
      <c r="S287" s="76">
        <f t="shared" si="122"/>
        <v>0</v>
      </c>
      <c r="T287" s="129"/>
      <c r="U287" s="120" t="str">
        <f t="shared" si="123"/>
        <v>CRP:43889</v>
      </c>
      <c r="V287" s="265">
        <f t="shared" si="124"/>
        <v>43882</v>
      </c>
    </row>
    <row r="288" spans="1:26" s="22" customFormat="1" hidden="1" outlineLevel="1" x14ac:dyDescent="0.25">
      <c r="A288" s="120">
        <f t="shared" si="119"/>
        <v>10</v>
      </c>
      <c r="B288" s="392">
        <v>43921</v>
      </c>
      <c r="C288" s="231" t="s">
        <v>57</v>
      </c>
      <c r="D288" s="76"/>
      <c r="E288" s="231"/>
      <c r="F288" s="231"/>
      <c r="G288" s="231"/>
      <c r="H288" s="76"/>
      <c r="I288" s="232"/>
      <c r="J288" s="76"/>
      <c r="K288" s="76"/>
      <c r="L288" s="76">
        <f t="shared" si="120"/>
        <v>0</v>
      </c>
      <c r="M288" s="76"/>
      <c r="N288" s="76"/>
      <c r="O288" s="76"/>
      <c r="P288" s="76"/>
      <c r="Q288" s="76">
        <f t="shared" si="126"/>
        <v>0</v>
      </c>
      <c r="R288" s="76">
        <f t="shared" si="121"/>
        <v>0</v>
      </c>
      <c r="S288" s="76">
        <f t="shared" si="122"/>
        <v>0</v>
      </c>
      <c r="T288" s="129"/>
      <c r="U288" s="120" t="str">
        <f t="shared" si="123"/>
        <v>CRP:43921</v>
      </c>
      <c r="V288" s="265">
        <f t="shared" si="124"/>
        <v>43942</v>
      </c>
    </row>
    <row r="289" spans="1:26" s="22" customFormat="1" hidden="1" outlineLevel="1" x14ac:dyDescent="0.25">
      <c r="A289" s="120">
        <f t="shared" si="119"/>
        <v>11</v>
      </c>
      <c r="B289" s="392">
        <v>43951</v>
      </c>
      <c r="C289" s="231" t="s">
        <v>57</v>
      </c>
      <c r="D289" s="76"/>
      <c r="E289" s="231"/>
      <c r="F289" s="231"/>
      <c r="G289" s="231"/>
      <c r="H289" s="76"/>
      <c r="I289" s="232"/>
      <c r="J289" s="76"/>
      <c r="K289" s="76"/>
      <c r="L289" s="76">
        <f t="shared" si="120"/>
        <v>0</v>
      </c>
      <c r="M289" s="76"/>
      <c r="N289" s="76"/>
      <c r="O289" s="76"/>
      <c r="P289" s="76"/>
      <c r="Q289" s="76">
        <f t="shared" si="126"/>
        <v>0</v>
      </c>
      <c r="R289" s="76">
        <f t="shared" si="121"/>
        <v>0</v>
      </c>
      <c r="S289" s="76">
        <f t="shared" si="122"/>
        <v>0</v>
      </c>
      <c r="T289" s="129"/>
      <c r="U289" s="120" t="str">
        <f t="shared" si="123"/>
        <v>CRP:43951</v>
      </c>
      <c r="V289" s="265">
        <f t="shared" si="124"/>
        <v>43972</v>
      </c>
    </row>
    <row r="290" spans="1:26" s="22" customFormat="1" hidden="1" outlineLevel="1" x14ac:dyDescent="0.25">
      <c r="A290" s="120">
        <f t="shared" si="119"/>
        <v>12</v>
      </c>
      <c r="B290" s="392">
        <v>43982</v>
      </c>
      <c r="C290" s="231" t="s">
        <v>57</v>
      </c>
      <c r="D290" s="76"/>
      <c r="E290" s="231"/>
      <c r="F290" s="231"/>
      <c r="G290" s="231"/>
      <c r="H290" s="76"/>
      <c r="I290" s="232"/>
      <c r="J290" s="76"/>
      <c r="K290" s="76"/>
      <c r="L290" s="76">
        <f t="shared" si="120"/>
        <v>0</v>
      </c>
      <c r="M290" s="76"/>
      <c r="N290" s="76"/>
      <c r="O290" s="76"/>
      <c r="P290" s="76"/>
      <c r="Q290" s="76">
        <f t="shared" si="126"/>
        <v>0</v>
      </c>
      <c r="R290" s="76">
        <f t="shared" si="121"/>
        <v>0</v>
      </c>
      <c r="S290" s="76">
        <f t="shared" si="122"/>
        <v>0</v>
      </c>
      <c r="T290" s="129"/>
      <c r="U290" s="120" t="str">
        <f t="shared" si="123"/>
        <v>CRP:43982</v>
      </c>
      <c r="V290" s="265">
        <f t="shared" si="124"/>
        <v>44003</v>
      </c>
      <c r="X290" s="35"/>
      <c r="Y290" s="35"/>
      <c r="Z290" s="35"/>
    </row>
    <row r="291" spans="1:26" s="22" customFormat="1" hidden="1" outlineLevel="1" x14ac:dyDescent="0.25">
      <c r="A291" s="120">
        <f t="shared" si="119"/>
        <v>1</v>
      </c>
      <c r="B291" s="392">
        <v>43646</v>
      </c>
      <c r="C291" s="231" t="s">
        <v>58</v>
      </c>
      <c r="D291" s="76"/>
      <c r="E291" s="231"/>
      <c r="F291" s="231"/>
      <c r="G291" s="231"/>
      <c r="H291" s="76"/>
      <c r="I291" s="232">
        <v>1049</v>
      </c>
      <c r="J291" s="76"/>
      <c r="K291" s="76"/>
      <c r="L291" s="76">
        <f t="shared" si="120"/>
        <v>953.64</v>
      </c>
      <c r="M291" s="76"/>
      <c r="N291" s="76"/>
      <c r="O291" s="76"/>
      <c r="P291" s="76"/>
      <c r="Q291" s="76">
        <f t="shared" si="126"/>
        <v>95.360000000000014</v>
      </c>
      <c r="R291" s="76">
        <f t="shared" si="121"/>
        <v>953.64</v>
      </c>
      <c r="S291" s="76">
        <f t="shared" si="122"/>
        <v>1049</v>
      </c>
      <c r="T291" s="129"/>
      <c r="U291" s="120" t="str">
        <f t="shared" si="123"/>
        <v>SM:43646</v>
      </c>
      <c r="V291" s="265">
        <f t="shared" si="124"/>
        <v>43667</v>
      </c>
      <c r="X291"/>
      <c r="Y291"/>
      <c r="Z291"/>
    </row>
    <row r="292" spans="1:26" s="22" customFormat="1" hidden="1" outlineLevel="1" x14ac:dyDescent="0.25">
      <c r="A292" s="120">
        <f t="shared" si="119"/>
        <v>2</v>
      </c>
      <c r="B292" s="392">
        <v>43677</v>
      </c>
      <c r="C292" s="231" t="s">
        <v>58</v>
      </c>
      <c r="D292" s="76"/>
      <c r="E292" s="231"/>
      <c r="F292" s="231"/>
      <c r="G292" s="231"/>
      <c r="H292" s="76"/>
      <c r="I292" s="232">
        <v>1028</v>
      </c>
      <c r="J292" s="76"/>
      <c r="K292" s="76"/>
      <c r="L292" s="76">
        <f t="shared" si="120"/>
        <v>934.55</v>
      </c>
      <c r="M292" s="76"/>
      <c r="N292" s="76"/>
      <c r="O292" s="76"/>
      <c r="P292" s="76"/>
      <c r="Q292" s="76">
        <f t="shared" si="126"/>
        <v>93.450000000000045</v>
      </c>
      <c r="R292" s="76">
        <f t="shared" si="121"/>
        <v>934.55</v>
      </c>
      <c r="S292" s="76">
        <f t="shared" si="122"/>
        <v>1028</v>
      </c>
      <c r="T292" s="129"/>
      <c r="U292" s="120" t="str">
        <f t="shared" si="123"/>
        <v>SM:43677</v>
      </c>
      <c r="V292" s="265">
        <f t="shared" si="124"/>
        <v>43698</v>
      </c>
      <c r="X292"/>
      <c r="Y292"/>
      <c r="Z292"/>
    </row>
    <row r="293" spans="1:26" s="22" customFormat="1" hidden="1" outlineLevel="1" x14ac:dyDescent="0.25">
      <c r="A293" s="120">
        <f t="shared" si="119"/>
        <v>3</v>
      </c>
      <c r="B293" s="392">
        <v>43708</v>
      </c>
      <c r="C293" s="231" t="s">
        <v>58</v>
      </c>
      <c r="D293" s="76"/>
      <c r="E293" s="231"/>
      <c r="F293" s="231"/>
      <c r="G293" s="231"/>
      <c r="H293" s="76"/>
      <c r="I293" s="232">
        <v>1559</v>
      </c>
      <c r="J293" s="76"/>
      <c r="K293" s="76"/>
      <c r="L293" s="76">
        <f>ROUND($I293/11*10,2)</f>
        <v>1417.27</v>
      </c>
      <c r="M293" s="76"/>
      <c r="N293" s="76"/>
      <c r="O293" s="76"/>
      <c r="P293" s="76"/>
      <c r="Q293" s="76">
        <f t="shared" si="126"/>
        <v>141.73000000000002</v>
      </c>
      <c r="R293" s="76">
        <f t="shared" si="121"/>
        <v>1417.27</v>
      </c>
      <c r="S293" s="76">
        <f t="shared" si="122"/>
        <v>1559</v>
      </c>
      <c r="T293" s="129"/>
      <c r="U293" s="120" t="str">
        <f t="shared" si="123"/>
        <v>SM:43708</v>
      </c>
      <c r="V293" s="265">
        <f t="shared" si="124"/>
        <v>43729</v>
      </c>
      <c r="X293"/>
      <c r="Y293"/>
      <c r="Z293"/>
    </row>
    <row r="294" spans="1:26" s="22" customFormat="1" hidden="1" outlineLevel="1" x14ac:dyDescent="0.25">
      <c r="A294" s="120">
        <f t="shared" si="119"/>
        <v>4</v>
      </c>
      <c r="B294" s="392">
        <v>43738</v>
      </c>
      <c r="C294" s="231" t="s">
        <v>58</v>
      </c>
      <c r="D294" s="76"/>
      <c r="E294" s="231"/>
      <c r="F294" s="231"/>
      <c r="G294" s="231"/>
      <c r="H294" s="76"/>
      <c r="I294" s="232"/>
      <c r="J294" s="76"/>
      <c r="K294" s="76"/>
      <c r="L294" s="76">
        <f t="shared" si="120"/>
        <v>0</v>
      </c>
      <c r="M294" s="76"/>
      <c r="N294" s="76"/>
      <c r="O294" s="76"/>
      <c r="P294" s="76"/>
      <c r="Q294" s="76">
        <f t="shared" si="126"/>
        <v>0</v>
      </c>
      <c r="R294" s="76">
        <f t="shared" si="121"/>
        <v>0</v>
      </c>
      <c r="S294" s="76">
        <f t="shared" si="122"/>
        <v>0</v>
      </c>
      <c r="T294" s="129"/>
      <c r="U294" s="120" t="str">
        <f t="shared" si="123"/>
        <v>SM:43738</v>
      </c>
      <c r="V294" s="265">
        <f t="shared" si="124"/>
        <v>43759</v>
      </c>
      <c r="X294"/>
      <c r="Y294"/>
      <c r="Z294"/>
    </row>
    <row r="295" spans="1:26" s="22" customFormat="1" hidden="1" outlineLevel="1" x14ac:dyDescent="0.25">
      <c r="A295" s="120">
        <f t="shared" si="119"/>
        <v>5</v>
      </c>
      <c r="B295" s="392">
        <v>43769</v>
      </c>
      <c r="C295" s="231" t="s">
        <v>58</v>
      </c>
      <c r="D295" s="76"/>
      <c r="E295" s="231"/>
      <c r="F295" s="231"/>
      <c r="G295" s="231"/>
      <c r="H295" s="76"/>
      <c r="I295" s="232"/>
      <c r="J295" s="76"/>
      <c r="K295" s="76"/>
      <c r="L295" s="76">
        <f t="shared" si="120"/>
        <v>0</v>
      </c>
      <c r="M295" s="76"/>
      <c r="N295" s="76"/>
      <c r="O295" s="76"/>
      <c r="P295" s="76"/>
      <c r="Q295" s="76">
        <f t="shared" si="126"/>
        <v>0</v>
      </c>
      <c r="R295" s="76">
        <f t="shared" si="121"/>
        <v>0</v>
      </c>
      <c r="S295" s="76">
        <f t="shared" si="122"/>
        <v>0</v>
      </c>
      <c r="T295" s="129"/>
      <c r="U295" s="120" t="str">
        <f t="shared" si="123"/>
        <v>SM:43769</v>
      </c>
      <c r="V295" s="265">
        <f t="shared" si="124"/>
        <v>43790</v>
      </c>
      <c r="X295"/>
      <c r="Y295"/>
      <c r="Z295"/>
    </row>
    <row r="296" spans="1:26" s="22" customFormat="1" hidden="1" outlineLevel="1" x14ac:dyDescent="0.25">
      <c r="A296" s="120">
        <f t="shared" si="119"/>
        <v>6</v>
      </c>
      <c r="B296" s="392">
        <v>43799</v>
      </c>
      <c r="C296" s="231" t="s">
        <v>58</v>
      </c>
      <c r="D296" s="76"/>
      <c r="E296" s="231"/>
      <c r="F296" s="231"/>
      <c r="G296" s="231"/>
      <c r="H296" s="76"/>
      <c r="I296" s="232"/>
      <c r="J296" s="76"/>
      <c r="K296" s="76"/>
      <c r="L296" s="76">
        <f t="shared" si="120"/>
        <v>0</v>
      </c>
      <c r="M296" s="76"/>
      <c r="N296" s="76"/>
      <c r="O296" s="76"/>
      <c r="P296" s="76"/>
      <c r="Q296" s="76">
        <f t="shared" si="126"/>
        <v>0</v>
      </c>
      <c r="R296" s="76">
        <f t="shared" si="121"/>
        <v>0</v>
      </c>
      <c r="S296" s="76">
        <f t="shared" si="122"/>
        <v>0</v>
      </c>
      <c r="T296" s="129"/>
      <c r="U296" s="120" t="str">
        <f t="shared" si="123"/>
        <v>SM:43799</v>
      </c>
      <c r="V296" s="265">
        <f t="shared" si="124"/>
        <v>43820</v>
      </c>
      <c r="X296"/>
      <c r="Y296"/>
      <c r="Z296"/>
    </row>
    <row r="297" spans="1:26" s="22" customFormat="1" hidden="1" outlineLevel="1" x14ac:dyDescent="0.25">
      <c r="A297" s="120">
        <f t="shared" si="119"/>
        <v>7</v>
      </c>
      <c r="B297" s="392">
        <v>43830</v>
      </c>
      <c r="C297" s="231" t="s">
        <v>58</v>
      </c>
      <c r="D297" s="76"/>
      <c r="E297" s="231"/>
      <c r="F297" s="231"/>
      <c r="G297" s="231"/>
      <c r="H297" s="76"/>
      <c r="I297" s="232"/>
      <c r="J297" s="76"/>
      <c r="K297" s="76"/>
      <c r="L297" s="76">
        <f t="shared" si="120"/>
        <v>0</v>
      </c>
      <c r="M297" s="76"/>
      <c r="N297" s="76"/>
      <c r="O297" s="76"/>
      <c r="P297" s="76"/>
      <c r="Q297" s="76">
        <f t="shared" si="126"/>
        <v>0</v>
      </c>
      <c r="R297" s="76">
        <f t="shared" si="121"/>
        <v>0</v>
      </c>
      <c r="S297" s="76">
        <f t="shared" si="122"/>
        <v>0</v>
      </c>
      <c r="T297" s="129"/>
      <c r="U297" s="120" t="str">
        <f t="shared" si="123"/>
        <v>SM:43830</v>
      </c>
      <c r="V297" s="265">
        <f t="shared" si="124"/>
        <v>43851</v>
      </c>
      <c r="X297"/>
      <c r="Y297"/>
      <c r="Z297"/>
    </row>
    <row r="298" spans="1:26" s="22" customFormat="1" hidden="1" outlineLevel="1" x14ac:dyDescent="0.25">
      <c r="A298" s="120">
        <f t="shared" si="119"/>
        <v>8</v>
      </c>
      <c r="B298" s="392">
        <v>43861</v>
      </c>
      <c r="C298" s="231" t="s">
        <v>58</v>
      </c>
      <c r="D298" s="76"/>
      <c r="E298" s="231"/>
      <c r="F298" s="231"/>
      <c r="G298" s="231"/>
      <c r="H298" s="76"/>
      <c r="I298" s="232"/>
      <c r="J298" s="76"/>
      <c r="K298" s="76"/>
      <c r="L298" s="76">
        <f t="shared" si="120"/>
        <v>0</v>
      </c>
      <c r="M298" s="76"/>
      <c r="N298" s="76"/>
      <c r="O298" s="76"/>
      <c r="P298" s="76"/>
      <c r="Q298" s="76">
        <f t="shared" si="126"/>
        <v>0</v>
      </c>
      <c r="R298" s="76">
        <f t="shared" ref="R298:R329" si="127">SUM($K298:$L298)</f>
        <v>0</v>
      </c>
      <c r="S298" s="76">
        <f t="shared" ref="S298:S329" si="128">SUM(K298:L298)+O298+Q298</f>
        <v>0</v>
      </c>
      <c r="T298" s="129"/>
      <c r="U298" s="120" t="str">
        <f t="shared" ref="U298:U329" si="129">C298 &amp;":"&amp; B298</f>
        <v>SM:43861</v>
      </c>
      <c r="V298" s="265">
        <f t="shared" ref="V298:V329" si="130">DATE(YEAR(B298+1),MONTH(B298+1),VLOOKUP(C298,payEmpNames,4))</f>
        <v>43882</v>
      </c>
      <c r="X298"/>
      <c r="Y298"/>
      <c r="Z298"/>
    </row>
    <row r="299" spans="1:26" s="22" customFormat="1" hidden="1" outlineLevel="1" x14ac:dyDescent="0.25">
      <c r="A299" s="120">
        <f t="shared" si="119"/>
        <v>9</v>
      </c>
      <c r="B299" s="392">
        <v>43889</v>
      </c>
      <c r="C299" s="231" t="s">
        <v>58</v>
      </c>
      <c r="D299" s="76"/>
      <c r="E299" s="231"/>
      <c r="F299" s="231"/>
      <c r="G299" s="231"/>
      <c r="H299" s="76"/>
      <c r="I299" s="232"/>
      <c r="J299" s="76"/>
      <c r="K299" s="76"/>
      <c r="L299" s="76">
        <f t="shared" si="120"/>
        <v>0</v>
      </c>
      <c r="M299" s="76"/>
      <c r="N299" s="76"/>
      <c r="O299" s="76"/>
      <c r="P299" s="76"/>
      <c r="Q299" s="76">
        <f t="shared" si="126"/>
        <v>0</v>
      </c>
      <c r="R299" s="76">
        <f t="shared" si="127"/>
        <v>0</v>
      </c>
      <c r="S299" s="76">
        <f t="shared" si="128"/>
        <v>0</v>
      </c>
      <c r="T299" s="129"/>
      <c r="U299" s="120" t="str">
        <f t="shared" si="129"/>
        <v>SM:43889</v>
      </c>
      <c r="V299" s="265">
        <f t="shared" si="130"/>
        <v>43882</v>
      </c>
      <c r="X299"/>
      <c r="Y299"/>
      <c r="Z299"/>
    </row>
    <row r="300" spans="1:26" s="22" customFormat="1" hidden="1" outlineLevel="1" x14ac:dyDescent="0.25">
      <c r="A300" s="120">
        <f t="shared" si="119"/>
        <v>10</v>
      </c>
      <c r="B300" s="392">
        <v>43921</v>
      </c>
      <c r="C300" s="231" t="s">
        <v>58</v>
      </c>
      <c r="D300" s="76"/>
      <c r="E300" s="231"/>
      <c r="F300" s="231"/>
      <c r="G300" s="231"/>
      <c r="H300" s="76"/>
      <c r="I300" s="232"/>
      <c r="J300" s="76"/>
      <c r="K300" s="76"/>
      <c r="L300" s="76">
        <f t="shared" si="120"/>
        <v>0</v>
      </c>
      <c r="M300" s="76"/>
      <c r="N300" s="76"/>
      <c r="O300" s="76"/>
      <c r="P300" s="76"/>
      <c r="Q300" s="76">
        <f t="shared" si="126"/>
        <v>0</v>
      </c>
      <c r="R300" s="76">
        <f t="shared" si="127"/>
        <v>0</v>
      </c>
      <c r="S300" s="76">
        <f t="shared" si="128"/>
        <v>0</v>
      </c>
      <c r="T300" s="129"/>
      <c r="U300" s="120" t="str">
        <f t="shared" si="129"/>
        <v>SM:43921</v>
      </c>
      <c r="V300" s="265">
        <f t="shared" si="130"/>
        <v>43942</v>
      </c>
      <c r="X300"/>
      <c r="Y300"/>
      <c r="Z300"/>
    </row>
    <row r="301" spans="1:26" s="22" customFormat="1" hidden="1" outlineLevel="1" x14ac:dyDescent="0.25">
      <c r="A301" s="120">
        <f t="shared" si="119"/>
        <v>11</v>
      </c>
      <c r="B301" s="392">
        <v>43951</v>
      </c>
      <c r="C301" s="231" t="s">
        <v>58</v>
      </c>
      <c r="D301" s="76"/>
      <c r="E301" s="231"/>
      <c r="F301" s="231"/>
      <c r="G301" s="231"/>
      <c r="H301" s="76"/>
      <c r="I301" s="232"/>
      <c r="J301" s="76"/>
      <c r="K301" s="76"/>
      <c r="L301" s="76">
        <f t="shared" si="120"/>
        <v>0</v>
      </c>
      <c r="M301" s="76"/>
      <c r="N301" s="76"/>
      <c r="O301" s="76"/>
      <c r="P301" s="76"/>
      <c r="Q301" s="76">
        <f t="shared" si="126"/>
        <v>0</v>
      </c>
      <c r="R301" s="76">
        <f t="shared" si="127"/>
        <v>0</v>
      </c>
      <c r="S301" s="76">
        <f t="shared" si="128"/>
        <v>0</v>
      </c>
      <c r="T301" s="129"/>
      <c r="U301" s="120" t="str">
        <f t="shared" si="129"/>
        <v>SM:43951</v>
      </c>
      <c r="V301" s="265">
        <f t="shared" si="130"/>
        <v>43972</v>
      </c>
      <c r="X301"/>
      <c r="Y301"/>
      <c r="Z301"/>
    </row>
    <row r="302" spans="1:26" s="22" customFormat="1" hidden="1" outlineLevel="1" x14ac:dyDescent="0.25">
      <c r="A302" s="120">
        <f t="shared" si="119"/>
        <v>12</v>
      </c>
      <c r="B302" s="392">
        <v>43982</v>
      </c>
      <c r="C302" s="231" t="s">
        <v>58</v>
      </c>
      <c r="D302" s="76"/>
      <c r="E302" s="231"/>
      <c r="F302" s="231"/>
      <c r="G302" s="231"/>
      <c r="H302" s="76"/>
      <c r="I302" s="232"/>
      <c r="J302" s="76"/>
      <c r="K302" s="76"/>
      <c r="L302" s="76">
        <f t="shared" si="120"/>
        <v>0</v>
      </c>
      <c r="M302" s="76"/>
      <c r="N302" s="76"/>
      <c r="O302" s="76"/>
      <c r="P302" s="76"/>
      <c r="Q302" s="76">
        <f t="shared" si="126"/>
        <v>0</v>
      </c>
      <c r="R302" s="76">
        <f t="shared" si="127"/>
        <v>0</v>
      </c>
      <c r="S302" s="76">
        <f t="shared" si="128"/>
        <v>0</v>
      </c>
      <c r="T302" s="129"/>
      <c r="U302" s="120" t="str">
        <f t="shared" si="129"/>
        <v>SM:43982</v>
      </c>
      <c r="V302" s="265">
        <f t="shared" si="130"/>
        <v>44003</v>
      </c>
      <c r="X302"/>
      <c r="Y302"/>
      <c r="Z302"/>
    </row>
    <row r="303" spans="1:26" s="22" customFormat="1" hidden="1" outlineLevel="1" x14ac:dyDescent="0.25">
      <c r="A303" s="120">
        <f t="shared" si="119"/>
        <v>1</v>
      </c>
      <c r="B303" s="392">
        <v>43646</v>
      </c>
      <c r="C303" s="231" t="s">
        <v>657</v>
      </c>
      <c r="D303" s="76"/>
      <c r="E303" s="231"/>
      <c r="F303" s="231"/>
      <c r="G303" s="231"/>
      <c r="H303" s="76"/>
      <c r="I303" s="232">
        <v>236.8</v>
      </c>
      <c r="J303" s="76"/>
      <c r="K303" s="76"/>
      <c r="L303" s="76">
        <f t="shared" si="120"/>
        <v>215.27</v>
      </c>
      <c r="M303" s="76"/>
      <c r="N303" s="76"/>
      <c r="O303" s="76"/>
      <c r="P303" s="76"/>
      <c r="Q303" s="76">
        <f t="shared" si="126"/>
        <v>21.53</v>
      </c>
      <c r="R303" s="76">
        <f t="shared" si="127"/>
        <v>215.27</v>
      </c>
      <c r="S303" s="76">
        <f t="shared" si="128"/>
        <v>236.8</v>
      </c>
      <c r="T303" s="129"/>
      <c r="U303" s="120" t="str">
        <f t="shared" si="129"/>
        <v>VAK:43646</v>
      </c>
      <c r="V303" s="265">
        <f t="shared" si="130"/>
        <v>43667</v>
      </c>
    </row>
    <row r="304" spans="1:26" s="22" customFormat="1" hidden="1" outlineLevel="1" x14ac:dyDescent="0.25">
      <c r="A304" s="120">
        <f t="shared" si="119"/>
        <v>2</v>
      </c>
      <c r="B304" s="392">
        <v>43677</v>
      </c>
      <c r="C304" s="231" t="s">
        <v>657</v>
      </c>
      <c r="D304" s="76"/>
      <c r="E304" s="231"/>
      <c r="F304" s="231"/>
      <c r="G304" s="231"/>
      <c r="H304" s="76"/>
      <c r="I304" s="232">
        <v>126.1</v>
      </c>
      <c r="J304" s="76"/>
      <c r="K304" s="76"/>
      <c r="L304" s="76">
        <f t="shared" si="120"/>
        <v>114.64</v>
      </c>
      <c r="M304" s="76"/>
      <c r="N304" s="76"/>
      <c r="O304" s="76"/>
      <c r="P304" s="76"/>
      <c r="Q304" s="76">
        <f t="shared" si="126"/>
        <v>11.459999999999994</v>
      </c>
      <c r="R304" s="76">
        <f t="shared" si="127"/>
        <v>114.64</v>
      </c>
      <c r="S304" s="76">
        <f t="shared" si="128"/>
        <v>126.1</v>
      </c>
      <c r="T304" s="129"/>
      <c r="U304" s="120" t="str">
        <f t="shared" si="129"/>
        <v>VAK:43677</v>
      </c>
      <c r="V304" s="265">
        <f t="shared" si="130"/>
        <v>43698</v>
      </c>
    </row>
    <row r="305" spans="1:26" s="22" customFormat="1" hidden="1" outlineLevel="1" x14ac:dyDescent="0.25">
      <c r="A305" s="120">
        <f t="shared" si="119"/>
        <v>3</v>
      </c>
      <c r="B305" s="392">
        <v>43708</v>
      </c>
      <c r="C305" s="231" t="s">
        <v>657</v>
      </c>
      <c r="D305" s="76"/>
      <c r="E305" s="231"/>
      <c r="F305" s="231"/>
      <c r="G305" s="231"/>
      <c r="H305" s="76"/>
      <c r="I305" s="232">
        <v>139.95000000000002</v>
      </c>
      <c r="J305" s="76"/>
      <c r="K305" s="76"/>
      <c r="L305" s="76">
        <f t="shared" si="120"/>
        <v>127.23</v>
      </c>
      <c r="M305" s="76"/>
      <c r="N305" s="76"/>
      <c r="O305" s="76"/>
      <c r="P305" s="76"/>
      <c r="Q305" s="76">
        <f t="shared" si="126"/>
        <v>12.720000000000013</v>
      </c>
      <c r="R305" s="76">
        <f t="shared" si="127"/>
        <v>127.23</v>
      </c>
      <c r="S305" s="76">
        <f t="shared" si="128"/>
        <v>139.95000000000002</v>
      </c>
      <c r="T305" s="129"/>
      <c r="U305" s="120" t="str">
        <f t="shared" si="129"/>
        <v>VAK:43708</v>
      </c>
      <c r="V305" s="265">
        <f t="shared" si="130"/>
        <v>43729</v>
      </c>
    </row>
    <row r="306" spans="1:26" s="22" customFormat="1" hidden="1" outlineLevel="1" x14ac:dyDescent="0.25">
      <c r="A306" s="120">
        <f t="shared" si="119"/>
        <v>4</v>
      </c>
      <c r="B306" s="392">
        <v>43738</v>
      </c>
      <c r="C306" s="231" t="s">
        <v>657</v>
      </c>
      <c r="D306" s="76"/>
      <c r="E306" s="231"/>
      <c r="F306" s="231"/>
      <c r="G306" s="231"/>
      <c r="H306" s="76"/>
      <c r="I306" s="232"/>
      <c r="J306" s="76"/>
      <c r="K306" s="76"/>
      <c r="L306" s="76">
        <f t="shared" si="120"/>
        <v>0</v>
      </c>
      <c r="M306" s="76"/>
      <c r="N306" s="76"/>
      <c r="O306" s="76"/>
      <c r="P306" s="76"/>
      <c r="Q306" s="76">
        <f t="shared" si="126"/>
        <v>0</v>
      </c>
      <c r="R306" s="76">
        <f t="shared" si="127"/>
        <v>0</v>
      </c>
      <c r="S306" s="76">
        <f t="shared" si="128"/>
        <v>0</v>
      </c>
      <c r="T306" s="129"/>
      <c r="U306" s="120" t="str">
        <f t="shared" si="129"/>
        <v>VAK:43738</v>
      </c>
      <c r="V306" s="265">
        <f t="shared" si="130"/>
        <v>43759</v>
      </c>
    </row>
    <row r="307" spans="1:26" s="22" customFormat="1" hidden="1" outlineLevel="1" x14ac:dyDescent="0.25">
      <c r="A307" s="120">
        <f t="shared" si="119"/>
        <v>5</v>
      </c>
      <c r="B307" s="392">
        <v>43769</v>
      </c>
      <c r="C307" s="231" t="s">
        <v>657</v>
      </c>
      <c r="D307" s="76"/>
      <c r="E307" s="231"/>
      <c r="F307" s="231"/>
      <c r="G307" s="231"/>
      <c r="H307" s="76"/>
      <c r="I307" s="232"/>
      <c r="J307" s="76"/>
      <c r="K307" s="76"/>
      <c r="L307" s="76">
        <f t="shared" si="120"/>
        <v>0</v>
      </c>
      <c r="M307" s="76"/>
      <c r="N307" s="76"/>
      <c r="O307" s="76"/>
      <c r="P307" s="76"/>
      <c r="Q307" s="76">
        <f t="shared" si="126"/>
        <v>0</v>
      </c>
      <c r="R307" s="76">
        <f t="shared" si="127"/>
        <v>0</v>
      </c>
      <c r="S307" s="76">
        <f t="shared" si="128"/>
        <v>0</v>
      </c>
      <c r="T307" s="129"/>
      <c r="U307" s="120" t="str">
        <f t="shared" si="129"/>
        <v>VAK:43769</v>
      </c>
      <c r="V307" s="265">
        <f t="shared" si="130"/>
        <v>43790</v>
      </c>
    </row>
    <row r="308" spans="1:26" s="22" customFormat="1" hidden="1" outlineLevel="1" x14ac:dyDescent="0.25">
      <c r="A308" s="120">
        <f t="shared" si="119"/>
        <v>6</v>
      </c>
      <c r="B308" s="392">
        <v>43799</v>
      </c>
      <c r="C308" s="231" t="s">
        <v>657</v>
      </c>
      <c r="D308" s="76"/>
      <c r="E308" s="231"/>
      <c r="F308" s="231"/>
      <c r="G308" s="231"/>
      <c r="H308" s="76"/>
      <c r="I308" s="232"/>
      <c r="J308" s="76"/>
      <c r="K308" s="76"/>
      <c r="L308" s="76">
        <f t="shared" si="120"/>
        <v>0</v>
      </c>
      <c r="M308" s="76"/>
      <c r="N308" s="76"/>
      <c r="O308" s="76"/>
      <c r="P308" s="76"/>
      <c r="Q308" s="76">
        <f t="shared" si="126"/>
        <v>0</v>
      </c>
      <c r="R308" s="76">
        <f t="shared" si="127"/>
        <v>0</v>
      </c>
      <c r="S308" s="76">
        <f t="shared" si="128"/>
        <v>0</v>
      </c>
      <c r="T308" s="129"/>
      <c r="U308" s="120" t="str">
        <f t="shared" si="129"/>
        <v>VAK:43799</v>
      </c>
      <c r="V308" s="265">
        <f t="shared" si="130"/>
        <v>43820</v>
      </c>
    </row>
    <row r="309" spans="1:26" s="22" customFormat="1" hidden="1" outlineLevel="1" x14ac:dyDescent="0.25">
      <c r="A309" s="120">
        <f t="shared" si="119"/>
        <v>7</v>
      </c>
      <c r="B309" s="392">
        <v>43830</v>
      </c>
      <c r="C309" s="231" t="s">
        <v>657</v>
      </c>
      <c r="D309" s="76"/>
      <c r="E309" s="231"/>
      <c r="F309" s="231"/>
      <c r="G309" s="231"/>
      <c r="H309" s="76"/>
      <c r="I309" s="232"/>
      <c r="J309" s="76"/>
      <c r="K309" s="76"/>
      <c r="L309" s="76">
        <f t="shared" si="120"/>
        <v>0</v>
      </c>
      <c r="M309" s="76"/>
      <c r="N309" s="76"/>
      <c r="O309" s="76"/>
      <c r="P309" s="76"/>
      <c r="Q309" s="76">
        <f t="shared" si="126"/>
        <v>0</v>
      </c>
      <c r="R309" s="76">
        <f t="shared" si="127"/>
        <v>0</v>
      </c>
      <c r="S309" s="76">
        <f t="shared" si="128"/>
        <v>0</v>
      </c>
      <c r="T309" s="129"/>
      <c r="U309" s="120" t="str">
        <f t="shared" si="129"/>
        <v>VAK:43830</v>
      </c>
      <c r="V309" s="265">
        <f t="shared" si="130"/>
        <v>43851</v>
      </c>
    </row>
    <row r="310" spans="1:26" s="22" customFormat="1" hidden="1" outlineLevel="1" x14ac:dyDescent="0.25">
      <c r="A310" s="120">
        <f t="shared" si="119"/>
        <v>8</v>
      </c>
      <c r="B310" s="392">
        <v>43861</v>
      </c>
      <c r="C310" s="231" t="s">
        <v>657</v>
      </c>
      <c r="D310" s="76"/>
      <c r="E310" s="231"/>
      <c r="F310" s="231"/>
      <c r="G310" s="231"/>
      <c r="H310" s="76"/>
      <c r="I310" s="232"/>
      <c r="J310" s="76"/>
      <c r="K310" s="76"/>
      <c r="L310" s="76">
        <f t="shared" si="120"/>
        <v>0</v>
      </c>
      <c r="M310" s="76"/>
      <c r="N310" s="76"/>
      <c r="O310" s="76"/>
      <c r="P310" s="76"/>
      <c r="Q310" s="76">
        <f t="shared" si="126"/>
        <v>0</v>
      </c>
      <c r="R310" s="76">
        <f t="shared" si="127"/>
        <v>0</v>
      </c>
      <c r="S310" s="76">
        <f t="shared" si="128"/>
        <v>0</v>
      </c>
      <c r="T310" s="129"/>
      <c r="U310" s="120" t="str">
        <f t="shared" si="129"/>
        <v>VAK:43861</v>
      </c>
      <c r="V310" s="265">
        <f t="shared" si="130"/>
        <v>43882</v>
      </c>
    </row>
    <row r="311" spans="1:26" s="22" customFormat="1" hidden="1" outlineLevel="1" x14ac:dyDescent="0.25">
      <c r="A311" s="120">
        <f t="shared" si="119"/>
        <v>9</v>
      </c>
      <c r="B311" s="392">
        <v>43889</v>
      </c>
      <c r="C311" s="231" t="s">
        <v>657</v>
      </c>
      <c r="D311" s="76"/>
      <c r="E311" s="231"/>
      <c r="F311" s="231"/>
      <c r="G311" s="231"/>
      <c r="H311" s="76"/>
      <c r="I311" s="232"/>
      <c r="J311" s="76"/>
      <c r="K311" s="76"/>
      <c r="L311" s="76">
        <f t="shared" si="120"/>
        <v>0</v>
      </c>
      <c r="M311" s="76"/>
      <c r="N311" s="76"/>
      <c r="O311" s="76"/>
      <c r="P311" s="76"/>
      <c r="Q311" s="76">
        <f t="shared" si="126"/>
        <v>0</v>
      </c>
      <c r="R311" s="76">
        <f t="shared" si="127"/>
        <v>0</v>
      </c>
      <c r="S311" s="76">
        <f t="shared" si="128"/>
        <v>0</v>
      </c>
      <c r="T311" s="129"/>
      <c r="U311" s="120" t="str">
        <f t="shared" si="129"/>
        <v>VAK:43889</v>
      </c>
      <c r="V311" s="265">
        <f t="shared" si="130"/>
        <v>43882</v>
      </c>
    </row>
    <row r="312" spans="1:26" s="22" customFormat="1" hidden="1" outlineLevel="1" x14ac:dyDescent="0.25">
      <c r="A312" s="120">
        <f t="shared" si="119"/>
        <v>10</v>
      </c>
      <c r="B312" s="392">
        <v>43921</v>
      </c>
      <c r="C312" s="231" t="s">
        <v>657</v>
      </c>
      <c r="D312" s="76"/>
      <c r="E312" s="231"/>
      <c r="F312" s="231"/>
      <c r="G312" s="231"/>
      <c r="H312" s="76"/>
      <c r="I312" s="232"/>
      <c r="J312" s="76"/>
      <c r="K312" s="76"/>
      <c r="L312" s="76">
        <f t="shared" si="120"/>
        <v>0</v>
      </c>
      <c r="M312" s="76"/>
      <c r="N312" s="76"/>
      <c r="O312" s="76"/>
      <c r="P312" s="76"/>
      <c r="Q312" s="76">
        <f t="shared" si="126"/>
        <v>0</v>
      </c>
      <c r="R312" s="76">
        <f t="shared" si="127"/>
        <v>0</v>
      </c>
      <c r="S312" s="76">
        <f t="shared" si="128"/>
        <v>0</v>
      </c>
      <c r="T312" s="129"/>
      <c r="U312" s="120" t="str">
        <f t="shared" si="129"/>
        <v>VAK:43921</v>
      </c>
      <c r="V312" s="265">
        <f t="shared" si="130"/>
        <v>43942</v>
      </c>
    </row>
    <row r="313" spans="1:26" s="22" customFormat="1" hidden="1" outlineLevel="1" x14ac:dyDescent="0.25">
      <c r="A313" s="120">
        <f t="shared" si="119"/>
        <v>11</v>
      </c>
      <c r="B313" s="392">
        <v>43951</v>
      </c>
      <c r="C313" s="231" t="s">
        <v>657</v>
      </c>
      <c r="D313" s="76"/>
      <c r="E313" s="231"/>
      <c r="F313" s="231"/>
      <c r="G313" s="231"/>
      <c r="H313" s="76"/>
      <c r="I313" s="232"/>
      <c r="J313" s="76"/>
      <c r="K313" s="76"/>
      <c r="L313" s="76">
        <f t="shared" si="120"/>
        <v>0</v>
      </c>
      <c r="M313" s="76"/>
      <c r="N313" s="76"/>
      <c r="O313" s="76"/>
      <c r="P313" s="76"/>
      <c r="Q313" s="76">
        <f t="shared" si="126"/>
        <v>0</v>
      </c>
      <c r="R313" s="76">
        <f t="shared" si="127"/>
        <v>0</v>
      </c>
      <c r="S313" s="76">
        <f t="shared" si="128"/>
        <v>0</v>
      </c>
      <c r="T313" s="129"/>
      <c r="U313" s="120" t="str">
        <f t="shared" si="129"/>
        <v>VAK:43951</v>
      </c>
      <c r="V313" s="265">
        <f t="shared" si="130"/>
        <v>43972</v>
      </c>
    </row>
    <row r="314" spans="1:26" s="22" customFormat="1" hidden="1" outlineLevel="1" x14ac:dyDescent="0.25">
      <c r="A314" s="120">
        <f t="shared" si="119"/>
        <v>12</v>
      </c>
      <c r="B314" s="392">
        <v>43982</v>
      </c>
      <c r="C314" s="231" t="s">
        <v>657</v>
      </c>
      <c r="D314" s="76"/>
      <c r="E314" s="231"/>
      <c r="F314" s="231"/>
      <c r="G314" s="231"/>
      <c r="H314" s="76"/>
      <c r="I314" s="232"/>
      <c r="J314" s="76"/>
      <c r="K314" s="76"/>
      <c r="L314" s="76">
        <f t="shared" si="120"/>
        <v>0</v>
      </c>
      <c r="M314" s="76"/>
      <c r="N314" s="76"/>
      <c r="O314" s="76"/>
      <c r="P314" s="76"/>
      <c r="Q314" s="76">
        <f t="shared" si="126"/>
        <v>0</v>
      </c>
      <c r="R314" s="76">
        <f t="shared" si="127"/>
        <v>0</v>
      </c>
      <c r="S314" s="76">
        <f t="shared" si="128"/>
        <v>0</v>
      </c>
      <c r="T314" s="129"/>
      <c r="U314" s="120" t="str">
        <f t="shared" si="129"/>
        <v>VAK:43982</v>
      </c>
      <c r="V314" s="265">
        <f t="shared" si="130"/>
        <v>44003</v>
      </c>
      <c r="X314" s="35"/>
      <c r="Y314" s="35"/>
      <c r="Z314" s="35"/>
    </row>
    <row r="315" spans="1:26" s="22" customFormat="1" hidden="1" outlineLevel="1" x14ac:dyDescent="0.25">
      <c r="A315" s="120">
        <f t="shared" si="119"/>
        <v>1</v>
      </c>
      <c r="B315" s="392">
        <v>43646</v>
      </c>
      <c r="C315" s="231" t="s">
        <v>658</v>
      </c>
      <c r="D315" s="76"/>
      <c r="E315" s="231"/>
      <c r="F315" s="231"/>
      <c r="G315" s="231"/>
      <c r="H315" s="76"/>
      <c r="I315" s="232">
        <v>57</v>
      </c>
      <c r="J315" s="76"/>
      <c r="K315" s="76"/>
      <c r="L315" s="76">
        <f t="shared" si="120"/>
        <v>51.82</v>
      </c>
      <c r="M315" s="76"/>
      <c r="N315" s="76"/>
      <c r="O315" s="76"/>
      <c r="P315" s="76"/>
      <c r="Q315" s="76">
        <f t="shared" si="126"/>
        <v>5.18</v>
      </c>
      <c r="R315" s="76">
        <f t="shared" si="127"/>
        <v>51.82</v>
      </c>
      <c r="S315" s="76">
        <f t="shared" si="128"/>
        <v>57</v>
      </c>
      <c r="T315" s="129"/>
      <c r="U315" s="120" t="str">
        <f t="shared" si="129"/>
        <v>ASW:43646</v>
      </c>
      <c r="V315" s="265">
        <f t="shared" si="130"/>
        <v>43667</v>
      </c>
      <c r="X315"/>
      <c r="Y315"/>
      <c r="Z315"/>
    </row>
    <row r="316" spans="1:26" s="22" customFormat="1" hidden="1" outlineLevel="1" x14ac:dyDescent="0.25">
      <c r="A316" s="120">
        <f t="shared" si="119"/>
        <v>2</v>
      </c>
      <c r="B316" s="392">
        <v>43677</v>
      </c>
      <c r="C316" s="231" t="s">
        <v>658</v>
      </c>
      <c r="D316" s="76"/>
      <c r="E316" s="231"/>
      <c r="F316" s="231"/>
      <c r="G316" s="231"/>
      <c r="H316" s="76"/>
      <c r="I316" s="232">
        <v>61.6</v>
      </c>
      <c r="J316" s="76"/>
      <c r="K316" s="76"/>
      <c r="L316" s="76">
        <f t="shared" si="120"/>
        <v>56</v>
      </c>
      <c r="M316" s="76"/>
      <c r="N316" s="76"/>
      <c r="O316" s="76"/>
      <c r="P316" s="76"/>
      <c r="Q316" s="76">
        <f t="shared" si="126"/>
        <v>5.6000000000000014</v>
      </c>
      <c r="R316" s="76">
        <f t="shared" si="127"/>
        <v>56</v>
      </c>
      <c r="S316" s="76">
        <f t="shared" si="128"/>
        <v>61.6</v>
      </c>
      <c r="T316" s="129"/>
      <c r="U316" s="120" t="str">
        <f t="shared" si="129"/>
        <v>ASW:43677</v>
      </c>
      <c r="V316" s="265">
        <f t="shared" si="130"/>
        <v>43698</v>
      </c>
      <c r="X316"/>
      <c r="Y316"/>
      <c r="Z316"/>
    </row>
    <row r="317" spans="1:26" s="22" customFormat="1" hidden="1" outlineLevel="1" x14ac:dyDescent="0.25">
      <c r="A317" s="120">
        <f t="shared" si="119"/>
        <v>3</v>
      </c>
      <c r="B317" s="392">
        <v>43708</v>
      </c>
      <c r="C317" s="231" t="s">
        <v>658</v>
      </c>
      <c r="D317" s="76"/>
      <c r="E317" s="231"/>
      <c r="F317" s="231"/>
      <c r="G317" s="231"/>
      <c r="H317" s="76"/>
      <c r="I317" s="232">
        <v>61.6</v>
      </c>
      <c r="J317" s="76"/>
      <c r="K317" s="76"/>
      <c r="L317" s="76">
        <f>ROUND($I317/11*10,2)</f>
        <v>56</v>
      </c>
      <c r="M317" s="76"/>
      <c r="N317" s="76"/>
      <c r="O317" s="76"/>
      <c r="P317" s="76"/>
      <c r="Q317" s="76">
        <f t="shared" si="126"/>
        <v>5.6000000000000014</v>
      </c>
      <c r="R317" s="76">
        <f t="shared" si="127"/>
        <v>56</v>
      </c>
      <c r="S317" s="76">
        <f t="shared" si="128"/>
        <v>61.6</v>
      </c>
      <c r="T317" s="129"/>
      <c r="U317" s="120" t="str">
        <f t="shared" si="129"/>
        <v>ASW:43708</v>
      </c>
      <c r="V317" s="265">
        <f t="shared" si="130"/>
        <v>43729</v>
      </c>
      <c r="X317"/>
      <c r="Y317"/>
      <c r="Z317"/>
    </row>
    <row r="318" spans="1:26" s="22" customFormat="1" hidden="1" outlineLevel="1" x14ac:dyDescent="0.25">
      <c r="A318" s="120">
        <f t="shared" si="119"/>
        <v>4</v>
      </c>
      <c r="B318" s="392">
        <v>43738</v>
      </c>
      <c r="C318" s="231" t="s">
        <v>658</v>
      </c>
      <c r="D318" s="76"/>
      <c r="E318" s="231"/>
      <c r="F318" s="231"/>
      <c r="G318" s="231"/>
      <c r="H318" s="76"/>
      <c r="I318" s="232"/>
      <c r="J318" s="76"/>
      <c r="K318" s="76"/>
      <c r="L318" s="76">
        <f t="shared" si="120"/>
        <v>0</v>
      </c>
      <c r="M318" s="76"/>
      <c r="N318" s="76"/>
      <c r="O318" s="76"/>
      <c r="P318" s="76"/>
      <c r="Q318" s="76">
        <f t="shared" si="126"/>
        <v>0</v>
      </c>
      <c r="R318" s="76">
        <f t="shared" si="127"/>
        <v>0</v>
      </c>
      <c r="S318" s="76">
        <f t="shared" si="128"/>
        <v>0</v>
      </c>
      <c r="T318" s="129"/>
      <c r="U318" s="120" t="str">
        <f t="shared" si="129"/>
        <v>ASW:43738</v>
      </c>
      <c r="V318" s="265">
        <f t="shared" si="130"/>
        <v>43759</v>
      </c>
      <c r="X318"/>
      <c r="Y318"/>
      <c r="Z318"/>
    </row>
    <row r="319" spans="1:26" s="22" customFormat="1" hidden="1" outlineLevel="1" x14ac:dyDescent="0.25">
      <c r="A319" s="120">
        <f t="shared" si="119"/>
        <v>5</v>
      </c>
      <c r="B319" s="392">
        <v>43769</v>
      </c>
      <c r="C319" s="231" t="s">
        <v>658</v>
      </c>
      <c r="D319" s="76"/>
      <c r="E319" s="231"/>
      <c r="F319" s="231"/>
      <c r="G319" s="231"/>
      <c r="H319" s="76"/>
      <c r="I319" s="232"/>
      <c r="J319" s="76"/>
      <c r="K319" s="76"/>
      <c r="L319" s="76">
        <f t="shared" si="120"/>
        <v>0</v>
      </c>
      <c r="M319" s="76"/>
      <c r="N319" s="76"/>
      <c r="O319" s="76"/>
      <c r="P319" s="76"/>
      <c r="Q319" s="76">
        <f t="shared" si="126"/>
        <v>0</v>
      </c>
      <c r="R319" s="76">
        <f t="shared" si="127"/>
        <v>0</v>
      </c>
      <c r="S319" s="76">
        <f t="shared" si="128"/>
        <v>0</v>
      </c>
      <c r="T319" s="129"/>
      <c r="U319" s="120" t="str">
        <f t="shared" si="129"/>
        <v>ASW:43769</v>
      </c>
      <c r="V319" s="265">
        <f t="shared" si="130"/>
        <v>43790</v>
      </c>
      <c r="X319"/>
      <c r="Y319"/>
      <c r="Z319"/>
    </row>
    <row r="320" spans="1:26" s="22" customFormat="1" hidden="1" outlineLevel="1" x14ac:dyDescent="0.25">
      <c r="A320" s="120">
        <f t="shared" si="119"/>
        <v>6</v>
      </c>
      <c r="B320" s="392">
        <v>43799</v>
      </c>
      <c r="C320" s="231" t="s">
        <v>658</v>
      </c>
      <c r="D320" s="76"/>
      <c r="E320" s="231"/>
      <c r="F320" s="231"/>
      <c r="G320" s="231"/>
      <c r="H320" s="76"/>
      <c r="I320" s="232"/>
      <c r="J320" s="76"/>
      <c r="K320" s="76"/>
      <c r="L320" s="76">
        <f t="shared" si="120"/>
        <v>0</v>
      </c>
      <c r="M320" s="76"/>
      <c r="N320" s="76"/>
      <c r="O320" s="76"/>
      <c r="P320" s="76"/>
      <c r="Q320" s="76">
        <f t="shared" si="126"/>
        <v>0</v>
      </c>
      <c r="R320" s="76">
        <f t="shared" si="127"/>
        <v>0</v>
      </c>
      <c r="S320" s="76">
        <f t="shared" si="128"/>
        <v>0</v>
      </c>
      <c r="T320" s="129"/>
      <c r="U320" s="120" t="str">
        <f t="shared" si="129"/>
        <v>ASW:43799</v>
      </c>
      <c r="V320" s="265">
        <f t="shared" si="130"/>
        <v>43820</v>
      </c>
      <c r="X320"/>
      <c r="Y320"/>
      <c r="Z320"/>
    </row>
    <row r="321" spans="1:26" s="22" customFormat="1" hidden="1" outlineLevel="1" x14ac:dyDescent="0.25">
      <c r="A321" s="120">
        <f t="shared" si="119"/>
        <v>7</v>
      </c>
      <c r="B321" s="392">
        <v>43830</v>
      </c>
      <c r="C321" s="231" t="s">
        <v>658</v>
      </c>
      <c r="D321" s="76"/>
      <c r="E321" s="231"/>
      <c r="F321" s="231"/>
      <c r="G321" s="231"/>
      <c r="H321" s="76"/>
      <c r="I321" s="232"/>
      <c r="J321" s="76"/>
      <c r="K321" s="76"/>
      <c r="L321" s="76">
        <f t="shared" si="120"/>
        <v>0</v>
      </c>
      <c r="M321" s="76"/>
      <c r="N321" s="76"/>
      <c r="O321" s="76"/>
      <c r="P321" s="76"/>
      <c r="Q321" s="76">
        <f t="shared" si="126"/>
        <v>0</v>
      </c>
      <c r="R321" s="76">
        <f t="shared" si="127"/>
        <v>0</v>
      </c>
      <c r="S321" s="76">
        <f t="shared" si="128"/>
        <v>0</v>
      </c>
      <c r="T321" s="129"/>
      <c r="U321" s="120" t="str">
        <f t="shared" si="129"/>
        <v>ASW:43830</v>
      </c>
      <c r="V321" s="265">
        <f t="shared" si="130"/>
        <v>43851</v>
      </c>
      <c r="X321"/>
      <c r="Y321"/>
      <c r="Z321"/>
    </row>
    <row r="322" spans="1:26" s="22" customFormat="1" hidden="1" outlineLevel="1" x14ac:dyDescent="0.25">
      <c r="A322" s="120">
        <f t="shared" si="119"/>
        <v>8</v>
      </c>
      <c r="B322" s="392">
        <v>43861</v>
      </c>
      <c r="C322" s="231" t="s">
        <v>658</v>
      </c>
      <c r="D322" s="76"/>
      <c r="E322" s="231"/>
      <c r="F322" s="231"/>
      <c r="G322" s="231"/>
      <c r="H322" s="76"/>
      <c r="I322" s="232"/>
      <c r="J322" s="76"/>
      <c r="K322" s="76"/>
      <c r="L322" s="76">
        <f t="shared" si="120"/>
        <v>0</v>
      </c>
      <c r="M322" s="76"/>
      <c r="N322" s="76"/>
      <c r="O322" s="76"/>
      <c r="P322" s="76"/>
      <c r="Q322" s="76">
        <f t="shared" si="126"/>
        <v>0</v>
      </c>
      <c r="R322" s="76">
        <f t="shared" si="127"/>
        <v>0</v>
      </c>
      <c r="S322" s="76">
        <f t="shared" si="128"/>
        <v>0</v>
      </c>
      <c r="T322" s="129"/>
      <c r="U322" s="120" t="str">
        <f t="shared" si="129"/>
        <v>ASW:43861</v>
      </c>
      <c r="V322" s="265">
        <f t="shared" si="130"/>
        <v>43882</v>
      </c>
      <c r="X322"/>
      <c r="Y322"/>
      <c r="Z322"/>
    </row>
    <row r="323" spans="1:26" s="22" customFormat="1" hidden="1" outlineLevel="1" x14ac:dyDescent="0.25">
      <c r="A323" s="120">
        <f t="shared" si="119"/>
        <v>9</v>
      </c>
      <c r="B323" s="392">
        <v>43889</v>
      </c>
      <c r="C323" s="231" t="s">
        <v>658</v>
      </c>
      <c r="D323" s="76"/>
      <c r="E323" s="231"/>
      <c r="F323" s="231"/>
      <c r="G323" s="231"/>
      <c r="H323" s="76"/>
      <c r="I323" s="232"/>
      <c r="J323" s="76"/>
      <c r="K323" s="76"/>
      <c r="L323" s="76">
        <f t="shared" si="120"/>
        <v>0</v>
      </c>
      <c r="M323" s="76"/>
      <c r="N323" s="76"/>
      <c r="O323" s="76"/>
      <c r="P323" s="76"/>
      <c r="Q323" s="76">
        <f t="shared" si="126"/>
        <v>0</v>
      </c>
      <c r="R323" s="76">
        <f t="shared" si="127"/>
        <v>0</v>
      </c>
      <c r="S323" s="76">
        <f t="shared" si="128"/>
        <v>0</v>
      </c>
      <c r="T323" s="129"/>
      <c r="U323" s="120" t="str">
        <f t="shared" si="129"/>
        <v>ASW:43889</v>
      </c>
      <c r="V323" s="265">
        <f t="shared" si="130"/>
        <v>43882</v>
      </c>
      <c r="X323"/>
      <c r="Y323"/>
      <c r="Z323"/>
    </row>
    <row r="324" spans="1:26" s="22" customFormat="1" hidden="1" outlineLevel="1" x14ac:dyDescent="0.25">
      <c r="A324" s="120">
        <f t="shared" si="119"/>
        <v>10</v>
      </c>
      <c r="B324" s="392">
        <v>43921</v>
      </c>
      <c r="C324" s="231" t="s">
        <v>658</v>
      </c>
      <c r="D324" s="76"/>
      <c r="E324" s="231"/>
      <c r="F324" s="231"/>
      <c r="G324" s="231"/>
      <c r="H324" s="76"/>
      <c r="I324" s="232"/>
      <c r="J324" s="76"/>
      <c r="K324" s="76"/>
      <c r="L324" s="76">
        <f t="shared" si="120"/>
        <v>0</v>
      </c>
      <c r="M324" s="76"/>
      <c r="N324" s="76"/>
      <c r="O324" s="76"/>
      <c r="P324" s="76"/>
      <c r="Q324" s="76">
        <f t="shared" si="126"/>
        <v>0</v>
      </c>
      <c r="R324" s="76">
        <f t="shared" si="127"/>
        <v>0</v>
      </c>
      <c r="S324" s="76">
        <f t="shared" si="128"/>
        <v>0</v>
      </c>
      <c r="T324" s="129"/>
      <c r="U324" s="120" t="str">
        <f t="shared" si="129"/>
        <v>ASW:43921</v>
      </c>
      <c r="V324" s="265">
        <f t="shared" si="130"/>
        <v>43942</v>
      </c>
      <c r="X324"/>
      <c r="Y324"/>
      <c r="Z324"/>
    </row>
    <row r="325" spans="1:26" s="22" customFormat="1" hidden="1" outlineLevel="1" x14ac:dyDescent="0.25">
      <c r="A325" s="120">
        <f t="shared" si="119"/>
        <v>11</v>
      </c>
      <c r="B325" s="392">
        <v>43951</v>
      </c>
      <c r="C325" s="231" t="s">
        <v>658</v>
      </c>
      <c r="D325" s="76"/>
      <c r="E325" s="231"/>
      <c r="F325" s="231"/>
      <c r="G325" s="231"/>
      <c r="H325" s="76"/>
      <c r="I325" s="232"/>
      <c r="J325" s="76"/>
      <c r="K325" s="76"/>
      <c r="L325" s="76">
        <f t="shared" si="120"/>
        <v>0</v>
      </c>
      <c r="M325" s="76"/>
      <c r="N325" s="76"/>
      <c r="O325" s="76"/>
      <c r="P325" s="76"/>
      <c r="Q325" s="76">
        <f t="shared" si="126"/>
        <v>0</v>
      </c>
      <c r="R325" s="76">
        <f t="shared" si="127"/>
        <v>0</v>
      </c>
      <c r="S325" s="76">
        <f t="shared" si="128"/>
        <v>0</v>
      </c>
      <c r="T325" s="129"/>
      <c r="U325" s="120" t="str">
        <f t="shared" si="129"/>
        <v>ASW:43951</v>
      </c>
      <c r="V325" s="265">
        <f t="shared" si="130"/>
        <v>43972</v>
      </c>
      <c r="X325"/>
      <c r="Y325"/>
      <c r="Z325"/>
    </row>
    <row r="326" spans="1:26" s="22" customFormat="1" hidden="1" outlineLevel="1" x14ac:dyDescent="0.25">
      <c r="A326" s="120">
        <f t="shared" si="119"/>
        <v>12</v>
      </c>
      <c r="B326" s="392">
        <v>43982</v>
      </c>
      <c r="C326" s="231" t="s">
        <v>658</v>
      </c>
      <c r="D326" s="76"/>
      <c r="E326" s="231"/>
      <c r="F326" s="231"/>
      <c r="G326" s="231"/>
      <c r="H326" s="76"/>
      <c r="I326" s="232"/>
      <c r="J326" s="76"/>
      <c r="K326" s="76"/>
      <c r="L326" s="76">
        <f t="shared" si="120"/>
        <v>0</v>
      </c>
      <c r="M326" s="76"/>
      <c r="N326" s="76"/>
      <c r="O326" s="76"/>
      <c r="P326" s="76"/>
      <c r="Q326" s="76">
        <f t="shared" si="126"/>
        <v>0</v>
      </c>
      <c r="R326" s="76">
        <f t="shared" si="127"/>
        <v>0</v>
      </c>
      <c r="S326" s="76">
        <f t="shared" si="128"/>
        <v>0</v>
      </c>
      <c r="T326" s="129"/>
      <c r="U326" s="120" t="str">
        <f t="shared" si="129"/>
        <v>ASW:43982</v>
      </c>
      <c r="V326" s="265">
        <f t="shared" si="130"/>
        <v>44003</v>
      </c>
      <c r="X326"/>
      <c r="Y326"/>
      <c r="Z326"/>
    </row>
    <row r="327" spans="1:26" s="22" customFormat="1" hidden="1" outlineLevel="1" x14ac:dyDescent="0.25">
      <c r="A327" s="120">
        <f t="shared" si="119"/>
        <v>2</v>
      </c>
      <c r="B327" s="392">
        <v>43681</v>
      </c>
      <c r="C327" s="231" t="s">
        <v>669</v>
      </c>
      <c r="D327" s="76"/>
      <c r="E327" s="231"/>
      <c r="F327" s="336"/>
      <c r="G327" s="231"/>
      <c r="H327" s="76"/>
      <c r="I327" s="232">
        <v>669</v>
      </c>
      <c r="J327" s="76"/>
      <c r="K327" s="76"/>
      <c r="L327" s="76">
        <f t="shared" si="120"/>
        <v>608.17999999999995</v>
      </c>
      <c r="M327" s="76"/>
      <c r="N327" s="76"/>
      <c r="O327" s="76"/>
      <c r="P327" s="76"/>
      <c r="Q327" s="76">
        <f t="shared" si="126"/>
        <v>60.82000000000005</v>
      </c>
      <c r="R327" s="76">
        <f t="shared" si="127"/>
        <v>608.17999999999995</v>
      </c>
      <c r="S327" s="76">
        <f t="shared" si="128"/>
        <v>669</v>
      </c>
      <c r="T327" s="129"/>
      <c r="U327" s="120" t="str">
        <f t="shared" si="129"/>
        <v>DP:43681</v>
      </c>
      <c r="V327" s="265">
        <f t="shared" si="130"/>
        <v>43698</v>
      </c>
    </row>
    <row r="328" spans="1:26" s="22" customFormat="1" hidden="1" outlineLevel="1" x14ac:dyDescent="0.25">
      <c r="A328" s="120">
        <f t="shared" si="119"/>
        <v>3</v>
      </c>
      <c r="B328" s="392">
        <v>43709</v>
      </c>
      <c r="C328" s="231" t="s">
        <v>669</v>
      </c>
      <c r="D328" s="76"/>
      <c r="E328" s="231"/>
      <c r="F328" s="336"/>
      <c r="G328" s="231"/>
      <c r="H328" s="76"/>
      <c r="I328" s="232">
        <v>575</v>
      </c>
      <c r="J328" s="76"/>
      <c r="K328" s="76"/>
      <c r="L328" s="76">
        <f t="shared" si="120"/>
        <v>522.73</v>
      </c>
      <c r="M328" s="76"/>
      <c r="N328" s="76"/>
      <c r="O328" s="76"/>
      <c r="P328" s="76"/>
      <c r="Q328" s="76">
        <f t="shared" si="126"/>
        <v>52.269999999999982</v>
      </c>
      <c r="R328" s="76">
        <f t="shared" si="127"/>
        <v>522.73</v>
      </c>
      <c r="S328" s="76">
        <f t="shared" si="128"/>
        <v>575</v>
      </c>
      <c r="T328" s="129"/>
      <c r="U328" s="120" t="str">
        <f t="shared" si="129"/>
        <v>DP:43709</v>
      </c>
      <c r="V328" s="265">
        <f t="shared" si="130"/>
        <v>43729</v>
      </c>
    </row>
    <row r="329" spans="1:26" s="22" customFormat="1" hidden="1" outlineLevel="1" x14ac:dyDescent="0.25">
      <c r="A329" s="120">
        <f t="shared" si="119"/>
        <v>4</v>
      </c>
      <c r="B329" s="392">
        <v>43737</v>
      </c>
      <c r="C329" s="231" t="s">
        <v>669</v>
      </c>
      <c r="D329" s="76"/>
      <c r="E329" s="231"/>
      <c r="F329" s="336"/>
      <c r="G329" s="231"/>
      <c r="H329" s="76"/>
      <c r="I329" s="232">
        <v>600</v>
      </c>
      <c r="J329" s="76"/>
      <c r="K329" s="76"/>
      <c r="L329" s="76">
        <f t="shared" si="120"/>
        <v>545.45000000000005</v>
      </c>
      <c r="M329" s="76"/>
      <c r="N329" s="76"/>
      <c r="O329" s="76"/>
      <c r="P329" s="76"/>
      <c r="Q329" s="76">
        <f t="shared" si="126"/>
        <v>54.549999999999955</v>
      </c>
      <c r="R329" s="76">
        <f t="shared" si="127"/>
        <v>545.45000000000005</v>
      </c>
      <c r="S329" s="76">
        <f t="shared" si="128"/>
        <v>600</v>
      </c>
      <c r="T329" s="129"/>
      <c r="U329" s="120" t="str">
        <f t="shared" si="129"/>
        <v>DP:43737</v>
      </c>
      <c r="V329" s="265">
        <f t="shared" si="130"/>
        <v>43729</v>
      </c>
    </row>
    <row r="330" spans="1:26" s="22" customFormat="1" hidden="1" outlineLevel="1" x14ac:dyDescent="0.25">
      <c r="A330" s="120">
        <f t="shared" si="119"/>
        <v>0</v>
      </c>
      <c r="B330" s="392"/>
      <c r="C330" s="231" t="s">
        <v>669</v>
      </c>
      <c r="D330" s="76"/>
      <c r="E330" s="231"/>
      <c r="F330" s="336"/>
      <c r="G330" s="231"/>
      <c r="H330" s="76"/>
      <c r="I330" s="232"/>
      <c r="J330" s="76"/>
      <c r="K330" s="76"/>
      <c r="L330" s="76">
        <f t="shared" si="120"/>
        <v>0</v>
      </c>
      <c r="M330" s="76"/>
      <c r="N330" s="76"/>
      <c r="O330" s="76"/>
      <c r="P330" s="76"/>
      <c r="Q330" s="76">
        <f t="shared" si="126"/>
        <v>0</v>
      </c>
      <c r="R330" s="76">
        <f t="shared" ref="R330:R366" si="131">SUM($K330:$L330)</f>
        <v>0</v>
      </c>
      <c r="S330" s="76">
        <f t="shared" ref="S330:S366" si="132">SUM(K330:L330)+O330+Q330</f>
        <v>0</v>
      </c>
      <c r="T330" s="129"/>
      <c r="U330" s="120" t="str">
        <f t="shared" ref="U330:U341" si="133">C330 &amp;":"&amp; B330</f>
        <v>DP:</v>
      </c>
      <c r="V330" s="265">
        <f t="shared" ref="V330:V345" si="134">DATE(YEAR(B330+1),MONTH(B330+1),VLOOKUP(C330,payEmpNames,4))</f>
        <v>21</v>
      </c>
    </row>
    <row r="331" spans="1:26" s="22" customFormat="1" hidden="1" outlineLevel="1" x14ac:dyDescent="0.25">
      <c r="A331" s="120">
        <f t="shared" si="119"/>
        <v>5</v>
      </c>
      <c r="B331" s="392">
        <v>43773</v>
      </c>
      <c r="C331" s="231" t="s">
        <v>669</v>
      </c>
      <c r="D331" s="76"/>
      <c r="E331" s="231"/>
      <c r="F331" s="336"/>
      <c r="G331" s="231"/>
      <c r="H331" s="76"/>
      <c r="I331" s="232"/>
      <c r="J331" s="76"/>
      <c r="K331" s="76"/>
      <c r="L331" s="76">
        <f t="shared" si="120"/>
        <v>0</v>
      </c>
      <c r="M331" s="76"/>
      <c r="N331" s="76"/>
      <c r="O331" s="76"/>
      <c r="P331" s="76"/>
      <c r="Q331" s="76">
        <f t="shared" si="126"/>
        <v>0</v>
      </c>
      <c r="R331" s="76">
        <f t="shared" si="131"/>
        <v>0</v>
      </c>
      <c r="S331" s="76">
        <f t="shared" si="132"/>
        <v>0</v>
      </c>
      <c r="T331" s="129"/>
      <c r="U331" s="120" t="str">
        <f t="shared" si="133"/>
        <v>DP:43773</v>
      </c>
      <c r="V331" s="265">
        <f t="shared" si="134"/>
        <v>43790</v>
      </c>
    </row>
    <row r="332" spans="1:26" s="22" customFormat="1" hidden="1" outlineLevel="1" x14ac:dyDescent="0.25">
      <c r="A332" s="120">
        <f t="shared" si="119"/>
        <v>6</v>
      </c>
      <c r="B332" s="392">
        <v>43801</v>
      </c>
      <c r="C332" s="231" t="s">
        <v>669</v>
      </c>
      <c r="D332" s="76"/>
      <c r="E332" s="231"/>
      <c r="F332" s="336"/>
      <c r="G332" s="231"/>
      <c r="H332" s="76"/>
      <c r="I332" s="232"/>
      <c r="J332" s="76"/>
      <c r="K332" s="76"/>
      <c r="L332" s="76">
        <f t="shared" si="120"/>
        <v>0</v>
      </c>
      <c r="M332" s="76"/>
      <c r="N332" s="76"/>
      <c r="O332" s="76"/>
      <c r="P332" s="76"/>
      <c r="Q332" s="76">
        <f t="shared" ref="Q332:Q366" si="135">H332+I332-L332</f>
        <v>0</v>
      </c>
      <c r="R332" s="76">
        <f t="shared" si="131"/>
        <v>0</v>
      </c>
      <c r="S332" s="76">
        <f t="shared" si="132"/>
        <v>0</v>
      </c>
      <c r="T332" s="129"/>
      <c r="U332" s="120" t="str">
        <f t="shared" si="133"/>
        <v>DP:43801</v>
      </c>
      <c r="V332" s="265">
        <f t="shared" si="134"/>
        <v>43820</v>
      </c>
    </row>
    <row r="333" spans="1:26" s="22" customFormat="1" hidden="1" outlineLevel="1" x14ac:dyDescent="0.25">
      <c r="A333" s="120">
        <f t="shared" si="119"/>
        <v>8</v>
      </c>
      <c r="B333" s="392">
        <v>43871</v>
      </c>
      <c r="C333" s="231" t="s">
        <v>669</v>
      </c>
      <c r="D333" s="76"/>
      <c r="E333" s="231"/>
      <c r="F333" s="336"/>
      <c r="G333" s="231"/>
      <c r="H333" s="76"/>
      <c r="I333" s="232"/>
      <c r="J333" s="76"/>
      <c r="K333" s="76"/>
      <c r="L333" s="76">
        <f t="shared" si="120"/>
        <v>0</v>
      </c>
      <c r="M333" s="76"/>
      <c r="N333" s="76"/>
      <c r="O333" s="76"/>
      <c r="P333" s="76"/>
      <c r="Q333" s="76">
        <f t="shared" si="135"/>
        <v>0</v>
      </c>
      <c r="R333" s="76">
        <f t="shared" si="131"/>
        <v>0</v>
      </c>
      <c r="S333" s="76">
        <f t="shared" si="132"/>
        <v>0</v>
      </c>
      <c r="T333" s="129"/>
      <c r="U333" s="120" t="str">
        <f t="shared" si="133"/>
        <v>DP:43871</v>
      </c>
      <c r="V333" s="265">
        <f t="shared" si="134"/>
        <v>43882</v>
      </c>
    </row>
    <row r="334" spans="1:26" s="22" customFormat="1" hidden="1" outlineLevel="1" x14ac:dyDescent="0.25">
      <c r="A334" s="120">
        <f t="shared" si="119"/>
        <v>8</v>
      </c>
      <c r="B334" s="392">
        <v>43861</v>
      </c>
      <c r="C334" s="231" t="s">
        <v>669</v>
      </c>
      <c r="D334" s="76"/>
      <c r="E334" s="231"/>
      <c r="F334" s="336"/>
      <c r="G334" s="231"/>
      <c r="H334" s="76"/>
      <c r="I334" s="232"/>
      <c r="J334" s="76"/>
      <c r="K334" s="76"/>
      <c r="L334" s="76">
        <f t="shared" si="120"/>
        <v>0</v>
      </c>
      <c r="M334" s="76"/>
      <c r="N334" s="76"/>
      <c r="O334" s="76"/>
      <c r="P334" s="76"/>
      <c r="Q334" s="76">
        <f t="shared" si="135"/>
        <v>0</v>
      </c>
      <c r="R334" s="76">
        <f t="shared" si="131"/>
        <v>0</v>
      </c>
      <c r="S334" s="76">
        <f t="shared" si="132"/>
        <v>0</v>
      </c>
      <c r="T334" s="129"/>
      <c r="U334" s="120" t="str">
        <f t="shared" si="133"/>
        <v>DP:43861</v>
      </c>
      <c r="V334" s="265">
        <f t="shared" si="134"/>
        <v>43882</v>
      </c>
    </row>
    <row r="335" spans="1:26" s="22" customFormat="1" hidden="1" outlineLevel="1" x14ac:dyDescent="0.25">
      <c r="A335" s="120">
        <f t="shared" si="119"/>
        <v>9</v>
      </c>
      <c r="B335" s="392">
        <v>43900</v>
      </c>
      <c r="C335" s="231" t="s">
        <v>669</v>
      </c>
      <c r="D335" s="76"/>
      <c r="E335" s="231"/>
      <c r="F335" s="336"/>
      <c r="G335" s="231"/>
      <c r="H335" s="76"/>
      <c r="I335" s="232"/>
      <c r="J335" s="76"/>
      <c r="K335" s="76"/>
      <c r="L335" s="76">
        <f t="shared" si="120"/>
        <v>0</v>
      </c>
      <c r="M335" s="76"/>
      <c r="N335" s="76"/>
      <c r="O335" s="76"/>
      <c r="P335" s="76"/>
      <c r="Q335" s="76">
        <f t="shared" si="135"/>
        <v>0</v>
      </c>
      <c r="R335" s="76">
        <f t="shared" si="131"/>
        <v>0</v>
      </c>
      <c r="S335" s="76">
        <f t="shared" si="132"/>
        <v>0</v>
      </c>
      <c r="T335" s="129"/>
      <c r="U335" s="120" t="str">
        <f t="shared" si="133"/>
        <v>DP:43900</v>
      </c>
      <c r="V335" s="265">
        <f t="shared" si="134"/>
        <v>43911</v>
      </c>
    </row>
    <row r="336" spans="1:26" s="22" customFormat="1" hidden="1" outlineLevel="1" x14ac:dyDescent="0.25">
      <c r="A336" s="120">
        <f t="shared" si="119"/>
        <v>10</v>
      </c>
      <c r="B336" s="392">
        <v>43928</v>
      </c>
      <c r="C336" s="231" t="s">
        <v>669</v>
      </c>
      <c r="D336" s="76"/>
      <c r="E336" s="231"/>
      <c r="F336" s="336"/>
      <c r="G336" s="231"/>
      <c r="H336" s="76"/>
      <c r="I336" s="232"/>
      <c r="J336" s="76"/>
      <c r="K336" s="76"/>
      <c r="L336" s="76">
        <f t="shared" si="120"/>
        <v>0</v>
      </c>
      <c r="M336" s="76"/>
      <c r="N336" s="76"/>
      <c r="O336" s="76"/>
      <c r="P336" s="76"/>
      <c r="Q336" s="76">
        <f t="shared" si="135"/>
        <v>0</v>
      </c>
      <c r="R336" s="76">
        <f t="shared" si="131"/>
        <v>0</v>
      </c>
      <c r="S336" s="76">
        <f t="shared" si="132"/>
        <v>0</v>
      </c>
      <c r="T336" s="129"/>
      <c r="U336" s="120" t="str">
        <f t="shared" si="133"/>
        <v>DP:43928</v>
      </c>
      <c r="V336" s="265">
        <f t="shared" si="134"/>
        <v>43942</v>
      </c>
    </row>
    <row r="337" spans="1:26" s="22" customFormat="1" hidden="1" outlineLevel="1" x14ac:dyDescent="0.25">
      <c r="A337" s="120">
        <f t="shared" si="119"/>
        <v>11</v>
      </c>
      <c r="B337" s="392">
        <v>43970</v>
      </c>
      <c r="C337" s="231" t="s">
        <v>669</v>
      </c>
      <c r="D337" s="76"/>
      <c r="E337" s="231"/>
      <c r="F337" s="336"/>
      <c r="G337" s="231"/>
      <c r="H337" s="76"/>
      <c r="I337" s="232"/>
      <c r="J337" s="76"/>
      <c r="K337" s="76"/>
      <c r="L337" s="76">
        <f t="shared" si="120"/>
        <v>0</v>
      </c>
      <c r="M337" s="76"/>
      <c r="N337" s="76"/>
      <c r="O337" s="76"/>
      <c r="P337" s="76"/>
      <c r="Q337" s="76">
        <f t="shared" si="135"/>
        <v>0</v>
      </c>
      <c r="R337" s="76">
        <f t="shared" si="131"/>
        <v>0</v>
      </c>
      <c r="S337" s="76">
        <f t="shared" si="132"/>
        <v>0</v>
      </c>
      <c r="T337" s="129"/>
      <c r="U337" s="120" t="str">
        <f t="shared" si="133"/>
        <v>DP:43970</v>
      </c>
      <c r="V337" s="265">
        <f t="shared" si="134"/>
        <v>43972</v>
      </c>
    </row>
    <row r="338" spans="1:26" s="22" customFormat="1" hidden="1" outlineLevel="1" x14ac:dyDescent="0.25">
      <c r="A338" s="120">
        <f t="shared" si="119"/>
        <v>12</v>
      </c>
      <c r="B338" s="392">
        <v>43982</v>
      </c>
      <c r="C338" s="231" t="s">
        <v>669</v>
      </c>
      <c r="D338" s="76"/>
      <c r="E338" s="231"/>
      <c r="F338" s="336"/>
      <c r="G338" s="231"/>
      <c r="H338" s="76"/>
      <c r="I338" s="232"/>
      <c r="J338" s="76"/>
      <c r="K338" s="76"/>
      <c r="L338" s="76">
        <f t="shared" si="120"/>
        <v>0</v>
      </c>
      <c r="M338" s="76"/>
      <c r="N338" s="76"/>
      <c r="O338" s="76"/>
      <c r="P338" s="76"/>
      <c r="Q338" s="76">
        <f t="shared" si="135"/>
        <v>0</v>
      </c>
      <c r="R338" s="76">
        <f t="shared" si="131"/>
        <v>0</v>
      </c>
      <c r="S338" s="76">
        <f t="shared" si="132"/>
        <v>0</v>
      </c>
      <c r="T338" s="129"/>
      <c r="U338" s="120" t="str">
        <f t="shared" si="133"/>
        <v>DP:43982</v>
      </c>
      <c r="V338" s="265">
        <f t="shared" si="134"/>
        <v>44003</v>
      </c>
      <c r="X338" s="35"/>
      <c r="Y338" s="35"/>
      <c r="Z338" s="35"/>
    </row>
    <row r="339" spans="1:26" s="22" customFormat="1" outlineLevel="1" x14ac:dyDescent="0.25">
      <c r="A339" s="120">
        <f t="shared" si="119"/>
        <v>2</v>
      </c>
      <c r="B339" s="392">
        <v>43681</v>
      </c>
      <c r="C339" s="231" t="s">
        <v>678</v>
      </c>
      <c r="D339" s="76"/>
      <c r="E339" s="231"/>
      <c r="F339" s="231"/>
      <c r="G339" s="231"/>
      <c r="H339" s="76"/>
      <c r="I339" s="232">
        <v>680</v>
      </c>
      <c r="J339" s="76"/>
      <c r="K339" s="76"/>
      <c r="L339" s="76">
        <f t="shared" si="120"/>
        <v>618.17999999999995</v>
      </c>
      <c r="M339" s="76"/>
      <c r="N339" s="76"/>
      <c r="O339" s="76"/>
      <c r="P339" s="76"/>
      <c r="Q339" s="76">
        <f t="shared" si="135"/>
        <v>61.82000000000005</v>
      </c>
      <c r="R339" s="76">
        <f t="shared" si="131"/>
        <v>618.17999999999995</v>
      </c>
      <c r="S339" s="76">
        <f t="shared" si="132"/>
        <v>680</v>
      </c>
      <c r="T339" s="129"/>
      <c r="U339" s="120" t="str">
        <f t="shared" si="133"/>
        <v>ANK:43681</v>
      </c>
      <c r="V339" s="265">
        <f t="shared" si="134"/>
        <v>43698</v>
      </c>
      <c r="X339"/>
      <c r="Y339"/>
      <c r="Z339"/>
    </row>
    <row r="340" spans="1:26" s="22" customFormat="1" outlineLevel="1" x14ac:dyDescent="0.25">
      <c r="A340" s="120">
        <f t="shared" si="119"/>
        <v>3</v>
      </c>
      <c r="B340" s="392">
        <v>43709</v>
      </c>
      <c r="C340" s="231" t="s">
        <v>678</v>
      </c>
      <c r="D340" s="76"/>
      <c r="E340" s="231"/>
      <c r="F340" s="231"/>
      <c r="G340" s="231"/>
      <c r="H340" s="76"/>
      <c r="I340" s="232">
        <v>551</v>
      </c>
      <c r="J340" s="76"/>
      <c r="K340" s="76"/>
      <c r="L340" s="76">
        <f t="shared" si="120"/>
        <v>500.91</v>
      </c>
      <c r="M340" s="76"/>
      <c r="N340" s="76"/>
      <c r="O340" s="76"/>
      <c r="P340" s="76"/>
      <c r="Q340" s="76">
        <f t="shared" si="135"/>
        <v>50.089999999999975</v>
      </c>
      <c r="R340" s="76">
        <f t="shared" si="131"/>
        <v>500.91</v>
      </c>
      <c r="S340" s="76">
        <f t="shared" si="132"/>
        <v>551</v>
      </c>
      <c r="T340" s="129"/>
      <c r="U340" s="120" t="str">
        <f t="shared" si="133"/>
        <v>ANK:43709</v>
      </c>
      <c r="V340" s="265">
        <f t="shared" si="134"/>
        <v>43729</v>
      </c>
      <c r="X340"/>
      <c r="Y340"/>
      <c r="Z340"/>
    </row>
    <row r="341" spans="1:26" s="22" customFormat="1" outlineLevel="1" x14ac:dyDescent="0.25">
      <c r="A341" s="120">
        <f t="shared" si="119"/>
        <v>4</v>
      </c>
      <c r="B341" s="392">
        <v>43737</v>
      </c>
      <c r="C341" s="231" t="s">
        <v>678</v>
      </c>
      <c r="D341" s="76"/>
      <c r="E341" s="231"/>
      <c r="F341" s="231"/>
      <c r="G341" s="231"/>
      <c r="H341" s="76"/>
      <c r="I341" s="232">
        <v>526</v>
      </c>
      <c r="J341" s="76"/>
      <c r="K341" s="76"/>
      <c r="L341" s="76">
        <f t="shared" si="120"/>
        <v>478.18</v>
      </c>
      <c r="M341" s="76"/>
      <c r="N341" s="76"/>
      <c r="O341" s="76"/>
      <c r="P341" s="76"/>
      <c r="Q341" s="76">
        <f t="shared" si="135"/>
        <v>47.819999999999993</v>
      </c>
      <c r="R341" s="76">
        <f t="shared" si="131"/>
        <v>478.18</v>
      </c>
      <c r="S341" s="76">
        <f t="shared" si="132"/>
        <v>526</v>
      </c>
      <c r="T341" s="129"/>
      <c r="U341" s="120" t="str">
        <f t="shared" si="133"/>
        <v>ANK:43737</v>
      </c>
      <c r="V341" s="265">
        <f t="shared" si="134"/>
        <v>43729</v>
      </c>
      <c r="X341"/>
      <c r="Y341"/>
      <c r="Z341"/>
    </row>
    <row r="342" spans="1:26" s="22" customFormat="1" outlineLevel="1" x14ac:dyDescent="0.25">
      <c r="A342" s="120">
        <f t="shared" ref="A342:A366" si="136">GETPAYMONTH(B342)</f>
        <v>0</v>
      </c>
      <c r="B342" s="392"/>
      <c r="C342" s="231" t="s">
        <v>678</v>
      </c>
      <c r="D342" s="76"/>
      <c r="E342" s="231"/>
      <c r="F342" s="231"/>
      <c r="G342" s="231"/>
      <c r="H342" s="76"/>
      <c r="I342" s="232"/>
      <c r="J342" s="76"/>
      <c r="K342" s="76"/>
      <c r="L342" s="76">
        <f t="shared" ref="L342:L366" si="137">ROUND($I342/11*10,2)</f>
        <v>0</v>
      </c>
      <c r="M342" s="76"/>
      <c r="N342" s="76"/>
      <c r="O342" s="76"/>
      <c r="P342" s="76"/>
      <c r="Q342" s="76">
        <f t="shared" si="135"/>
        <v>0</v>
      </c>
      <c r="R342" s="76">
        <f t="shared" si="131"/>
        <v>0</v>
      </c>
      <c r="S342" s="76">
        <f t="shared" si="132"/>
        <v>0</v>
      </c>
      <c r="T342" s="129"/>
      <c r="U342" s="120" t="str">
        <f t="shared" ref="U342:U366" si="138">C342 &amp;":"&amp; B342</f>
        <v>ANK:</v>
      </c>
      <c r="V342" s="265">
        <f t="shared" si="134"/>
        <v>21</v>
      </c>
      <c r="X342"/>
      <c r="Y342"/>
      <c r="Z342"/>
    </row>
    <row r="343" spans="1:26" s="22" customFormat="1" outlineLevel="1" x14ac:dyDescent="0.25">
      <c r="A343" s="120">
        <f t="shared" si="136"/>
        <v>5</v>
      </c>
      <c r="B343" s="392">
        <v>43773</v>
      </c>
      <c r="C343" s="231" t="s">
        <v>678</v>
      </c>
      <c r="D343" s="76"/>
      <c r="E343" s="231"/>
      <c r="F343" s="231"/>
      <c r="G343" s="231"/>
      <c r="H343" s="76"/>
      <c r="I343" s="232"/>
      <c r="J343" s="76"/>
      <c r="K343" s="76"/>
      <c r="L343" s="76">
        <f t="shared" si="137"/>
        <v>0</v>
      </c>
      <c r="M343" s="76"/>
      <c r="N343" s="76"/>
      <c r="O343" s="76"/>
      <c r="P343" s="76"/>
      <c r="Q343" s="76">
        <f t="shared" si="135"/>
        <v>0</v>
      </c>
      <c r="R343" s="76">
        <f t="shared" si="131"/>
        <v>0</v>
      </c>
      <c r="S343" s="76">
        <f t="shared" si="132"/>
        <v>0</v>
      </c>
      <c r="T343" s="129"/>
      <c r="U343" s="120" t="str">
        <f t="shared" si="138"/>
        <v>ANK:43773</v>
      </c>
      <c r="V343" s="265">
        <f t="shared" si="134"/>
        <v>43790</v>
      </c>
      <c r="X343"/>
      <c r="Y343"/>
      <c r="Z343"/>
    </row>
    <row r="344" spans="1:26" s="22" customFormat="1" outlineLevel="1" x14ac:dyDescent="0.25">
      <c r="A344" s="120">
        <f t="shared" si="136"/>
        <v>6</v>
      </c>
      <c r="B344" s="392">
        <v>43801</v>
      </c>
      <c r="C344" s="231" t="s">
        <v>678</v>
      </c>
      <c r="D344" s="76"/>
      <c r="E344" s="231"/>
      <c r="F344" s="231"/>
      <c r="G344" s="231"/>
      <c r="H344" s="76"/>
      <c r="I344" s="232"/>
      <c r="J344" s="76"/>
      <c r="K344" s="76"/>
      <c r="L344" s="76">
        <f t="shared" si="137"/>
        <v>0</v>
      </c>
      <c r="M344" s="76"/>
      <c r="N344" s="76"/>
      <c r="O344" s="76"/>
      <c r="P344" s="76"/>
      <c r="Q344" s="76">
        <f t="shared" si="135"/>
        <v>0</v>
      </c>
      <c r="R344" s="76">
        <f t="shared" si="131"/>
        <v>0</v>
      </c>
      <c r="S344" s="76">
        <f t="shared" si="132"/>
        <v>0</v>
      </c>
      <c r="T344" s="129"/>
      <c r="U344" s="120" t="str">
        <f t="shared" si="138"/>
        <v>ANK:43801</v>
      </c>
      <c r="V344" s="265">
        <f t="shared" si="134"/>
        <v>43820</v>
      </c>
      <c r="X344"/>
      <c r="Y344"/>
      <c r="Z344"/>
    </row>
    <row r="345" spans="1:26" s="22" customFormat="1" outlineLevel="1" x14ac:dyDescent="0.25">
      <c r="A345" s="120">
        <f t="shared" si="136"/>
        <v>8</v>
      </c>
      <c r="B345" s="392">
        <v>43871</v>
      </c>
      <c r="C345" s="231" t="s">
        <v>678</v>
      </c>
      <c r="D345" s="76"/>
      <c r="E345" s="231"/>
      <c r="F345" s="231"/>
      <c r="G345" s="231"/>
      <c r="H345" s="76"/>
      <c r="I345" s="232"/>
      <c r="J345" s="76"/>
      <c r="K345" s="76"/>
      <c r="L345" s="76">
        <f t="shared" si="137"/>
        <v>0</v>
      </c>
      <c r="M345" s="76"/>
      <c r="N345" s="76"/>
      <c r="O345" s="76"/>
      <c r="P345" s="76"/>
      <c r="Q345" s="76">
        <f t="shared" si="135"/>
        <v>0</v>
      </c>
      <c r="R345" s="76">
        <f t="shared" si="131"/>
        <v>0</v>
      </c>
      <c r="S345" s="76">
        <f t="shared" si="132"/>
        <v>0</v>
      </c>
      <c r="T345" s="129"/>
      <c r="U345" s="120" t="str">
        <f t="shared" si="138"/>
        <v>ANK:43871</v>
      </c>
      <c r="V345" s="265">
        <f t="shared" si="134"/>
        <v>43882</v>
      </c>
      <c r="X345"/>
      <c r="Y345"/>
      <c r="Z345"/>
    </row>
    <row r="346" spans="1:26" s="22" customFormat="1" outlineLevel="1" x14ac:dyDescent="0.25">
      <c r="A346" s="120">
        <f t="shared" si="136"/>
        <v>8</v>
      </c>
      <c r="B346" s="392">
        <v>43861</v>
      </c>
      <c r="C346" s="231" t="s">
        <v>678</v>
      </c>
      <c r="D346" s="76"/>
      <c r="E346" s="231"/>
      <c r="F346" s="231"/>
      <c r="G346" s="231"/>
      <c r="H346" s="76"/>
      <c r="I346" s="232"/>
      <c r="J346" s="76"/>
      <c r="K346" s="76"/>
      <c r="L346" s="76">
        <f t="shared" si="137"/>
        <v>0</v>
      </c>
      <c r="M346" s="76"/>
      <c r="N346" s="76"/>
      <c r="O346" s="76"/>
      <c r="P346" s="76"/>
      <c r="Q346" s="76">
        <f t="shared" si="135"/>
        <v>0</v>
      </c>
      <c r="R346" s="76">
        <f t="shared" si="131"/>
        <v>0</v>
      </c>
      <c r="S346" s="76">
        <f t="shared" si="132"/>
        <v>0</v>
      </c>
      <c r="T346" s="129"/>
      <c r="U346" s="120" t="str">
        <f t="shared" si="138"/>
        <v>ANK:43861</v>
      </c>
      <c r="V346" s="265">
        <f t="shared" ref="V346:V350" si="139">DATE(YEAR(B346+1),MONTH(B346+1),VLOOKUP(C346,payEmpNames,4))</f>
        <v>43882</v>
      </c>
      <c r="X346"/>
      <c r="Y346"/>
      <c r="Z346"/>
    </row>
    <row r="347" spans="1:26" s="22" customFormat="1" outlineLevel="1" x14ac:dyDescent="0.25">
      <c r="A347" s="120">
        <f t="shared" si="136"/>
        <v>9</v>
      </c>
      <c r="B347" s="392">
        <v>43900</v>
      </c>
      <c r="C347" s="231" t="s">
        <v>678</v>
      </c>
      <c r="D347" s="76"/>
      <c r="E347" s="231"/>
      <c r="F347" s="231"/>
      <c r="G347" s="231"/>
      <c r="H347" s="76"/>
      <c r="I347" s="232"/>
      <c r="J347" s="76"/>
      <c r="K347" s="76"/>
      <c r="L347" s="76">
        <f t="shared" si="137"/>
        <v>0</v>
      </c>
      <c r="M347" s="76"/>
      <c r="N347" s="76"/>
      <c r="O347" s="76"/>
      <c r="P347" s="76"/>
      <c r="Q347" s="76">
        <f t="shared" si="135"/>
        <v>0</v>
      </c>
      <c r="R347" s="76">
        <f t="shared" si="131"/>
        <v>0</v>
      </c>
      <c r="S347" s="76">
        <f t="shared" si="132"/>
        <v>0</v>
      </c>
      <c r="T347" s="129"/>
      <c r="U347" s="120" t="str">
        <f t="shared" si="138"/>
        <v>ANK:43900</v>
      </c>
      <c r="V347" s="265">
        <f t="shared" si="139"/>
        <v>43911</v>
      </c>
      <c r="X347"/>
      <c r="Y347"/>
      <c r="Z347"/>
    </row>
    <row r="348" spans="1:26" s="22" customFormat="1" outlineLevel="1" x14ac:dyDescent="0.25">
      <c r="A348" s="120">
        <f t="shared" si="136"/>
        <v>10</v>
      </c>
      <c r="B348" s="392">
        <v>43928</v>
      </c>
      <c r="C348" s="231" t="s">
        <v>678</v>
      </c>
      <c r="D348" s="76"/>
      <c r="E348" s="231"/>
      <c r="F348" s="231"/>
      <c r="G348" s="231"/>
      <c r="H348" s="76"/>
      <c r="I348" s="232"/>
      <c r="J348" s="76"/>
      <c r="K348" s="76"/>
      <c r="L348" s="76">
        <f t="shared" si="137"/>
        <v>0</v>
      </c>
      <c r="M348" s="76"/>
      <c r="N348" s="76"/>
      <c r="O348" s="76"/>
      <c r="P348" s="76"/>
      <c r="Q348" s="76">
        <f t="shared" si="135"/>
        <v>0</v>
      </c>
      <c r="R348" s="76">
        <f t="shared" si="131"/>
        <v>0</v>
      </c>
      <c r="S348" s="76">
        <f t="shared" si="132"/>
        <v>0</v>
      </c>
      <c r="T348" s="129"/>
      <c r="U348" s="120" t="str">
        <f t="shared" si="138"/>
        <v>ANK:43928</v>
      </c>
      <c r="V348" s="265">
        <f t="shared" si="139"/>
        <v>43942</v>
      </c>
      <c r="X348"/>
      <c r="Y348"/>
      <c r="Z348"/>
    </row>
    <row r="349" spans="1:26" s="22" customFormat="1" outlineLevel="1" x14ac:dyDescent="0.25">
      <c r="A349" s="120">
        <f t="shared" si="136"/>
        <v>11</v>
      </c>
      <c r="B349" s="392">
        <v>43970</v>
      </c>
      <c r="C349" s="231" t="s">
        <v>678</v>
      </c>
      <c r="D349" s="76"/>
      <c r="E349" s="231"/>
      <c r="F349" s="231"/>
      <c r="G349" s="231"/>
      <c r="H349" s="76"/>
      <c r="I349" s="232"/>
      <c r="J349" s="76"/>
      <c r="K349" s="76"/>
      <c r="L349" s="76">
        <f t="shared" si="137"/>
        <v>0</v>
      </c>
      <c r="M349" s="76"/>
      <c r="N349" s="76"/>
      <c r="O349" s="76"/>
      <c r="P349" s="76"/>
      <c r="Q349" s="76">
        <f t="shared" si="135"/>
        <v>0</v>
      </c>
      <c r="R349" s="76">
        <f t="shared" si="131"/>
        <v>0</v>
      </c>
      <c r="S349" s="76">
        <f t="shared" si="132"/>
        <v>0</v>
      </c>
      <c r="T349" s="129"/>
      <c r="U349" s="120" t="str">
        <f t="shared" si="138"/>
        <v>ANK:43970</v>
      </c>
      <c r="V349" s="265">
        <f t="shared" si="139"/>
        <v>43972</v>
      </c>
      <c r="X349"/>
      <c r="Y349"/>
      <c r="Z349"/>
    </row>
    <row r="350" spans="1:26" s="22" customFormat="1" outlineLevel="1" x14ac:dyDescent="0.25">
      <c r="A350" s="120">
        <f t="shared" si="136"/>
        <v>12</v>
      </c>
      <c r="B350" s="392">
        <v>43982</v>
      </c>
      <c r="C350" s="231" t="s">
        <v>678</v>
      </c>
      <c r="D350" s="76"/>
      <c r="E350" s="231"/>
      <c r="F350" s="231"/>
      <c r="G350" s="231"/>
      <c r="H350" s="76"/>
      <c r="I350" s="232"/>
      <c r="J350" s="76"/>
      <c r="K350" s="76"/>
      <c r="L350" s="76">
        <f t="shared" si="137"/>
        <v>0</v>
      </c>
      <c r="M350" s="76"/>
      <c r="N350" s="76"/>
      <c r="O350" s="76"/>
      <c r="P350" s="76"/>
      <c r="Q350" s="76">
        <f t="shared" si="135"/>
        <v>0</v>
      </c>
      <c r="R350" s="76">
        <f t="shared" si="131"/>
        <v>0</v>
      </c>
      <c r="S350" s="76">
        <f t="shared" si="132"/>
        <v>0</v>
      </c>
      <c r="T350" s="129"/>
      <c r="U350" s="120" t="str">
        <f t="shared" si="138"/>
        <v>ANK:43982</v>
      </c>
      <c r="V350" s="265">
        <f t="shared" si="139"/>
        <v>44003</v>
      </c>
      <c r="X350"/>
      <c r="Y350"/>
      <c r="Z350"/>
    </row>
    <row r="351" spans="1:26" hidden="1" outlineLevel="1" x14ac:dyDescent="0.25">
      <c r="A351" s="120">
        <f t="shared" si="136"/>
        <v>1</v>
      </c>
      <c r="B351" s="392">
        <v>43646</v>
      </c>
      <c r="C351" s="231" t="s">
        <v>622</v>
      </c>
      <c r="D351" s="76"/>
      <c r="E351" s="231"/>
      <c r="F351" s="231"/>
      <c r="G351" s="231"/>
      <c r="H351" s="76"/>
      <c r="I351" s="232">
        <v>178.9</v>
      </c>
      <c r="J351" s="76"/>
      <c r="K351" s="76"/>
      <c r="L351" s="76">
        <f t="shared" si="137"/>
        <v>162.63999999999999</v>
      </c>
      <c r="M351" s="76"/>
      <c r="N351" s="76"/>
      <c r="O351" s="76"/>
      <c r="P351" s="76"/>
      <c r="Q351" s="76">
        <f t="shared" si="135"/>
        <v>16.260000000000019</v>
      </c>
      <c r="R351" s="76">
        <f t="shared" si="131"/>
        <v>162.63999999999999</v>
      </c>
      <c r="S351" s="76">
        <f t="shared" si="132"/>
        <v>178.9</v>
      </c>
      <c r="T351" s="129"/>
      <c r="U351" s="120" t="str">
        <f t="shared" si="138"/>
        <v>GEO:43646</v>
      </c>
      <c r="V351" s="265">
        <f t="shared" ref="V351:V366" si="140">DATE(YEAR(B351+1),MONTH(B351+1),VLOOKUP(C351,payEmpNames,4))</f>
        <v>43667</v>
      </c>
    </row>
    <row r="352" spans="1:26" hidden="1" outlineLevel="1" x14ac:dyDescent="0.25">
      <c r="A352" s="120">
        <f t="shared" si="136"/>
        <v>2</v>
      </c>
      <c r="B352" s="392">
        <v>43677</v>
      </c>
      <c r="C352" s="231" t="s">
        <v>622</v>
      </c>
      <c r="D352" s="76"/>
      <c r="E352" s="231"/>
      <c r="F352" s="231"/>
      <c r="G352" s="231"/>
      <c r="H352" s="76"/>
      <c r="I352" s="232">
        <v>178.9</v>
      </c>
      <c r="J352" s="76"/>
      <c r="K352" s="76"/>
      <c r="L352" s="76">
        <f t="shared" si="137"/>
        <v>162.63999999999999</v>
      </c>
      <c r="M352" s="76"/>
      <c r="N352" s="76"/>
      <c r="O352" s="76"/>
      <c r="P352" s="76"/>
      <c r="Q352" s="76">
        <f t="shared" si="135"/>
        <v>16.260000000000019</v>
      </c>
      <c r="R352" s="76">
        <f t="shared" si="131"/>
        <v>162.63999999999999</v>
      </c>
      <c r="S352" s="76">
        <f t="shared" si="132"/>
        <v>178.9</v>
      </c>
      <c r="T352" s="129"/>
      <c r="U352" s="120" t="str">
        <f t="shared" si="138"/>
        <v>GEO:43677</v>
      </c>
      <c r="V352" s="265">
        <f t="shared" si="140"/>
        <v>43698</v>
      </c>
    </row>
    <row r="353" spans="1:26" hidden="1" outlineLevel="1" x14ac:dyDescent="0.25">
      <c r="A353" s="120">
        <f t="shared" si="136"/>
        <v>3</v>
      </c>
      <c r="B353" s="392">
        <v>43708</v>
      </c>
      <c r="C353" s="231" t="s">
        <v>622</v>
      </c>
      <c r="D353" s="76"/>
      <c r="E353" s="231"/>
      <c r="F353" s="231"/>
      <c r="G353" s="231"/>
      <c r="H353" s="76"/>
      <c r="I353" s="232">
        <v>178.9</v>
      </c>
      <c r="J353" s="76"/>
      <c r="K353" s="76"/>
      <c r="L353" s="76">
        <f t="shared" si="137"/>
        <v>162.63999999999999</v>
      </c>
      <c r="M353" s="76"/>
      <c r="N353" s="76"/>
      <c r="O353" s="76"/>
      <c r="P353" s="76"/>
      <c r="Q353" s="76">
        <f t="shared" si="135"/>
        <v>16.260000000000019</v>
      </c>
      <c r="R353" s="76">
        <f t="shared" si="131"/>
        <v>162.63999999999999</v>
      </c>
      <c r="S353" s="76">
        <f t="shared" si="132"/>
        <v>178.9</v>
      </c>
      <c r="T353" s="129"/>
      <c r="U353" s="120" t="str">
        <f t="shared" si="138"/>
        <v>GEO:43708</v>
      </c>
      <c r="V353" s="265">
        <f t="shared" si="140"/>
        <v>43729</v>
      </c>
    </row>
    <row r="354" spans="1:26" hidden="1" outlineLevel="1" x14ac:dyDescent="0.25">
      <c r="A354" s="120">
        <f t="shared" si="136"/>
        <v>4</v>
      </c>
      <c r="B354" s="392">
        <v>43738</v>
      </c>
      <c r="C354" s="231" t="s">
        <v>622</v>
      </c>
      <c r="D354" s="76"/>
      <c r="E354" s="231"/>
      <c r="F354" s="231"/>
      <c r="G354" s="231"/>
      <c r="H354" s="76"/>
      <c r="I354" s="232"/>
      <c r="J354" s="76"/>
      <c r="K354" s="76"/>
      <c r="L354" s="76">
        <f t="shared" si="137"/>
        <v>0</v>
      </c>
      <c r="M354" s="76"/>
      <c r="N354" s="76"/>
      <c r="O354" s="76"/>
      <c r="P354" s="76"/>
      <c r="Q354" s="76">
        <f t="shared" si="135"/>
        <v>0</v>
      </c>
      <c r="R354" s="76">
        <f t="shared" si="131"/>
        <v>0</v>
      </c>
      <c r="S354" s="76">
        <f t="shared" si="132"/>
        <v>0</v>
      </c>
      <c r="T354" s="129"/>
      <c r="U354" s="120" t="str">
        <f t="shared" si="138"/>
        <v>GEO:43738</v>
      </c>
      <c r="V354" s="265">
        <f t="shared" si="140"/>
        <v>43759</v>
      </c>
    </row>
    <row r="355" spans="1:26" hidden="1" outlineLevel="1" x14ac:dyDescent="0.25">
      <c r="A355" s="120">
        <f t="shared" si="136"/>
        <v>5</v>
      </c>
      <c r="B355" s="392">
        <v>43769</v>
      </c>
      <c r="C355" s="231" t="s">
        <v>622</v>
      </c>
      <c r="D355" s="76"/>
      <c r="E355" s="231"/>
      <c r="F355" s="231"/>
      <c r="G355" s="231"/>
      <c r="H355" s="76"/>
      <c r="I355" s="232"/>
      <c r="J355" s="76"/>
      <c r="K355" s="76"/>
      <c r="L355" s="76">
        <f t="shared" si="137"/>
        <v>0</v>
      </c>
      <c r="M355" s="76"/>
      <c r="N355" s="76"/>
      <c r="O355" s="76"/>
      <c r="P355" s="76"/>
      <c r="Q355" s="76">
        <f t="shared" si="135"/>
        <v>0</v>
      </c>
      <c r="R355" s="76">
        <f t="shared" si="131"/>
        <v>0</v>
      </c>
      <c r="S355" s="76">
        <f t="shared" si="132"/>
        <v>0</v>
      </c>
      <c r="T355" s="129"/>
      <c r="U355" s="120" t="str">
        <f t="shared" si="138"/>
        <v>GEO:43769</v>
      </c>
      <c r="V355" s="265">
        <f t="shared" si="140"/>
        <v>43790</v>
      </c>
    </row>
    <row r="356" spans="1:26" hidden="1" outlineLevel="1" x14ac:dyDescent="0.25">
      <c r="A356" s="120">
        <f t="shared" si="136"/>
        <v>6</v>
      </c>
      <c r="B356" s="392">
        <v>43799</v>
      </c>
      <c r="C356" s="231" t="s">
        <v>622</v>
      </c>
      <c r="D356" s="76"/>
      <c r="E356" s="231"/>
      <c r="F356" s="231"/>
      <c r="G356" s="231"/>
      <c r="H356" s="76"/>
      <c r="I356" s="232"/>
      <c r="J356" s="76"/>
      <c r="K356" s="76"/>
      <c r="L356" s="76">
        <f t="shared" si="137"/>
        <v>0</v>
      </c>
      <c r="M356" s="76"/>
      <c r="N356" s="76"/>
      <c r="O356" s="76"/>
      <c r="P356" s="76"/>
      <c r="Q356" s="76">
        <f t="shared" si="135"/>
        <v>0</v>
      </c>
      <c r="R356" s="76">
        <f t="shared" si="131"/>
        <v>0</v>
      </c>
      <c r="S356" s="76">
        <f t="shared" si="132"/>
        <v>0</v>
      </c>
      <c r="T356" s="129"/>
      <c r="U356" s="120" t="str">
        <f t="shared" si="138"/>
        <v>GEO:43799</v>
      </c>
      <c r="V356" s="265">
        <f t="shared" si="140"/>
        <v>43820</v>
      </c>
    </row>
    <row r="357" spans="1:26" hidden="1" outlineLevel="1" x14ac:dyDescent="0.25">
      <c r="A357" s="120">
        <f t="shared" si="136"/>
        <v>7</v>
      </c>
      <c r="B357" s="392">
        <v>43830</v>
      </c>
      <c r="C357" s="231" t="s">
        <v>622</v>
      </c>
      <c r="D357" s="76"/>
      <c r="E357" s="231"/>
      <c r="F357" s="231"/>
      <c r="G357" s="231"/>
      <c r="H357" s="76"/>
      <c r="I357" s="232"/>
      <c r="J357" s="76"/>
      <c r="K357" s="76"/>
      <c r="L357" s="76">
        <f t="shared" si="137"/>
        <v>0</v>
      </c>
      <c r="M357" s="76"/>
      <c r="N357" s="76"/>
      <c r="O357" s="76"/>
      <c r="P357" s="76"/>
      <c r="Q357" s="76">
        <f t="shared" si="135"/>
        <v>0</v>
      </c>
      <c r="R357" s="76">
        <f t="shared" si="131"/>
        <v>0</v>
      </c>
      <c r="S357" s="76">
        <f t="shared" si="132"/>
        <v>0</v>
      </c>
      <c r="T357" s="129"/>
      <c r="U357" s="120" t="str">
        <f t="shared" si="138"/>
        <v>GEO:43830</v>
      </c>
      <c r="V357" s="265">
        <f t="shared" si="140"/>
        <v>43851</v>
      </c>
    </row>
    <row r="358" spans="1:26" hidden="1" outlineLevel="1" x14ac:dyDescent="0.25">
      <c r="A358" s="120">
        <f t="shared" si="136"/>
        <v>8</v>
      </c>
      <c r="B358" s="392">
        <v>43861</v>
      </c>
      <c r="C358" s="231" t="s">
        <v>622</v>
      </c>
      <c r="D358" s="76"/>
      <c r="E358" s="231"/>
      <c r="F358" s="231"/>
      <c r="G358" s="231"/>
      <c r="H358" s="76"/>
      <c r="I358" s="232"/>
      <c r="J358" s="76"/>
      <c r="K358" s="76"/>
      <c r="L358" s="76">
        <f t="shared" si="137"/>
        <v>0</v>
      </c>
      <c r="M358" s="76"/>
      <c r="N358" s="76"/>
      <c r="O358" s="76"/>
      <c r="P358" s="76"/>
      <c r="Q358" s="76">
        <f t="shared" si="135"/>
        <v>0</v>
      </c>
      <c r="R358" s="76">
        <f t="shared" si="131"/>
        <v>0</v>
      </c>
      <c r="S358" s="76">
        <f t="shared" si="132"/>
        <v>0</v>
      </c>
      <c r="T358" s="129"/>
      <c r="U358" s="120" t="str">
        <f t="shared" si="138"/>
        <v>GEO:43861</v>
      </c>
      <c r="V358" s="265">
        <f t="shared" si="140"/>
        <v>43882</v>
      </c>
    </row>
    <row r="359" spans="1:26" hidden="1" outlineLevel="1" x14ac:dyDescent="0.25">
      <c r="A359" s="120">
        <f t="shared" si="136"/>
        <v>9</v>
      </c>
      <c r="B359" s="392">
        <v>43889</v>
      </c>
      <c r="C359" s="231" t="s">
        <v>622</v>
      </c>
      <c r="D359" s="76"/>
      <c r="E359" s="231"/>
      <c r="F359" s="231"/>
      <c r="G359" s="231"/>
      <c r="H359" s="76"/>
      <c r="I359" s="232"/>
      <c r="J359" s="76"/>
      <c r="K359" s="76"/>
      <c r="L359" s="76">
        <f t="shared" si="137"/>
        <v>0</v>
      </c>
      <c r="M359" s="76"/>
      <c r="N359" s="76"/>
      <c r="O359" s="76"/>
      <c r="P359" s="76"/>
      <c r="Q359" s="76">
        <f t="shared" si="135"/>
        <v>0</v>
      </c>
      <c r="R359" s="76">
        <f t="shared" si="131"/>
        <v>0</v>
      </c>
      <c r="S359" s="76">
        <f t="shared" si="132"/>
        <v>0</v>
      </c>
      <c r="T359" s="129"/>
      <c r="U359" s="120" t="str">
        <f t="shared" si="138"/>
        <v>GEO:43889</v>
      </c>
      <c r="V359" s="265">
        <f t="shared" si="140"/>
        <v>43882</v>
      </c>
    </row>
    <row r="360" spans="1:26" hidden="1" outlineLevel="1" x14ac:dyDescent="0.25">
      <c r="A360" s="120">
        <f>GETPAYMONTH(B360)</f>
        <v>10</v>
      </c>
      <c r="B360" s="392">
        <v>43921</v>
      </c>
      <c r="C360" s="231" t="s">
        <v>622</v>
      </c>
      <c r="D360" s="76"/>
      <c r="E360" s="231"/>
      <c r="F360" s="231"/>
      <c r="G360" s="231"/>
      <c r="H360" s="76"/>
      <c r="I360" s="232"/>
      <c r="J360" s="76"/>
      <c r="K360" s="76"/>
      <c r="L360" s="76">
        <f t="shared" si="137"/>
        <v>0</v>
      </c>
      <c r="M360" s="76"/>
      <c r="N360" s="76"/>
      <c r="O360" s="76"/>
      <c r="P360" s="76"/>
      <c r="Q360" s="76">
        <f t="shared" si="135"/>
        <v>0</v>
      </c>
      <c r="R360" s="76">
        <f t="shared" si="131"/>
        <v>0</v>
      </c>
      <c r="S360" s="76">
        <f t="shared" si="132"/>
        <v>0</v>
      </c>
      <c r="T360" s="129"/>
      <c r="U360" s="120" t="str">
        <f>C360 &amp;":"&amp; B360</f>
        <v>GEO:43921</v>
      </c>
      <c r="V360" s="265">
        <f>DATE(YEAR(B360+1),MONTH(B360+1),VLOOKUP(C360,payEmpNames,4))</f>
        <v>43942</v>
      </c>
    </row>
    <row r="361" spans="1:26" hidden="1" outlineLevel="1" x14ac:dyDescent="0.25">
      <c r="A361" s="120">
        <f>GETPAYMONTH(B361)</f>
        <v>11</v>
      </c>
      <c r="B361" s="392">
        <v>43951</v>
      </c>
      <c r="C361" s="231" t="s">
        <v>622</v>
      </c>
      <c r="D361" s="76"/>
      <c r="E361" s="231"/>
      <c r="F361" s="231"/>
      <c r="G361" s="231"/>
      <c r="H361" s="76"/>
      <c r="I361" s="232"/>
      <c r="J361" s="76"/>
      <c r="K361" s="76"/>
      <c r="L361" s="76">
        <f t="shared" si="137"/>
        <v>0</v>
      </c>
      <c r="M361" s="76"/>
      <c r="N361" s="76"/>
      <c r="O361" s="76"/>
      <c r="P361" s="76"/>
      <c r="Q361" s="76">
        <f t="shared" si="135"/>
        <v>0</v>
      </c>
      <c r="R361" s="76">
        <f t="shared" si="131"/>
        <v>0</v>
      </c>
      <c r="S361" s="76">
        <f t="shared" si="132"/>
        <v>0</v>
      </c>
      <c r="T361" s="129"/>
      <c r="U361" s="120" t="str">
        <f>C361 &amp;":"&amp; B361</f>
        <v>GEO:43951</v>
      </c>
      <c r="V361" s="265">
        <f>DATE(YEAR(B361+1),MONTH(B361+1),VLOOKUP(C361,payEmpNames,4))</f>
        <v>43972</v>
      </c>
      <c r="X361" s="35"/>
      <c r="Y361" s="35"/>
      <c r="Z361" s="35"/>
    </row>
    <row r="362" spans="1:26" hidden="1" outlineLevel="1" x14ac:dyDescent="0.25">
      <c r="A362" s="120">
        <f>GETPAYMONTH(B362)</f>
        <v>12</v>
      </c>
      <c r="B362" s="392">
        <v>43982</v>
      </c>
      <c r="C362" s="231" t="s">
        <v>622</v>
      </c>
      <c r="D362" s="76"/>
      <c r="E362" s="231"/>
      <c r="F362" s="231"/>
      <c r="G362" s="231"/>
      <c r="H362" s="76"/>
      <c r="I362" s="232"/>
      <c r="J362" s="76"/>
      <c r="K362" s="76"/>
      <c r="L362" s="76">
        <f t="shared" si="137"/>
        <v>0</v>
      </c>
      <c r="M362" s="76"/>
      <c r="N362" s="76"/>
      <c r="O362" s="76"/>
      <c r="P362" s="76"/>
      <c r="Q362" s="76">
        <f t="shared" si="135"/>
        <v>0</v>
      </c>
      <c r="R362" s="76">
        <f t="shared" si="131"/>
        <v>0</v>
      </c>
      <c r="S362" s="76">
        <f t="shared" si="132"/>
        <v>0</v>
      </c>
      <c r="T362" s="129"/>
      <c r="U362" s="120" t="str">
        <f>C362 &amp;":"&amp; B362</f>
        <v>GEO:43982</v>
      </c>
      <c r="V362" s="265">
        <f>DATE(YEAR(B362+1),MONTH(B362+1),VLOOKUP(C362,payEmpNames,4))</f>
        <v>44003</v>
      </c>
      <c r="X362" s="35"/>
      <c r="Y362" s="35"/>
      <c r="Z362" s="35"/>
    </row>
    <row r="363" spans="1:26" hidden="1" outlineLevel="1" x14ac:dyDescent="0.25">
      <c r="A363" s="120">
        <f t="shared" si="136"/>
        <v>0</v>
      </c>
      <c r="B363" s="392"/>
      <c r="C363" s="231"/>
      <c r="D363" s="76"/>
      <c r="E363" s="231"/>
      <c r="F363" s="231"/>
      <c r="G363" s="231"/>
      <c r="H363" s="76"/>
      <c r="I363" s="232"/>
      <c r="J363" s="76"/>
      <c r="K363" s="76"/>
      <c r="L363" s="76">
        <f t="shared" si="137"/>
        <v>0</v>
      </c>
      <c r="M363" s="76"/>
      <c r="N363" s="76"/>
      <c r="O363" s="76"/>
      <c r="P363" s="76"/>
      <c r="Q363" s="76">
        <f t="shared" si="135"/>
        <v>0</v>
      </c>
      <c r="R363" s="76">
        <f t="shared" si="131"/>
        <v>0</v>
      </c>
      <c r="S363" s="76">
        <f t="shared" si="132"/>
        <v>0</v>
      </c>
      <c r="T363" s="129"/>
      <c r="U363" s="120" t="str">
        <f t="shared" si="138"/>
        <v>:</v>
      </c>
      <c r="V363" s="265" t="e">
        <f t="shared" si="140"/>
        <v>#N/A</v>
      </c>
    </row>
    <row r="364" spans="1:26" hidden="1" outlineLevel="1" x14ac:dyDescent="0.25">
      <c r="A364" s="120">
        <f t="shared" si="136"/>
        <v>0</v>
      </c>
      <c r="B364" s="392"/>
      <c r="C364" s="231"/>
      <c r="D364" s="76"/>
      <c r="E364" s="231"/>
      <c r="F364" s="231"/>
      <c r="G364" s="231"/>
      <c r="H364" s="76"/>
      <c r="I364" s="232"/>
      <c r="J364" s="76"/>
      <c r="K364" s="76"/>
      <c r="L364" s="76">
        <f t="shared" si="137"/>
        <v>0</v>
      </c>
      <c r="M364" s="76"/>
      <c r="N364" s="76"/>
      <c r="O364" s="76"/>
      <c r="P364" s="76"/>
      <c r="Q364" s="76">
        <f t="shared" si="135"/>
        <v>0</v>
      </c>
      <c r="R364" s="76">
        <f t="shared" si="131"/>
        <v>0</v>
      </c>
      <c r="S364" s="76">
        <f t="shared" si="132"/>
        <v>0</v>
      </c>
      <c r="T364" s="129"/>
      <c r="U364" s="120" t="str">
        <f t="shared" si="138"/>
        <v>:</v>
      </c>
      <c r="V364" s="265" t="e">
        <f t="shared" si="140"/>
        <v>#N/A</v>
      </c>
      <c r="X364" s="35"/>
      <c r="Y364" s="35"/>
      <c r="Z364" s="35"/>
    </row>
    <row r="365" spans="1:26" hidden="1" outlineLevel="1" x14ac:dyDescent="0.25">
      <c r="A365" s="120">
        <f t="shared" si="136"/>
        <v>0</v>
      </c>
      <c r="B365" s="392"/>
      <c r="C365" s="231"/>
      <c r="D365" s="76"/>
      <c r="E365" s="231"/>
      <c r="F365" s="231"/>
      <c r="G365" s="231"/>
      <c r="H365" s="76"/>
      <c r="I365" s="232"/>
      <c r="J365" s="76"/>
      <c r="K365" s="76"/>
      <c r="L365" s="76">
        <f t="shared" si="137"/>
        <v>0</v>
      </c>
      <c r="M365" s="76"/>
      <c r="N365" s="76"/>
      <c r="O365" s="76"/>
      <c r="P365" s="76"/>
      <c r="Q365" s="76">
        <f t="shared" si="135"/>
        <v>0</v>
      </c>
      <c r="R365" s="76">
        <f t="shared" si="131"/>
        <v>0</v>
      </c>
      <c r="S365" s="76">
        <f t="shared" si="132"/>
        <v>0</v>
      </c>
      <c r="T365" s="129"/>
      <c r="U365" s="120" t="str">
        <f t="shared" si="138"/>
        <v>:</v>
      </c>
      <c r="V365" s="265" t="e">
        <f t="shared" si="140"/>
        <v>#N/A</v>
      </c>
      <c r="X365" s="35"/>
      <c r="Y365" s="35"/>
      <c r="Z365" s="35"/>
    </row>
    <row r="366" spans="1:26" hidden="1" x14ac:dyDescent="0.25">
      <c r="A366" s="120">
        <f t="shared" si="136"/>
        <v>0</v>
      </c>
      <c r="B366" s="231"/>
      <c r="C366" s="231"/>
      <c r="D366" s="76"/>
      <c r="E366" s="231"/>
      <c r="F366" s="231"/>
      <c r="G366" s="231"/>
      <c r="H366" s="76"/>
      <c r="I366" s="232"/>
      <c r="J366" s="76"/>
      <c r="K366" s="76"/>
      <c r="L366" s="76">
        <f t="shared" si="137"/>
        <v>0</v>
      </c>
      <c r="M366" s="76"/>
      <c r="N366" s="76"/>
      <c r="O366" s="76"/>
      <c r="P366" s="76"/>
      <c r="Q366" s="76">
        <f t="shared" si="135"/>
        <v>0</v>
      </c>
      <c r="R366" s="76">
        <f t="shared" si="131"/>
        <v>0</v>
      </c>
      <c r="S366" s="76">
        <f t="shared" si="132"/>
        <v>0</v>
      </c>
      <c r="T366" s="129"/>
      <c r="U366" s="120" t="str">
        <f t="shared" si="138"/>
        <v>:</v>
      </c>
      <c r="V366" s="265" t="e">
        <f t="shared" si="140"/>
        <v>#N/A</v>
      </c>
      <c r="X366" s="35"/>
      <c r="Y366" s="35"/>
      <c r="Z366" s="35"/>
    </row>
    <row r="367" spans="1:26" s="35" customFormat="1" hidden="1" x14ac:dyDescent="0.25">
      <c r="A367" s="131"/>
      <c r="B367" s="235"/>
      <c r="C367" s="235"/>
      <c r="D367" s="235"/>
      <c r="E367" s="235"/>
      <c r="F367" s="235"/>
      <c r="G367" s="235"/>
      <c r="H367" s="235"/>
      <c r="I367" s="132"/>
      <c r="J367" s="132"/>
      <c r="K367" s="132"/>
      <c r="L367" s="132"/>
      <c r="M367" s="132"/>
      <c r="N367" s="132"/>
      <c r="O367" s="132"/>
      <c r="P367" s="132"/>
      <c r="Q367" s="132"/>
      <c r="R367" s="132"/>
      <c r="S367" s="132"/>
      <c r="T367" s="129"/>
    </row>
    <row r="368" spans="1:26" hidden="1" x14ac:dyDescent="0.25">
      <c r="F368"/>
      <c r="T368" s="129"/>
    </row>
    <row r="369" spans="1:21" x14ac:dyDescent="0.25">
      <c r="A369" s="254"/>
      <c r="B369" s="255"/>
      <c r="C369" s="256" t="str">
        <f>EmpID</f>
        <v>ANK</v>
      </c>
      <c r="D369" s="255" t="s">
        <v>518</v>
      </c>
      <c r="E369" s="219"/>
      <c r="F369" s="379"/>
      <c r="G369" s="256"/>
      <c r="H369" s="256"/>
      <c r="T369" s="129"/>
      <c r="U369" s="66" t="s">
        <v>465</v>
      </c>
    </row>
    <row r="370" spans="1:21" ht="13.8" thickBot="1" x14ac:dyDescent="0.3">
      <c r="A370" s="266"/>
      <c r="B370" s="219" t="s">
        <v>648</v>
      </c>
      <c r="C370" s="256" t="str">
        <f>EmpID</f>
        <v>ANK</v>
      </c>
      <c r="D370" s="219" t="s">
        <v>519</v>
      </c>
      <c r="E370" s="219" t="s">
        <v>642</v>
      </c>
      <c r="F370" s="379"/>
      <c r="G370" s="256"/>
      <c r="H370" s="256"/>
      <c r="T370" s="129"/>
      <c r="U370" s="156" t="s">
        <v>508</v>
      </c>
    </row>
    <row r="371" spans="1:21" ht="12.75" hidden="1" customHeight="1" x14ac:dyDescent="0.25">
      <c r="A371" s="267">
        <v>1</v>
      </c>
      <c r="B371" s="393">
        <v>43625</v>
      </c>
      <c r="C371" s="75" t="s">
        <v>55</v>
      </c>
      <c r="D371" s="268" t="s">
        <v>659</v>
      </c>
      <c r="E371" s="74">
        <v>5</v>
      </c>
      <c r="F371" s="74"/>
      <c r="G371" s="74"/>
      <c r="H371" s="75">
        <v>320122</v>
      </c>
      <c r="J371" s="138"/>
      <c r="T371" s="129"/>
      <c r="U371" s="120" t="str">
        <f t="shared" ref="U371:U434" si="141">C371 &amp;":"&amp; A371</f>
        <v>MAM:1</v>
      </c>
    </row>
    <row r="372" spans="1:21" ht="12.75" hidden="1" customHeight="1" x14ac:dyDescent="0.25">
      <c r="A372" s="120">
        <f t="shared" ref="A372:A431" si="142">GETPAYMONTH(DATE(YEAR(B372),MONTH(B372-4)+1,1))</f>
        <v>1</v>
      </c>
      <c r="B372" s="392">
        <v>43632</v>
      </c>
      <c r="C372" s="77" t="s">
        <v>55</v>
      </c>
      <c r="D372" s="231" t="s">
        <v>659</v>
      </c>
      <c r="E372" s="76">
        <v>4</v>
      </c>
      <c r="F372" s="76"/>
      <c r="G372" s="76"/>
      <c r="H372" s="77">
        <v>320122</v>
      </c>
      <c r="J372" s="138"/>
      <c r="T372" s="129"/>
      <c r="U372" s="120" t="str">
        <f t="shared" si="141"/>
        <v>MAM:1</v>
      </c>
    </row>
    <row r="373" spans="1:21" ht="12.75" hidden="1" customHeight="1" x14ac:dyDescent="0.25">
      <c r="A373" s="120">
        <f t="shared" si="142"/>
        <v>1</v>
      </c>
      <c r="B373" s="392">
        <v>43639</v>
      </c>
      <c r="C373" s="77" t="s">
        <v>55</v>
      </c>
      <c r="D373" s="231" t="s">
        <v>659</v>
      </c>
      <c r="E373" s="76">
        <v>5</v>
      </c>
      <c r="F373" s="76"/>
      <c r="G373" s="76"/>
      <c r="H373" s="77">
        <v>320123</v>
      </c>
      <c r="J373" s="138"/>
      <c r="T373" s="129"/>
      <c r="U373" s="120" t="str">
        <f t="shared" si="141"/>
        <v>MAM:1</v>
      </c>
    </row>
    <row r="374" spans="1:21" ht="12.75" hidden="1" customHeight="1" x14ac:dyDescent="0.25">
      <c r="A374" s="123">
        <f t="shared" si="142"/>
        <v>1</v>
      </c>
      <c r="B374" s="394">
        <v>43646</v>
      </c>
      <c r="C374" s="79" t="s">
        <v>55</v>
      </c>
      <c r="D374" s="269" t="s">
        <v>659</v>
      </c>
      <c r="E374" s="78">
        <v>5</v>
      </c>
      <c r="F374" s="78"/>
      <c r="G374" s="78"/>
      <c r="H374" s="79">
        <v>320123</v>
      </c>
      <c r="J374" s="138"/>
      <c r="T374" s="129"/>
      <c r="U374" s="120" t="str">
        <f t="shared" si="141"/>
        <v>MAM:1</v>
      </c>
    </row>
    <row r="375" spans="1:21" ht="12.75" hidden="1" customHeight="1" x14ac:dyDescent="0.25">
      <c r="A375" s="267">
        <f t="shared" si="142"/>
        <v>2</v>
      </c>
      <c r="B375" s="393">
        <v>43653</v>
      </c>
      <c r="C375" s="75" t="s">
        <v>55</v>
      </c>
      <c r="D375" s="268" t="s">
        <v>659</v>
      </c>
      <c r="E375" s="74">
        <v>1</v>
      </c>
      <c r="F375" s="74"/>
      <c r="G375" s="74"/>
      <c r="H375" s="75">
        <v>320124</v>
      </c>
      <c r="J375" s="138"/>
      <c r="T375" s="129"/>
      <c r="U375" s="120" t="str">
        <f t="shared" si="141"/>
        <v>MAM:2</v>
      </c>
    </row>
    <row r="376" spans="1:21" ht="12.75" hidden="1" customHeight="1" x14ac:dyDescent="0.25">
      <c r="A376" s="120">
        <f t="shared" si="142"/>
        <v>2</v>
      </c>
      <c r="B376" s="392">
        <v>43660</v>
      </c>
      <c r="C376" s="77" t="s">
        <v>55</v>
      </c>
      <c r="D376" s="231" t="s">
        <v>659</v>
      </c>
      <c r="E376" s="76">
        <v>1</v>
      </c>
      <c r="F376" s="76"/>
      <c r="G376" s="76"/>
      <c r="H376" s="77">
        <v>320124</v>
      </c>
      <c r="J376" s="138"/>
      <c r="T376" s="129"/>
      <c r="U376" s="120" t="str">
        <f t="shared" si="141"/>
        <v>MAM:2</v>
      </c>
    </row>
    <row r="377" spans="1:21" ht="12.75" hidden="1" customHeight="1" x14ac:dyDescent="0.25">
      <c r="A377" s="120">
        <f t="shared" si="142"/>
        <v>2</v>
      </c>
      <c r="B377" s="392">
        <v>43667</v>
      </c>
      <c r="C377" s="77" t="s">
        <v>55</v>
      </c>
      <c r="D377" s="231" t="s">
        <v>659</v>
      </c>
      <c r="E377" s="76"/>
      <c r="F377" s="76"/>
      <c r="G377" s="76"/>
      <c r="H377" s="77"/>
      <c r="I377" t="s">
        <v>813</v>
      </c>
      <c r="J377" s="138"/>
      <c r="T377" s="129"/>
      <c r="U377" s="120" t="str">
        <f t="shared" si="141"/>
        <v>MAM:2</v>
      </c>
    </row>
    <row r="378" spans="1:21" ht="12.75" hidden="1" customHeight="1" x14ac:dyDescent="0.25">
      <c r="A378" s="123">
        <f t="shared" si="142"/>
        <v>2</v>
      </c>
      <c r="B378" s="394">
        <v>43674</v>
      </c>
      <c r="C378" s="79" t="s">
        <v>55</v>
      </c>
      <c r="D378" s="269" t="s">
        <v>659</v>
      </c>
      <c r="E378" s="78">
        <v>1.5</v>
      </c>
      <c r="F378" s="78"/>
      <c r="G378" s="78"/>
      <c r="H378" s="79">
        <v>320125</v>
      </c>
      <c r="J378" s="138"/>
      <c r="T378" s="129"/>
      <c r="U378" s="120" t="str">
        <f t="shared" si="141"/>
        <v>MAM:2</v>
      </c>
    </row>
    <row r="379" spans="1:21" ht="12.75" hidden="1" customHeight="1" x14ac:dyDescent="0.25">
      <c r="A379" s="267">
        <f t="shared" si="142"/>
        <v>2</v>
      </c>
      <c r="B379" s="393">
        <v>43653</v>
      </c>
      <c r="C379" s="75" t="s">
        <v>55</v>
      </c>
      <c r="D379" s="268" t="s">
        <v>504</v>
      </c>
      <c r="E379" s="74">
        <v>3.5</v>
      </c>
      <c r="F379" s="74"/>
      <c r="G379" s="74"/>
      <c r="H379" s="75">
        <v>270301</v>
      </c>
      <c r="J379" s="138"/>
      <c r="T379" s="129"/>
      <c r="U379" s="120" t="str">
        <f t="shared" si="141"/>
        <v>MAM:2</v>
      </c>
    </row>
    <row r="380" spans="1:21" ht="12.75" hidden="1" customHeight="1" x14ac:dyDescent="0.25">
      <c r="A380" s="120">
        <f t="shared" si="142"/>
        <v>2</v>
      </c>
      <c r="B380" s="392">
        <v>43660</v>
      </c>
      <c r="C380" s="77" t="s">
        <v>55</v>
      </c>
      <c r="D380" s="231" t="s">
        <v>504</v>
      </c>
      <c r="E380" s="76">
        <v>4</v>
      </c>
      <c r="F380" s="76"/>
      <c r="G380" s="76"/>
      <c r="H380" s="77">
        <v>270302</v>
      </c>
      <c r="J380" s="138"/>
      <c r="T380" s="129"/>
      <c r="U380" s="120" t="str">
        <f t="shared" si="141"/>
        <v>MAM:2</v>
      </c>
    </row>
    <row r="381" spans="1:21" ht="12.75" hidden="1" customHeight="1" x14ac:dyDescent="0.25">
      <c r="A381" s="120">
        <f t="shared" si="142"/>
        <v>2</v>
      </c>
      <c r="B381" s="392">
        <v>43667</v>
      </c>
      <c r="C381" s="77" t="s">
        <v>55</v>
      </c>
      <c r="D381" s="231" t="s">
        <v>504</v>
      </c>
      <c r="E381" s="76"/>
      <c r="F381" s="76"/>
      <c r="G381" s="76"/>
      <c r="H381" s="77"/>
      <c r="I381" t="s">
        <v>813</v>
      </c>
      <c r="J381" s="138"/>
      <c r="T381" s="129"/>
      <c r="U381" s="120" t="str">
        <f t="shared" si="141"/>
        <v>MAM:2</v>
      </c>
    </row>
    <row r="382" spans="1:21" ht="12.75" hidden="1" customHeight="1" x14ac:dyDescent="0.25">
      <c r="A382" s="395">
        <f t="shared" si="142"/>
        <v>2</v>
      </c>
      <c r="B382" s="399">
        <v>43674</v>
      </c>
      <c r="C382" s="400" t="s">
        <v>55</v>
      </c>
      <c r="D382" s="401" t="s">
        <v>504</v>
      </c>
      <c r="E382" s="396">
        <v>4</v>
      </c>
      <c r="F382" s="396"/>
      <c r="G382" s="396"/>
      <c r="H382" s="400">
        <v>270303</v>
      </c>
      <c r="J382" s="138"/>
      <c r="T382" s="129"/>
      <c r="U382" s="120" t="str">
        <f t="shared" si="141"/>
        <v>MAM:2</v>
      </c>
    </row>
    <row r="383" spans="1:21" ht="12.75" hidden="1" customHeight="1" x14ac:dyDescent="0.25">
      <c r="A383" s="123">
        <f t="shared" si="142"/>
        <v>2</v>
      </c>
      <c r="B383" s="394">
        <v>43681</v>
      </c>
      <c r="C383" s="79" t="s">
        <v>55</v>
      </c>
      <c r="D383" s="269" t="s">
        <v>659</v>
      </c>
      <c r="E383" s="78">
        <f>1-0.5</f>
        <v>0.5</v>
      </c>
      <c r="F383" s="78"/>
      <c r="G383" s="78"/>
      <c r="H383" s="79">
        <v>320126</v>
      </c>
      <c r="J383" s="138"/>
      <c r="T383" s="129"/>
      <c r="U383" s="120" t="str">
        <f t="shared" si="141"/>
        <v>MAM:2</v>
      </c>
    </row>
    <row r="384" spans="1:21" ht="12.75" hidden="1" customHeight="1" x14ac:dyDescent="0.25">
      <c r="A384" s="120">
        <f t="shared" si="142"/>
        <v>3</v>
      </c>
      <c r="B384" s="392">
        <v>43688</v>
      </c>
      <c r="C384" s="77" t="s">
        <v>55</v>
      </c>
      <c r="D384" s="231" t="s">
        <v>659</v>
      </c>
      <c r="E384" s="76">
        <v>2</v>
      </c>
      <c r="F384" s="76"/>
      <c r="G384" s="76"/>
      <c r="H384" s="77">
        <v>320126</v>
      </c>
      <c r="I384" t="s">
        <v>814</v>
      </c>
      <c r="J384" s="138"/>
      <c r="T384" s="129"/>
      <c r="U384" s="120" t="str">
        <f t="shared" si="141"/>
        <v>MAM:3</v>
      </c>
    </row>
    <row r="385" spans="1:21" ht="12.75" hidden="1" customHeight="1" x14ac:dyDescent="0.25">
      <c r="A385" s="120">
        <f t="shared" si="142"/>
        <v>3</v>
      </c>
      <c r="B385" s="392">
        <v>43695</v>
      </c>
      <c r="C385" s="77" t="s">
        <v>55</v>
      </c>
      <c r="D385" s="231" t="s">
        <v>659</v>
      </c>
      <c r="E385" s="76">
        <v>1.5</v>
      </c>
      <c r="F385" s="76"/>
      <c r="G385" s="76"/>
      <c r="H385" s="77">
        <v>320127</v>
      </c>
      <c r="J385" s="138"/>
      <c r="T385" s="129"/>
      <c r="U385" s="120" t="str">
        <f t="shared" si="141"/>
        <v>MAM:3</v>
      </c>
    </row>
    <row r="386" spans="1:21" ht="12.75" hidden="1" customHeight="1" x14ac:dyDescent="0.25">
      <c r="A386" s="120">
        <f t="shared" si="142"/>
        <v>3</v>
      </c>
      <c r="B386" s="392">
        <v>43702</v>
      </c>
      <c r="C386" s="77" t="s">
        <v>55</v>
      </c>
      <c r="D386" s="231" t="s">
        <v>659</v>
      </c>
      <c r="E386" s="76">
        <v>1</v>
      </c>
      <c r="F386" s="76"/>
      <c r="G386" s="76"/>
      <c r="H386" s="77">
        <v>320127</v>
      </c>
      <c r="J386" s="138"/>
      <c r="T386" s="129"/>
      <c r="U386" s="120" t="str">
        <f t="shared" si="141"/>
        <v>MAM:3</v>
      </c>
    </row>
    <row r="387" spans="1:21" ht="12.75" hidden="1" customHeight="1" x14ac:dyDescent="0.25">
      <c r="A387" s="123">
        <f t="shared" si="142"/>
        <v>3</v>
      </c>
      <c r="B387" s="394">
        <v>43709</v>
      </c>
      <c r="C387" s="79" t="s">
        <v>55</v>
      </c>
      <c r="D387" s="269" t="s">
        <v>659</v>
      </c>
      <c r="E387" s="78">
        <v>3</v>
      </c>
      <c r="F387" s="78"/>
      <c r="G387" s="78"/>
      <c r="H387" s="79">
        <v>320128</v>
      </c>
      <c r="I387" t="s">
        <v>873</v>
      </c>
      <c r="J387" s="138"/>
      <c r="T387" s="129"/>
      <c r="U387" s="120" t="str">
        <f t="shared" si="141"/>
        <v>MAM:3</v>
      </c>
    </row>
    <row r="388" spans="1:21" ht="12.75" hidden="1" customHeight="1" x14ac:dyDescent="0.25">
      <c r="A388" s="267">
        <v>3</v>
      </c>
      <c r="B388" s="393">
        <v>43681</v>
      </c>
      <c r="C388" s="75" t="s">
        <v>55</v>
      </c>
      <c r="D388" s="268" t="s">
        <v>504</v>
      </c>
      <c r="E388" s="74">
        <v>4</v>
      </c>
      <c r="F388" s="74"/>
      <c r="G388" s="74"/>
      <c r="H388" s="75">
        <v>270304</v>
      </c>
      <c r="J388" s="138"/>
      <c r="T388" s="129"/>
      <c r="U388" s="120" t="str">
        <f t="shared" si="141"/>
        <v>MAM:3</v>
      </c>
    </row>
    <row r="389" spans="1:21" ht="12.75" hidden="1" customHeight="1" x14ac:dyDescent="0.25">
      <c r="A389" s="120">
        <f t="shared" si="142"/>
        <v>3</v>
      </c>
      <c r="B389" s="392">
        <v>43688</v>
      </c>
      <c r="C389" s="77" t="s">
        <v>55</v>
      </c>
      <c r="D389" s="231" t="s">
        <v>504</v>
      </c>
      <c r="E389" s="76">
        <v>4</v>
      </c>
      <c r="F389" s="76"/>
      <c r="G389" s="76"/>
      <c r="H389" s="77">
        <v>270305</v>
      </c>
      <c r="J389" s="138"/>
      <c r="T389" s="129"/>
      <c r="U389" s="120" t="str">
        <f t="shared" si="141"/>
        <v>MAM:3</v>
      </c>
    </row>
    <row r="390" spans="1:21" ht="12.75" hidden="1" customHeight="1" x14ac:dyDescent="0.25">
      <c r="A390" s="120">
        <f t="shared" si="142"/>
        <v>3</v>
      </c>
      <c r="B390" s="392">
        <v>43695</v>
      </c>
      <c r="C390" s="77" t="s">
        <v>55</v>
      </c>
      <c r="D390" s="231" t="s">
        <v>504</v>
      </c>
      <c r="E390" s="76">
        <v>3.5</v>
      </c>
      <c r="F390" s="76"/>
      <c r="G390" s="76"/>
      <c r="H390" s="77">
        <v>270306</v>
      </c>
      <c r="J390" s="138"/>
      <c r="T390" s="129"/>
      <c r="U390" s="120" t="str">
        <f t="shared" si="141"/>
        <v>MAM:3</v>
      </c>
    </row>
    <row r="391" spans="1:21" ht="12.75" hidden="1" customHeight="1" x14ac:dyDescent="0.25">
      <c r="A391" s="120">
        <f t="shared" si="142"/>
        <v>3</v>
      </c>
      <c r="B391" s="392">
        <v>43702</v>
      </c>
      <c r="C391" s="77" t="s">
        <v>55</v>
      </c>
      <c r="D391" s="231" t="s">
        <v>504</v>
      </c>
      <c r="E391" s="76">
        <v>4</v>
      </c>
      <c r="F391" s="76"/>
      <c r="G391" s="76"/>
      <c r="H391" s="77">
        <v>270307</v>
      </c>
      <c r="J391" s="138"/>
      <c r="T391" s="129"/>
      <c r="U391" s="120" t="str">
        <f t="shared" si="141"/>
        <v>MAM:3</v>
      </c>
    </row>
    <row r="392" spans="1:21" ht="12.75" hidden="1" customHeight="1" x14ac:dyDescent="0.25">
      <c r="A392" s="123">
        <f t="shared" si="142"/>
        <v>3</v>
      </c>
      <c r="B392" s="394">
        <v>43709</v>
      </c>
      <c r="C392" s="79" t="s">
        <v>55</v>
      </c>
      <c r="D392" s="269" t="s">
        <v>504</v>
      </c>
      <c r="E392" s="78">
        <f>3.5+0.5</f>
        <v>4</v>
      </c>
      <c r="F392" s="78"/>
      <c r="G392" s="78"/>
      <c r="H392" s="79">
        <v>270308</v>
      </c>
      <c r="J392" s="138"/>
      <c r="T392" s="129"/>
      <c r="U392" s="120" t="str">
        <f t="shared" si="141"/>
        <v>MAM:3</v>
      </c>
    </row>
    <row r="393" spans="1:21" ht="12.75" hidden="1" customHeight="1" x14ac:dyDescent="0.25">
      <c r="A393" s="267">
        <f t="shared" si="142"/>
        <v>4</v>
      </c>
      <c r="B393" s="393">
        <v>43716</v>
      </c>
      <c r="C393" s="75" t="s">
        <v>55</v>
      </c>
      <c r="D393" s="268" t="s">
        <v>504</v>
      </c>
      <c r="E393" s="74">
        <v>5</v>
      </c>
      <c r="F393" s="74"/>
      <c r="G393" s="74"/>
      <c r="H393" s="75">
        <v>270309</v>
      </c>
      <c r="J393" s="138"/>
      <c r="T393" s="129"/>
      <c r="U393" s="120" t="str">
        <f t="shared" si="141"/>
        <v>MAM:4</v>
      </c>
    </row>
    <row r="394" spans="1:21" ht="12.75" hidden="1" customHeight="1" x14ac:dyDescent="0.25">
      <c r="A394" s="120">
        <f t="shared" si="142"/>
        <v>4</v>
      </c>
      <c r="B394" s="392">
        <v>43723</v>
      </c>
      <c r="C394" s="77" t="s">
        <v>55</v>
      </c>
      <c r="D394" s="231" t="s">
        <v>504</v>
      </c>
      <c r="E394" s="76">
        <v>5</v>
      </c>
      <c r="F394" s="76"/>
      <c r="G394" s="76"/>
      <c r="H394" s="77">
        <v>270310</v>
      </c>
      <c r="J394" s="138"/>
      <c r="T394" s="129"/>
      <c r="U394" s="120" t="str">
        <f t="shared" si="141"/>
        <v>MAM:4</v>
      </c>
    </row>
    <row r="395" spans="1:21" ht="12.75" hidden="1" customHeight="1" x14ac:dyDescent="0.25">
      <c r="A395" s="120">
        <f t="shared" si="142"/>
        <v>4</v>
      </c>
      <c r="B395" s="392">
        <v>43730</v>
      </c>
      <c r="C395" s="77" t="s">
        <v>55</v>
      </c>
      <c r="D395" s="231" t="s">
        <v>504</v>
      </c>
      <c r="E395" s="76">
        <v>5</v>
      </c>
      <c r="F395" s="76"/>
      <c r="G395" s="76"/>
      <c r="H395" s="77">
        <v>270311</v>
      </c>
      <c r="J395" s="138"/>
      <c r="T395" s="129"/>
      <c r="U395" s="120" t="str">
        <f t="shared" si="141"/>
        <v>MAM:4</v>
      </c>
    </row>
    <row r="396" spans="1:21" ht="12.75" hidden="1" customHeight="1" x14ac:dyDescent="0.25">
      <c r="A396" s="123">
        <f t="shared" si="142"/>
        <v>4</v>
      </c>
      <c r="B396" s="394">
        <v>43737</v>
      </c>
      <c r="C396" s="79" t="s">
        <v>55</v>
      </c>
      <c r="D396" s="269" t="s">
        <v>504</v>
      </c>
      <c r="E396" s="78">
        <v>5</v>
      </c>
      <c r="F396" s="78"/>
      <c r="G396" s="78"/>
      <c r="H396" s="79">
        <v>270312</v>
      </c>
      <c r="J396" s="138"/>
      <c r="T396" s="129"/>
      <c r="U396" s="120" t="str">
        <f t="shared" si="141"/>
        <v>MAM:4</v>
      </c>
    </row>
    <row r="397" spans="1:21" ht="12.75" hidden="1" customHeight="1" x14ac:dyDescent="0.25">
      <c r="A397" s="267">
        <f t="shared" si="142"/>
        <v>5</v>
      </c>
      <c r="B397" s="393">
        <v>43744</v>
      </c>
      <c r="C397" s="75" t="s">
        <v>55</v>
      </c>
      <c r="D397" s="268"/>
      <c r="E397" s="74"/>
      <c r="F397" s="74"/>
      <c r="G397" s="74"/>
      <c r="H397" s="75"/>
      <c r="I397" t="s">
        <v>927</v>
      </c>
      <c r="J397" s="138"/>
      <c r="T397" s="129"/>
      <c r="U397" s="120" t="str">
        <f t="shared" si="141"/>
        <v>MAM:5</v>
      </c>
    </row>
    <row r="398" spans="1:21" ht="12.75" hidden="1" customHeight="1" x14ac:dyDescent="0.25">
      <c r="A398" s="120">
        <f t="shared" si="142"/>
        <v>5</v>
      </c>
      <c r="B398" s="392">
        <v>43751</v>
      </c>
      <c r="C398" s="77" t="s">
        <v>55</v>
      </c>
      <c r="D398" s="231"/>
      <c r="E398" s="76"/>
      <c r="F398" s="76"/>
      <c r="G398" s="76"/>
      <c r="H398" s="77"/>
      <c r="J398" s="138"/>
      <c r="T398" s="129"/>
      <c r="U398" s="120" t="str">
        <f t="shared" si="141"/>
        <v>MAM:5</v>
      </c>
    </row>
    <row r="399" spans="1:21" ht="12.75" hidden="1" customHeight="1" x14ac:dyDescent="0.25">
      <c r="A399" s="120">
        <f t="shared" si="142"/>
        <v>5</v>
      </c>
      <c r="B399" s="392">
        <v>43758</v>
      </c>
      <c r="C399" s="77" t="s">
        <v>55</v>
      </c>
      <c r="D399" s="231"/>
      <c r="E399" s="76"/>
      <c r="F399" s="76"/>
      <c r="G399" s="76"/>
      <c r="H399" s="77"/>
      <c r="J399" s="138"/>
      <c r="T399" s="129"/>
      <c r="U399" s="120" t="str">
        <f t="shared" si="141"/>
        <v>MAM:5</v>
      </c>
    </row>
    <row r="400" spans="1:21" ht="12.75" hidden="1" customHeight="1" x14ac:dyDescent="0.25">
      <c r="A400" s="120">
        <f t="shared" si="142"/>
        <v>5</v>
      </c>
      <c r="B400" s="392">
        <v>43765</v>
      </c>
      <c r="C400" s="77" t="s">
        <v>55</v>
      </c>
      <c r="D400" s="231"/>
      <c r="E400" s="76"/>
      <c r="F400" s="76"/>
      <c r="G400" s="76"/>
      <c r="H400" s="77"/>
      <c r="J400" s="138"/>
      <c r="T400" s="129"/>
      <c r="U400" s="120" t="str">
        <f t="shared" si="141"/>
        <v>MAM:5</v>
      </c>
    </row>
    <row r="401" spans="1:21" ht="12.75" hidden="1" customHeight="1" x14ac:dyDescent="0.25">
      <c r="A401" s="123">
        <f t="shared" si="142"/>
        <v>5</v>
      </c>
      <c r="B401" s="394">
        <v>43772</v>
      </c>
      <c r="C401" s="79" t="s">
        <v>55</v>
      </c>
      <c r="D401" s="269"/>
      <c r="E401" s="78"/>
      <c r="F401" s="78"/>
      <c r="G401" s="78"/>
      <c r="H401" s="79"/>
      <c r="J401" s="138"/>
      <c r="T401" s="129"/>
      <c r="U401" s="120" t="str">
        <f t="shared" si="141"/>
        <v>MAM:5</v>
      </c>
    </row>
    <row r="402" spans="1:21" ht="12.75" hidden="1" customHeight="1" x14ac:dyDescent="0.25">
      <c r="A402" s="267">
        <f t="shared" si="142"/>
        <v>6</v>
      </c>
      <c r="B402" s="393">
        <v>43779</v>
      </c>
      <c r="C402" s="75" t="s">
        <v>55</v>
      </c>
      <c r="D402" s="268"/>
      <c r="E402" s="74"/>
      <c r="F402" s="74"/>
      <c r="G402" s="74"/>
      <c r="H402" s="75"/>
      <c r="J402" s="138"/>
      <c r="T402" s="129"/>
      <c r="U402" s="120" t="str">
        <f t="shared" si="141"/>
        <v>MAM:6</v>
      </c>
    </row>
    <row r="403" spans="1:21" ht="12.75" hidden="1" customHeight="1" x14ac:dyDescent="0.25">
      <c r="A403" s="120">
        <f t="shared" si="142"/>
        <v>6</v>
      </c>
      <c r="B403" s="392">
        <v>43786</v>
      </c>
      <c r="C403" s="77" t="s">
        <v>55</v>
      </c>
      <c r="D403" s="231"/>
      <c r="E403" s="76"/>
      <c r="F403" s="76"/>
      <c r="G403" s="76"/>
      <c r="H403" s="77"/>
      <c r="J403" s="138"/>
      <c r="T403" s="129"/>
      <c r="U403" s="120" t="str">
        <f t="shared" si="141"/>
        <v>MAM:6</v>
      </c>
    </row>
    <row r="404" spans="1:21" ht="12.75" hidden="1" customHeight="1" x14ac:dyDescent="0.25">
      <c r="A404" s="120">
        <f t="shared" si="142"/>
        <v>6</v>
      </c>
      <c r="B404" s="392">
        <v>43793</v>
      </c>
      <c r="C404" s="77" t="s">
        <v>55</v>
      </c>
      <c r="D404" s="231"/>
      <c r="E404" s="76"/>
      <c r="F404" s="76"/>
      <c r="G404" s="76"/>
      <c r="H404" s="77"/>
      <c r="J404" s="138"/>
      <c r="T404" s="129"/>
      <c r="U404" s="120" t="str">
        <f t="shared" si="141"/>
        <v>MAM:6</v>
      </c>
    </row>
    <row r="405" spans="1:21" ht="12.75" hidden="1" customHeight="1" x14ac:dyDescent="0.25">
      <c r="A405" s="123">
        <f t="shared" si="142"/>
        <v>6</v>
      </c>
      <c r="B405" s="394">
        <v>43800</v>
      </c>
      <c r="C405" s="79" t="s">
        <v>55</v>
      </c>
      <c r="D405" s="269"/>
      <c r="E405" s="78"/>
      <c r="F405" s="78"/>
      <c r="G405" s="78"/>
      <c r="H405" s="79"/>
      <c r="J405" s="138"/>
      <c r="T405" s="129"/>
      <c r="U405" s="120" t="str">
        <f t="shared" si="141"/>
        <v>MAM:6</v>
      </c>
    </row>
    <row r="406" spans="1:21" ht="12.75" hidden="1" customHeight="1" x14ac:dyDescent="0.25">
      <c r="A406" s="267">
        <f t="shared" si="142"/>
        <v>7</v>
      </c>
      <c r="B406" s="393">
        <v>43807</v>
      </c>
      <c r="C406" s="75" t="s">
        <v>55</v>
      </c>
      <c r="D406" s="268"/>
      <c r="E406" s="74"/>
      <c r="F406" s="74"/>
      <c r="G406" s="74"/>
      <c r="H406" s="75"/>
      <c r="J406" s="138"/>
      <c r="T406" s="129"/>
      <c r="U406" s="120" t="str">
        <f t="shared" si="141"/>
        <v>MAM:7</v>
      </c>
    </row>
    <row r="407" spans="1:21" ht="12.75" hidden="1" customHeight="1" x14ac:dyDescent="0.25">
      <c r="A407" s="120">
        <f t="shared" si="142"/>
        <v>7</v>
      </c>
      <c r="B407" s="392">
        <v>43814</v>
      </c>
      <c r="C407" s="77" t="s">
        <v>55</v>
      </c>
      <c r="D407" s="231"/>
      <c r="E407" s="76"/>
      <c r="F407" s="76"/>
      <c r="G407" s="76"/>
      <c r="H407" s="77"/>
      <c r="J407" s="138"/>
      <c r="T407" s="129"/>
      <c r="U407" s="120" t="str">
        <f t="shared" si="141"/>
        <v>MAM:7</v>
      </c>
    </row>
    <row r="408" spans="1:21" ht="12.75" hidden="1" customHeight="1" x14ac:dyDescent="0.25">
      <c r="A408" s="120">
        <f t="shared" si="142"/>
        <v>7</v>
      </c>
      <c r="B408" s="392">
        <v>43821</v>
      </c>
      <c r="C408" s="77" t="s">
        <v>55</v>
      </c>
      <c r="D408" s="231"/>
      <c r="E408" s="76"/>
      <c r="F408" s="76"/>
      <c r="G408" s="76"/>
      <c r="H408" s="77"/>
      <c r="J408" s="138"/>
      <c r="T408" s="129"/>
      <c r="U408" s="120" t="str">
        <f t="shared" si="141"/>
        <v>MAM:7</v>
      </c>
    </row>
    <row r="409" spans="1:21" ht="12.75" hidden="1" customHeight="1" x14ac:dyDescent="0.25">
      <c r="A409" s="123">
        <f t="shared" si="142"/>
        <v>7</v>
      </c>
      <c r="B409" s="394">
        <v>43828</v>
      </c>
      <c r="C409" s="79" t="s">
        <v>55</v>
      </c>
      <c r="D409" s="269"/>
      <c r="E409" s="78"/>
      <c r="F409" s="78"/>
      <c r="G409" s="78"/>
      <c r="H409" s="79"/>
      <c r="I409" s="328"/>
      <c r="J409" s="138"/>
      <c r="T409" s="129"/>
      <c r="U409" s="120" t="str">
        <f t="shared" si="141"/>
        <v>MAM:7</v>
      </c>
    </row>
    <row r="410" spans="1:21" ht="12.75" hidden="1" customHeight="1" x14ac:dyDescent="0.25">
      <c r="A410" s="267">
        <f t="shared" si="142"/>
        <v>8</v>
      </c>
      <c r="B410" s="393">
        <v>43835</v>
      </c>
      <c r="C410" s="75" t="s">
        <v>55</v>
      </c>
      <c r="D410" s="268"/>
      <c r="E410" s="74"/>
      <c r="F410" s="74"/>
      <c r="G410" s="74"/>
      <c r="H410" s="75"/>
      <c r="I410" s="328"/>
      <c r="J410" s="138"/>
      <c r="T410" s="129"/>
      <c r="U410" s="120" t="str">
        <f t="shared" si="141"/>
        <v>MAM:8</v>
      </c>
    </row>
    <row r="411" spans="1:21" ht="12.75" hidden="1" customHeight="1" x14ac:dyDescent="0.25">
      <c r="A411" s="120">
        <f t="shared" si="142"/>
        <v>8</v>
      </c>
      <c r="B411" s="392">
        <v>43842</v>
      </c>
      <c r="C411" s="77" t="s">
        <v>55</v>
      </c>
      <c r="D411" s="231"/>
      <c r="E411" s="76"/>
      <c r="F411" s="76"/>
      <c r="G411" s="76"/>
      <c r="H411" s="77"/>
      <c r="I411" s="328"/>
      <c r="J411" s="138"/>
      <c r="T411" s="129"/>
      <c r="U411" s="120" t="str">
        <f t="shared" si="141"/>
        <v>MAM:8</v>
      </c>
    </row>
    <row r="412" spans="1:21" ht="12.75" hidden="1" customHeight="1" x14ac:dyDescent="0.25">
      <c r="A412" s="120">
        <f t="shared" si="142"/>
        <v>8</v>
      </c>
      <c r="B412" s="392">
        <v>43849</v>
      </c>
      <c r="C412" s="77" t="s">
        <v>55</v>
      </c>
      <c r="D412" s="231"/>
      <c r="E412" s="76"/>
      <c r="F412" s="76"/>
      <c r="G412" s="76"/>
      <c r="H412" s="77"/>
      <c r="I412" s="384"/>
      <c r="J412" s="138"/>
      <c r="T412" s="129"/>
      <c r="U412" s="120" t="str">
        <f t="shared" si="141"/>
        <v>MAM:8</v>
      </c>
    </row>
    <row r="413" spans="1:21" ht="12.75" hidden="1" customHeight="1" x14ac:dyDescent="0.25">
      <c r="A413" s="120">
        <f t="shared" si="142"/>
        <v>8</v>
      </c>
      <c r="B413" s="392">
        <v>43856</v>
      </c>
      <c r="C413" s="77" t="s">
        <v>55</v>
      </c>
      <c r="D413" s="231"/>
      <c r="E413" s="76"/>
      <c r="F413" s="76"/>
      <c r="G413" s="76"/>
      <c r="H413" s="77"/>
      <c r="J413" s="138"/>
      <c r="T413" s="129"/>
      <c r="U413" s="120" t="str">
        <f t="shared" si="141"/>
        <v>MAM:8</v>
      </c>
    </row>
    <row r="414" spans="1:21" ht="12.75" hidden="1" customHeight="1" x14ac:dyDescent="0.25">
      <c r="A414" s="123">
        <f t="shared" si="142"/>
        <v>8</v>
      </c>
      <c r="B414" s="394">
        <v>43863</v>
      </c>
      <c r="C414" s="79" t="s">
        <v>55</v>
      </c>
      <c r="D414" s="269"/>
      <c r="E414" s="78"/>
      <c r="F414" s="78"/>
      <c r="G414" s="78"/>
      <c r="H414" s="79"/>
      <c r="I414" s="328"/>
      <c r="J414" s="138"/>
      <c r="T414" s="129"/>
      <c r="U414" s="120" t="str">
        <f t="shared" si="141"/>
        <v>MAM:8</v>
      </c>
    </row>
    <row r="415" spans="1:21" ht="12.75" hidden="1" customHeight="1" x14ac:dyDescent="0.25">
      <c r="A415" s="267">
        <f t="shared" si="142"/>
        <v>9</v>
      </c>
      <c r="B415" s="393">
        <v>43870</v>
      </c>
      <c r="C415" s="75" t="s">
        <v>55</v>
      </c>
      <c r="D415" s="268"/>
      <c r="E415" s="74"/>
      <c r="F415" s="74"/>
      <c r="G415" s="74"/>
      <c r="H415" s="75"/>
      <c r="I415" s="328"/>
      <c r="J415" s="138"/>
      <c r="T415" s="129"/>
      <c r="U415" s="120" t="str">
        <f t="shared" si="141"/>
        <v>MAM:9</v>
      </c>
    </row>
    <row r="416" spans="1:21" ht="12.75" hidden="1" customHeight="1" x14ac:dyDescent="0.25">
      <c r="A416" s="120">
        <f t="shared" si="142"/>
        <v>9</v>
      </c>
      <c r="B416" s="392">
        <v>43877</v>
      </c>
      <c r="C416" s="77" t="s">
        <v>55</v>
      </c>
      <c r="D416" s="231"/>
      <c r="E416" s="76"/>
      <c r="F416" s="76"/>
      <c r="G416" s="76"/>
      <c r="H416" s="77"/>
      <c r="J416" s="138"/>
      <c r="T416" s="129"/>
      <c r="U416" s="120" t="str">
        <f t="shared" si="141"/>
        <v>MAM:9</v>
      </c>
    </row>
    <row r="417" spans="1:21" ht="12.75" hidden="1" customHeight="1" x14ac:dyDescent="0.25">
      <c r="A417" s="120">
        <f t="shared" si="142"/>
        <v>9</v>
      </c>
      <c r="B417" s="392">
        <v>43884</v>
      </c>
      <c r="C417" s="77" t="s">
        <v>55</v>
      </c>
      <c r="D417" s="231"/>
      <c r="E417" s="76"/>
      <c r="F417" s="76"/>
      <c r="G417" s="76"/>
      <c r="H417" s="77"/>
      <c r="J417" s="138"/>
      <c r="T417" s="129"/>
      <c r="U417" s="120" t="str">
        <f t="shared" si="141"/>
        <v>MAM:9</v>
      </c>
    </row>
    <row r="418" spans="1:21" ht="12.75" hidden="1" customHeight="1" x14ac:dyDescent="0.25">
      <c r="A418" s="123">
        <f t="shared" si="142"/>
        <v>9</v>
      </c>
      <c r="B418" s="394">
        <v>43891</v>
      </c>
      <c r="C418" s="79" t="s">
        <v>55</v>
      </c>
      <c r="D418" s="269"/>
      <c r="E418" s="78"/>
      <c r="F418" s="78"/>
      <c r="G418" s="78"/>
      <c r="H418" s="79"/>
      <c r="J418" s="138"/>
      <c r="T418" s="129"/>
      <c r="U418" s="120" t="str">
        <f t="shared" si="141"/>
        <v>MAM:9</v>
      </c>
    </row>
    <row r="419" spans="1:21" ht="12.75" hidden="1" customHeight="1" x14ac:dyDescent="0.25">
      <c r="A419" s="267">
        <f t="shared" si="142"/>
        <v>10</v>
      </c>
      <c r="B419" s="393">
        <v>43898</v>
      </c>
      <c r="C419" s="75" t="s">
        <v>55</v>
      </c>
      <c r="D419" s="268"/>
      <c r="E419" s="74"/>
      <c r="F419" s="74"/>
      <c r="G419" s="74"/>
      <c r="H419" s="75"/>
      <c r="J419" s="138"/>
      <c r="T419" s="129"/>
      <c r="U419" s="120" t="str">
        <f t="shared" si="141"/>
        <v>MAM:10</v>
      </c>
    </row>
    <row r="420" spans="1:21" ht="12.75" hidden="1" customHeight="1" x14ac:dyDescent="0.25">
      <c r="A420" s="120">
        <f t="shared" si="142"/>
        <v>10</v>
      </c>
      <c r="B420" s="392">
        <v>43905</v>
      </c>
      <c r="C420" s="77" t="s">
        <v>55</v>
      </c>
      <c r="D420" s="231"/>
      <c r="E420" s="76"/>
      <c r="F420" s="76"/>
      <c r="G420" s="76"/>
      <c r="H420" s="77"/>
      <c r="J420" s="138"/>
      <c r="T420" s="129"/>
      <c r="U420" s="120" t="str">
        <f t="shared" si="141"/>
        <v>MAM:10</v>
      </c>
    </row>
    <row r="421" spans="1:21" ht="12.75" hidden="1" customHeight="1" x14ac:dyDescent="0.25">
      <c r="A421" s="120">
        <f t="shared" si="142"/>
        <v>10</v>
      </c>
      <c r="B421" s="392">
        <v>43912</v>
      </c>
      <c r="C421" s="77" t="s">
        <v>55</v>
      </c>
      <c r="D421" s="231"/>
      <c r="E421" s="76"/>
      <c r="F421" s="76"/>
      <c r="G421" s="76"/>
      <c r="H421" s="77"/>
      <c r="J421" s="138"/>
      <c r="T421" s="129"/>
      <c r="U421" s="120" t="str">
        <f t="shared" si="141"/>
        <v>MAM:10</v>
      </c>
    </row>
    <row r="422" spans="1:21" ht="12.75" hidden="1" customHeight="1" x14ac:dyDescent="0.25">
      <c r="A422" s="123">
        <f t="shared" si="142"/>
        <v>10</v>
      </c>
      <c r="B422" s="394">
        <v>43919</v>
      </c>
      <c r="C422" s="79" t="s">
        <v>55</v>
      </c>
      <c r="D422" s="269"/>
      <c r="E422" s="78"/>
      <c r="F422" s="78"/>
      <c r="G422" s="78"/>
      <c r="H422" s="79"/>
      <c r="I422" s="328"/>
      <c r="J422" s="138"/>
      <c r="T422" s="129"/>
      <c r="U422" s="120" t="str">
        <f t="shared" si="141"/>
        <v>MAM:10</v>
      </c>
    </row>
    <row r="423" spans="1:21" ht="12.75" hidden="1" customHeight="1" x14ac:dyDescent="0.25">
      <c r="A423" s="267">
        <f t="shared" si="142"/>
        <v>11</v>
      </c>
      <c r="B423" s="393">
        <v>43926</v>
      </c>
      <c r="C423" s="75" t="s">
        <v>55</v>
      </c>
      <c r="D423" s="268"/>
      <c r="E423" s="74"/>
      <c r="F423" s="74"/>
      <c r="G423" s="74"/>
      <c r="H423" s="75"/>
      <c r="I423" s="328"/>
      <c r="J423" s="138"/>
      <c r="T423" s="129"/>
      <c r="U423" s="120" t="str">
        <f t="shared" si="141"/>
        <v>MAM:11</v>
      </c>
    </row>
    <row r="424" spans="1:21" ht="12.75" hidden="1" customHeight="1" x14ac:dyDescent="0.25">
      <c r="A424" s="120">
        <f t="shared" si="142"/>
        <v>11</v>
      </c>
      <c r="B424" s="392">
        <v>43933</v>
      </c>
      <c r="C424" s="77" t="s">
        <v>55</v>
      </c>
      <c r="D424" s="231"/>
      <c r="E424" s="76"/>
      <c r="F424" s="76"/>
      <c r="G424" s="76"/>
      <c r="H424" s="77"/>
      <c r="I424" s="328"/>
      <c r="J424" s="138"/>
      <c r="T424" s="129"/>
      <c r="U424" s="120" t="str">
        <f t="shared" si="141"/>
        <v>MAM:11</v>
      </c>
    </row>
    <row r="425" spans="1:21" ht="12.75" hidden="1" customHeight="1" x14ac:dyDescent="0.25">
      <c r="A425" s="120">
        <f t="shared" si="142"/>
        <v>11</v>
      </c>
      <c r="B425" s="392">
        <v>43940</v>
      </c>
      <c r="C425" s="77" t="s">
        <v>55</v>
      </c>
      <c r="D425" s="231"/>
      <c r="E425" s="76"/>
      <c r="F425" s="76"/>
      <c r="G425" s="76"/>
      <c r="H425" s="77"/>
      <c r="J425" s="138"/>
      <c r="T425" s="129"/>
      <c r="U425" s="120" t="str">
        <f t="shared" si="141"/>
        <v>MAM:11</v>
      </c>
    </row>
    <row r="426" spans="1:21" ht="12.75" hidden="1" customHeight="1" x14ac:dyDescent="0.25">
      <c r="A426" s="123">
        <f t="shared" si="142"/>
        <v>11</v>
      </c>
      <c r="B426" s="394">
        <v>43947</v>
      </c>
      <c r="C426" s="79" t="s">
        <v>55</v>
      </c>
      <c r="D426" s="269"/>
      <c r="E426" s="78"/>
      <c r="F426" s="78"/>
      <c r="G426" s="78"/>
      <c r="H426" s="79"/>
      <c r="J426" s="138"/>
      <c r="T426" s="129"/>
      <c r="U426" s="120" t="str">
        <f t="shared" si="141"/>
        <v>MAM:11</v>
      </c>
    </row>
    <row r="427" spans="1:21" ht="12.75" hidden="1" customHeight="1" x14ac:dyDescent="0.25">
      <c r="A427" s="267">
        <f t="shared" si="142"/>
        <v>11</v>
      </c>
      <c r="B427" s="393">
        <v>43954</v>
      </c>
      <c r="C427" s="75" t="s">
        <v>55</v>
      </c>
      <c r="D427" s="268"/>
      <c r="E427" s="74"/>
      <c r="F427" s="74"/>
      <c r="G427" s="74"/>
      <c r="H427" s="75"/>
      <c r="I427" s="328"/>
      <c r="J427" s="138"/>
      <c r="T427" s="129"/>
      <c r="U427" s="120" t="str">
        <f t="shared" si="141"/>
        <v>MAM:11</v>
      </c>
    </row>
    <row r="428" spans="1:21" ht="12.75" hidden="1" customHeight="1" x14ac:dyDescent="0.25">
      <c r="A428" s="120">
        <f t="shared" si="142"/>
        <v>12</v>
      </c>
      <c r="B428" s="392">
        <v>43961</v>
      </c>
      <c r="C428" s="77" t="s">
        <v>55</v>
      </c>
      <c r="D428" s="231"/>
      <c r="E428" s="76"/>
      <c r="F428" s="76"/>
      <c r="G428" s="76"/>
      <c r="H428" s="77"/>
      <c r="J428" s="138"/>
      <c r="T428" s="129"/>
      <c r="U428" s="120" t="str">
        <f t="shared" si="141"/>
        <v>MAM:12</v>
      </c>
    </row>
    <row r="429" spans="1:21" ht="12.75" hidden="1" customHeight="1" x14ac:dyDescent="0.25">
      <c r="A429" s="120">
        <f t="shared" si="142"/>
        <v>12</v>
      </c>
      <c r="B429" s="392">
        <v>43968</v>
      </c>
      <c r="C429" s="77" t="s">
        <v>55</v>
      </c>
      <c r="D429" s="231"/>
      <c r="E429" s="76"/>
      <c r="F429" s="76"/>
      <c r="G429" s="76"/>
      <c r="H429" s="77"/>
      <c r="J429" s="138"/>
      <c r="L429" s="22"/>
      <c r="T429" s="129"/>
      <c r="U429" s="120" t="str">
        <f t="shared" si="141"/>
        <v>MAM:12</v>
      </c>
    </row>
    <row r="430" spans="1:21" ht="12.75" hidden="1" customHeight="1" x14ac:dyDescent="0.25">
      <c r="A430" s="120">
        <f t="shared" si="142"/>
        <v>12</v>
      </c>
      <c r="B430" s="392">
        <v>43975</v>
      </c>
      <c r="C430" s="77" t="s">
        <v>55</v>
      </c>
      <c r="D430" s="231"/>
      <c r="E430" s="76"/>
      <c r="F430" s="76"/>
      <c r="G430" s="76"/>
      <c r="H430" s="77"/>
      <c r="J430" s="138"/>
      <c r="T430" s="129"/>
      <c r="U430" s="120" t="str">
        <f t="shared" si="141"/>
        <v>MAM:12</v>
      </c>
    </row>
    <row r="431" spans="1:21" ht="12.75" hidden="1" customHeight="1" x14ac:dyDescent="0.25">
      <c r="A431" s="123">
        <f t="shared" si="142"/>
        <v>12</v>
      </c>
      <c r="B431" s="394">
        <v>43982</v>
      </c>
      <c r="C431" s="79" t="s">
        <v>55</v>
      </c>
      <c r="D431" s="269"/>
      <c r="E431" s="78"/>
      <c r="F431" s="78"/>
      <c r="G431" s="78"/>
      <c r="H431" s="79"/>
      <c r="J431" s="138"/>
      <c r="L431" s="22"/>
      <c r="T431" s="129"/>
      <c r="U431" s="120" t="str">
        <f t="shared" si="141"/>
        <v>MAM:12</v>
      </c>
    </row>
    <row r="432" spans="1:21" ht="12.75" hidden="1" customHeight="1" x14ac:dyDescent="0.25">
      <c r="A432" s="120">
        <v>1</v>
      </c>
      <c r="B432" s="392">
        <v>43625</v>
      </c>
      <c r="C432" s="77" t="s">
        <v>57</v>
      </c>
      <c r="D432" s="231"/>
      <c r="E432" s="76">
        <v>5</v>
      </c>
      <c r="F432" s="76"/>
      <c r="G432" s="76"/>
      <c r="H432" s="77">
        <v>551011</v>
      </c>
      <c r="I432" t="s">
        <v>689</v>
      </c>
      <c r="J432" s="138"/>
      <c r="T432" s="129"/>
      <c r="U432" s="120" t="str">
        <f t="shared" si="141"/>
        <v>CRP:1</v>
      </c>
    </row>
    <row r="433" spans="1:21" ht="12.75" hidden="1" customHeight="1" x14ac:dyDescent="0.25">
      <c r="A433" s="120">
        <f t="shared" ref="A433:A496" si="143">GETPAYMONTH(DATE(YEAR(B433),MONTH(B433-4)+1,1))</f>
        <v>1</v>
      </c>
      <c r="B433" s="392">
        <v>43632</v>
      </c>
      <c r="C433" s="77" t="s">
        <v>57</v>
      </c>
      <c r="D433" s="231"/>
      <c r="E433" s="76">
        <v>6</v>
      </c>
      <c r="F433" s="76"/>
      <c r="G433" s="76"/>
      <c r="H433" s="77">
        <v>551012</v>
      </c>
      <c r="I433" t="s">
        <v>690</v>
      </c>
      <c r="J433" s="138"/>
      <c r="K433" s="22"/>
      <c r="T433" s="129"/>
      <c r="U433" s="120" t="str">
        <f t="shared" si="141"/>
        <v>CRP:1</v>
      </c>
    </row>
    <row r="434" spans="1:21" ht="12.75" hidden="1" customHeight="1" x14ac:dyDescent="0.25">
      <c r="A434" s="120">
        <f t="shared" si="143"/>
        <v>1</v>
      </c>
      <c r="B434" s="392">
        <v>43639</v>
      </c>
      <c r="C434" s="77" t="s">
        <v>57</v>
      </c>
      <c r="D434" s="231"/>
      <c r="E434" s="76">
        <v>5</v>
      </c>
      <c r="F434" s="76"/>
      <c r="G434" s="76"/>
      <c r="H434" s="77">
        <v>551012</v>
      </c>
      <c r="J434" s="138"/>
      <c r="T434" s="129"/>
      <c r="U434" s="120" t="str">
        <f t="shared" si="141"/>
        <v>CRP:1</v>
      </c>
    </row>
    <row r="435" spans="1:21" ht="12.75" hidden="1" customHeight="1" x14ac:dyDescent="0.25">
      <c r="A435" s="120">
        <f t="shared" si="143"/>
        <v>1</v>
      </c>
      <c r="B435" s="392">
        <v>43646</v>
      </c>
      <c r="C435" s="77" t="s">
        <v>57</v>
      </c>
      <c r="D435" s="231"/>
      <c r="E435" s="76">
        <v>5</v>
      </c>
      <c r="F435" s="76"/>
      <c r="G435" s="76"/>
      <c r="H435" s="77">
        <v>551013</v>
      </c>
      <c r="J435" s="138"/>
      <c r="T435" s="129"/>
      <c r="U435" s="120" t="str">
        <f t="shared" ref="U435:U473" si="144">C435 &amp;":"&amp; A435</f>
        <v>CRP:1</v>
      </c>
    </row>
    <row r="436" spans="1:21" ht="12.75" hidden="1" customHeight="1" x14ac:dyDescent="0.25">
      <c r="A436" s="123">
        <f t="shared" si="143"/>
        <v>1</v>
      </c>
      <c r="B436" s="394">
        <v>43646</v>
      </c>
      <c r="C436" s="79" t="s">
        <v>58</v>
      </c>
      <c r="D436" s="269"/>
      <c r="E436" s="316">
        <f>SUM(E432:E435)</f>
        <v>21</v>
      </c>
      <c r="F436" s="316"/>
      <c r="G436" s="316"/>
      <c r="H436" s="315"/>
      <c r="J436" s="138"/>
      <c r="U436" s="120" t="str">
        <f t="shared" si="144"/>
        <v>SM:1</v>
      </c>
    </row>
    <row r="437" spans="1:21" ht="12.75" hidden="1" customHeight="1" x14ac:dyDescent="0.25">
      <c r="A437" s="120">
        <f t="shared" si="143"/>
        <v>2</v>
      </c>
      <c r="B437" s="392">
        <v>43653</v>
      </c>
      <c r="C437" s="77" t="s">
        <v>57</v>
      </c>
      <c r="D437" s="231"/>
      <c r="E437" s="74">
        <v>4</v>
      </c>
      <c r="F437" s="74"/>
      <c r="G437" s="74"/>
      <c r="H437" s="75">
        <v>551013</v>
      </c>
      <c r="I437" s="383" t="s">
        <v>696</v>
      </c>
      <c r="J437" s="138"/>
      <c r="U437" s="120" t="str">
        <f t="shared" si="144"/>
        <v>CRP:2</v>
      </c>
    </row>
    <row r="438" spans="1:21" ht="12.75" hidden="1" customHeight="1" x14ac:dyDescent="0.25">
      <c r="A438" s="120">
        <f t="shared" si="143"/>
        <v>2</v>
      </c>
      <c r="B438" s="392">
        <v>43660</v>
      </c>
      <c r="C438" s="77" t="s">
        <v>57</v>
      </c>
      <c r="D438" s="231"/>
      <c r="E438" s="76">
        <v>6</v>
      </c>
      <c r="F438" s="76"/>
      <c r="G438" s="76"/>
      <c r="H438" s="77">
        <v>551014</v>
      </c>
      <c r="I438" t="s">
        <v>690</v>
      </c>
      <c r="J438" s="138"/>
      <c r="U438" s="120" t="str">
        <f t="shared" si="144"/>
        <v>CRP:2</v>
      </c>
    </row>
    <row r="439" spans="1:21" ht="12.75" hidden="1" customHeight="1" x14ac:dyDescent="0.25">
      <c r="A439" s="120">
        <f t="shared" si="143"/>
        <v>2</v>
      </c>
      <c r="B439" s="392">
        <v>43667</v>
      </c>
      <c r="C439" s="77" t="s">
        <v>57</v>
      </c>
      <c r="D439" s="231"/>
      <c r="E439" s="76">
        <v>7</v>
      </c>
      <c r="F439" s="76"/>
      <c r="G439" s="76"/>
      <c r="H439" s="77">
        <v>551014</v>
      </c>
      <c r="J439" s="138"/>
      <c r="T439" s="129"/>
      <c r="U439" s="120" t="str">
        <f t="shared" si="144"/>
        <v>CRP:2</v>
      </c>
    </row>
    <row r="440" spans="1:21" ht="12.75" hidden="1" customHeight="1" x14ac:dyDescent="0.25">
      <c r="A440" s="120">
        <f t="shared" si="143"/>
        <v>2</v>
      </c>
      <c r="B440" s="392">
        <v>43674</v>
      </c>
      <c r="C440" s="77" t="s">
        <v>57</v>
      </c>
      <c r="D440" s="231"/>
      <c r="E440" s="396">
        <v>6.5</v>
      </c>
      <c r="F440" s="396"/>
      <c r="G440" s="396"/>
      <c r="H440" s="400">
        <v>551015</v>
      </c>
      <c r="I440" t="s">
        <v>810</v>
      </c>
      <c r="J440" s="138"/>
      <c r="U440" s="120" t="str">
        <f t="shared" si="144"/>
        <v>CRP:2</v>
      </c>
    </row>
    <row r="441" spans="1:21" ht="12.75" hidden="1" customHeight="1" x14ac:dyDescent="0.25">
      <c r="A441" s="120">
        <f>GETPAYMONTH(DATE(YEAR(B441),MONTH(B441-4)+1,1))</f>
        <v>2</v>
      </c>
      <c r="B441" s="392">
        <v>43681</v>
      </c>
      <c r="C441" s="77" t="s">
        <v>57</v>
      </c>
      <c r="D441" s="231"/>
      <c r="E441" s="78">
        <v>6.5</v>
      </c>
      <c r="F441" s="78"/>
      <c r="G441" s="78"/>
      <c r="H441" s="79">
        <v>551015</v>
      </c>
      <c r="I441" t="s">
        <v>811</v>
      </c>
      <c r="J441" s="138"/>
      <c r="U441" s="120" t="str">
        <f>C441 &amp;":"&amp; A441</f>
        <v>CRP:2</v>
      </c>
    </row>
    <row r="442" spans="1:21" ht="12.75" hidden="1" customHeight="1" x14ac:dyDescent="0.25">
      <c r="A442" s="123">
        <f t="shared" si="143"/>
        <v>2</v>
      </c>
      <c r="B442" s="394">
        <v>43674</v>
      </c>
      <c r="C442" s="79" t="s">
        <v>58</v>
      </c>
      <c r="D442" s="269"/>
      <c r="E442" s="78">
        <f>SUM(E437:E441)</f>
        <v>30</v>
      </c>
      <c r="F442" s="78"/>
      <c r="G442" s="78"/>
      <c r="H442" s="79"/>
      <c r="J442" s="138"/>
      <c r="U442" s="120" t="str">
        <f t="shared" si="144"/>
        <v>SM:2</v>
      </c>
    </row>
    <row r="443" spans="1:21" ht="12.75" hidden="1" customHeight="1" x14ac:dyDescent="0.25">
      <c r="A443" s="120">
        <f t="shared" si="143"/>
        <v>3</v>
      </c>
      <c r="B443" s="392">
        <v>43688</v>
      </c>
      <c r="C443" s="77" t="s">
        <v>57</v>
      </c>
      <c r="D443" s="231"/>
      <c r="E443" s="76">
        <v>7</v>
      </c>
      <c r="F443" s="76"/>
      <c r="G443" s="76"/>
      <c r="H443" s="77">
        <v>551016</v>
      </c>
      <c r="J443" s="138"/>
      <c r="T443" s="129"/>
      <c r="U443" s="120" t="str">
        <f t="shared" si="144"/>
        <v>CRP:3</v>
      </c>
    </row>
    <row r="444" spans="1:21" ht="12.75" hidden="1" customHeight="1" x14ac:dyDescent="0.25">
      <c r="A444" s="120">
        <f t="shared" si="143"/>
        <v>3</v>
      </c>
      <c r="B444" s="392">
        <v>43695</v>
      </c>
      <c r="C444" s="77" t="s">
        <v>57</v>
      </c>
      <c r="D444" s="231"/>
      <c r="E444" s="76">
        <v>5</v>
      </c>
      <c r="F444" s="76"/>
      <c r="G444" s="76"/>
      <c r="H444" s="77">
        <v>551016</v>
      </c>
      <c r="J444" s="138"/>
      <c r="U444" s="120" t="str">
        <f t="shared" si="144"/>
        <v>CRP:3</v>
      </c>
    </row>
    <row r="445" spans="1:21" ht="12.75" hidden="1" customHeight="1" x14ac:dyDescent="0.25">
      <c r="A445" s="120">
        <f t="shared" si="143"/>
        <v>3</v>
      </c>
      <c r="B445" s="392">
        <v>43702</v>
      </c>
      <c r="C445" s="77" t="s">
        <v>57</v>
      </c>
      <c r="D445" s="231"/>
      <c r="E445" s="76">
        <v>7</v>
      </c>
      <c r="F445" s="76"/>
      <c r="G445" s="76"/>
      <c r="H445" s="77">
        <v>551017</v>
      </c>
      <c r="J445" s="138"/>
      <c r="U445" s="120" t="str">
        <f t="shared" si="144"/>
        <v>CRP:3</v>
      </c>
    </row>
    <row r="446" spans="1:21" ht="12.75" hidden="1" customHeight="1" x14ac:dyDescent="0.25">
      <c r="A446" s="120">
        <f t="shared" si="143"/>
        <v>3</v>
      </c>
      <c r="B446" s="392">
        <v>43709</v>
      </c>
      <c r="C446" s="77" t="s">
        <v>57</v>
      </c>
      <c r="D446" s="231"/>
      <c r="E446" s="78">
        <v>7</v>
      </c>
      <c r="F446" s="78"/>
      <c r="G446" s="78"/>
      <c r="H446" s="79">
        <v>551017</v>
      </c>
      <c r="J446" s="138"/>
      <c r="T446" s="129"/>
      <c r="U446" s="120" t="str">
        <f t="shared" si="144"/>
        <v>CRP:3</v>
      </c>
    </row>
    <row r="447" spans="1:21" ht="12.75" hidden="1" customHeight="1" x14ac:dyDescent="0.25">
      <c r="A447" s="123">
        <f t="shared" si="143"/>
        <v>3</v>
      </c>
      <c r="B447" s="394">
        <v>43709</v>
      </c>
      <c r="C447" s="79" t="s">
        <v>58</v>
      </c>
      <c r="D447" s="269"/>
      <c r="E447" s="78">
        <f>SUM(E443:E446)</f>
        <v>26</v>
      </c>
      <c r="F447" s="78"/>
      <c r="G447" s="78"/>
      <c r="H447" s="79"/>
      <c r="J447" s="138"/>
      <c r="U447" s="120" t="str">
        <f t="shared" si="144"/>
        <v>SM:3</v>
      </c>
    </row>
    <row r="448" spans="1:21" ht="12.75" hidden="1" customHeight="1" x14ac:dyDescent="0.25">
      <c r="A448" s="120">
        <f t="shared" si="143"/>
        <v>4</v>
      </c>
      <c r="B448" s="392">
        <v>43716</v>
      </c>
      <c r="C448" s="77" t="s">
        <v>57</v>
      </c>
      <c r="D448" s="231"/>
      <c r="E448" s="76">
        <v>5</v>
      </c>
      <c r="F448" s="76"/>
      <c r="G448" s="76"/>
      <c r="H448" s="77">
        <v>551118</v>
      </c>
      <c r="I448" s="383" t="s">
        <v>898</v>
      </c>
      <c r="J448" s="138"/>
      <c r="U448" s="120" t="str">
        <f t="shared" si="144"/>
        <v>CRP:4</v>
      </c>
    </row>
    <row r="449" spans="1:21" ht="12.75" hidden="1" customHeight="1" x14ac:dyDescent="0.25">
      <c r="A449" s="120">
        <f t="shared" si="143"/>
        <v>4</v>
      </c>
      <c r="B449" s="392">
        <v>43723</v>
      </c>
      <c r="C449" s="77" t="s">
        <v>57</v>
      </c>
      <c r="D449" s="231"/>
      <c r="E449" s="76">
        <v>5</v>
      </c>
      <c r="F449" s="76"/>
      <c r="G449" s="76"/>
      <c r="H449" s="77">
        <v>551118</v>
      </c>
      <c r="J449" s="138"/>
      <c r="U449" s="120" t="str">
        <f t="shared" si="144"/>
        <v>CRP:4</v>
      </c>
    </row>
    <row r="450" spans="1:21" ht="12.75" hidden="1" customHeight="1" x14ac:dyDescent="0.25">
      <c r="A450" s="120">
        <f t="shared" si="143"/>
        <v>4</v>
      </c>
      <c r="B450" s="392">
        <v>43730</v>
      </c>
      <c r="C450" s="77" t="s">
        <v>57</v>
      </c>
      <c r="D450" s="231"/>
      <c r="E450" s="76">
        <v>6</v>
      </c>
      <c r="F450" s="76"/>
      <c r="G450" s="76"/>
      <c r="H450" s="77">
        <v>551119</v>
      </c>
      <c r="I450" s="383" t="s">
        <v>923</v>
      </c>
      <c r="J450" s="138"/>
      <c r="T450" s="129"/>
      <c r="U450" s="120" t="str">
        <f t="shared" si="144"/>
        <v>CRP:4</v>
      </c>
    </row>
    <row r="451" spans="1:21" ht="12.75" hidden="1" customHeight="1" x14ac:dyDescent="0.25">
      <c r="A451" s="120">
        <f t="shared" si="143"/>
        <v>4</v>
      </c>
      <c r="B451" s="392">
        <v>43737</v>
      </c>
      <c r="C451" s="77" t="s">
        <v>57</v>
      </c>
      <c r="D451" s="231"/>
      <c r="E451" s="78">
        <v>4</v>
      </c>
      <c r="F451" s="78"/>
      <c r="G451" s="78"/>
      <c r="H451" s="79">
        <v>551119</v>
      </c>
      <c r="I451" s="383" t="s">
        <v>696</v>
      </c>
      <c r="J451" s="138"/>
      <c r="U451" s="120" t="str">
        <f t="shared" si="144"/>
        <v>CRP:4</v>
      </c>
    </row>
    <row r="452" spans="1:21" ht="12.75" hidden="1" customHeight="1" x14ac:dyDescent="0.25">
      <c r="A452" s="123">
        <f t="shared" si="143"/>
        <v>4</v>
      </c>
      <c r="B452" s="394">
        <v>43737</v>
      </c>
      <c r="C452" s="79" t="s">
        <v>58</v>
      </c>
      <c r="D452" s="269"/>
      <c r="E452" s="78">
        <f>SUM(E448:E451)</f>
        <v>20</v>
      </c>
      <c r="F452" s="78"/>
      <c r="G452" s="78"/>
      <c r="H452" s="79"/>
      <c r="J452" s="138"/>
      <c r="U452" s="120" t="str">
        <f t="shared" si="144"/>
        <v>SM:4</v>
      </c>
    </row>
    <row r="453" spans="1:21" ht="12.75" hidden="1" customHeight="1" x14ac:dyDescent="0.25">
      <c r="A453" s="120">
        <f t="shared" si="143"/>
        <v>5</v>
      </c>
      <c r="B453" s="392">
        <v>43744</v>
      </c>
      <c r="C453" s="77" t="s">
        <v>57</v>
      </c>
      <c r="D453" s="231"/>
      <c r="E453" s="74"/>
      <c r="F453" s="74"/>
      <c r="G453" s="74"/>
      <c r="H453" s="75"/>
      <c r="I453" s="328"/>
      <c r="J453" s="138"/>
      <c r="U453" s="120" t="str">
        <f t="shared" si="144"/>
        <v>CRP:5</v>
      </c>
    </row>
    <row r="454" spans="1:21" ht="12.75" hidden="1" customHeight="1" x14ac:dyDescent="0.25">
      <c r="A454" s="120">
        <f t="shared" si="143"/>
        <v>5</v>
      </c>
      <c r="B454" s="392">
        <v>43751</v>
      </c>
      <c r="C454" s="77" t="s">
        <v>57</v>
      </c>
      <c r="D454" s="231"/>
      <c r="E454" s="76"/>
      <c r="F454" s="76"/>
      <c r="G454" s="76"/>
      <c r="H454" s="77"/>
      <c r="J454" s="138"/>
      <c r="T454" s="129"/>
      <c r="U454" s="120" t="str">
        <f t="shared" si="144"/>
        <v>CRP:5</v>
      </c>
    </row>
    <row r="455" spans="1:21" ht="12.75" hidden="1" customHeight="1" x14ac:dyDescent="0.25">
      <c r="A455" s="120">
        <f t="shared" si="143"/>
        <v>5</v>
      </c>
      <c r="B455" s="392">
        <v>43758</v>
      </c>
      <c r="C455" s="77" t="s">
        <v>57</v>
      </c>
      <c r="D455" s="231"/>
      <c r="E455" s="76"/>
      <c r="F455" s="76"/>
      <c r="G455" s="76"/>
      <c r="H455" s="77"/>
      <c r="J455" s="138"/>
      <c r="U455" s="120" t="str">
        <f t="shared" si="144"/>
        <v>CRP:5</v>
      </c>
    </row>
    <row r="456" spans="1:21" ht="12.75" hidden="1" customHeight="1" x14ac:dyDescent="0.25">
      <c r="A456" s="120">
        <f t="shared" si="143"/>
        <v>5</v>
      </c>
      <c r="B456" s="392">
        <v>43765</v>
      </c>
      <c r="C456" s="77" t="s">
        <v>57</v>
      </c>
      <c r="D456" s="231"/>
      <c r="E456" s="76"/>
      <c r="F456" s="76"/>
      <c r="G456" s="76"/>
      <c r="H456" s="77"/>
      <c r="J456" s="138"/>
      <c r="U456" s="120" t="str">
        <f t="shared" si="144"/>
        <v>CRP:5</v>
      </c>
    </row>
    <row r="457" spans="1:21" ht="12.75" hidden="1" customHeight="1" x14ac:dyDescent="0.25">
      <c r="A457" s="120">
        <f t="shared" si="143"/>
        <v>5</v>
      </c>
      <c r="B457" s="392">
        <v>43772</v>
      </c>
      <c r="C457" s="77" t="s">
        <v>57</v>
      </c>
      <c r="D457" s="231"/>
      <c r="E457" s="78"/>
      <c r="F457" s="78"/>
      <c r="G457" s="78"/>
      <c r="H457" s="79"/>
      <c r="J457" s="138"/>
      <c r="U457" s="120" t="str">
        <f>C457 &amp;":"&amp; A457</f>
        <v>CRP:5</v>
      </c>
    </row>
    <row r="458" spans="1:21" ht="12.75" hidden="1" customHeight="1" x14ac:dyDescent="0.25">
      <c r="A458" s="123">
        <f t="shared" si="143"/>
        <v>5</v>
      </c>
      <c r="B458" s="394">
        <v>43765</v>
      </c>
      <c r="C458" s="79" t="s">
        <v>58</v>
      </c>
      <c r="D458" s="269"/>
      <c r="E458" s="316">
        <f>SUM(E453:E457)</f>
        <v>0</v>
      </c>
      <c r="F458" s="316"/>
      <c r="G458" s="316"/>
      <c r="H458" s="315"/>
      <c r="J458" s="138"/>
      <c r="U458" s="120" t="str">
        <f t="shared" si="144"/>
        <v>SM:5</v>
      </c>
    </row>
    <row r="459" spans="1:21" ht="12.75" hidden="1" customHeight="1" x14ac:dyDescent="0.25">
      <c r="A459" s="120">
        <f t="shared" si="143"/>
        <v>6</v>
      </c>
      <c r="B459" s="392">
        <v>43779</v>
      </c>
      <c r="C459" s="77" t="s">
        <v>57</v>
      </c>
      <c r="D459" s="231"/>
      <c r="E459" s="76"/>
      <c r="F459" s="76"/>
      <c r="G459" s="76"/>
      <c r="H459" s="77"/>
      <c r="J459" s="138"/>
      <c r="T459" s="129"/>
      <c r="U459" s="120" t="str">
        <f t="shared" si="144"/>
        <v>CRP:6</v>
      </c>
    </row>
    <row r="460" spans="1:21" ht="12.75" hidden="1" customHeight="1" x14ac:dyDescent="0.25">
      <c r="A460" s="120">
        <f t="shared" si="143"/>
        <v>6</v>
      </c>
      <c r="B460" s="392">
        <v>43786</v>
      </c>
      <c r="C460" s="77" t="s">
        <v>57</v>
      </c>
      <c r="D460" s="231"/>
      <c r="E460" s="76"/>
      <c r="F460" s="76"/>
      <c r="G460" s="76"/>
      <c r="H460" s="77"/>
      <c r="I460" s="383"/>
      <c r="J460" s="138"/>
      <c r="U460" s="120" t="str">
        <f t="shared" si="144"/>
        <v>CRP:6</v>
      </c>
    </row>
    <row r="461" spans="1:21" ht="12.75" hidden="1" customHeight="1" x14ac:dyDescent="0.25">
      <c r="A461" s="120">
        <f t="shared" si="143"/>
        <v>6</v>
      </c>
      <c r="B461" s="392">
        <v>43793</v>
      </c>
      <c r="C461" s="77" t="s">
        <v>57</v>
      </c>
      <c r="D461" s="231"/>
      <c r="E461" s="76"/>
      <c r="F461" s="76"/>
      <c r="G461" s="76"/>
      <c r="H461" s="77"/>
      <c r="J461" s="138"/>
      <c r="U461" s="120" t="str">
        <f t="shared" si="144"/>
        <v>CRP:6</v>
      </c>
    </row>
    <row r="462" spans="1:21" ht="12.75" hidden="1" customHeight="1" x14ac:dyDescent="0.25">
      <c r="A462" s="120">
        <f>GETPAYMONTH(DATE(YEAR(B462),MONTH(B462-4)+1,1))</f>
        <v>6</v>
      </c>
      <c r="B462" s="392">
        <v>43800</v>
      </c>
      <c r="C462" s="77" t="s">
        <v>57</v>
      </c>
      <c r="D462" s="231"/>
      <c r="E462" s="78"/>
      <c r="F462" s="78"/>
      <c r="G462" s="78"/>
      <c r="H462" s="79"/>
      <c r="J462" s="138"/>
      <c r="U462" s="120" t="str">
        <f>C462 &amp;":"&amp; A462</f>
        <v>CRP:6</v>
      </c>
    </row>
    <row r="463" spans="1:21" ht="12.75" hidden="1" customHeight="1" x14ac:dyDescent="0.25">
      <c r="A463" s="123">
        <f t="shared" si="143"/>
        <v>6</v>
      </c>
      <c r="B463" s="394">
        <v>43800</v>
      </c>
      <c r="C463" s="79" t="s">
        <v>58</v>
      </c>
      <c r="D463" s="269"/>
      <c r="E463" s="316">
        <f>SUM(E459:E462)</f>
        <v>0</v>
      </c>
      <c r="F463" s="316"/>
      <c r="G463" s="316"/>
      <c r="H463" s="315"/>
      <c r="J463" s="138"/>
      <c r="T463" s="129"/>
      <c r="U463" s="120" t="str">
        <f t="shared" si="144"/>
        <v>SM:6</v>
      </c>
    </row>
    <row r="464" spans="1:21" ht="12.75" hidden="1" customHeight="1" x14ac:dyDescent="0.25">
      <c r="A464" s="120">
        <f t="shared" si="143"/>
        <v>7</v>
      </c>
      <c r="B464" s="392">
        <v>43807</v>
      </c>
      <c r="C464" s="77" t="s">
        <v>57</v>
      </c>
      <c r="D464" s="231"/>
      <c r="E464" s="76"/>
      <c r="F464" s="76"/>
      <c r="G464" s="76"/>
      <c r="H464" s="77"/>
      <c r="J464" s="138"/>
      <c r="U464" s="120" t="str">
        <f t="shared" si="144"/>
        <v>CRP:7</v>
      </c>
    </row>
    <row r="465" spans="1:21" ht="12.75" hidden="1" customHeight="1" x14ac:dyDescent="0.25">
      <c r="A465" s="120">
        <f t="shared" si="143"/>
        <v>7</v>
      </c>
      <c r="B465" s="392">
        <v>43814</v>
      </c>
      <c r="C465" s="77" t="s">
        <v>57</v>
      </c>
      <c r="D465" s="231"/>
      <c r="E465" s="76"/>
      <c r="F465" s="76"/>
      <c r="G465" s="76"/>
      <c r="H465" s="77"/>
      <c r="J465" s="138"/>
      <c r="U465" s="120" t="str">
        <f t="shared" si="144"/>
        <v>CRP:7</v>
      </c>
    </row>
    <row r="466" spans="1:21" ht="12.75" hidden="1" customHeight="1" x14ac:dyDescent="0.25">
      <c r="A466" s="120">
        <f t="shared" si="143"/>
        <v>7</v>
      </c>
      <c r="B466" s="392">
        <v>43821</v>
      </c>
      <c r="C466" s="77" t="s">
        <v>57</v>
      </c>
      <c r="D466" s="231"/>
      <c r="E466" s="76"/>
      <c r="F466" s="76"/>
      <c r="G466" s="76"/>
      <c r="H466" s="77"/>
      <c r="J466" s="138"/>
      <c r="U466" s="120" t="str">
        <f t="shared" si="144"/>
        <v>CRP:7</v>
      </c>
    </row>
    <row r="467" spans="1:21" ht="12.75" hidden="1" customHeight="1" x14ac:dyDescent="0.25">
      <c r="A467" s="120">
        <f t="shared" si="143"/>
        <v>7</v>
      </c>
      <c r="B467" s="392">
        <v>43828</v>
      </c>
      <c r="C467" s="77" t="s">
        <v>57</v>
      </c>
      <c r="D467" s="231"/>
      <c r="E467" s="78"/>
      <c r="F467" s="78"/>
      <c r="G467" s="78"/>
      <c r="H467" s="79"/>
      <c r="I467" s="328"/>
      <c r="J467" s="138"/>
      <c r="U467" s="120" t="str">
        <f t="shared" si="144"/>
        <v>CRP:7</v>
      </c>
    </row>
    <row r="468" spans="1:21" ht="12.75" hidden="1" customHeight="1" x14ac:dyDescent="0.25">
      <c r="A468" s="123">
        <f t="shared" si="143"/>
        <v>7</v>
      </c>
      <c r="B468" s="394">
        <v>43828</v>
      </c>
      <c r="C468" s="79" t="s">
        <v>58</v>
      </c>
      <c r="D468" s="269"/>
      <c r="E468" s="78">
        <f>SUM(E464:E467)</f>
        <v>0</v>
      </c>
      <c r="F468" s="78"/>
      <c r="G468" s="78"/>
      <c r="H468" s="79"/>
      <c r="J468" s="138"/>
      <c r="U468" s="120" t="str">
        <f t="shared" si="144"/>
        <v>SM:7</v>
      </c>
    </row>
    <row r="469" spans="1:21" ht="12.75" hidden="1" customHeight="1" x14ac:dyDescent="0.25">
      <c r="A469" s="120">
        <f t="shared" si="143"/>
        <v>8</v>
      </c>
      <c r="B469" s="392">
        <v>43836</v>
      </c>
      <c r="C469" s="77" t="s">
        <v>57</v>
      </c>
      <c r="D469" s="231"/>
      <c r="E469" s="74"/>
      <c r="F469" s="74"/>
      <c r="G469" s="74"/>
      <c r="H469" s="75"/>
      <c r="I469" s="328"/>
      <c r="J469" s="138"/>
      <c r="U469" s="120" t="str">
        <f t="shared" si="144"/>
        <v>CRP:8</v>
      </c>
    </row>
    <row r="470" spans="1:21" ht="12.75" hidden="1" customHeight="1" x14ac:dyDescent="0.25">
      <c r="A470" s="120">
        <f t="shared" si="143"/>
        <v>8</v>
      </c>
      <c r="B470" s="392">
        <v>43842</v>
      </c>
      <c r="C470" s="77" t="s">
        <v>57</v>
      </c>
      <c r="D470" s="231"/>
      <c r="E470" s="76"/>
      <c r="F470" s="76"/>
      <c r="G470" s="76"/>
      <c r="H470" s="77"/>
      <c r="J470" s="138"/>
      <c r="U470" s="120" t="str">
        <f t="shared" si="144"/>
        <v>CRP:8</v>
      </c>
    </row>
    <row r="471" spans="1:21" ht="12.75" hidden="1" customHeight="1" x14ac:dyDescent="0.25">
      <c r="A471" s="120">
        <f t="shared" si="143"/>
        <v>8</v>
      </c>
      <c r="B471" s="392">
        <v>43842</v>
      </c>
      <c r="C471" s="77" t="s">
        <v>57</v>
      </c>
      <c r="D471" s="231"/>
      <c r="E471" s="76"/>
      <c r="F471" s="76"/>
      <c r="G471" s="76"/>
      <c r="H471" s="77"/>
      <c r="I471" s="384"/>
      <c r="J471" s="138"/>
      <c r="U471" s="120" t="str">
        <f t="shared" si="144"/>
        <v>CRP:8</v>
      </c>
    </row>
    <row r="472" spans="1:21" ht="12.75" hidden="1" customHeight="1" x14ac:dyDescent="0.25">
      <c r="A472" s="120">
        <f t="shared" si="143"/>
        <v>8</v>
      </c>
      <c r="B472" s="392">
        <v>43849</v>
      </c>
      <c r="C472" s="77" t="s">
        <v>57</v>
      </c>
      <c r="D472" s="231"/>
      <c r="E472" s="76"/>
      <c r="F472" s="76"/>
      <c r="G472" s="76"/>
      <c r="H472" s="77"/>
      <c r="I472" s="384"/>
      <c r="J472" s="138"/>
      <c r="U472" s="120" t="str">
        <f t="shared" si="144"/>
        <v>CRP:8</v>
      </c>
    </row>
    <row r="473" spans="1:21" ht="12.75" hidden="1" customHeight="1" x14ac:dyDescent="0.25">
      <c r="A473" s="120">
        <f t="shared" si="143"/>
        <v>8</v>
      </c>
      <c r="B473" s="392">
        <v>43856</v>
      </c>
      <c r="C473" s="77" t="s">
        <v>57</v>
      </c>
      <c r="D473" s="231"/>
      <c r="E473" s="76"/>
      <c r="F473" s="76"/>
      <c r="G473" s="76"/>
      <c r="H473" s="77"/>
      <c r="I473" s="22"/>
      <c r="J473" s="138"/>
      <c r="U473" s="120" t="str">
        <f t="shared" si="144"/>
        <v>CRP:8</v>
      </c>
    </row>
    <row r="474" spans="1:21" ht="12.75" hidden="1" customHeight="1" x14ac:dyDescent="0.25">
      <c r="A474" s="120">
        <f>GETPAYMONTH(DATE(YEAR(B474),MONTH(B474-4)+1,1))</f>
        <v>8</v>
      </c>
      <c r="B474" s="392">
        <v>43863</v>
      </c>
      <c r="C474" s="77" t="s">
        <v>57</v>
      </c>
      <c r="D474" s="238"/>
      <c r="E474" s="78"/>
      <c r="F474" s="78"/>
      <c r="G474" s="78"/>
      <c r="H474" s="79"/>
      <c r="J474" s="138"/>
      <c r="U474" s="120" t="str">
        <f>C474 &amp;":"&amp; A474</f>
        <v>CRP:8</v>
      </c>
    </row>
    <row r="475" spans="1:21" ht="12.75" hidden="1" customHeight="1" x14ac:dyDescent="0.25">
      <c r="A475" s="123">
        <f>GETPAYMONTH(DATE(YEAR(B475),MONTH(B475-4)+1,1))</f>
        <v>8</v>
      </c>
      <c r="B475" s="394">
        <v>43863</v>
      </c>
      <c r="C475" s="79" t="s">
        <v>58</v>
      </c>
      <c r="D475" s="269"/>
      <c r="E475" s="78">
        <f>SUM(E469:E474)</f>
        <v>0</v>
      </c>
      <c r="F475" s="78"/>
      <c r="G475" s="78"/>
      <c r="H475" s="79"/>
      <c r="J475" s="138"/>
      <c r="U475" s="120" t="str">
        <f t="shared" ref="U475:U526" si="145">C475 &amp;":"&amp; A475</f>
        <v>SM:8</v>
      </c>
    </row>
    <row r="476" spans="1:21" ht="12.75" hidden="1" customHeight="1" x14ac:dyDescent="0.25">
      <c r="A476" s="120">
        <f t="shared" si="143"/>
        <v>9</v>
      </c>
      <c r="B476" s="392">
        <v>43870</v>
      </c>
      <c r="C476" s="77" t="s">
        <v>57</v>
      </c>
      <c r="D476" s="238"/>
      <c r="E476" s="76"/>
      <c r="F476" s="76"/>
      <c r="G476" s="76"/>
      <c r="H476" s="77"/>
      <c r="J476" s="138"/>
      <c r="U476" s="120" t="str">
        <f t="shared" si="145"/>
        <v>CRP:9</v>
      </c>
    </row>
    <row r="477" spans="1:21" ht="12.75" hidden="1" customHeight="1" x14ac:dyDescent="0.25">
      <c r="A477" s="120">
        <f t="shared" si="143"/>
        <v>9</v>
      </c>
      <c r="B477" s="392">
        <v>43877</v>
      </c>
      <c r="C477" s="77" t="s">
        <v>57</v>
      </c>
      <c r="D477" s="238"/>
      <c r="E477" s="76"/>
      <c r="F477" s="76"/>
      <c r="G477" s="76"/>
      <c r="H477" s="77"/>
      <c r="J477" s="138"/>
      <c r="U477" s="120" t="str">
        <f t="shared" si="145"/>
        <v>CRP:9</v>
      </c>
    </row>
    <row r="478" spans="1:21" ht="12.75" hidden="1" customHeight="1" x14ac:dyDescent="0.25">
      <c r="A478" s="120">
        <f t="shared" si="143"/>
        <v>9</v>
      </c>
      <c r="B478" s="392">
        <v>43884</v>
      </c>
      <c r="C478" s="77" t="s">
        <v>57</v>
      </c>
      <c r="D478" s="238"/>
      <c r="E478" s="76"/>
      <c r="F478" s="76"/>
      <c r="G478" s="76"/>
      <c r="H478" s="77"/>
      <c r="J478" s="138"/>
      <c r="U478" s="120" t="str">
        <f t="shared" si="145"/>
        <v>CRP:9</v>
      </c>
    </row>
    <row r="479" spans="1:21" ht="12.75" hidden="1" customHeight="1" x14ac:dyDescent="0.25">
      <c r="A479" s="120">
        <f t="shared" si="143"/>
        <v>9</v>
      </c>
      <c r="B479" s="392">
        <v>43891</v>
      </c>
      <c r="C479" s="77" t="s">
        <v>57</v>
      </c>
      <c r="D479" s="238"/>
      <c r="E479" s="78"/>
      <c r="F479" s="78"/>
      <c r="G479" s="78"/>
      <c r="H479" s="79"/>
      <c r="J479" s="138"/>
      <c r="U479" s="120" t="str">
        <f t="shared" si="145"/>
        <v>CRP:9</v>
      </c>
    </row>
    <row r="480" spans="1:21" ht="12.75" hidden="1" customHeight="1" x14ac:dyDescent="0.25">
      <c r="A480" s="123">
        <f t="shared" si="143"/>
        <v>9</v>
      </c>
      <c r="B480" s="394">
        <v>43891</v>
      </c>
      <c r="C480" s="79" t="s">
        <v>58</v>
      </c>
      <c r="D480" s="269"/>
      <c r="E480" s="78">
        <f>SUM(E476:E479)</f>
        <v>0</v>
      </c>
      <c r="F480" s="78"/>
      <c r="G480" s="78"/>
      <c r="H480" s="79"/>
      <c r="J480" s="138"/>
      <c r="U480" s="120" t="str">
        <f t="shared" si="145"/>
        <v>SM:9</v>
      </c>
    </row>
    <row r="481" spans="1:21" ht="12.75" hidden="1" customHeight="1" x14ac:dyDescent="0.25">
      <c r="A481" s="120">
        <f t="shared" si="143"/>
        <v>10</v>
      </c>
      <c r="B481" s="392">
        <v>43898</v>
      </c>
      <c r="C481" s="77" t="s">
        <v>57</v>
      </c>
      <c r="D481" s="238"/>
      <c r="E481" s="74"/>
      <c r="F481" s="74"/>
      <c r="G481" s="74"/>
      <c r="H481" s="75"/>
      <c r="J481" s="138"/>
      <c r="U481" s="120" t="str">
        <f t="shared" si="145"/>
        <v>CRP:10</v>
      </c>
    </row>
    <row r="482" spans="1:21" ht="12.75" hidden="1" customHeight="1" x14ac:dyDescent="0.25">
      <c r="A482" s="120">
        <f t="shared" si="143"/>
        <v>10</v>
      </c>
      <c r="B482" s="392">
        <v>43905</v>
      </c>
      <c r="C482" s="77" t="s">
        <v>57</v>
      </c>
      <c r="D482" s="231"/>
      <c r="E482" s="76"/>
      <c r="F482" s="76"/>
      <c r="G482" s="76"/>
      <c r="H482" s="77"/>
      <c r="J482" s="138"/>
      <c r="K482" s="62"/>
      <c r="U482" s="120" t="str">
        <f t="shared" si="145"/>
        <v>CRP:10</v>
      </c>
    </row>
    <row r="483" spans="1:21" ht="12.75" hidden="1" customHeight="1" x14ac:dyDescent="0.25">
      <c r="A483" s="120">
        <f t="shared" si="143"/>
        <v>10</v>
      </c>
      <c r="B483" s="392">
        <v>43912</v>
      </c>
      <c r="C483" s="77" t="s">
        <v>57</v>
      </c>
      <c r="D483" s="231"/>
      <c r="E483" s="76"/>
      <c r="F483" s="76"/>
      <c r="G483" s="76"/>
      <c r="H483" s="77"/>
      <c r="J483" s="138"/>
      <c r="U483" s="120" t="str">
        <f t="shared" si="145"/>
        <v>CRP:10</v>
      </c>
    </row>
    <row r="484" spans="1:21" ht="12.75" hidden="1" customHeight="1" x14ac:dyDescent="0.25">
      <c r="A484" s="120">
        <f t="shared" si="143"/>
        <v>10</v>
      </c>
      <c r="B484" s="392">
        <v>43919</v>
      </c>
      <c r="C484" s="77" t="s">
        <v>57</v>
      </c>
      <c r="D484" s="231"/>
      <c r="E484" s="78"/>
      <c r="F484" s="78"/>
      <c r="G484" s="78"/>
      <c r="H484" s="79"/>
      <c r="J484" s="138"/>
      <c r="U484" s="120" t="str">
        <f t="shared" si="145"/>
        <v>CRP:10</v>
      </c>
    </row>
    <row r="485" spans="1:21" ht="12.75" hidden="1" customHeight="1" x14ac:dyDescent="0.25">
      <c r="A485" s="123">
        <f>GETPAYMONTH(DATE(YEAR(B485),MONTH(B485-4)+1,1))</f>
        <v>10</v>
      </c>
      <c r="B485" s="394">
        <v>43919</v>
      </c>
      <c r="C485" s="79" t="s">
        <v>58</v>
      </c>
      <c r="D485" s="269"/>
      <c r="E485" s="78">
        <f>SUM(E481:E484)</f>
        <v>0</v>
      </c>
      <c r="F485" s="78"/>
      <c r="G485" s="78"/>
      <c r="H485" s="79"/>
      <c r="J485" s="138"/>
      <c r="U485" s="120" t="str">
        <f>C485 &amp;":"&amp; A485</f>
        <v>SM:10</v>
      </c>
    </row>
    <row r="486" spans="1:21" ht="12.75" hidden="1" customHeight="1" x14ac:dyDescent="0.25">
      <c r="A486" s="120">
        <f t="shared" si="143"/>
        <v>11</v>
      </c>
      <c r="B486" s="392">
        <v>43926</v>
      </c>
      <c r="C486" s="77" t="s">
        <v>57</v>
      </c>
      <c r="D486" s="231"/>
      <c r="E486" s="76"/>
      <c r="F486" s="76"/>
      <c r="G486" s="76"/>
      <c r="H486" s="77"/>
      <c r="J486" s="138"/>
      <c r="U486" s="120" t="str">
        <f t="shared" si="145"/>
        <v>CRP:11</v>
      </c>
    </row>
    <row r="487" spans="1:21" ht="12.75" hidden="1" customHeight="1" x14ac:dyDescent="0.25">
      <c r="A487" s="120">
        <f t="shared" si="143"/>
        <v>11</v>
      </c>
      <c r="B487" s="392">
        <v>43933</v>
      </c>
      <c r="C487" s="77" t="s">
        <v>57</v>
      </c>
      <c r="D487" s="231"/>
      <c r="E487" s="76"/>
      <c r="F487" s="76"/>
      <c r="G487" s="76"/>
      <c r="H487" s="77"/>
      <c r="J487" s="138"/>
      <c r="U487" s="120" t="str">
        <f t="shared" si="145"/>
        <v>CRP:11</v>
      </c>
    </row>
    <row r="488" spans="1:21" ht="12.75" hidden="1" customHeight="1" x14ac:dyDescent="0.25">
      <c r="A488" s="120">
        <f t="shared" si="143"/>
        <v>11</v>
      </c>
      <c r="B488" s="392">
        <v>43940</v>
      </c>
      <c r="C488" s="77" t="s">
        <v>57</v>
      </c>
      <c r="D488" s="231"/>
      <c r="E488" s="76"/>
      <c r="F488" s="76"/>
      <c r="G488" s="76"/>
      <c r="H488" s="77"/>
      <c r="J488" s="138"/>
      <c r="U488" s="120" t="str">
        <f t="shared" si="145"/>
        <v>CRP:11</v>
      </c>
    </row>
    <row r="489" spans="1:21" ht="12.75" hidden="1" customHeight="1" x14ac:dyDescent="0.25">
      <c r="A489" s="120">
        <f t="shared" si="143"/>
        <v>11</v>
      </c>
      <c r="B489" s="392">
        <v>43947</v>
      </c>
      <c r="C489" s="77" t="s">
        <v>57</v>
      </c>
      <c r="D489" s="231"/>
      <c r="E489" s="78"/>
      <c r="F489" s="78"/>
      <c r="G489" s="78"/>
      <c r="H489" s="79"/>
      <c r="J489" s="138"/>
      <c r="U489" s="120" t="str">
        <f t="shared" si="145"/>
        <v>CRP:11</v>
      </c>
    </row>
    <row r="490" spans="1:21" ht="12.75" hidden="1" customHeight="1" x14ac:dyDescent="0.25">
      <c r="A490" s="123">
        <f t="shared" si="143"/>
        <v>11</v>
      </c>
      <c r="B490" s="394">
        <v>43947</v>
      </c>
      <c r="C490" s="79" t="s">
        <v>58</v>
      </c>
      <c r="D490" s="269"/>
      <c r="E490" s="78">
        <f>SUM(E486:E489)</f>
        <v>0</v>
      </c>
      <c r="F490" s="78"/>
      <c r="G490" s="78"/>
      <c r="H490" s="79"/>
      <c r="J490" s="138"/>
      <c r="U490" s="120" t="str">
        <f t="shared" si="145"/>
        <v>SM:11</v>
      </c>
    </row>
    <row r="491" spans="1:21" ht="12.75" hidden="1" customHeight="1" x14ac:dyDescent="0.25">
      <c r="A491" s="120">
        <f t="shared" si="143"/>
        <v>11</v>
      </c>
      <c r="B491" s="392">
        <v>43954</v>
      </c>
      <c r="C491" s="77" t="s">
        <v>57</v>
      </c>
      <c r="D491" s="231"/>
      <c r="E491" s="74"/>
      <c r="F491" s="74"/>
      <c r="G491" s="74"/>
      <c r="H491" s="75"/>
      <c r="J491" s="138"/>
      <c r="K491" s="253"/>
      <c r="U491" s="120" t="str">
        <f t="shared" si="145"/>
        <v>CRP:11</v>
      </c>
    </row>
    <row r="492" spans="1:21" ht="12.75" hidden="1" customHeight="1" x14ac:dyDescent="0.25">
      <c r="A492" s="120">
        <f t="shared" si="143"/>
        <v>12</v>
      </c>
      <c r="B492" s="392">
        <v>43961</v>
      </c>
      <c r="C492" s="77" t="s">
        <v>57</v>
      </c>
      <c r="D492" s="231"/>
      <c r="E492" s="76"/>
      <c r="F492" s="76"/>
      <c r="G492" s="76"/>
      <c r="H492" s="77"/>
      <c r="J492" s="138"/>
      <c r="K492" s="253"/>
      <c r="U492" s="120" t="str">
        <f t="shared" si="145"/>
        <v>CRP:12</v>
      </c>
    </row>
    <row r="493" spans="1:21" ht="12.75" hidden="1" customHeight="1" x14ac:dyDescent="0.25">
      <c r="A493" s="120">
        <f t="shared" si="143"/>
        <v>12</v>
      </c>
      <c r="B493" s="392">
        <v>43968</v>
      </c>
      <c r="C493" s="77" t="s">
        <v>57</v>
      </c>
      <c r="D493" s="231"/>
      <c r="E493" s="76"/>
      <c r="F493" s="76"/>
      <c r="G493" s="76"/>
      <c r="H493" s="77"/>
      <c r="J493" s="138"/>
      <c r="K493" s="353"/>
      <c r="L493" s="161"/>
      <c r="M493" s="161"/>
      <c r="U493" s="120" t="str">
        <f t="shared" si="145"/>
        <v>CRP:12</v>
      </c>
    </row>
    <row r="494" spans="1:21" ht="12.75" hidden="1" customHeight="1" x14ac:dyDescent="0.25">
      <c r="A494" s="120">
        <f t="shared" si="143"/>
        <v>12</v>
      </c>
      <c r="B494" s="392">
        <v>43975</v>
      </c>
      <c r="C494" s="77" t="s">
        <v>57</v>
      </c>
      <c r="D494" s="231"/>
      <c r="E494" s="76"/>
      <c r="F494" s="76"/>
      <c r="G494" s="76"/>
      <c r="H494" s="77"/>
      <c r="J494" s="138"/>
      <c r="K494" s="253"/>
      <c r="U494" s="120" t="str">
        <f t="shared" si="145"/>
        <v>CRP:12</v>
      </c>
    </row>
    <row r="495" spans="1:21" ht="12.75" hidden="1" customHeight="1" x14ac:dyDescent="0.25">
      <c r="A495" s="120">
        <f t="shared" si="143"/>
        <v>12</v>
      </c>
      <c r="B495" s="392">
        <v>43982</v>
      </c>
      <c r="C495" s="77" t="s">
        <v>57</v>
      </c>
      <c r="D495" s="231"/>
      <c r="E495" s="78"/>
      <c r="F495" s="78"/>
      <c r="G495" s="78"/>
      <c r="H495" s="79"/>
      <c r="J495" s="138"/>
      <c r="K495" s="253"/>
      <c r="U495" s="120" t="str">
        <f t="shared" si="145"/>
        <v>CRP:12</v>
      </c>
    </row>
    <row r="496" spans="1:21" ht="12.75" hidden="1" customHeight="1" x14ac:dyDescent="0.25">
      <c r="A496" s="123">
        <f t="shared" si="143"/>
        <v>12</v>
      </c>
      <c r="B496" s="394">
        <v>43982</v>
      </c>
      <c r="C496" s="79" t="s">
        <v>58</v>
      </c>
      <c r="D496" s="269"/>
      <c r="E496" s="78">
        <f>SUM(E491:E495)</f>
        <v>0</v>
      </c>
      <c r="F496" s="78"/>
      <c r="G496" s="78"/>
      <c r="H496" s="79"/>
      <c r="J496" s="138"/>
      <c r="K496" s="253"/>
      <c r="U496" s="120" t="str">
        <f t="shared" si="145"/>
        <v>SM:12</v>
      </c>
    </row>
    <row r="497" spans="1:21" ht="12.75" hidden="1" customHeight="1" x14ac:dyDescent="0.25">
      <c r="A497" s="120">
        <v>1</v>
      </c>
      <c r="B497" s="392">
        <v>43625</v>
      </c>
      <c r="C497" s="77" t="s">
        <v>657</v>
      </c>
      <c r="D497" s="231">
        <v>43640</v>
      </c>
      <c r="E497" s="76">
        <v>5</v>
      </c>
      <c r="F497" s="76"/>
      <c r="G497" s="76"/>
      <c r="H497" s="77">
        <v>590143</v>
      </c>
      <c r="J497" s="138"/>
      <c r="T497" s="129"/>
      <c r="U497" s="120" t="str">
        <f t="shared" si="145"/>
        <v>VAK:1</v>
      </c>
    </row>
    <row r="498" spans="1:21" ht="12.75" hidden="1" customHeight="1" x14ac:dyDescent="0.25">
      <c r="A498" s="120">
        <f t="shared" ref="A498:A526" si="146">GETPAYMONTH(DATE(YEAR(B498),MONTH(B498-4)+1,1))</f>
        <v>1</v>
      </c>
      <c r="B498" s="392">
        <v>43632</v>
      </c>
      <c r="C498" s="77" t="s">
        <v>657</v>
      </c>
      <c r="D498" s="231">
        <v>43647</v>
      </c>
      <c r="E498" s="76">
        <v>5.5</v>
      </c>
      <c r="F498" s="76"/>
      <c r="G498" s="76"/>
      <c r="H498" s="77">
        <v>590144</v>
      </c>
      <c r="J498" s="138"/>
      <c r="K498" s="22"/>
      <c r="T498" s="129"/>
      <c r="U498" s="120" t="str">
        <f t="shared" si="145"/>
        <v>VAK:1</v>
      </c>
    </row>
    <row r="499" spans="1:21" ht="12.75" hidden="1" customHeight="1" x14ac:dyDescent="0.25">
      <c r="A499" s="120">
        <f t="shared" si="146"/>
        <v>1</v>
      </c>
      <c r="B499" s="392">
        <v>43639</v>
      </c>
      <c r="C499" s="77" t="s">
        <v>657</v>
      </c>
      <c r="D499" s="231">
        <v>43654</v>
      </c>
      <c r="E499" s="76">
        <v>5</v>
      </c>
      <c r="F499" s="76"/>
      <c r="G499" s="76"/>
      <c r="H499" s="77">
        <v>590145</v>
      </c>
      <c r="J499" s="138"/>
      <c r="T499" s="129"/>
      <c r="U499" s="120" t="str">
        <f t="shared" si="145"/>
        <v>VAK:1</v>
      </c>
    </row>
    <row r="500" spans="1:21" ht="12.75" hidden="1" customHeight="1" x14ac:dyDescent="0.25">
      <c r="A500" s="120">
        <f t="shared" si="146"/>
        <v>1</v>
      </c>
      <c r="B500" s="392">
        <v>43646</v>
      </c>
      <c r="C500" s="77" t="s">
        <v>657</v>
      </c>
      <c r="D500" s="231">
        <v>43661</v>
      </c>
      <c r="E500" s="76">
        <v>5</v>
      </c>
      <c r="F500" s="76"/>
      <c r="G500" s="76"/>
      <c r="H500" s="77">
        <v>590146</v>
      </c>
      <c r="J500" s="138"/>
      <c r="T500" s="129"/>
      <c r="U500" s="120" t="str">
        <f t="shared" si="145"/>
        <v>VAK:1</v>
      </c>
    </row>
    <row r="501" spans="1:21" ht="12.75" hidden="1" customHeight="1" x14ac:dyDescent="0.25">
      <c r="A501" s="123">
        <f t="shared" si="146"/>
        <v>1</v>
      </c>
      <c r="B501" s="394">
        <v>43646</v>
      </c>
      <c r="C501" s="79" t="s">
        <v>658</v>
      </c>
      <c r="D501" s="269"/>
      <c r="E501" s="316">
        <f>SUM(E497:E500)</f>
        <v>20.5</v>
      </c>
      <c r="F501" s="316"/>
      <c r="G501" s="316"/>
      <c r="H501" s="315"/>
      <c r="J501" s="138"/>
      <c r="U501" s="120" t="str">
        <f t="shared" si="145"/>
        <v>ASW:1</v>
      </c>
    </row>
    <row r="502" spans="1:21" ht="12.75" hidden="1" customHeight="1" x14ac:dyDescent="0.25">
      <c r="A502" s="120">
        <f t="shared" si="146"/>
        <v>2</v>
      </c>
      <c r="B502" s="392">
        <v>43653</v>
      </c>
      <c r="C502" s="77" t="s">
        <v>657</v>
      </c>
      <c r="D502" s="231">
        <v>43668</v>
      </c>
      <c r="E502" s="74">
        <v>5</v>
      </c>
      <c r="F502" s="74"/>
      <c r="G502" s="74"/>
      <c r="H502" s="75">
        <v>590247</v>
      </c>
      <c r="J502" s="138"/>
      <c r="U502" s="120" t="str">
        <f t="shared" si="145"/>
        <v>VAK:2</v>
      </c>
    </row>
    <row r="503" spans="1:21" ht="12.75" hidden="1" customHeight="1" x14ac:dyDescent="0.25">
      <c r="A503" s="120">
        <f t="shared" si="146"/>
        <v>2</v>
      </c>
      <c r="B503" s="392">
        <v>43660</v>
      </c>
      <c r="C503" s="77" t="s">
        <v>657</v>
      </c>
      <c r="D503" s="231">
        <v>43675</v>
      </c>
      <c r="E503" s="76">
        <v>5</v>
      </c>
      <c r="F503" s="76"/>
      <c r="G503" s="76"/>
      <c r="H503" s="77">
        <v>590248</v>
      </c>
      <c r="J503" s="138"/>
      <c r="U503" s="120" t="str">
        <f t="shared" si="145"/>
        <v>VAK:2</v>
      </c>
    </row>
    <row r="504" spans="1:21" ht="12.75" hidden="1" customHeight="1" x14ac:dyDescent="0.25">
      <c r="A504" s="120">
        <f t="shared" si="146"/>
        <v>2</v>
      </c>
      <c r="B504" s="392">
        <v>43667</v>
      </c>
      <c r="C504" s="77" t="s">
        <v>657</v>
      </c>
      <c r="D504" s="231">
        <v>43682</v>
      </c>
      <c r="E504" s="76">
        <v>5</v>
      </c>
      <c r="F504" s="76"/>
      <c r="G504" s="76"/>
      <c r="H504" s="77">
        <v>590249</v>
      </c>
      <c r="J504" s="138"/>
      <c r="T504" s="129"/>
      <c r="U504" s="120" t="str">
        <f t="shared" si="145"/>
        <v>VAK:2</v>
      </c>
    </row>
    <row r="505" spans="1:21" ht="12.75" hidden="1" customHeight="1" x14ac:dyDescent="0.25">
      <c r="A505" s="120">
        <f t="shared" si="146"/>
        <v>2</v>
      </c>
      <c r="B505" s="392">
        <v>43674</v>
      </c>
      <c r="C505" s="77" t="s">
        <v>657</v>
      </c>
      <c r="D505" s="231">
        <v>43689</v>
      </c>
      <c r="E505" s="396">
        <v>5</v>
      </c>
      <c r="F505" s="396"/>
      <c r="G505" s="396"/>
      <c r="H505" s="400">
        <v>590250</v>
      </c>
      <c r="J505" s="138"/>
      <c r="U505" s="120" t="str">
        <f t="shared" si="145"/>
        <v>VAK:2</v>
      </c>
    </row>
    <row r="506" spans="1:21" ht="12.75" hidden="1" customHeight="1" x14ac:dyDescent="0.25">
      <c r="A506" s="120">
        <f>GETPAYMONTH(DATE(YEAR(B506),MONTH(B506-4)+1,1))</f>
        <v>2</v>
      </c>
      <c r="B506" s="392">
        <v>43681</v>
      </c>
      <c r="C506" s="77" t="s">
        <v>657</v>
      </c>
      <c r="D506" s="231">
        <v>43696</v>
      </c>
      <c r="E506" s="78">
        <v>5</v>
      </c>
      <c r="F506" s="78"/>
      <c r="G506" s="78"/>
      <c r="H506" s="79">
        <v>590251</v>
      </c>
      <c r="J506" s="138"/>
      <c r="U506" s="120" t="str">
        <f>C506 &amp;":"&amp; A506</f>
        <v>VAK:2</v>
      </c>
    </row>
    <row r="507" spans="1:21" ht="12.75" hidden="1" customHeight="1" x14ac:dyDescent="0.25">
      <c r="A507" s="123">
        <f t="shared" si="146"/>
        <v>2</v>
      </c>
      <c r="B507" s="394">
        <v>43674</v>
      </c>
      <c r="C507" s="79" t="s">
        <v>658</v>
      </c>
      <c r="D507" s="269"/>
      <c r="E507" s="78">
        <f>SUM(E502:E506)</f>
        <v>25</v>
      </c>
      <c r="F507" s="78"/>
      <c r="G507" s="78"/>
      <c r="H507" s="79"/>
      <c r="J507" s="138"/>
      <c r="U507" s="120" t="str">
        <f t="shared" si="145"/>
        <v>ASW:2</v>
      </c>
    </row>
    <row r="508" spans="1:21" ht="12.75" hidden="1" customHeight="1" x14ac:dyDescent="0.25">
      <c r="A508" s="120">
        <f t="shared" si="146"/>
        <v>3</v>
      </c>
      <c r="B508" s="392">
        <v>43688</v>
      </c>
      <c r="C508" s="77" t="s">
        <v>657</v>
      </c>
      <c r="D508" s="231">
        <v>43703</v>
      </c>
      <c r="E508" s="76">
        <v>5</v>
      </c>
      <c r="F508" s="76"/>
      <c r="G508" s="76"/>
      <c r="H508" s="77">
        <v>590252</v>
      </c>
      <c r="I508" s="328"/>
      <c r="J508" s="138"/>
      <c r="T508" s="129"/>
      <c r="U508" s="120" t="str">
        <f t="shared" si="145"/>
        <v>VAK:3</v>
      </c>
    </row>
    <row r="509" spans="1:21" ht="12.75" hidden="1" customHeight="1" x14ac:dyDescent="0.25">
      <c r="A509" s="120">
        <f t="shared" si="146"/>
        <v>3</v>
      </c>
      <c r="B509" s="392">
        <v>43695</v>
      </c>
      <c r="C509" s="77" t="s">
        <v>657</v>
      </c>
      <c r="D509" s="231">
        <v>43710</v>
      </c>
      <c r="E509" s="76">
        <v>5</v>
      </c>
      <c r="F509" s="76"/>
      <c r="G509" s="76"/>
      <c r="H509" s="77">
        <v>590253</v>
      </c>
      <c r="I509" s="328"/>
      <c r="J509" s="138"/>
      <c r="U509" s="120" t="str">
        <f t="shared" si="145"/>
        <v>VAK:3</v>
      </c>
    </row>
    <row r="510" spans="1:21" ht="12.75" hidden="1" customHeight="1" x14ac:dyDescent="0.25">
      <c r="A510" s="120">
        <f t="shared" si="146"/>
        <v>3</v>
      </c>
      <c r="B510" s="392">
        <v>43702</v>
      </c>
      <c r="C510" s="77" t="s">
        <v>657</v>
      </c>
      <c r="D510" s="231">
        <v>43717</v>
      </c>
      <c r="E510" s="76">
        <v>5</v>
      </c>
      <c r="F510" s="76"/>
      <c r="G510" s="76"/>
      <c r="H510" s="77">
        <v>590254</v>
      </c>
      <c r="J510" s="138"/>
      <c r="U510" s="120" t="str">
        <f t="shared" si="145"/>
        <v>VAK:3</v>
      </c>
    </row>
    <row r="511" spans="1:21" ht="12.75" hidden="1" customHeight="1" x14ac:dyDescent="0.25">
      <c r="A511" s="120">
        <f t="shared" si="146"/>
        <v>3</v>
      </c>
      <c r="B511" s="392">
        <v>43709</v>
      </c>
      <c r="C511" s="77" t="s">
        <v>657</v>
      </c>
      <c r="D511" s="231">
        <v>43724</v>
      </c>
      <c r="E511" s="78">
        <v>5</v>
      </c>
      <c r="F511" s="78"/>
      <c r="G511" s="78"/>
      <c r="H511" s="79">
        <v>590255</v>
      </c>
      <c r="J511" s="138"/>
      <c r="T511" s="129"/>
      <c r="U511" s="120" t="str">
        <f t="shared" si="145"/>
        <v>VAK:3</v>
      </c>
    </row>
    <row r="512" spans="1:21" ht="12.75" hidden="1" customHeight="1" x14ac:dyDescent="0.25">
      <c r="A512" s="123">
        <f t="shared" si="146"/>
        <v>3</v>
      </c>
      <c r="B512" s="394">
        <v>43709</v>
      </c>
      <c r="C512" s="79" t="s">
        <v>658</v>
      </c>
      <c r="D512" s="269"/>
      <c r="E512" s="78">
        <f>SUM(E508:E511)</f>
        <v>20</v>
      </c>
      <c r="F512" s="78"/>
      <c r="G512" s="78"/>
      <c r="H512" s="79"/>
      <c r="J512" s="138"/>
      <c r="U512" s="120" t="str">
        <f t="shared" si="145"/>
        <v>ASW:3</v>
      </c>
    </row>
    <row r="513" spans="1:21" ht="12.75" hidden="1" customHeight="1" x14ac:dyDescent="0.25">
      <c r="A513" s="120">
        <f t="shared" si="146"/>
        <v>4</v>
      </c>
      <c r="B513" s="392">
        <v>43716</v>
      </c>
      <c r="C513" s="77" t="s">
        <v>657</v>
      </c>
      <c r="D513" s="231">
        <v>43731</v>
      </c>
      <c r="E513" s="76">
        <v>5</v>
      </c>
      <c r="F513" s="76"/>
      <c r="G513" s="76"/>
      <c r="H513" s="77">
        <v>590256</v>
      </c>
      <c r="J513" s="138"/>
      <c r="U513" s="120" t="str">
        <f t="shared" si="145"/>
        <v>VAK:4</v>
      </c>
    </row>
    <row r="514" spans="1:21" ht="12.75" hidden="1" customHeight="1" x14ac:dyDescent="0.25">
      <c r="A514" s="120">
        <f t="shared" si="146"/>
        <v>4</v>
      </c>
      <c r="B514" s="392">
        <v>43723</v>
      </c>
      <c r="C514" s="77" t="s">
        <v>657</v>
      </c>
      <c r="D514" s="231">
        <v>43738</v>
      </c>
      <c r="E514" s="76">
        <v>5</v>
      </c>
      <c r="F514" s="76"/>
      <c r="G514" s="76"/>
      <c r="H514" s="77">
        <v>590257</v>
      </c>
      <c r="J514" s="138"/>
      <c r="U514" s="120" t="str">
        <f t="shared" si="145"/>
        <v>VAK:4</v>
      </c>
    </row>
    <row r="515" spans="1:21" ht="12.75" hidden="1" customHeight="1" x14ac:dyDescent="0.25">
      <c r="A515" s="120">
        <f t="shared" si="146"/>
        <v>4</v>
      </c>
      <c r="B515" s="392">
        <v>43730</v>
      </c>
      <c r="C515" s="77" t="s">
        <v>657</v>
      </c>
      <c r="D515" s="231"/>
      <c r="E515" s="76">
        <v>5</v>
      </c>
      <c r="F515" s="76"/>
      <c r="G515" s="76"/>
      <c r="H515" s="77">
        <v>590258</v>
      </c>
      <c r="J515" s="138"/>
      <c r="T515" s="129"/>
      <c r="U515" s="120" t="str">
        <f t="shared" si="145"/>
        <v>VAK:4</v>
      </c>
    </row>
    <row r="516" spans="1:21" ht="12.75" hidden="1" customHeight="1" x14ac:dyDescent="0.25">
      <c r="A516" s="120">
        <f t="shared" si="146"/>
        <v>4</v>
      </c>
      <c r="B516" s="392">
        <v>43737</v>
      </c>
      <c r="C516" s="77" t="s">
        <v>657</v>
      </c>
      <c r="D516" s="231"/>
      <c r="E516" s="78"/>
      <c r="F516" s="78"/>
      <c r="G516" s="78"/>
      <c r="H516" s="79"/>
      <c r="J516" s="138"/>
      <c r="U516" s="120" t="str">
        <f t="shared" si="145"/>
        <v>VAK:4</v>
      </c>
    </row>
    <row r="517" spans="1:21" ht="12.75" hidden="1" customHeight="1" x14ac:dyDescent="0.25">
      <c r="A517" s="123">
        <f t="shared" si="146"/>
        <v>4</v>
      </c>
      <c r="B517" s="394">
        <v>43737</v>
      </c>
      <c r="C517" s="79" t="s">
        <v>658</v>
      </c>
      <c r="D517" s="269"/>
      <c r="E517" s="78">
        <f>SUM(E513:E516)</f>
        <v>15</v>
      </c>
      <c r="F517" s="78"/>
      <c r="G517" s="78"/>
      <c r="H517" s="79"/>
      <c r="J517" s="138"/>
      <c r="U517" s="120" t="str">
        <f t="shared" si="145"/>
        <v>ASW:4</v>
      </c>
    </row>
    <row r="518" spans="1:21" ht="12.75" hidden="1" customHeight="1" x14ac:dyDescent="0.25">
      <c r="A518" s="120">
        <f t="shared" si="146"/>
        <v>5</v>
      </c>
      <c r="B518" s="392">
        <v>43744</v>
      </c>
      <c r="C518" s="77" t="s">
        <v>657</v>
      </c>
      <c r="D518" s="231"/>
      <c r="E518" s="74"/>
      <c r="F518" s="74"/>
      <c r="G518" s="74"/>
      <c r="H518" s="75"/>
      <c r="J518" s="138"/>
      <c r="U518" s="120" t="str">
        <f t="shared" si="145"/>
        <v>VAK:5</v>
      </c>
    </row>
    <row r="519" spans="1:21" ht="12.75" hidden="1" customHeight="1" x14ac:dyDescent="0.25">
      <c r="A519" s="120">
        <f t="shared" si="146"/>
        <v>5</v>
      </c>
      <c r="B519" s="392">
        <v>43751</v>
      </c>
      <c r="C519" s="77" t="s">
        <v>657</v>
      </c>
      <c r="D519" s="231"/>
      <c r="E519" s="76"/>
      <c r="F519" s="76"/>
      <c r="G519" s="76"/>
      <c r="H519" s="77"/>
      <c r="J519" s="138"/>
      <c r="T519" s="129"/>
      <c r="U519" s="120" t="str">
        <f t="shared" si="145"/>
        <v>VAK:5</v>
      </c>
    </row>
    <row r="520" spans="1:21" ht="12.75" hidden="1" customHeight="1" x14ac:dyDescent="0.25">
      <c r="A520" s="120">
        <f t="shared" si="146"/>
        <v>5</v>
      </c>
      <c r="B520" s="392">
        <v>43758</v>
      </c>
      <c r="C520" s="77" t="s">
        <v>657</v>
      </c>
      <c r="D520" s="231"/>
      <c r="E520" s="76"/>
      <c r="F520" s="76"/>
      <c r="G520" s="76"/>
      <c r="H520" s="77"/>
      <c r="J520" s="138"/>
      <c r="U520" s="120" t="str">
        <f t="shared" si="145"/>
        <v>VAK:5</v>
      </c>
    </row>
    <row r="521" spans="1:21" ht="12.75" hidden="1" customHeight="1" x14ac:dyDescent="0.25">
      <c r="A521" s="120">
        <f t="shared" si="146"/>
        <v>5</v>
      </c>
      <c r="B521" s="392">
        <v>43765</v>
      </c>
      <c r="C521" s="77" t="s">
        <v>657</v>
      </c>
      <c r="D521" s="231"/>
      <c r="E521" s="78"/>
      <c r="F521" s="78"/>
      <c r="G521" s="78"/>
      <c r="H521" s="79"/>
      <c r="J521" s="138"/>
      <c r="U521" s="120" t="str">
        <f t="shared" si="145"/>
        <v>VAK:5</v>
      </c>
    </row>
    <row r="522" spans="1:21" ht="12.75" hidden="1" customHeight="1" x14ac:dyDescent="0.25">
      <c r="A522" s="123">
        <f t="shared" si="146"/>
        <v>5</v>
      </c>
      <c r="B522" s="394">
        <v>43765</v>
      </c>
      <c r="C522" s="79" t="s">
        <v>658</v>
      </c>
      <c r="D522" s="269"/>
      <c r="E522" s="316">
        <f>SUM(E518:E521)</f>
        <v>0</v>
      </c>
      <c r="F522" s="316"/>
      <c r="G522" s="316"/>
      <c r="H522" s="315"/>
      <c r="J522" s="138"/>
      <c r="U522" s="120" t="str">
        <f t="shared" si="145"/>
        <v>ASW:5</v>
      </c>
    </row>
    <row r="523" spans="1:21" ht="12.75" hidden="1" customHeight="1" x14ac:dyDescent="0.25">
      <c r="A523" s="120">
        <f t="shared" si="146"/>
        <v>5</v>
      </c>
      <c r="B523" s="392">
        <v>43772</v>
      </c>
      <c r="C523" s="77" t="s">
        <v>657</v>
      </c>
      <c r="D523" s="231"/>
      <c r="E523" s="74"/>
      <c r="F523" s="74"/>
      <c r="G523" s="74"/>
      <c r="H523" s="75"/>
      <c r="J523" s="138"/>
      <c r="U523" s="120" t="str">
        <f t="shared" si="145"/>
        <v>VAK:5</v>
      </c>
    </row>
    <row r="524" spans="1:21" ht="12.75" hidden="1" customHeight="1" x14ac:dyDescent="0.25">
      <c r="A524" s="120">
        <f t="shared" si="146"/>
        <v>6</v>
      </c>
      <c r="B524" s="392">
        <v>43779</v>
      </c>
      <c r="C524" s="77" t="s">
        <v>657</v>
      </c>
      <c r="D524" s="231"/>
      <c r="E524" s="76"/>
      <c r="F524" s="76"/>
      <c r="G524" s="76"/>
      <c r="H524" s="77"/>
      <c r="J524" s="138"/>
      <c r="T524" s="129"/>
      <c r="U524" s="120" t="str">
        <f t="shared" si="145"/>
        <v>VAK:6</v>
      </c>
    </row>
    <row r="525" spans="1:21" ht="12.75" hidden="1" customHeight="1" x14ac:dyDescent="0.25">
      <c r="A525" s="120">
        <f t="shared" si="146"/>
        <v>6</v>
      </c>
      <c r="B525" s="392">
        <v>43786</v>
      </c>
      <c r="C525" s="77" t="s">
        <v>657</v>
      </c>
      <c r="D525" s="231"/>
      <c r="E525" s="76"/>
      <c r="F525" s="76"/>
      <c r="G525" s="76"/>
      <c r="H525" s="77"/>
      <c r="J525" s="138"/>
      <c r="U525" s="120" t="str">
        <f t="shared" si="145"/>
        <v>VAK:6</v>
      </c>
    </row>
    <row r="526" spans="1:21" ht="12.75" hidden="1" customHeight="1" x14ac:dyDescent="0.25">
      <c r="A526" s="120">
        <f t="shared" si="146"/>
        <v>6</v>
      </c>
      <c r="B526" s="392">
        <v>43793</v>
      </c>
      <c r="C526" s="77" t="s">
        <v>657</v>
      </c>
      <c r="D526" s="231"/>
      <c r="E526" s="78"/>
      <c r="F526" s="78"/>
      <c r="G526" s="78"/>
      <c r="H526" s="79"/>
      <c r="J526" s="138"/>
      <c r="U526" s="120" t="str">
        <f t="shared" si="145"/>
        <v>VAK:6</v>
      </c>
    </row>
    <row r="527" spans="1:21" ht="12.75" hidden="1" customHeight="1" x14ac:dyDescent="0.25">
      <c r="A527" s="123">
        <f>GETPAYMONTH(DATE(YEAR(B527),MONTH(B527-4)+1,1))</f>
        <v>6</v>
      </c>
      <c r="B527" s="394">
        <v>43800</v>
      </c>
      <c r="C527" s="79" t="s">
        <v>658</v>
      </c>
      <c r="D527" s="269"/>
      <c r="E527" s="78">
        <f>SUM(E523:E526)</f>
        <v>0</v>
      </c>
      <c r="F527" s="78"/>
      <c r="G527" s="78"/>
      <c r="H527" s="79"/>
      <c r="J527" s="138"/>
      <c r="T527" s="129"/>
      <c r="U527" s="120" t="str">
        <f>C527 &amp;":"&amp; A527</f>
        <v>ASW:6</v>
      </c>
    </row>
    <row r="528" spans="1:21" ht="12.75" hidden="1" customHeight="1" x14ac:dyDescent="0.25">
      <c r="A528" s="123">
        <f>GETPAYMONTH(DATE(YEAR(B528),MONTH(B528-4)+1,1))</f>
        <v>6</v>
      </c>
      <c r="B528" s="392">
        <v>43800</v>
      </c>
      <c r="C528" s="77" t="s">
        <v>657</v>
      </c>
      <c r="D528" s="231"/>
      <c r="E528" s="76"/>
      <c r="F528" s="76"/>
      <c r="G528" s="76"/>
      <c r="H528" s="77"/>
      <c r="J528" s="138"/>
      <c r="U528" s="120" t="str">
        <f>C528 &amp;":"&amp; A528</f>
        <v>VAK:6</v>
      </c>
    </row>
    <row r="529" spans="1:21" ht="12.75" hidden="1" customHeight="1" x14ac:dyDescent="0.25">
      <c r="A529" s="120">
        <f t="shared" ref="A529:A575" si="147">GETPAYMONTH(DATE(YEAR(B529),MONTH(B529-4)+1,1))</f>
        <v>7</v>
      </c>
      <c r="B529" s="392">
        <v>43807</v>
      </c>
      <c r="C529" s="77" t="s">
        <v>657</v>
      </c>
      <c r="D529" s="231"/>
      <c r="E529" s="76"/>
      <c r="F529" s="76"/>
      <c r="G529" s="76"/>
      <c r="H529" s="77"/>
      <c r="J529" s="138"/>
      <c r="U529" s="120" t="str">
        <f t="shared" ref="U529:U537" si="148">C529 &amp;":"&amp; A529</f>
        <v>VAK:7</v>
      </c>
    </row>
    <row r="530" spans="1:21" ht="12.75" hidden="1" customHeight="1" x14ac:dyDescent="0.25">
      <c r="A530" s="120">
        <f t="shared" si="147"/>
        <v>7</v>
      </c>
      <c r="B530" s="392">
        <v>43814</v>
      </c>
      <c r="C530" s="77" t="s">
        <v>657</v>
      </c>
      <c r="D530" s="231"/>
      <c r="E530" s="76"/>
      <c r="F530" s="76"/>
      <c r="G530" s="76"/>
      <c r="H530" s="77"/>
      <c r="J530" s="138"/>
      <c r="U530" s="120" t="str">
        <f t="shared" si="148"/>
        <v>VAK:7</v>
      </c>
    </row>
    <row r="531" spans="1:21" ht="12.75" hidden="1" customHeight="1" x14ac:dyDescent="0.25">
      <c r="A531" s="120">
        <f t="shared" si="147"/>
        <v>7</v>
      </c>
      <c r="B531" s="392">
        <v>43821</v>
      </c>
      <c r="C531" s="77" t="s">
        <v>657</v>
      </c>
      <c r="D531" s="231"/>
      <c r="E531" s="76"/>
      <c r="F531" s="76"/>
      <c r="G531" s="76"/>
      <c r="H531" s="77"/>
      <c r="J531" s="138"/>
      <c r="U531" s="120" t="str">
        <f t="shared" si="148"/>
        <v>VAK:7</v>
      </c>
    </row>
    <row r="532" spans="1:21" ht="12.75" hidden="1" customHeight="1" x14ac:dyDescent="0.25">
      <c r="A532" s="120">
        <f t="shared" si="147"/>
        <v>7</v>
      </c>
      <c r="B532" s="392">
        <v>43828</v>
      </c>
      <c r="C532" s="77" t="s">
        <v>657</v>
      </c>
      <c r="D532" s="231"/>
      <c r="E532" s="78"/>
      <c r="F532" s="78"/>
      <c r="G532" s="78"/>
      <c r="H532" s="79"/>
      <c r="J532" s="138"/>
      <c r="U532" s="120" t="str">
        <f t="shared" si="148"/>
        <v>VAK:7</v>
      </c>
    </row>
    <row r="533" spans="1:21" ht="12.75" hidden="1" customHeight="1" x14ac:dyDescent="0.25">
      <c r="A533" s="123">
        <f t="shared" si="147"/>
        <v>7</v>
      </c>
      <c r="B533" s="394">
        <v>43828</v>
      </c>
      <c r="C533" s="79" t="s">
        <v>658</v>
      </c>
      <c r="D533" s="269"/>
      <c r="E533" s="78">
        <f>SUM(E528:E532)</f>
        <v>0</v>
      </c>
      <c r="F533" s="78"/>
      <c r="G533" s="78"/>
      <c r="H533" s="79"/>
      <c r="J533" s="138"/>
      <c r="U533" s="120" t="str">
        <f t="shared" si="148"/>
        <v>ASW:7</v>
      </c>
    </row>
    <row r="534" spans="1:21" ht="12.75" hidden="1" customHeight="1" x14ac:dyDescent="0.25">
      <c r="A534" s="120">
        <f t="shared" si="147"/>
        <v>8</v>
      </c>
      <c r="B534" s="392">
        <v>43836</v>
      </c>
      <c r="C534" s="77" t="s">
        <v>657</v>
      </c>
      <c r="D534" s="231"/>
      <c r="E534" s="74"/>
      <c r="F534" s="74"/>
      <c r="G534" s="74"/>
      <c r="H534" s="75"/>
      <c r="J534" s="138"/>
      <c r="U534" s="120" t="str">
        <f t="shared" si="148"/>
        <v>VAK:8</v>
      </c>
    </row>
    <row r="535" spans="1:21" ht="12.75" hidden="1" customHeight="1" x14ac:dyDescent="0.25">
      <c r="A535" s="120">
        <f t="shared" si="147"/>
        <v>8</v>
      </c>
      <c r="B535" s="392">
        <v>43842</v>
      </c>
      <c r="C535" s="77" t="s">
        <v>657</v>
      </c>
      <c r="D535" s="231"/>
      <c r="E535" s="76"/>
      <c r="F535" s="76"/>
      <c r="G535" s="76"/>
      <c r="H535" s="77"/>
      <c r="J535" s="138"/>
      <c r="U535" s="120" t="str">
        <f t="shared" si="148"/>
        <v>VAK:8</v>
      </c>
    </row>
    <row r="536" spans="1:21" ht="12.75" hidden="1" customHeight="1" x14ac:dyDescent="0.25">
      <c r="A536" s="120">
        <f t="shared" si="147"/>
        <v>8</v>
      </c>
      <c r="B536" s="392">
        <v>43849</v>
      </c>
      <c r="C536" s="77" t="s">
        <v>657</v>
      </c>
      <c r="D536" s="231"/>
      <c r="E536" s="76"/>
      <c r="F536" s="76"/>
      <c r="G536" s="76"/>
      <c r="H536" s="77"/>
      <c r="J536" s="138"/>
      <c r="U536" s="120" t="str">
        <f t="shared" si="148"/>
        <v>VAK:8</v>
      </c>
    </row>
    <row r="537" spans="1:21" ht="12.75" hidden="1" customHeight="1" x14ac:dyDescent="0.25">
      <c r="A537" s="120">
        <f t="shared" si="147"/>
        <v>8</v>
      </c>
      <c r="B537" s="392">
        <v>43856</v>
      </c>
      <c r="C537" s="77" t="s">
        <v>657</v>
      </c>
      <c r="D537" s="231"/>
      <c r="E537" s="78"/>
      <c r="F537" s="78"/>
      <c r="G537" s="78"/>
      <c r="H537" s="79"/>
      <c r="I537" s="22"/>
      <c r="J537" s="138"/>
      <c r="U537" s="120" t="str">
        <f t="shared" si="148"/>
        <v>VAK:8</v>
      </c>
    </row>
    <row r="538" spans="1:21" ht="12.75" hidden="1" customHeight="1" x14ac:dyDescent="0.25">
      <c r="A538" s="395">
        <f t="shared" si="147"/>
        <v>8</v>
      </c>
      <c r="B538" s="394">
        <v>43863</v>
      </c>
      <c r="C538" s="79" t="s">
        <v>658</v>
      </c>
      <c r="D538" s="269"/>
      <c r="E538" s="316">
        <f>SUM(E534:E537)</f>
        <v>0</v>
      </c>
      <c r="F538" s="316"/>
      <c r="G538" s="316"/>
      <c r="H538" s="315"/>
      <c r="J538" s="138"/>
      <c r="U538" s="120" t="str">
        <f>C538 &amp;":"&amp; A538</f>
        <v>ASW:8</v>
      </c>
    </row>
    <row r="539" spans="1:21" ht="12.75" hidden="1" customHeight="1" x14ac:dyDescent="0.25">
      <c r="A539" s="395">
        <f t="shared" si="147"/>
        <v>8</v>
      </c>
      <c r="B539" s="392">
        <v>43863</v>
      </c>
      <c r="C539" s="77" t="s">
        <v>657</v>
      </c>
      <c r="D539" s="231"/>
      <c r="E539" s="74"/>
      <c r="F539" s="74"/>
      <c r="G539" s="74"/>
      <c r="H539" s="75"/>
      <c r="J539" s="138"/>
      <c r="U539" s="120" t="str">
        <f>C539 &amp;":"&amp; A539</f>
        <v>VAK:8</v>
      </c>
    </row>
    <row r="540" spans="1:21" ht="12.75" hidden="1" customHeight="1" x14ac:dyDescent="0.25">
      <c r="A540" s="395">
        <f t="shared" si="147"/>
        <v>9</v>
      </c>
      <c r="B540" s="392">
        <v>43870</v>
      </c>
      <c r="C540" s="77" t="s">
        <v>657</v>
      </c>
      <c r="D540" s="231"/>
      <c r="E540" s="76"/>
      <c r="F540" s="76"/>
      <c r="G540" s="76"/>
      <c r="H540" s="77"/>
      <c r="J540" s="138"/>
      <c r="U540" s="120" t="str">
        <f t="shared" ref="U540:U548" si="149">C540 &amp;":"&amp; A540</f>
        <v>VAK:9</v>
      </c>
    </row>
    <row r="541" spans="1:21" ht="12.75" hidden="1" customHeight="1" x14ac:dyDescent="0.25">
      <c r="A541" s="395">
        <f t="shared" si="147"/>
        <v>9</v>
      </c>
      <c r="B541" s="392">
        <v>43877</v>
      </c>
      <c r="C541" s="77" t="s">
        <v>657</v>
      </c>
      <c r="D541" s="231"/>
      <c r="E541" s="76"/>
      <c r="F541" s="76"/>
      <c r="G541" s="76"/>
      <c r="H541" s="77"/>
      <c r="J541" s="138"/>
      <c r="U541" s="120" t="str">
        <f t="shared" si="149"/>
        <v>VAK:9</v>
      </c>
    </row>
    <row r="542" spans="1:21" ht="12.75" hidden="1" customHeight="1" x14ac:dyDescent="0.25">
      <c r="A542" s="395">
        <f t="shared" si="147"/>
        <v>9</v>
      </c>
      <c r="B542" s="392">
        <v>43884</v>
      </c>
      <c r="C542" s="77" t="s">
        <v>657</v>
      </c>
      <c r="D542" s="231"/>
      <c r="E542" s="78"/>
      <c r="F542" s="78"/>
      <c r="G542" s="78"/>
      <c r="H542" s="79"/>
      <c r="J542" s="138"/>
      <c r="U542" s="120" t="str">
        <f t="shared" si="149"/>
        <v>VAK:9</v>
      </c>
    </row>
    <row r="543" spans="1:21" ht="12.75" hidden="1" customHeight="1" x14ac:dyDescent="0.25">
      <c r="A543" s="395">
        <f t="shared" si="147"/>
        <v>9</v>
      </c>
      <c r="B543" s="394">
        <v>43884</v>
      </c>
      <c r="C543" s="79" t="s">
        <v>658</v>
      </c>
      <c r="D543" s="269"/>
      <c r="E543" s="78">
        <f>SUM(E539:E542)</f>
        <v>0</v>
      </c>
      <c r="F543" s="78"/>
      <c r="G543" s="78"/>
      <c r="H543" s="79"/>
      <c r="J543" s="138"/>
      <c r="U543" s="120" t="str">
        <f t="shared" si="149"/>
        <v>ASW:9</v>
      </c>
    </row>
    <row r="544" spans="1:21" ht="12.75" hidden="1" customHeight="1" x14ac:dyDescent="0.25">
      <c r="A544" s="395">
        <f t="shared" si="147"/>
        <v>9</v>
      </c>
      <c r="B544" s="392">
        <v>43891</v>
      </c>
      <c r="C544" s="77" t="s">
        <v>657</v>
      </c>
      <c r="D544" s="231"/>
      <c r="E544" s="74"/>
      <c r="F544" s="74"/>
      <c r="G544" s="74"/>
      <c r="H544" s="75"/>
      <c r="J544" s="138"/>
      <c r="U544" s="120" t="str">
        <f t="shared" si="149"/>
        <v>VAK:9</v>
      </c>
    </row>
    <row r="545" spans="1:21" ht="12.75" hidden="1" customHeight="1" x14ac:dyDescent="0.25">
      <c r="A545" s="395">
        <f t="shared" si="147"/>
        <v>10</v>
      </c>
      <c r="B545" s="392">
        <v>43898</v>
      </c>
      <c r="C545" s="77" t="s">
        <v>657</v>
      </c>
      <c r="D545" s="231"/>
      <c r="E545" s="76"/>
      <c r="F545" s="76"/>
      <c r="G545" s="76"/>
      <c r="H545" s="77"/>
      <c r="J545" s="138"/>
      <c r="K545" s="62"/>
      <c r="U545" s="120" t="str">
        <f t="shared" si="149"/>
        <v>VAK:10</v>
      </c>
    </row>
    <row r="546" spans="1:21" ht="12.75" hidden="1" customHeight="1" x14ac:dyDescent="0.25">
      <c r="A546" s="395">
        <f t="shared" si="147"/>
        <v>10</v>
      </c>
      <c r="B546" s="392">
        <v>43905</v>
      </c>
      <c r="C546" s="77" t="s">
        <v>657</v>
      </c>
      <c r="D546" s="231"/>
      <c r="E546" s="76"/>
      <c r="F546" s="76"/>
      <c r="G546" s="76"/>
      <c r="H546" s="77"/>
      <c r="J546" s="138"/>
      <c r="K546" s="62"/>
      <c r="U546" s="120" t="str">
        <f t="shared" si="149"/>
        <v>VAK:10</v>
      </c>
    </row>
    <row r="547" spans="1:21" ht="12.75" hidden="1" customHeight="1" x14ac:dyDescent="0.25">
      <c r="A547" s="395">
        <f t="shared" si="147"/>
        <v>10</v>
      </c>
      <c r="B547" s="392">
        <v>43912</v>
      </c>
      <c r="C547" s="77" t="s">
        <v>657</v>
      </c>
      <c r="D547" s="231"/>
      <c r="E547" s="76"/>
      <c r="F547" s="76"/>
      <c r="G547" s="76"/>
      <c r="H547" s="77"/>
      <c r="J547" s="138"/>
      <c r="U547" s="120" t="str">
        <f t="shared" si="149"/>
        <v>VAK:10</v>
      </c>
    </row>
    <row r="548" spans="1:21" ht="12.75" hidden="1" customHeight="1" x14ac:dyDescent="0.25">
      <c r="A548" s="395">
        <f t="shared" si="147"/>
        <v>10</v>
      </c>
      <c r="B548" s="392">
        <v>43919</v>
      </c>
      <c r="C548" s="77" t="s">
        <v>657</v>
      </c>
      <c r="D548" s="231"/>
      <c r="E548" s="78"/>
      <c r="F548" s="78"/>
      <c r="G548" s="78"/>
      <c r="H548" s="79"/>
      <c r="J548" s="138"/>
      <c r="U548" s="120" t="str">
        <f t="shared" si="149"/>
        <v>VAK:10</v>
      </c>
    </row>
    <row r="549" spans="1:21" ht="12.75" hidden="1" customHeight="1" x14ac:dyDescent="0.25">
      <c r="A549" s="395">
        <f t="shared" si="147"/>
        <v>10</v>
      </c>
      <c r="B549" s="394">
        <v>43919</v>
      </c>
      <c r="C549" s="79" t="s">
        <v>658</v>
      </c>
      <c r="D549" s="269"/>
      <c r="E549" s="78">
        <f>SUM(E544:E548)</f>
        <v>0</v>
      </c>
      <c r="F549" s="78"/>
      <c r="G549" s="78"/>
      <c r="H549" s="79"/>
      <c r="J549" s="138"/>
      <c r="U549" s="120" t="str">
        <f>C549 &amp;":"&amp; A549</f>
        <v>ASW:10</v>
      </c>
    </row>
    <row r="550" spans="1:21" ht="12.75" hidden="1" customHeight="1" x14ac:dyDescent="0.25">
      <c r="A550" s="395">
        <f t="shared" si="147"/>
        <v>11</v>
      </c>
      <c r="B550" s="392">
        <v>43926</v>
      </c>
      <c r="C550" s="77" t="s">
        <v>657</v>
      </c>
      <c r="D550" s="231"/>
      <c r="E550" s="76"/>
      <c r="F550" s="76"/>
      <c r="G550" s="76"/>
      <c r="H550" s="77"/>
      <c r="J550" s="138"/>
      <c r="U550" s="120" t="str">
        <f t="shared" ref="U550:U560" si="150">C550 &amp;":"&amp; A550</f>
        <v>VAK:11</v>
      </c>
    </row>
    <row r="551" spans="1:21" ht="12.75" hidden="1" customHeight="1" x14ac:dyDescent="0.25">
      <c r="A551" s="395">
        <f t="shared" si="147"/>
        <v>11</v>
      </c>
      <c r="B551" s="392">
        <v>43933</v>
      </c>
      <c r="C551" s="77" t="s">
        <v>657</v>
      </c>
      <c r="D551" s="231"/>
      <c r="E551" s="76"/>
      <c r="F551" s="76"/>
      <c r="G551" s="76"/>
      <c r="H551" s="77"/>
      <c r="J551" s="138"/>
      <c r="U551" s="120" t="str">
        <f t="shared" si="150"/>
        <v>VAK:11</v>
      </c>
    </row>
    <row r="552" spans="1:21" ht="12.75" hidden="1" customHeight="1" x14ac:dyDescent="0.25">
      <c r="A552" s="395">
        <f t="shared" si="147"/>
        <v>11</v>
      </c>
      <c r="B552" s="392">
        <v>43940</v>
      </c>
      <c r="C552" s="77" t="s">
        <v>657</v>
      </c>
      <c r="D552" s="231"/>
      <c r="E552" s="76"/>
      <c r="F552" s="76"/>
      <c r="G552" s="76"/>
      <c r="H552" s="77"/>
      <c r="J552" s="138"/>
      <c r="U552" s="120" t="str">
        <f t="shared" si="150"/>
        <v>VAK:11</v>
      </c>
    </row>
    <row r="553" spans="1:21" ht="12.75" hidden="1" customHeight="1" x14ac:dyDescent="0.25">
      <c r="A553" s="395">
        <f t="shared" si="147"/>
        <v>11</v>
      </c>
      <c r="B553" s="392">
        <v>43947</v>
      </c>
      <c r="C553" s="77" t="s">
        <v>657</v>
      </c>
      <c r="D553" s="231"/>
      <c r="E553" s="78"/>
      <c r="F553" s="78"/>
      <c r="G553" s="78"/>
      <c r="H553" s="79"/>
      <c r="J553" s="138"/>
      <c r="U553" s="120" t="str">
        <f t="shared" si="150"/>
        <v>VAK:11</v>
      </c>
    </row>
    <row r="554" spans="1:21" ht="12.75" hidden="1" customHeight="1" x14ac:dyDescent="0.25">
      <c r="A554" s="395">
        <f t="shared" si="147"/>
        <v>11</v>
      </c>
      <c r="B554" s="394">
        <v>43947</v>
      </c>
      <c r="C554" s="79" t="s">
        <v>658</v>
      </c>
      <c r="D554" s="269"/>
      <c r="E554" s="78">
        <f>SUM(E550:E553)</f>
        <v>0</v>
      </c>
      <c r="F554" s="78"/>
      <c r="G554" s="78"/>
      <c r="H554" s="79"/>
      <c r="J554" s="138"/>
      <c r="U554" s="120" t="str">
        <f t="shared" si="150"/>
        <v>ASW:11</v>
      </c>
    </row>
    <row r="555" spans="1:21" ht="12.75" hidden="1" customHeight="1" x14ac:dyDescent="0.25">
      <c r="A555" s="395">
        <f t="shared" si="147"/>
        <v>11</v>
      </c>
      <c r="B555" s="392">
        <v>43954</v>
      </c>
      <c r="C555" s="77" t="s">
        <v>657</v>
      </c>
      <c r="D555" s="231"/>
      <c r="E555" s="74"/>
      <c r="F555" s="74"/>
      <c r="G555" s="74"/>
      <c r="H555" s="75"/>
      <c r="J555" s="138"/>
      <c r="K555" s="253"/>
      <c r="U555" s="120" t="str">
        <f t="shared" si="150"/>
        <v>VAK:11</v>
      </c>
    </row>
    <row r="556" spans="1:21" ht="12.75" hidden="1" customHeight="1" x14ac:dyDescent="0.25">
      <c r="A556" s="395">
        <f t="shared" si="147"/>
        <v>12</v>
      </c>
      <c r="B556" s="392">
        <v>43961</v>
      </c>
      <c r="C556" s="77" t="s">
        <v>657</v>
      </c>
      <c r="D556" s="231"/>
      <c r="E556" s="76"/>
      <c r="F556" s="76"/>
      <c r="G556" s="76"/>
      <c r="H556" s="77"/>
      <c r="J556" s="138"/>
      <c r="K556" s="253"/>
      <c r="U556" s="120" t="str">
        <f t="shared" si="150"/>
        <v>VAK:12</v>
      </c>
    </row>
    <row r="557" spans="1:21" ht="12.75" hidden="1" customHeight="1" x14ac:dyDescent="0.25">
      <c r="A557" s="395">
        <f t="shared" si="147"/>
        <v>12</v>
      </c>
      <c r="B557" s="392">
        <v>43968</v>
      </c>
      <c r="C557" s="77" t="s">
        <v>657</v>
      </c>
      <c r="D557" s="231"/>
      <c r="E557" s="76"/>
      <c r="F557" s="76"/>
      <c r="G557" s="76"/>
      <c r="H557" s="77"/>
      <c r="J557" s="138"/>
      <c r="K557" s="353"/>
      <c r="L557" s="161"/>
      <c r="M557" s="161"/>
      <c r="U557" s="120" t="str">
        <f t="shared" si="150"/>
        <v>VAK:12</v>
      </c>
    </row>
    <row r="558" spans="1:21" ht="12.75" hidden="1" customHeight="1" x14ac:dyDescent="0.25">
      <c r="A558" s="395">
        <f t="shared" si="147"/>
        <v>12</v>
      </c>
      <c r="B558" s="392">
        <v>43975</v>
      </c>
      <c r="C558" s="77" t="s">
        <v>657</v>
      </c>
      <c r="D558" s="231"/>
      <c r="E558" s="76"/>
      <c r="F558" s="76"/>
      <c r="G558" s="76"/>
      <c r="H558" s="77"/>
      <c r="J558" s="138"/>
      <c r="K558" s="253"/>
      <c r="U558" s="120" t="str">
        <f t="shared" si="150"/>
        <v>VAK:12</v>
      </c>
    </row>
    <row r="559" spans="1:21" ht="12.75" hidden="1" customHeight="1" x14ac:dyDescent="0.25">
      <c r="A559" s="395">
        <f t="shared" si="147"/>
        <v>12</v>
      </c>
      <c r="B559" s="392">
        <v>43982</v>
      </c>
      <c r="C559" s="77" t="s">
        <v>657</v>
      </c>
      <c r="D559" s="231"/>
      <c r="E559" s="78"/>
      <c r="F559" s="78"/>
      <c r="G559" s="78"/>
      <c r="H559" s="79"/>
      <c r="J559" s="138"/>
      <c r="K559" s="253"/>
      <c r="U559" s="120" t="str">
        <f t="shared" si="150"/>
        <v>VAK:12</v>
      </c>
    </row>
    <row r="560" spans="1:21" ht="12.75" hidden="1" customHeight="1" x14ac:dyDescent="0.25">
      <c r="A560" s="395">
        <f t="shared" si="147"/>
        <v>12</v>
      </c>
      <c r="B560" s="394">
        <v>43982</v>
      </c>
      <c r="C560" s="79" t="s">
        <v>658</v>
      </c>
      <c r="D560" s="269"/>
      <c r="E560" s="78">
        <f>SUM(E555:E559)</f>
        <v>0</v>
      </c>
      <c r="F560" s="78"/>
      <c r="G560" s="78"/>
      <c r="H560" s="79"/>
      <c r="J560" s="138"/>
      <c r="K560" s="253"/>
      <c r="U560" s="120" t="str">
        <f t="shared" si="150"/>
        <v>ASW:12</v>
      </c>
    </row>
    <row r="561" spans="1:21" ht="12.75" hidden="1" customHeight="1" x14ac:dyDescent="0.25">
      <c r="A561" s="120">
        <f t="shared" si="147"/>
        <v>1</v>
      </c>
      <c r="B561" s="392">
        <v>43646</v>
      </c>
      <c r="C561" s="77" t="s">
        <v>669</v>
      </c>
      <c r="D561" s="231">
        <v>43653</v>
      </c>
      <c r="E561" s="74">
        <v>4</v>
      </c>
      <c r="F561" s="378"/>
      <c r="G561" s="74"/>
      <c r="H561" s="75">
        <v>551113</v>
      </c>
      <c r="I561" s="383" t="s">
        <v>692</v>
      </c>
      <c r="J561" s="138"/>
      <c r="K561" s="253"/>
      <c r="U561" s="120" t="str">
        <f>C561 &amp;":"&amp; D561</f>
        <v>DP:43653</v>
      </c>
    </row>
    <row r="562" spans="1:21" ht="12.75" hidden="1" customHeight="1" x14ac:dyDescent="0.25">
      <c r="A562" s="120">
        <f t="shared" si="147"/>
        <v>2</v>
      </c>
      <c r="B562" s="392">
        <v>43653</v>
      </c>
      <c r="C562" s="77" t="s">
        <v>669</v>
      </c>
      <c r="D562" s="231">
        <v>43653</v>
      </c>
      <c r="E562" s="78">
        <v>4</v>
      </c>
      <c r="F562" s="340"/>
      <c r="G562" s="78"/>
      <c r="H562" s="79">
        <v>551113</v>
      </c>
      <c r="I562" s="383" t="s">
        <v>693</v>
      </c>
      <c r="J562" s="138"/>
      <c r="K562" s="253"/>
      <c r="U562" s="120" t="str">
        <f t="shared" ref="U562:U625" si="151">C562 &amp;":"&amp; D562</f>
        <v>DP:43653</v>
      </c>
    </row>
    <row r="563" spans="1:21" ht="12.75" customHeight="1" x14ac:dyDescent="0.25">
      <c r="A563" s="123">
        <f t="shared" si="147"/>
        <v>2</v>
      </c>
      <c r="B563" s="394">
        <v>43653</v>
      </c>
      <c r="C563" s="79" t="s">
        <v>678</v>
      </c>
      <c r="D563" s="269">
        <v>43653</v>
      </c>
      <c r="E563" s="316">
        <f>SUM(E561:E562)</f>
        <v>8</v>
      </c>
      <c r="F563" s="78"/>
      <c r="G563" s="78"/>
      <c r="H563" s="79"/>
      <c r="J563" s="138"/>
      <c r="K563" s="253"/>
      <c r="U563" s="120" t="str">
        <f t="shared" si="151"/>
        <v>ANK:43653</v>
      </c>
    </row>
    <row r="564" spans="1:21" ht="12.75" hidden="1" customHeight="1" x14ac:dyDescent="0.25">
      <c r="A564" s="120">
        <f>GETPAYMONTH(DATE(YEAR(B564),MONTH(B564-4)+1,1))</f>
        <v>2</v>
      </c>
      <c r="B564" s="392">
        <v>43660</v>
      </c>
      <c r="C564" s="77" t="s">
        <v>669</v>
      </c>
      <c r="D564" s="231">
        <v>43667</v>
      </c>
      <c r="E564" s="74">
        <v>6</v>
      </c>
      <c r="F564" s="378"/>
      <c r="G564" s="74"/>
      <c r="H564" s="75">
        <v>551114</v>
      </c>
      <c r="I564" s="383" t="s">
        <v>780</v>
      </c>
      <c r="J564" s="138"/>
      <c r="K564" s="253"/>
      <c r="U564" s="120" t="str">
        <f t="shared" si="151"/>
        <v>DP:43667</v>
      </c>
    </row>
    <row r="565" spans="1:21" ht="12.75" hidden="1" customHeight="1" x14ac:dyDescent="0.25">
      <c r="A565" s="120">
        <f>GETPAYMONTH(DATE(YEAR(B565),MONTH(B565-4)+1,1))</f>
        <v>2</v>
      </c>
      <c r="B565" s="392">
        <v>43667</v>
      </c>
      <c r="C565" s="77" t="s">
        <v>669</v>
      </c>
      <c r="D565" s="231">
        <v>43667</v>
      </c>
      <c r="E565" s="78">
        <v>7</v>
      </c>
      <c r="F565" s="340"/>
      <c r="G565" s="78"/>
      <c r="H565" s="79">
        <v>551114</v>
      </c>
      <c r="J565" s="138"/>
      <c r="K565" s="253"/>
      <c r="U565" s="120" t="str">
        <f t="shared" si="151"/>
        <v>DP:43667</v>
      </c>
    </row>
    <row r="566" spans="1:21" ht="12.75" customHeight="1" x14ac:dyDescent="0.25">
      <c r="A566" s="123">
        <f>GETPAYMONTH(DATE(YEAR(B566),MONTH(B566-4)+1,1))</f>
        <v>2</v>
      </c>
      <c r="B566" s="394">
        <v>43667</v>
      </c>
      <c r="C566" s="79" t="s">
        <v>678</v>
      </c>
      <c r="D566" s="269">
        <v>43667</v>
      </c>
      <c r="E566" s="316">
        <f>SUM(E564:E565)</f>
        <v>13</v>
      </c>
      <c r="F566" s="78"/>
      <c r="G566" s="78"/>
      <c r="H566" s="79"/>
      <c r="J566" s="138"/>
      <c r="K566" s="253"/>
      <c r="U566" s="120" t="str">
        <f t="shared" si="151"/>
        <v>ANK:43667</v>
      </c>
    </row>
    <row r="567" spans="1:21" ht="12.75" hidden="1" customHeight="1" x14ac:dyDescent="0.25">
      <c r="A567" s="120">
        <f t="shared" ref="A567:A569" si="152">GETPAYMONTH(DATE(YEAR(B567),MONTH(B567-4)+1,1))</f>
        <v>2</v>
      </c>
      <c r="B567" s="392">
        <v>43674</v>
      </c>
      <c r="C567" s="77" t="s">
        <v>669</v>
      </c>
      <c r="D567" s="231">
        <v>43681</v>
      </c>
      <c r="E567" s="74">
        <v>6.5</v>
      </c>
      <c r="F567" s="378"/>
      <c r="G567" s="74"/>
      <c r="H567" s="75">
        <v>551115</v>
      </c>
      <c r="I567" t="s">
        <v>810</v>
      </c>
      <c r="J567" s="138"/>
      <c r="K567" s="253"/>
      <c r="U567" s="120" t="str">
        <f t="shared" si="151"/>
        <v>DP:43681</v>
      </c>
    </row>
    <row r="568" spans="1:21" ht="12.75" hidden="1" customHeight="1" x14ac:dyDescent="0.25">
      <c r="A568" s="120">
        <f t="shared" si="152"/>
        <v>2</v>
      </c>
      <c r="B568" s="392">
        <v>43681</v>
      </c>
      <c r="C568" s="77" t="s">
        <v>669</v>
      </c>
      <c r="D568" s="231">
        <v>43681</v>
      </c>
      <c r="E568" s="78">
        <v>6</v>
      </c>
      <c r="F568" s="340"/>
      <c r="G568" s="78"/>
      <c r="H568" s="79">
        <v>551115</v>
      </c>
      <c r="I568" s="383" t="s">
        <v>780</v>
      </c>
      <c r="J568" s="138"/>
      <c r="K568" s="253"/>
      <c r="U568" s="120" t="str">
        <f t="shared" si="151"/>
        <v>DP:43681</v>
      </c>
    </row>
    <row r="569" spans="1:21" ht="12.75" customHeight="1" x14ac:dyDescent="0.25">
      <c r="A569" s="123">
        <f t="shared" si="152"/>
        <v>2</v>
      </c>
      <c r="B569" s="394">
        <v>43681</v>
      </c>
      <c r="C569" s="79" t="s">
        <v>678</v>
      </c>
      <c r="D569" s="269">
        <v>43681</v>
      </c>
      <c r="E569" s="316">
        <f>SUM(E567:E568)</f>
        <v>12.5</v>
      </c>
      <c r="F569" s="78"/>
      <c r="G569" s="78"/>
      <c r="H569" s="79"/>
      <c r="J569" s="138"/>
      <c r="K569" s="253"/>
      <c r="U569" s="120" t="str">
        <f t="shared" si="151"/>
        <v>ANK:43681</v>
      </c>
    </row>
    <row r="570" spans="1:21" ht="12.75" hidden="1" customHeight="1" x14ac:dyDescent="0.25">
      <c r="A570" s="120">
        <f>GETPAYMONTH(DATE(YEAR(B570),MONTH(B570-4)+1,1))</f>
        <v>3</v>
      </c>
      <c r="B570" s="392">
        <v>43688</v>
      </c>
      <c r="C570" s="77" t="s">
        <v>669</v>
      </c>
      <c r="D570" s="231">
        <v>43695</v>
      </c>
      <c r="E570" s="74">
        <v>6</v>
      </c>
      <c r="F570" s="378"/>
      <c r="G570" s="74"/>
      <c r="H570" s="75">
        <v>551116</v>
      </c>
      <c r="I570" s="383" t="s">
        <v>843</v>
      </c>
      <c r="J570" s="138"/>
      <c r="K570" s="253"/>
      <c r="U570" s="120" t="str">
        <f t="shared" si="151"/>
        <v>DP:43695</v>
      </c>
    </row>
    <row r="571" spans="1:21" ht="12.75" hidden="1" customHeight="1" x14ac:dyDescent="0.25">
      <c r="A571" s="120">
        <f>GETPAYMONTH(DATE(YEAR(B571),MONTH(B571-4)+1,1))</f>
        <v>3</v>
      </c>
      <c r="B571" s="392">
        <v>43695</v>
      </c>
      <c r="C571" s="77" t="s">
        <v>669</v>
      </c>
      <c r="D571" s="231">
        <v>43695</v>
      </c>
      <c r="E571" s="78">
        <v>5</v>
      </c>
      <c r="F571" s="340"/>
      <c r="G571" s="78"/>
      <c r="H571" s="79">
        <v>551116</v>
      </c>
      <c r="J571" s="138"/>
      <c r="K571" s="253"/>
      <c r="U571" s="120" t="str">
        <f t="shared" si="151"/>
        <v>DP:43695</v>
      </c>
    </row>
    <row r="572" spans="1:21" ht="12.75" customHeight="1" x14ac:dyDescent="0.25">
      <c r="A572" s="123">
        <f>GETPAYMONTH(DATE(YEAR(B572),MONTH(B572-4)+1,1))</f>
        <v>3</v>
      </c>
      <c r="B572" s="394">
        <v>43695</v>
      </c>
      <c r="C572" s="79" t="s">
        <v>678</v>
      </c>
      <c r="D572" s="269">
        <v>43695</v>
      </c>
      <c r="E572" s="316">
        <f>SUM(E570:E571)</f>
        <v>11</v>
      </c>
      <c r="F572" s="78"/>
      <c r="G572" s="78"/>
      <c r="H572" s="79"/>
      <c r="J572" s="138"/>
      <c r="K572" s="253"/>
      <c r="U572" s="120" t="str">
        <f t="shared" si="151"/>
        <v>ANK:43695</v>
      </c>
    </row>
    <row r="573" spans="1:21" ht="12.75" hidden="1" customHeight="1" x14ac:dyDescent="0.25">
      <c r="A573" s="120">
        <f t="shared" si="147"/>
        <v>3</v>
      </c>
      <c r="B573" s="392">
        <v>43702</v>
      </c>
      <c r="C573" s="77" t="s">
        <v>669</v>
      </c>
      <c r="D573" s="231">
        <v>43709</v>
      </c>
      <c r="E573" s="74">
        <v>7</v>
      </c>
      <c r="F573" s="378"/>
      <c r="G573" s="74"/>
      <c r="H573" s="75">
        <v>551117</v>
      </c>
      <c r="I573" s="383" t="s">
        <v>854</v>
      </c>
      <c r="J573" s="138"/>
      <c r="K573" s="253"/>
      <c r="U573" s="120" t="str">
        <f t="shared" si="151"/>
        <v>DP:43709</v>
      </c>
    </row>
    <row r="574" spans="1:21" ht="12.75" hidden="1" customHeight="1" x14ac:dyDescent="0.25">
      <c r="A574" s="120">
        <f t="shared" si="147"/>
        <v>3</v>
      </c>
      <c r="B574" s="392">
        <v>43709</v>
      </c>
      <c r="C574" s="77" t="s">
        <v>669</v>
      </c>
      <c r="D574" s="231">
        <v>43709</v>
      </c>
      <c r="E574" s="78">
        <v>6.5</v>
      </c>
      <c r="F574" s="340"/>
      <c r="G574" s="78"/>
      <c r="H574" s="79">
        <v>551117</v>
      </c>
      <c r="I574" s="383" t="s">
        <v>855</v>
      </c>
      <c r="J574" s="138"/>
      <c r="K574" s="253"/>
      <c r="U574" s="120" t="str">
        <f t="shared" si="151"/>
        <v>DP:43709</v>
      </c>
    </row>
    <row r="575" spans="1:21" ht="12.75" customHeight="1" x14ac:dyDescent="0.25">
      <c r="A575" s="123">
        <f t="shared" si="147"/>
        <v>3</v>
      </c>
      <c r="B575" s="394">
        <v>43709</v>
      </c>
      <c r="C575" s="79" t="s">
        <v>678</v>
      </c>
      <c r="D575" s="269">
        <v>43709</v>
      </c>
      <c r="E575" s="316">
        <f>SUM(E573:E574)</f>
        <v>13.5</v>
      </c>
      <c r="F575" s="78"/>
      <c r="G575" s="78"/>
      <c r="H575" s="79"/>
      <c r="J575" s="138"/>
      <c r="K575" s="253"/>
      <c r="U575" s="120" t="str">
        <f t="shared" si="151"/>
        <v>ANK:43709</v>
      </c>
    </row>
    <row r="576" spans="1:21" ht="12.75" hidden="1" customHeight="1" x14ac:dyDescent="0.25">
      <c r="A576" s="120">
        <f>GETPAYMONTH(DATE(YEAR(B576),MONTH(B576-4)+1,1))</f>
        <v>4</v>
      </c>
      <c r="B576" s="392">
        <v>43716</v>
      </c>
      <c r="C576" s="77" t="s">
        <v>669</v>
      </c>
      <c r="D576" s="231">
        <v>43723</v>
      </c>
      <c r="E576" s="74">
        <v>6.5</v>
      </c>
      <c r="F576" s="378"/>
      <c r="G576" s="74"/>
      <c r="H576" s="75">
        <v>551118</v>
      </c>
      <c r="I576" s="383" t="s">
        <v>886</v>
      </c>
      <c r="J576" s="138"/>
      <c r="K576" s="253"/>
      <c r="U576" s="120" t="str">
        <f t="shared" si="151"/>
        <v>DP:43723</v>
      </c>
    </row>
    <row r="577" spans="1:21" ht="12.75" hidden="1" customHeight="1" x14ac:dyDescent="0.25">
      <c r="A577" s="120">
        <f>GETPAYMONTH(DATE(YEAR(B577),MONTH(B577-4)+1,1))</f>
        <v>4</v>
      </c>
      <c r="B577" s="392">
        <v>43723</v>
      </c>
      <c r="C577" s="77" t="s">
        <v>669</v>
      </c>
      <c r="D577" s="231">
        <v>43723</v>
      </c>
      <c r="E577" s="78">
        <v>5</v>
      </c>
      <c r="F577" s="340"/>
      <c r="G577" s="78"/>
      <c r="H577" s="79">
        <v>551118</v>
      </c>
      <c r="J577" s="138"/>
      <c r="K577" s="253"/>
      <c r="U577" s="120" t="str">
        <f t="shared" si="151"/>
        <v>DP:43723</v>
      </c>
    </row>
    <row r="578" spans="1:21" ht="12.75" customHeight="1" x14ac:dyDescent="0.25">
      <c r="A578" s="123">
        <f>GETPAYMONTH(DATE(YEAR(B578),MONTH(B578-4)+1,1))</f>
        <v>4</v>
      </c>
      <c r="B578" s="394">
        <v>43723</v>
      </c>
      <c r="C578" s="79" t="s">
        <v>678</v>
      </c>
      <c r="D578" s="269">
        <v>43723</v>
      </c>
      <c r="E578" s="316">
        <f>SUM(E576:E577)</f>
        <v>11.5</v>
      </c>
      <c r="F578" s="78"/>
      <c r="G578" s="78"/>
      <c r="H578" s="79"/>
      <c r="J578" s="138"/>
      <c r="K578" s="253"/>
      <c r="U578" s="120" t="str">
        <f t="shared" si="151"/>
        <v>ANK:43723</v>
      </c>
    </row>
    <row r="579" spans="1:21" ht="12.75" hidden="1" customHeight="1" x14ac:dyDescent="0.25">
      <c r="A579" s="120">
        <f t="shared" ref="A579:A581" si="153">GETPAYMONTH(DATE(YEAR(B579),MONTH(B579-4)+1,1))</f>
        <v>4</v>
      </c>
      <c r="B579" s="392">
        <v>43730</v>
      </c>
      <c r="C579" s="77" t="s">
        <v>669</v>
      </c>
      <c r="D579" s="231">
        <v>43737</v>
      </c>
      <c r="E579" s="74">
        <v>5</v>
      </c>
      <c r="F579" s="378"/>
      <c r="G579" s="74"/>
      <c r="H579" s="75">
        <v>551119</v>
      </c>
      <c r="J579" s="138"/>
      <c r="K579" s="253"/>
      <c r="U579" s="120" t="str">
        <f t="shared" si="151"/>
        <v>DP:43737</v>
      </c>
    </row>
    <row r="580" spans="1:21" ht="12.75" hidden="1" customHeight="1" x14ac:dyDescent="0.25">
      <c r="A580" s="120">
        <f t="shared" si="153"/>
        <v>4</v>
      </c>
      <c r="B580" s="392">
        <v>43737</v>
      </c>
      <c r="C580" s="77" t="s">
        <v>669</v>
      </c>
      <c r="D580" s="231">
        <v>43737</v>
      </c>
      <c r="E580" s="78">
        <v>5</v>
      </c>
      <c r="F580" s="340"/>
      <c r="G580" s="78"/>
      <c r="H580" s="79">
        <v>551119</v>
      </c>
      <c r="J580" s="138"/>
      <c r="K580" s="253"/>
      <c r="U580" s="120" t="str">
        <f t="shared" si="151"/>
        <v>DP:43737</v>
      </c>
    </row>
    <row r="581" spans="1:21" ht="12.75" customHeight="1" x14ac:dyDescent="0.25">
      <c r="A581" s="123">
        <f t="shared" si="153"/>
        <v>4</v>
      </c>
      <c r="B581" s="394">
        <v>43737</v>
      </c>
      <c r="C581" s="79" t="s">
        <v>678</v>
      </c>
      <c r="D581" s="269">
        <v>43737</v>
      </c>
      <c r="E581" s="316">
        <f>SUM(E579:E580)</f>
        <v>10</v>
      </c>
      <c r="F581" s="78"/>
      <c r="G581" s="78"/>
      <c r="H581" s="79"/>
      <c r="J581" s="138"/>
      <c r="K581" s="253"/>
      <c r="U581" s="120" t="str">
        <f t="shared" si="151"/>
        <v>ANK:43737</v>
      </c>
    </row>
    <row r="582" spans="1:21" ht="12.75" hidden="1" customHeight="1" x14ac:dyDescent="0.25">
      <c r="A582" s="120">
        <f>GETPAYMONTH(DATE(YEAR(B582),MONTH(B582-4)+1,1))</f>
        <v>5</v>
      </c>
      <c r="B582" s="392">
        <v>43744</v>
      </c>
      <c r="C582" s="77" t="s">
        <v>669</v>
      </c>
      <c r="D582" s="231"/>
      <c r="E582" s="74"/>
      <c r="F582" s="378"/>
      <c r="G582" s="74"/>
      <c r="H582" s="75"/>
      <c r="J582" s="138"/>
      <c r="K582" s="253"/>
      <c r="U582" s="120" t="str">
        <f t="shared" si="151"/>
        <v>DP:</v>
      </c>
    </row>
    <row r="583" spans="1:21" ht="12.75" hidden="1" customHeight="1" x14ac:dyDescent="0.25">
      <c r="A583" s="120">
        <f>GETPAYMONTH(DATE(YEAR(B583),MONTH(B583-4)+1,1))</f>
        <v>5</v>
      </c>
      <c r="B583" s="392">
        <v>43751</v>
      </c>
      <c r="C583" s="77" t="s">
        <v>669</v>
      </c>
      <c r="D583" s="231"/>
      <c r="E583" s="78"/>
      <c r="F583" s="340"/>
      <c r="G583" s="78"/>
      <c r="H583" s="79"/>
      <c r="J583" s="138"/>
      <c r="K583" s="253"/>
      <c r="U583" s="120" t="str">
        <f t="shared" si="151"/>
        <v>DP:</v>
      </c>
    </row>
    <row r="584" spans="1:21" ht="12.75" customHeight="1" x14ac:dyDescent="0.25">
      <c r="A584" s="123">
        <f>GETPAYMONTH(DATE(YEAR(B584),MONTH(B584-4)+1,1))</f>
        <v>5</v>
      </c>
      <c r="B584" s="394">
        <v>43751</v>
      </c>
      <c r="C584" s="79" t="s">
        <v>678</v>
      </c>
      <c r="D584" s="269"/>
      <c r="E584" s="316">
        <f>SUM(E582:E583)</f>
        <v>0</v>
      </c>
      <c r="F584" s="78"/>
      <c r="G584" s="78"/>
      <c r="H584" s="79"/>
      <c r="J584" s="138"/>
      <c r="K584" s="253"/>
      <c r="U584" s="120" t="str">
        <f t="shared" si="151"/>
        <v>ANK:</v>
      </c>
    </row>
    <row r="585" spans="1:21" ht="12.75" hidden="1" customHeight="1" x14ac:dyDescent="0.25">
      <c r="A585" s="120">
        <f t="shared" ref="A585:A587" si="154">GETPAYMONTH(DATE(YEAR(B585),MONTH(B585-4)+1,1))</f>
        <v>5</v>
      </c>
      <c r="B585" s="392">
        <v>43758</v>
      </c>
      <c r="C585" s="77" t="s">
        <v>669</v>
      </c>
      <c r="D585" s="231"/>
      <c r="E585" s="74"/>
      <c r="F585" s="378"/>
      <c r="G585" s="74"/>
      <c r="H585" s="75"/>
      <c r="J585" s="138"/>
      <c r="K585" s="253"/>
      <c r="U585" s="120" t="str">
        <f t="shared" si="151"/>
        <v>DP:</v>
      </c>
    </row>
    <row r="586" spans="1:21" ht="12.75" hidden="1" customHeight="1" x14ac:dyDescent="0.25">
      <c r="A586" s="120">
        <f t="shared" si="154"/>
        <v>5</v>
      </c>
      <c r="B586" s="392">
        <v>43765</v>
      </c>
      <c r="C586" s="77" t="s">
        <v>669</v>
      </c>
      <c r="D586" s="231"/>
      <c r="E586" s="78"/>
      <c r="F586" s="340"/>
      <c r="G586" s="78"/>
      <c r="H586" s="79"/>
      <c r="J586" s="138"/>
      <c r="K586" s="253"/>
      <c r="U586" s="120" t="str">
        <f t="shared" si="151"/>
        <v>DP:</v>
      </c>
    </row>
    <row r="587" spans="1:21" ht="12.75" customHeight="1" x14ac:dyDescent="0.25">
      <c r="A587" s="123">
        <f t="shared" si="154"/>
        <v>5</v>
      </c>
      <c r="B587" s="394">
        <v>43765</v>
      </c>
      <c r="C587" s="79" t="s">
        <v>678</v>
      </c>
      <c r="D587" s="269"/>
      <c r="E587" s="316">
        <f>SUM(E585:E586)</f>
        <v>0</v>
      </c>
      <c r="F587" s="78"/>
      <c r="G587" s="78"/>
      <c r="H587" s="79"/>
      <c r="J587" s="138"/>
      <c r="K587" s="253"/>
      <c r="U587" s="120" t="str">
        <f t="shared" si="151"/>
        <v>ANK:</v>
      </c>
    </row>
    <row r="588" spans="1:21" ht="12.75" hidden="1" customHeight="1" x14ac:dyDescent="0.25">
      <c r="A588" s="120">
        <f>GETPAYMONTH(DATE(YEAR(B588),MONTH(B588-4)+1,1))</f>
        <v>5</v>
      </c>
      <c r="B588" s="392">
        <v>43772</v>
      </c>
      <c r="C588" s="77" t="s">
        <v>669</v>
      </c>
      <c r="D588" s="231"/>
      <c r="E588" s="74"/>
      <c r="F588" s="378"/>
      <c r="G588" s="74"/>
      <c r="H588" s="75"/>
      <c r="J588" s="138"/>
      <c r="K588" s="253"/>
      <c r="U588" s="120" t="str">
        <f t="shared" si="151"/>
        <v>DP:</v>
      </c>
    </row>
    <row r="589" spans="1:21" ht="12.75" hidden="1" customHeight="1" x14ac:dyDescent="0.25">
      <c r="A589" s="120">
        <f>GETPAYMONTH(DATE(YEAR(B589),MONTH(B589-4)+1,1))</f>
        <v>6</v>
      </c>
      <c r="B589" s="392">
        <v>43779</v>
      </c>
      <c r="C589" s="77" t="s">
        <v>669</v>
      </c>
      <c r="D589" s="231"/>
      <c r="E589" s="78"/>
      <c r="F589" s="340"/>
      <c r="G589" s="78"/>
      <c r="H589" s="79"/>
      <c r="J589" s="138"/>
      <c r="K589" s="253"/>
      <c r="U589" s="120" t="str">
        <f t="shared" si="151"/>
        <v>DP:</v>
      </c>
    </row>
    <row r="590" spans="1:21" ht="12.75" customHeight="1" x14ac:dyDescent="0.25">
      <c r="A590" s="123">
        <f t="shared" ref="A590:A635" si="155">GETPAYMONTH(DATE(YEAR(B590),MONTH(B590-4)+1,1))</f>
        <v>6</v>
      </c>
      <c r="B590" s="394">
        <v>43779</v>
      </c>
      <c r="C590" s="79" t="s">
        <v>678</v>
      </c>
      <c r="D590" s="269"/>
      <c r="E590" s="76">
        <f>SUM(E588:E589)</f>
        <v>0</v>
      </c>
      <c r="F590" s="76"/>
      <c r="G590" s="76"/>
      <c r="H590" s="77"/>
      <c r="J590" s="138"/>
      <c r="U590" s="120" t="str">
        <f t="shared" si="151"/>
        <v>ANK:</v>
      </c>
    </row>
    <row r="591" spans="1:21" ht="12.75" hidden="1" customHeight="1" x14ac:dyDescent="0.25">
      <c r="A591" s="120">
        <f t="shared" si="155"/>
        <v>6</v>
      </c>
      <c r="B591" s="392">
        <v>43786</v>
      </c>
      <c r="C591" s="77" t="s">
        <v>669</v>
      </c>
      <c r="D591" s="231"/>
      <c r="E591" s="74"/>
      <c r="F591" s="378"/>
      <c r="G591" s="74"/>
      <c r="H591" s="75"/>
      <c r="J591" s="138"/>
      <c r="U591" s="120" t="str">
        <f t="shared" si="151"/>
        <v>DP:</v>
      </c>
    </row>
    <row r="592" spans="1:21" ht="12.75" hidden="1" customHeight="1" x14ac:dyDescent="0.25">
      <c r="A592" s="120">
        <f t="shared" si="155"/>
        <v>6</v>
      </c>
      <c r="B592" s="392">
        <v>43793</v>
      </c>
      <c r="C592" s="77" t="s">
        <v>669</v>
      </c>
      <c r="D592" s="231"/>
      <c r="E592" s="78"/>
      <c r="F592" s="340"/>
      <c r="G592" s="78"/>
      <c r="H592" s="79"/>
      <c r="J592" s="138"/>
      <c r="U592" s="120" t="str">
        <f t="shared" si="151"/>
        <v>DP:</v>
      </c>
    </row>
    <row r="593" spans="1:21" ht="12.75" customHeight="1" x14ac:dyDescent="0.25">
      <c r="A593" s="123">
        <f t="shared" si="155"/>
        <v>6</v>
      </c>
      <c r="B593" s="394">
        <v>43793</v>
      </c>
      <c r="C593" s="79" t="s">
        <v>678</v>
      </c>
      <c r="D593" s="269"/>
      <c r="E593" s="76">
        <f>SUM(E591:E592)</f>
        <v>0</v>
      </c>
      <c r="F593" s="76"/>
      <c r="G593" s="76"/>
      <c r="H593" s="77"/>
      <c r="J593" s="138"/>
      <c r="T593" s="129"/>
      <c r="U593" s="120" t="str">
        <f t="shared" si="151"/>
        <v>ANK:</v>
      </c>
    </row>
    <row r="594" spans="1:21" ht="12.75" hidden="1" customHeight="1" x14ac:dyDescent="0.25">
      <c r="A594" s="120">
        <f t="shared" si="155"/>
        <v>6</v>
      </c>
      <c r="B594" s="392">
        <v>43800</v>
      </c>
      <c r="C594" s="77" t="s">
        <v>669</v>
      </c>
      <c r="D594" s="231"/>
      <c r="E594" s="74"/>
      <c r="F594" s="378"/>
      <c r="G594" s="74"/>
      <c r="H594" s="75"/>
      <c r="J594" s="138"/>
      <c r="U594" s="120" t="str">
        <f t="shared" si="151"/>
        <v>DP:</v>
      </c>
    </row>
    <row r="595" spans="1:21" ht="12.75" hidden="1" customHeight="1" x14ac:dyDescent="0.25">
      <c r="A595" s="120">
        <f t="shared" si="155"/>
        <v>7</v>
      </c>
      <c r="B595" s="392">
        <v>43807</v>
      </c>
      <c r="C595" s="77" t="s">
        <v>669</v>
      </c>
      <c r="D595" s="231"/>
      <c r="E595" s="78"/>
      <c r="F595" s="340"/>
      <c r="G595" s="78"/>
      <c r="H595" s="79"/>
      <c r="J595" s="138"/>
      <c r="U595" s="120" t="str">
        <f t="shared" si="151"/>
        <v>DP:</v>
      </c>
    </row>
    <row r="596" spans="1:21" ht="12.75" customHeight="1" x14ac:dyDescent="0.25">
      <c r="A596" s="123">
        <f t="shared" si="155"/>
        <v>7</v>
      </c>
      <c r="B596" s="394">
        <v>43807</v>
      </c>
      <c r="C596" s="79" t="s">
        <v>678</v>
      </c>
      <c r="D596" s="269"/>
      <c r="E596" s="76">
        <f>SUM(E594:E595)</f>
        <v>0</v>
      </c>
      <c r="F596" s="76"/>
      <c r="G596" s="76"/>
      <c r="H596" s="77"/>
      <c r="J596" s="138"/>
      <c r="U596" s="120" t="str">
        <f t="shared" si="151"/>
        <v>ANK:</v>
      </c>
    </row>
    <row r="597" spans="1:21" ht="12.75" hidden="1" customHeight="1" x14ac:dyDescent="0.25">
      <c r="A597" s="120">
        <f t="shared" si="155"/>
        <v>7</v>
      </c>
      <c r="B597" s="392">
        <v>43814</v>
      </c>
      <c r="C597" s="77" t="s">
        <v>669</v>
      </c>
      <c r="D597" s="231"/>
      <c r="E597" s="74"/>
      <c r="F597" s="378"/>
      <c r="G597" s="74"/>
      <c r="H597" s="75"/>
      <c r="J597" s="138"/>
      <c r="U597" s="120" t="str">
        <f t="shared" si="151"/>
        <v>DP:</v>
      </c>
    </row>
    <row r="598" spans="1:21" ht="12.75" hidden="1" customHeight="1" x14ac:dyDescent="0.25">
      <c r="A598" s="120">
        <f t="shared" si="155"/>
        <v>7</v>
      </c>
      <c r="B598" s="392">
        <v>43821</v>
      </c>
      <c r="C598" s="77" t="s">
        <v>669</v>
      </c>
      <c r="D598" s="231"/>
      <c r="E598" s="78"/>
      <c r="F598" s="340"/>
      <c r="G598" s="78"/>
      <c r="H598" s="79"/>
      <c r="J598" s="138"/>
      <c r="U598" s="120" t="str">
        <f t="shared" si="151"/>
        <v>DP:</v>
      </c>
    </row>
    <row r="599" spans="1:21" ht="12.75" customHeight="1" x14ac:dyDescent="0.25">
      <c r="A599" s="123">
        <f t="shared" si="155"/>
        <v>7</v>
      </c>
      <c r="B599" s="394">
        <v>43821</v>
      </c>
      <c r="C599" s="79" t="s">
        <v>678</v>
      </c>
      <c r="D599" s="269"/>
      <c r="E599" s="76">
        <f>SUM(E597:E598)</f>
        <v>0</v>
      </c>
      <c r="F599" s="76"/>
      <c r="G599" s="76"/>
      <c r="H599" s="77"/>
      <c r="J599" s="138"/>
      <c r="U599" s="120" t="str">
        <f t="shared" si="151"/>
        <v>ANK:</v>
      </c>
    </row>
    <row r="600" spans="1:21" ht="12.75" hidden="1" customHeight="1" x14ac:dyDescent="0.25">
      <c r="A600" s="120">
        <f t="shared" si="155"/>
        <v>7</v>
      </c>
      <c r="B600" s="392">
        <v>43828</v>
      </c>
      <c r="C600" s="77" t="s">
        <v>669</v>
      </c>
      <c r="D600" s="231"/>
      <c r="E600" s="74"/>
      <c r="F600" s="378"/>
      <c r="G600" s="74"/>
      <c r="H600" s="75"/>
      <c r="I600" s="328"/>
      <c r="J600" s="138"/>
      <c r="U600" s="120" t="str">
        <f t="shared" si="151"/>
        <v>DP:</v>
      </c>
    </row>
    <row r="601" spans="1:21" ht="12.75" hidden="1" customHeight="1" x14ac:dyDescent="0.25">
      <c r="A601" s="120">
        <f t="shared" si="155"/>
        <v>8</v>
      </c>
      <c r="B601" s="392">
        <v>43835</v>
      </c>
      <c r="C601" s="77" t="s">
        <v>669</v>
      </c>
      <c r="D601" s="231"/>
      <c r="E601" s="78"/>
      <c r="F601" s="340"/>
      <c r="G601" s="78"/>
      <c r="H601" s="79"/>
      <c r="I601" s="328"/>
      <c r="J601" s="138"/>
      <c r="U601" s="120" t="str">
        <f t="shared" si="151"/>
        <v>DP:</v>
      </c>
    </row>
    <row r="602" spans="1:21" ht="12.75" customHeight="1" x14ac:dyDescent="0.25">
      <c r="A602" s="123">
        <f t="shared" si="155"/>
        <v>8</v>
      </c>
      <c r="B602" s="394">
        <v>43835</v>
      </c>
      <c r="C602" s="79" t="s">
        <v>678</v>
      </c>
      <c r="D602" s="269"/>
      <c r="E602" s="76">
        <f>SUM(E600:E601)</f>
        <v>0</v>
      </c>
      <c r="F602" s="76"/>
      <c r="G602" s="76"/>
      <c r="H602" s="77"/>
      <c r="I602" s="22"/>
      <c r="J602" s="138"/>
      <c r="U602" s="120" t="str">
        <f t="shared" si="151"/>
        <v>ANK:</v>
      </c>
    </row>
    <row r="603" spans="1:21" ht="12.75" hidden="1" customHeight="1" x14ac:dyDescent="0.25">
      <c r="A603" s="120">
        <f t="shared" si="155"/>
        <v>8</v>
      </c>
      <c r="B603" s="392">
        <v>43842</v>
      </c>
      <c r="C603" s="77" t="s">
        <v>669</v>
      </c>
      <c r="D603" s="231"/>
      <c r="E603" s="74"/>
      <c r="F603" s="378"/>
      <c r="G603" s="74"/>
      <c r="H603" s="75"/>
      <c r="J603" s="138"/>
      <c r="U603" s="120" t="str">
        <f t="shared" si="151"/>
        <v>DP:</v>
      </c>
    </row>
    <row r="604" spans="1:21" ht="12.75" hidden="1" customHeight="1" x14ac:dyDescent="0.25">
      <c r="A604" s="120">
        <f t="shared" si="155"/>
        <v>8</v>
      </c>
      <c r="B604" s="392">
        <v>43849</v>
      </c>
      <c r="C604" s="77" t="s">
        <v>669</v>
      </c>
      <c r="D604" s="231"/>
      <c r="E604" s="78"/>
      <c r="F604" s="340"/>
      <c r="G604" s="78"/>
      <c r="H604" s="79"/>
      <c r="J604" s="138"/>
      <c r="U604" s="120" t="str">
        <f t="shared" si="151"/>
        <v>DP:</v>
      </c>
    </row>
    <row r="605" spans="1:21" ht="12.75" customHeight="1" x14ac:dyDescent="0.25">
      <c r="A605" s="123">
        <f t="shared" si="155"/>
        <v>8</v>
      </c>
      <c r="B605" s="394">
        <v>43849</v>
      </c>
      <c r="C605" s="79" t="s">
        <v>678</v>
      </c>
      <c r="D605" s="269"/>
      <c r="E605" s="76">
        <f>SUM(E603:E604)</f>
        <v>0</v>
      </c>
      <c r="F605" s="76"/>
      <c r="G605" s="76"/>
      <c r="H605" s="77"/>
      <c r="J605" s="138"/>
      <c r="U605" s="120" t="str">
        <f t="shared" si="151"/>
        <v>ANK:</v>
      </c>
    </row>
    <row r="606" spans="1:21" ht="12.75" hidden="1" customHeight="1" x14ac:dyDescent="0.25">
      <c r="A606" s="120">
        <f t="shared" si="155"/>
        <v>8</v>
      </c>
      <c r="B606" s="392">
        <v>43842</v>
      </c>
      <c r="C606" s="77" t="s">
        <v>669</v>
      </c>
      <c r="D606" s="231"/>
      <c r="E606" s="74"/>
      <c r="F606" s="378"/>
      <c r="G606" s="74"/>
      <c r="H606" s="75"/>
      <c r="J606" s="138"/>
      <c r="U606" s="120" t="str">
        <f t="shared" si="151"/>
        <v>DP:</v>
      </c>
    </row>
    <row r="607" spans="1:21" ht="12.75" hidden="1" customHeight="1" x14ac:dyDescent="0.25">
      <c r="A607" s="120">
        <f t="shared" si="155"/>
        <v>8</v>
      </c>
      <c r="B607" s="392">
        <v>43849</v>
      </c>
      <c r="C607" s="77" t="s">
        <v>669</v>
      </c>
      <c r="D607" s="231"/>
      <c r="E607" s="78"/>
      <c r="F607" s="340"/>
      <c r="G607" s="78"/>
      <c r="H607" s="79"/>
      <c r="J607" s="138"/>
      <c r="U607" s="120" t="str">
        <f t="shared" si="151"/>
        <v>DP:</v>
      </c>
    </row>
    <row r="608" spans="1:21" ht="12.75" customHeight="1" x14ac:dyDescent="0.25">
      <c r="A608" s="123">
        <f t="shared" si="155"/>
        <v>8</v>
      </c>
      <c r="B608" s="394">
        <v>43849</v>
      </c>
      <c r="C608" s="79" t="s">
        <v>678</v>
      </c>
      <c r="D608" s="269"/>
      <c r="E608" s="76">
        <f>SUM(E606:E607)</f>
        <v>0</v>
      </c>
      <c r="F608" s="76"/>
      <c r="G608" s="76"/>
      <c r="H608" s="77"/>
      <c r="J608" s="138"/>
      <c r="U608" s="120" t="str">
        <f t="shared" si="151"/>
        <v>ANK:</v>
      </c>
    </row>
    <row r="609" spans="1:21" ht="12.75" hidden="1" customHeight="1" x14ac:dyDescent="0.25">
      <c r="A609" s="120">
        <f t="shared" si="155"/>
        <v>8</v>
      </c>
      <c r="B609" s="392">
        <v>43856</v>
      </c>
      <c r="C609" s="77" t="s">
        <v>669</v>
      </c>
      <c r="D609" s="231"/>
      <c r="E609" s="74"/>
      <c r="F609" s="378"/>
      <c r="G609" s="74"/>
      <c r="H609" s="75"/>
      <c r="J609" s="138"/>
      <c r="U609" s="120" t="str">
        <f t="shared" si="151"/>
        <v>DP:</v>
      </c>
    </row>
    <row r="610" spans="1:21" ht="12.75" hidden="1" customHeight="1" x14ac:dyDescent="0.25">
      <c r="A610" s="120">
        <f t="shared" si="155"/>
        <v>8</v>
      </c>
      <c r="B610" s="392">
        <v>43863</v>
      </c>
      <c r="C610" s="77" t="s">
        <v>669</v>
      </c>
      <c r="D610" s="231"/>
      <c r="E610" s="78"/>
      <c r="F610" s="340"/>
      <c r="G610" s="78"/>
      <c r="H610" s="79"/>
      <c r="J610" s="138"/>
      <c r="U610" s="120" t="str">
        <f t="shared" si="151"/>
        <v>DP:</v>
      </c>
    </row>
    <row r="611" spans="1:21" ht="12.75" customHeight="1" x14ac:dyDescent="0.25">
      <c r="A611" s="123">
        <f t="shared" si="155"/>
        <v>8</v>
      </c>
      <c r="B611" s="394">
        <v>43863</v>
      </c>
      <c r="C611" s="79" t="s">
        <v>678</v>
      </c>
      <c r="D611" s="269"/>
      <c r="E611" s="76">
        <f>SUM(E609:E610)</f>
        <v>0</v>
      </c>
      <c r="F611" s="76"/>
      <c r="G611" s="76"/>
      <c r="H611" s="77"/>
      <c r="J611" s="138"/>
      <c r="U611" s="120" t="str">
        <f t="shared" si="151"/>
        <v>ANK:</v>
      </c>
    </row>
    <row r="612" spans="1:21" ht="12.75" hidden="1" customHeight="1" x14ac:dyDescent="0.25">
      <c r="A612" s="120">
        <f t="shared" si="155"/>
        <v>9</v>
      </c>
      <c r="B612" s="392">
        <v>43870</v>
      </c>
      <c r="C612" s="77" t="s">
        <v>669</v>
      </c>
      <c r="D612" s="231"/>
      <c r="E612" s="74"/>
      <c r="F612" s="378"/>
      <c r="G612" s="74"/>
      <c r="H612" s="75"/>
      <c r="J612" s="138"/>
      <c r="U612" s="120" t="str">
        <f t="shared" si="151"/>
        <v>DP:</v>
      </c>
    </row>
    <row r="613" spans="1:21" ht="12.75" hidden="1" customHeight="1" x14ac:dyDescent="0.25">
      <c r="A613" s="120">
        <f t="shared" si="155"/>
        <v>9</v>
      </c>
      <c r="B613" s="392">
        <v>43877</v>
      </c>
      <c r="C613" s="77" t="s">
        <v>669</v>
      </c>
      <c r="D613" s="231"/>
      <c r="E613" s="78"/>
      <c r="F613" s="340"/>
      <c r="G613" s="78"/>
      <c r="H613" s="79"/>
      <c r="J613" s="138"/>
      <c r="U613" s="120" t="str">
        <f t="shared" si="151"/>
        <v>DP:</v>
      </c>
    </row>
    <row r="614" spans="1:21" ht="12.75" customHeight="1" x14ac:dyDescent="0.25">
      <c r="A614" s="123">
        <f t="shared" si="155"/>
        <v>9</v>
      </c>
      <c r="B614" s="394">
        <v>43877</v>
      </c>
      <c r="C614" s="79" t="s">
        <v>678</v>
      </c>
      <c r="D614" s="269"/>
      <c r="E614" s="76">
        <f>SUM(E612:E613)</f>
        <v>0</v>
      </c>
      <c r="F614" s="76"/>
      <c r="G614" s="76"/>
      <c r="H614" s="77"/>
      <c r="J614" s="138"/>
      <c r="K614" s="62"/>
      <c r="U614" s="120" t="str">
        <f t="shared" si="151"/>
        <v>ANK:</v>
      </c>
    </row>
    <row r="615" spans="1:21" ht="12.75" hidden="1" customHeight="1" x14ac:dyDescent="0.25">
      <c r="A615" s="120">
        <f t="shared" si="155"/>
        <v>9</v>
      </c>
      <c r="B615" s="392">
        <v>43884</v>
      </c>
      <c r="C615" s="77" t="s">
        <v>669</v>
      </c>
      <c r="D615" s="231"/>
      <c r="E615" s="74"/>
      <c r="F615" s="378"/>
      <c r="G615" s="74"/>
      <c r="H615" s="75"/>
      <c r="J615" s="138"/>
      <c r="U615" s="120" t="str">
        <f t="shared" si="151"/>
        <v>DP:</v>
      </c>
    </row>
    <row r="616" spans="1:21" ht="12.75" hidden="1" customHeight="1" x14ac:dyDescent="0.25">
      <c r="A616" s="120">
        <f t="shared" si="155"/>
        <v>9</v>
      </c>
      <c r="B616" s="392">
        <v>43891</v>
      </c>
      <c r="C616" s="77" t="s">
        <v>669</v>
      </c>
      <c r="D616" s="231"/>
      <c r="E616" s="78"/>
      <c r="F616" s="340"/>
      <c r="G616" s="78"/>
      <c r="H616" s="79"/>
      <c r="I616" s="383"/>
      <c r="J616" s="138"/>
      <c r="U616" s="120" t="str">
        <f t="shared" si="151"/>
        <v>DP:</v>
      </c>
    </row>
    <row r="617" spans="1:21" ht="12.75" customHeight="1" x14ac:dyDescent="0.25">
      <c r="A617" s="123">
        <f t="shared" si="155"/>
        <v>9</v>
      </c>
      <c r="B617" s="394">
        <v>43891</v>
      </c>
      <c r="C617" s="79" t="s">
        <v>678</v>
      </c>
      <c r="D617" s="269"/>
      <c r="E617" s="76">
        <f>SUM(E615:E616)</f>
        <v>0</v>
      </c>
      <c r="F617" s="76"/>
      <c r="G617" s="76"/>
      <c r="H617" s="77"/>
      <c r="J617" s="138"/>
      <c r="U617" s="120" t="str">
        <f t="shared" si="151"/>
        <v>ANK:</v>
      </c>
    </row>
    <row r="618" spans="1:21" ht="12.75" hidden="1" customHeight="1" x14ac:dyDescent="0.25">
      <c r="A618" s="120">
        <f t="shared" si="155"/>
        <v>10</v>
      </c>
      <c r="B618" s="392">
        <v>43898</v>
      </c>
      <c r="C618" s="77" t="s">
        <v>669</v>
      </c>
      <c r="D618" s="231"/>
      <c r="E618" s="74"/>
      <c r="F618" s="378"/>
      <c r="G618" s="74"/>
      <c r="H618" s="75"/>
      <c r="J618" s="138"/>
      <c r="U618" s="120" t="str">
        <f t="shared" si="151"/>
        <v>DP:</v>
      </c>
    </row>
    <row r="619" spans="1:21" ht="12.75" hidden="1" customHeight="1" x14ac:dyDescent="0.25">
      <c r="A619" s="120">
        <f t="shared" si="155"/>
        <v>10</v>
      </c>
      <c r="B619" s="392">
        <v>43905</v>
      </c>
      <c r="C619" s="77" t="s">
        <v>669</v>
      </c>
      <c r="D619" s="231"/>
      <c r="E619" s="78"/>
      <c r="F619" s="340"/>
      <c r="G619" s="78"/>
      <c r="H619" s="79"/>
      <c r="J619" s="138"/>
      <c r="U619" s="120" t="str">
        <f t="shared" si="151"/>
        <v>DP:</v>
      </c>
    </row>
    <row r="620" spans="1:21" ht="12.75" customHeight="1" x14ac:dyDescent="0.25">
      <c r="A620" s="123">
        <f t="shared" si="155"/>
        <v>10</v>
      </c>
      <c r="B620" s="394">
        <v>43905</v>
      </c>
      <c r="C620" s="79" t="s">
        <v>678</v>
      </c>
      <c r="D620" s="269"/>
      <c r="E620" s="76">
        <f>SUM(E618:E619)</f>
        <v>0</v>
      </c>
      <c r="F620" s="76"/>
      <c r="G620" s="76"/>
      <c r="H620" s="77"/>
      <c r="J620" s="138"/>
      <c r="U620" s="120" t="str">
        <f t="shared" si="151"/>
        <v>ANK:</v>
      </c>
    </row>
    <row r="621" spans="1:21" ht="12.75" hidden="1" customHeight="1" x14ac:dyDescent="0.25">
      <c r="A621" s="120">
        <f t="shared" si="155"/>
        <v>10</v>
      </c>
      <c r="B621" s="392">
        <v>43912</v>
      </c>
      <c r="C621" s="77" t="s">
        <v>669</v>
      </c>
      <c r="D621" s="231"/>
      <c r="E621" s="74"/>
      <c r="F621" s="378"/>
      <c r="G621" s="74"/>
      <c r="H621" s="75"/>
      <c r="J621" s="138"/>
      <c r="U621" s="120" t="str">
        <f t="shared" si="151"/>
        <v>DP:</v>
      </c>
    </row>
    <row r="622" spans="1:21" ht="12.75" hidden="1" customHeight="1" x14ac:dyDescent="0.25">
      <c r="A622" s="120">
        <f t="shared" si="155"/>
        <v>10</v>
      </c>
      <c r="B622" s="392">
        <v>43919</v>
      </c>
      <c r="C622" s="77" t="s">
        <v>669</v>
      </c>
      <c r="D622" s="231"/>
      <c r="E622" s="78"/>
      <c r="F622" s="340"/>
      <c r="G622" s="78"/>
      <c r="H622" s="79"/>
      <c r="J622" s="138"/>
      <c r="U622" s="120" t="str">
        <f t="shared" si="151"/>
        <v>DP:</v>
      </c>
    </row>
    <row r="623" spans="1:21" ht="12.75" customHeight="1" x14ac:dyDescent="0.25">
      <c r="A623" s="123">
        <f t="shared" si="155"/>
        <v>10</v>
      </c>
      <c r="B623" s="394">
        <v>43919</v>
      </c>
      <c r="C623" s="79" t="s">
        <v>678</v>
      </c>
      <c r="D623" s="269"/>
      <c r="E623" s="76">
        <f>SUM(E621:E622)</f>
        <v>0</v>
      </c>
      <c r="F623" s="76"/>
      <c r="G623" s="76"/>
      <c r="H623" s="77"/>
      <c r="J623" s="138"/>
      <c r="K623" s="253"/>
      <c r="U623" s="120" t="str">
        <f t="shared" si="151"/>
        <v>ANK:</v>
      </c>
    </row>
    <row r="624" spans="1:21" ht="12.75" hidden="1" customHeight="1" x14ac:dyDescent="0.25">
      <c r="A624" s="120">
        <f t="shared" si="155"/>
        <v>11</v>
      </c>
      <c r="B624" s="392">
        <v>43926</v>
      </c>
      <c r="C624" s="77" t="s">
        <v>669</v>
      </c>
      <c r="D624" s="231"/>
      <c r="E624" s="74"/>
      <c r="F624" s="378"/>
      <c r="G624" s="74"/>
      <c r="H624" s="75"/>
      <c r="J624" s="138"/>
      <c r="K624" s="253"/>
      <c r="U624" s="120" t="str">
        <f t="shared" si="151"/>
        <v>DP:</v>
      </c>
    </row>
    <row r="625" spans="1:21" ht="12.75" hidden="1" customHeight="1" x14ac:dyDescent="0.25">
      <c r="A625" s="120">
        <f t="shared" si="155"/>
        <v>11</v>
      </c>
      <c r="B625" s="392">
        <v>43933</v>
      </c>
      <c r="C625" s="77" t="s">
        <v>669</v>
      </c>
      <c r="D625" s="231"/>
      <c r="E625" s="78"/>
      <c r="F625" s="340"/>
      <c r="G625" s="78"/>
      <c r="H625" s="79"/>
      <c r="J625" s="138"/>
      <c r="K625" s="353"/>
      <c r="L625" s="161"/>
      <c r="M625" s="161"/>
      <c r="U625" s="120" t="str">
        <f t="shared" si="151"/>
        <v>DP:</v>
      </c>
    </row>
    <row r="626" spans="1:21" ht="12.75" customHeight="1" x14ac:dyDescent="0.25">
      <c r="A626" s="123">
        <f t="shared" si="155"/>
        <v>11</v>
      </c>
      <c r="B626" s="394">
        <v>43933</v>
      </c>
      <c r="C626" s="79" t="s">
        <v>678</v>
      </c>
      <c r="D626" s="269"/>
      <c r="E626" s="76">
        <f>SUM(E624:E625)</f>
        <v>0</v>
      </c>
      <c r="F626" s="76"/>
      <c r="G626" s="76"/>
      <c r="H626" s="77"/>
      <c r="J626" s="138"/>
      <c r="K626" s="253"/>
      <c r="U626" s="120" t="str">
        <f t="shared" ref="U626:U635" si="156">C626 &amp;":"&amp; D626</f>
        <v>ANK:</v>
      </c>
    </row>
    <row r="627" spans="1:21" ht="12.75" hidden="1" customHeight="1" x14ac:dyDescent="0.25">
      <c r="A627" s="120">
        <f t="shared" si="155"/>
        <v>11</v>
      </c>
      <c r="B627" s="392">
        <v>43940</v>
      </c>
      <c r="C627" s="77" t="s">
        <v>669</v>
      </c>
      <c r="D627" s="231"/>
      <c r="E627" s="74"/>
      <c r="F627" s="378"/>
      <c r="G627" s="74"/>
      <c r="H627" s="75"/>
      <c r="J627" s="138"/>
      <c r="K627" s="253"/>
      <c r="U627" s="120" t="str">
        <f t="shared" si="156"/>
        <v>DP:</v>
      </c>
    </row>
    <row r="628" spans="1:21" ht="12.75" hidden="1" customHeight="1" x14ac:dyDescent="0.25">
      <c r="A628" s="120">
        <f t="shared" si="155"/>
        <v>11</v>
      </c>
      <c r="B628" s="392">
        <v>43947</v>
      </c>
      <c r="C628" s="77" t="s">
        <v>669</v>
      </c>
      <c r="D628" s="231"/>
      <c r="E628" s="78"/>
      <c r="F628" s="340"/>
      <c r="G628" s="78"/>
      <c r="H628" s="79"/>
      <c r="J628" s="138"/>
      <c r="K628" s="253"/>
      <c r="U628" s="120" t="str">
        <f t="shared" si="156"/>
        <v>DP:</v>
      </c>
    </row>
    <row r="629" spans="1:21" ht="12.75" customHeight="1" x14ac:dyDescent="0.25">
      <c r="A629" s="123">
        <f t="shared" si="155"/>
        <v>11</v>
      </c>
      <c r="B629" s="394">
        <v>43948</v>
      </c>
      <c r="C629" s="79" t="s">
        <v>678</v>
      </c>
      <c r="D629" s="269"/>
      <c r="E629" s="76">
        <f>SUM(E627:E628)</f>
        <v>0</v>
      </c>
      <c r="F629" s="316"/>
      <c r="G629" s="316"/>
      <c r="H629" s="315"/>
      <c r="J629" s="138"/>
      <c r="K629" s="253"/>
      <c r="U629" s="120" t="str">
        <f t="shared" si="156"/>
        <v>ANK:</v>
      </c>
    </row>
    <row r="630" spans="1:21" ht="12.75" hidden="1" customHeight="1" x14ac:dyDescent="0.25">
      <c r="A630" s="120">
        <f t="shared" si="155"/>
        <v>11</v>
      </c>
      <c r="B630" s="392">
        <v>43954</v>
      </c>
      <c r="C630" s="77" t="s">
        <v>669</v>
      </c>
      <c r="D630" s="231"/>
      <c r="E630" s="74"/>
      <c r="F630" s="336"/>
      <c r="G630" s="76"/>
      <c r="H630" s="77"/>
      <c r="J630" s="138"/>
      <c r="K630" s="253"/>
      <c r="U630" s="120" t="str">
        <f t="shared" si="156"/>
        <v>DP:</v>
      </c>
    </row>
    <row r="631" spans="1:21" ht="12.75" hidden="1" customHeight="1" x14ac:dyDescent="0.25">
      <c r="A631" s="120">
        <f t="shared" si="155"/>
        <v>12</v>
      </c>
      <c r="B631" s="392">
        <v>43961</v>
      </c>
      <c r="C631" s="77" t="s">
        <v>669</v>
      </c>
      <c r="D631" s="231"/>
      <c r="E631" s="78"/>
      <c r="F631" s="340"/>
      <c r="G631" s="78"/>
      <c r="H631" s="79"/>
      <c r="J631" s="138"/>
      <c r="K631" s="253"/>
      <c r="U631" s="120" t="str">
        <f t="shared" si="156"/>
        <v>DP:</v>
      </c>
    </row>
    <row r="632" spans="1:21" ht="12.75" customHeight="1" x14ac:dyDescent="0.25">
      <c r="A632" s="123">
        <f t="shared" si="155"/>
        <v>12</v>
      </c>
      <c r="B632" s="394">
        <v>43961</v>
      </c>
      <c r="C632" s="79" t="s">
        <v>678</v>
      </c>
      <c r="D632" s="269"/>
      <c r="E632" s="76">
        <f>SUM(E630:E631)</f>
        <v>0</v>
      </c>
      <c r="F632" s="78"/>
      <c r="G632" s="78"/>
      <c r="H632" s="79"/>
      <c r="J632" s="138"/>
      <c r="K632" s="253"/>
      <c r="U632" s="120" t="str">
        <f t="shared" si="156"/>
        <v>ANK:</v>
      </c>
    </row>
    <row r="633" spans="1:21" ht="12.75" hidden="1" customHeight="1" x14ac:dyDescent="0.25">
      <c r="A633" s="120">
        <f t="shared" si="155"/>
        <v>12</v>
      </c>
      <c r="B633" s="392">
        <v>43968</v>
      </c>
      <c r="C633" s="77" t="s">
        <v>669</v>
      </c>
      <c r="D633" s="231"/>
      <c r="E633" s="74"/>
      <c r="F633" s="378"/>
      <c r="G633" s="74"/>
      <c r="H633" s="75"/>
      <c r="J633" s="138"/>
      <c r="K633" s="253"/>
      <c r="U633" s="120" t="str">
        <f t="shared" si="156"/>
        <v>DP:</v>
      </c>
    </row>
    <row r="634" spans="1:21" ht="12.75" hidden="1" customHeight="1" x14ac:dyDescent="0.25">
      <c r="A634" s="120">
        <f t="shared" si="155"/>
        <v>12</v>
      </c>
      <c r="B634" s="392">
        <v>43975</v>
      </c>
      <c r="C634" s="77" t="s">
        <v>669</v>
      </c>
      <c r="D634" s="231"/>
      <c r="E634" s="78"/>
      <c r="F634" s="340"/>
      <c r="G634" s="78"/>
      <c r="H634" s="79"/>
      <c r="J634" s="138"/>
      <c r="K634" s="253"/>
      <c r="U634" s="120" t="str">
        <f t="shared" si="156"/>
        <v>DP:</v>
      </c>
    </row>
    <row r="635" spans="1:21" ht="12.75" customHeight="1" x14ac:dyDescent="0.25">
      <c r="A635" s="123">
        <f t="shared" si="155"/>
        <v>12</v>
      </c>
      <c r="B635" s="394">
        <v>43975</v>
      </c>
      <c r="C635" s="79" t="s">
        <v>678</v>
      </c>
      <c r="D635" s="269"/>
      <c r="E635" s="316">
        <f>SUM(E633:E634)</f>
        <v>0</v>
      </c>
      <c r="F635" s="78"/>
      <c r="G635" s="78"/>
      <c r="H635" s="79"/>
      <c r="J635" s="138"/>
      <c r="K635" s="253"/>
      <c r="U635" s="120" t="str">
        <f t="shared" si="156"/>
        <v>ANK:</v>
      </c>
    </row>
    <row r="636" spans="1:21" ht="12.75" hidden="1" customHeight="1" x14ac:dyDescent="0.25">
      <c r="A636" s="120">
        <v>1</v>
      </c>
      <c r="B636" s="392">
        <v>43625</v>
      </c>
      <c r="C636" s="77" t="s">
        <v>622</v>
      </c>
      <c r="D636" s="231"/>
      <c r="E636" s="76">
        <v>2.5</v>
      </c>
      <c r="F636" s="76"/>
      <c r="G636" s="76"/>
      <c r="H636" s="77">
        <v>100253</v>
      </c>
      <c r="I636" t="s">
        <v>727</v>
      </c>
      <c r="J636" s="138"/>
      <c r="T636" s="129"/>
      <c r="U636" s="120" t="str">
        <f t="shared" ref="U636:U687" si="157">C636 &amp;":"&amp; A636</f>
        <v>GEO:1</v>
      </c>
    </row>
    <row r="637" spans="1:21" ht="12.75" hidden="1" customHeight="1" x14ac:dyDescent="0.25">
      <c r="A637" s="120">
        <f t="shared" ref="A637:A687" si="158">GETPAYMONTH(DATE(YEAR(B637),MONTH(B637-4)+1,1))</f>
        <v>1</v>
      </c>
      <c r="B637" s="392">
        <v>43632</v>
      </c>
      <c r="C637" s="77" t="s">
        <v>622</v>
      </c>
      <c r="D637" s="231">
        <v>43635</v>
      </c>
      <c r="E637" s="76">
        <v>4</v>
      </c>
      <c r="F637" s="76"/>
      <c r="G637" s="76"/>
      <c r="H637" s="77">
        <v>100253</v>
      </c>
      <c r="J637" s="138"/>
      <c r="T637" s="129"/>
      <c r="U637" s="120" t="str">
        <f t="shared" si="157"/>
        <v>GEO:1</v>
      </c>
    </row>
    <row r="638" spans="1:21" ht="12.75" hidden="1" customHeight="1" x14ac:dyDescent="0.25">
      <c r="A638" s="120">
        <f t="shared" si="158"/>
        <v>1</v>
      </c>
      <c r="B638" s="392">
        <v>43639</v>
      </c>
      <c r="C638" s="77" t="s">
        <v>622</v>
      </c>
      <c r="D638" s="231"/>
      <c r="E638" s="76">
        <v>5</v>
      </c>
      <c r="F638" s="76"/>
      <c r="G638" s="76"/>
      <c r="H638" s="77">
        <v>100254</v>
      </c>
      <c r="J638" s="138"/>
      <c r="T638" s="129"/>
      <c r="U638" s="120" t="str">
        <f t="shared" si="157"/>
        <v>GEO:1</v>
      </c>
    </row>
    <row r="639" spans="1:21" ht="12.75" hidden="1" customHeight="1" x14ac:dyDescent="0.25">
      <c r="A639" s="123">
        <f t="shared" si="158"/>
        <v>1</v>
      </c>
      <c r="B639" s="394">
        <v>43646</v>
      </c>
      <c r="C639" s="79" t="s">
        <v>622</v>
      </c>
      <c r="D639" s="269">
        <v>43656</v>
      </c>
      <c r="E639" s="78">
        <v>5</v>
      </c>
      <c r="F639" s="78"/>
      <c r="G639" s="78"/>
      <c r="H639" s="79">
        <v>100254</v>
      </c>
      <c r="J639" s="138"/>
      <c r="T639" s="129"/>
      <c r="U639" s="120" t="str">
        <f t="shared" si="157"/>
        <v>GEO:1</v>
      </c>
    </row>
    <row r="640" spans="1:21" ht="12.75" hidden="1" customHeight="1" x14ac:dyDescent="0.25">
      <c r="A640" s="267">
        <f t="shared" si="158"/>
        <v>2</v>
      </c>
      <c r="B640" s="393">
        <v>43653</v>
      </c>
      <c r="C640" s="75" t="s">
        <v>622</v>
      </c>
      <c r="D640" s="268"/>
      <c r="E640" s="74">
        <v>5</v>
      </c>
      <c r="F640" s="74"/>
      <c r="G640" s="74"/>
      <c r="H640" s="75">
        <v>100255</v>
      </c>
      <c r="J640" s="138"/>
      <c r="T640" s="129"/>
      <c r="U640" s="120" t="str">
        <f t="shared" si="157"/>
        <v>GEO:2</v>
      </c>
    </row>
    <row r="641" spans="1:21" ht="12.75" hidden="1" customHeight="1" x14ac:dyDescent="0.25">
      <c r="A641" s="120">
        <f t="shared" si="158"/>
        <v>2</v>
      </c>
      <c r="B641" s="392">
        <v>43660</v>
      </c>
      <c r="C641" s="77" t="s">
        <v>622</v>
      </c>
      <c r="D641" s="231"/>
      <c r="E641" s="76">
        <v>4.5</v>
      </c>
      <c r="F641" s="76"/>
      <c r="G641" s="76"/>
      <c r="H641" s="77">
        <v>100255</v>
      </c>
      <c r="I641" t="s">
        <v>764</v>
      </c>
      <c r="J641" s="138"/>
      <c r="T641" s="129"/>
      <c r="U641" s="120" t="str">
        <f t="shared" si="157"/>
        <v>GEO:2</v>
      </c>
    </row>
    <row r="642" spans="1:21" ht="12.75" hidden="1" customHeight="1" x14ac:dyDescent="0.25">
      <c r="A642" s="120">
        <f t="shared" si="158"/>
        <v>2</v>
      </c>
      <c r="B642" s="392">
        <v>43667</v>
      </c>
      <c r="C642" s="77" t="s">
        <v>622</v>
      </c>
      <c r="D642" s="231"/>
      <c r="E642" s="76">
        <v>5</v>
      </c>
      <c r="F642" s="76"/>
      <c r="G642" s="76"/>
      <c r="H642" s="77">
        <v>100256</v>
      </c>
      <c r="J642" s="138"/>
      <c r="T642" s="129"/>
      <c r="U642" s="120" t="str">
        <f t="shared" si="157"/>
        <v>GEO:2</v>
      </c>
    </row>
    <row r="643" spans="1:21" ht="12.75" hidden="1" customHeight="1" x14ac:dyDescent="0.25">
      <c r="A643" s="123">
        <f t="shared" si="158"/>
        <v>2</v>
      </c>
      <c r="B643" s="394">
        <v>43674</v>
      </c>
      <c r="C643" s="79" t="s">
        <v>622</v>
      </c>
      <c r="D643" s="269"/>
      <c r="E643" s="78">
        <v>5</v>
      </c>
      <c r="F643" s="78"/>
      <c r="G643" s="78"/>
      <c r="H643" s="79">
        <v>100256</v>
      </c>
      <c r="J643" s="138"/>
      <c r="T643" s="129"/>
      <c r="U643" s="120" t="str">
        <f t="shared" si="157"/>
        <v>GEO:2</v>
      </c>
    </row>
    <row r="644" spans="1:21" ht="12.75" hidden="1" customHeight="1" x14ac:dyDescent="0.25">
      <c r="A644" s="267">
        <v>3</v>
      </c>
      <c r="B644" s="393">
        <v>43681</v>
      </c>
      <c r="C644" s="75" t="s">
        <v>622</v>
      </c>
      <c r="D644" s="268"/>
      <c r="E644" s="74">
        <v>5</v>
      </c>
      <c r="F644" s="74"/>
      <c r="G644" s="74"/>
      <c r="H644" s="75">
        <v>100257</v>
      </c>
      <c r="J644" s="138"/>
      <c r="T644" s="129"/>
      <c r="U644" s="120" t="str">
        <f t="shared" si="157"/>
        <v>GEO:3</v>
      </c>
    </row>
    <row r="645" spans="1:21" ht="12.75" hidden="1" customHeight="1" x14ac:dyDescent="0.25">
      <c r="A645" s="120">
        <f t="shared" si="158"/>
        <v>3</v>
      </c>
      <c r="B645" s="392">
        <v>43688</v>
      </c>
      <c r="C645" s="77" t="s">
        <v>622</v>
      </c>
      <c r="D645" s="231"/>
      <c r="E645" s="76">
        <v>5</v>
      </c>
      <c r="F645" s="76"/>
      <c r="G645" s="76"/>
      <c r="H645" s="77">
        <v>100257</v>
      </c>
      <c r="J645" s="138"/>
      <c r="T645" s="129"/>
      <c r="U645" s="120" t="str">
        <f t="shared" si="157"/>
        <v>GEO:3</v>
      </c>
    </row>
    <row r="646" spans="1:21" ht="12.75" hidden="1" customHeight="1" x14ac:dyDescent="0.25">
      <c r="A646" s="120">
        <f t="shared" si="158"/>
        <v>3</v>
      </c>
      <c r="B646" s="392">
        <v>43695</v>
      </c>
      <c r="C646" s="77" t="s">
        <v>622</v>
      </c>
      <c r="D646" s="231"/>
      <c r="E646" s="76">
        <v>5</v>
      </c>
      <c r="F646" s="76"/>
      <c r="G646" s="76"/>
      <c r="H646" s="77">
        <v>100257</v>
      </c>
      <c r="J646" s="138"/>
      <c r="T646" s="129"/>
      <c r="U646" s="120" t="str">
        <f t="shared" si="157"/>
        <v>GEO:3</v>
      </c>
    </row>
    <row r="647" spans="1:21" ht="12.75" hidden="1" customHeight="1" x14ac:dyDescent="0.25">
      <c r="A647" s="120">
        <f t="shared" si="158"/>
        <v>3</v>
      </c>
      <c r="B647" s="392">
        <v>43702</v>
      </c>
      <c r="C647" s="77" t="s">
        <v>622</v>
      </c>
      <c r="D647" s="231"/>
      <c r="E647" s="76">
        <v>2</v>
      </c>
      <c r="F647" s="76"/>
      <c r="G647" s="76"/>
      <c r="H647" s="77">
        <v>100257</v>
      </c>
      <c r="I647" t="s">
        <v>870</v>
      </c>
      <c r="J647" s="138"/>
      <c r="T647" s="129"/>
      <c r="U647" s="120" t="str">
        <f t="shared" si="157"/>
        <v>GEO:3</v>
      </c>
    </row>
    <row r="648" spans="1:21" ht="12.75" hidden="1" customHeight="1" x14ac:dyDescent="0.25">
      <c r="A648" s="123">
        <f t="shared" si="158"/>
        <v>3</v>
      </c>
      <c r="B648" s="394">
        <v>43709</v>
      </c>
      <c r="C648" s="79" t="s">
        <v>622</v>
      </c>
      <c r="D648" s="269"/>
      <c r="E648" s="78">
        <v>5</v>
      </c>
      <c r="F648" s="78"/>
      <c r="G648" s="78"/>
      <c r="H648" s="79">
        <v>100258</v>
      </c>
      <c r="J648" s="138"/>
      <c r="T648" s="129"/>
      <c r="U648" s="120" t="str">
        <f t="shared" si="157"/>
        <v>GEO:3</v>
      </c>
    </row>
    <row r="649" spans="1:21" ht="12.75" hidden="1" customHeight="1" x14ac:dyDescent="0.25">
      <c r="A649" s="267">
        <f t="shared" si="158"/>
        <v>4</v>
      </c>
      <c r="B649" s="393">
        <v>43716</v>
      </c>
      <c r="C649" s="75" t="s">
        <v>622</v>
      </c>
      <c r="D649" s="268"/>
      <c r="E649" s="74">
        <v>5</v>
      </c>
      <c r="F649" s="74"/>
      <c r="G649" s="74"/>
      <c r="H649" s="75">
        <v>100258</v>
      </c>
      <c r="J649" s="138"/>
      <c r="T649" s="129"/>
      <c r="U649" s="120" t="str">
        <f t="shared" si="157"/>
        <v>GEO:4</v>
      </c>
    </row>
    <row r="650" spans="1:21" ht="12.75" hidden="1" customHeight="1" x14ac:dyDescent="0.25">
      <c r="A650" s="120">
        <f t="shared" si="158"/>
        <v>4</v>
      </c>
      <c r="B650" s="392">
        <v>43723</v>
      </c>
      <c r="C650" s="77" t="s">
        <v>622</v>
      </c>
      <c r="D650" s="231"/>
      <c r="E650" s="76"/>
      <c r="F650" s="76"/>
      <c r="G650" s="76"/>
      <c r="H650" s="77"/>
      <c r="J650" s="138"/>
      <c r="T650" s="129"/>
      <c r="U650" s="120" t="str">
        <f t="shared" si="157"/>
        <v>GEO:4</v>
      </c>
    </row>
    <row r="651" spans="1:21" ht="12.75" hidden="1" customHeight="1" x14ac:dyDescent="0.25">
      <c r="A651" s="120">
        <f t="shared" si="158"/>
        <v>4</v>
      </c>
      <c r="B651" s="392">
        <v>43730</v>
      </c>
      <c r="C651" s="77" t="s">
        <v>622</v>
      </c>
      <c r="D651" s="231"/>
      <c r="E651" s="76"/>
      <c r="F651" s="76"/>
      <c r="G651" s="76"/>
      <c r="H651" s="77"/>
      <c r="J651" s="138"/>
      <c r="T651" s="129"/>
      <c r="U651" s="120" t="str">
        <f t="shared" si="157"/>
        <v>GEO:4</v>
      </c>
    </row>
    <row r="652" spans="1:21" ht="12.75" hidden="1" customHeight="1" x14ac:dyDescent="0.25">
      <c r="A652" s="123">
        <f t="shared" si="158"/>
        <v>4</v>
      </c>
      <c r="B652" s="394">
        <v>43737</v>
      </c>
      <c r="C652" s="79" t="s">
        <v>622</v>
      </c>
      <c r="D652" s="269"/>
      <c r="E652" s="78"/>
      <c r="F652" s="78"/>
      <c r="G652" s="78"/>
      <c r="H652" s="79"/>
      <c r="J652" s="138"/>
      <c r="T652" s="129"/>
      <c r="U652" s="120" t="str">
        <f t="shared" si="157"/>
        <v>GEO:4</v>
      </c>
    </row>
    <row r="653" spans="1:21" ht="12.75" hidden="1" customHeight="1" x14ac:dyDescent="0.25">
      <c r="A653" s="267">
        <f t="shared" si="158"/>
        <v>5</v>
      </c>
      <c r="B653" s="393">
        <v>43744</v>
      </c>
      <c r="C653" s="75" t="s">
        <v>622</v>
      </c>
      <c r="D653" s="268"/>
      <c r="E653" s="74"/>
      <c r="F653" s="74"/>
      <c r="G653" s="74"/>
      <c r="H653" s="75"/>
      <c r="J653" s="138"/>
      <c r="T653" s="129"/>
      <c r="U653" s="120" t="str">
        <f t="shared" si="157"/>
        <v>GEO:5</v>
      </c>
    </row>
    <row r="654" spans="1:21" ht="12.75" hidden="1" customHeight="1" x14ac:dyDescent="0.25">
      <c r="A654" s="120">
        <f t="shared" si="158"/>
        <v>5</v>
      </c>
      <c r="B654" s="392">
        <v>43751</v>
      </c>
      <c r="C654" s="77" t="s">
        <v>622</v>
      </c>
      <c r="D654" s="231"/>
      <c r="E654" s="76"/>
      <c r="F654" s="76"/>
      <c r="G654" s="76"/>
      <c r="H654" s="77"/>
      <c r="J654" s="138"/>
      <c r="T654" s="129"/>
      <c r="U654" s="120" t="str">
        <f t="shared" si="157"/>
        <v>GEO:5</v>
      </c>
    </row>
    <row r="655" spans="1:21" ht="12.75" hidden="1" customHeight="1" x14ac:dyDescent="0.25">
      <c r="A655" s="120">
        <f t="shared" si="158"/>
        <v>5</v>
      </c>
      <c r="B655" s="392">
        <v>43758</v>
      </c>
      <c r="C655" s="77" t="s">
        <v>622</v>
      </c>
      <c r="D655" s="231"/>
      <c r="E655" s="76"/>
      <c r="F655" s="76"/>
      <c r="G655" s="76"/>
      <c r="H655" s="77"/>
      <c r="J655" s="138"/>
      <c r="T655" s="129"/>
      <c r="U655" s="120" t="str">
        <f t="shared" si="157"/>
        <v>GEO:5</v>
      </c>
    </row>
    <row r="656" spans="1:21" ht="12.75" hidden="1" customHeight="1" x14ac:dyDescent="0.25">
      <c r="A656" s="120">
        <f t="shared" si="158"/>
        <v>5</v>
      </c>
      <c r="B656" s="392">
        <v>43765</v>
      </c>
      <c r="C656" s="77" t="s">
        <v>622</v>
      </c>
      <c r="D656" s="231"/>
      <c r="E656" s="76"/>
      <c r="F656" s="76"/>
      <c r="G656" s="76"/>
      <c r="H656" s="77"/>
      <c r="J656" s="138"/>
      <c r="T656" s="129"/>
      <c r="U656" s="120" t="str">
        <f t="shared" si="157"/>
        <v>GEO:5</v>
      </c>
    </row>
    <row r="657" spans="1:21" ht="12.75" hidden="1" customHeight="1" x14ac:dyDescent="0.25">
      <c r="A657" s="123">
        <f t="shared" si="158"/>
        <v>5</v>
      </c>
      <c r="B657" s="394">
        <v>43772</v>
      </c>
      <c r="C657" s="79" t="s">
        <v>622</v>
      </c>
      <c r="D657" s="269"/>
      <c r="E657" s="78"/>
      <c r="F657" s="78"/>
      <c r="G657" s="78"/>
      <c r="H657" s="79"/>
      <c r="J657" s="138"/>
      <c r="T657" s="129"/>
      <c r="U657" s="120" t="str">
        <f t="shared" si="157"/>
        <v>GEO:5</v>
      </c>
    </row>
    <row r="658" spans="1:21" ht="12.75" hidden="1" customHeight="1" x14ac:dyDescent="0.25">
      <c r="A658" s="267">
        <f t="shared" si="158"/>
        <v>6</v>
      </c>
      <c r="B658" s="393">
        <v>43779</v>
      </c>
      <c r="C658" s="75" t="s">
        <v>622</v>
      </c>
      <c r="D658" s="268"/>
      <c r="E658" s="74"/>
      <c r="F658" s="74"/>
      <c r="G658" s="74"/>
      <c r="H658" s="75"/>
      <c r="J658" s="138"/>
      <c r="T658" s="129"/>
      <c r="U658" s="120" t="str">
        <f t="shared" si="157"/>
        <v>GEO:6</v>
      </c>
    </row>
    <row r="659" spans="1:21" ht="12.75" hidden="1" customHeight="1" x14ac:dyDescent="0.25">
      <c r="A659" s="120">
        <f t="shared" si="158"/>
        <v>6</v>
      </c>
      <c r="B659" s="392">
        <v>43786</v>
      </c>
      <c r="C659" s="77" t="s">
        <v>622</v>
      </c>
      <c r="D659" s="231"/>
      <c r="E659" s="76"/>
      <c r="F659" s="76"/>
      <c r="G659" s="76"/>
      <c r="H659" s="77"/>
      <c r="J659" s="138"/>
      <c r="T659" s="129"/>
      <c r="U659" s="120" t="str">
        <f t="shared" si="157"/>
        <v>GEO:6</v>
      </c>
    </row>
    <row r="660" spans="1:21" ht="12.75" hidden="1" customHeight="1" x14ac:dyDescent="0.25">
      <c r="A660" s="120">
        <f t="shared" si="158"/>
        <v>6</v>
      </c>
      <c r="B660" s="392">
        <v>43793</v>
      </c>
      <c r="C660" s="77" t="s">
        <v>622</v>
      </c>
      <c r="D660" s="231"/>
      <c r="E660" s="76"/>
      <c r="F660" s="76"/>
      <c r="G660" s="76"/>
      <c r="H660" s="77"/>
      <c r="J660" s="138"/>
      <c r="T660" s="129"/>
      <c r="U660" s="120" t="str">
        <f t="shared" si="157"/>
        <v>GEO:6</v>
      </c>
    </row>
    <row r="661" spans="1:21" ht="12.75" hidden="1" customHeight="1" x14ac:dyDescent="0.25">
      <c r="A661" s="123">
        <f t="shared" si="158"/>
        <v>6</v>
      </c>
      <c r="B661" s="394">
        <v>43800</v>
      </c>
      <c r="C661" s="79" t="s">
        <v>622</v>
      </c>
      <c r="D661" s="269"/>
      <c r="E661" s="78"/>
      <c r="F661" s="78"/>
      <c r="G661" s="78"/>
      <c r="H661" s="79"/>
      <c r="J661" s="138"/>
      <c r="T661" s="129"/>
      <c r="U661" s="120" t="str">
        <f t="shared" si="157"/>
        <v>GEO:6</v>
      </c>
    </row>
    <row r="662" spans="1:21" ht="12.75" hidden="1" customHeight="1" x14ac:dyDescent="0.25">
      <c r="A662" s="267">
        <f t="shared" si="158"/>
        <v>7</v>
      </c>
      <c r="B662" s="393">
        <v>43807</v>
      </c>
      <c r="C662" s="75" t="s">
        <v>622</v>
      </c>
      <c r="D662" s="268"/>
      <c r="E662" s="74"/>
      <c r="F662" s="74"/>
      <c r="G662" s="74"/>
      <c r="H662" s="75"/>
      <c r="J662" s="138"/>
      <c r="T662" s="129"/>
      <c r="U662" s="120" t="str">
        <f t="shared" si="157"/>
        <v>GEO:7</v>
      </c>
    </row>
    <row r="663" spans="1:21" ht="12.75" hidden="1" customHeight="1" x14ac:dyDescent="0.25">
      <c r="A663" s="120">
        <f t="shared" si="158"/>
        <v>7</v>
      </c>
      <c r="B663" s="392">
        <v>43814</v>
      </c>
      <c r="C663" s="77" t="s">
        <v>622</v>
      </c>
      <c r="D663" s="231"/>
      <c r="E663" s="76"/>
      <c r="F663" s="76"/>
      <c r="G663" s="76"/>
      <c r="H663" s="77"/>
      <c r="J663" s="138"/>
      <c r="T663" s="129"/>
      <c r="U663" s="120" t="str">
        <f t="shared" si="157"/>
        <v>GEO:7</v>
      </c>
    </row>
    <row r="664" spans="1:21" ht="12.75" hidden="1" customHeight="1" x14ac:dyDescent="0.25">
      <c r="A664" s="120">
        <f t="shared" si="158"/>
        <v>7</v>
      </c>
      <c r="B664" s="392">
        <v>43821</v>
      </c>
      <c r="C664" s="77" t="s">
        <v>622</v>
      </c>
      <c r="D664" s="231"/>
      <c r="E664" s="76"/>
      <c r="F664" s="76"/>
      <c r="G664" s="76"/>
      <c r="H664" s="77"/>
      <c r="J664" s="138"/>
      <c r="T664" s="129"/>
      <c r="U664" s="120" t="str">
        <f t="shared" si="157"/>
        <v>GEO:7</v>
      </c>
    </row>
    <row r="665" spans="1:21" ht="12.75" hidden="1" customHeight="1" x14ac:dyDescent="0.25">
      <c r="A665" s="123">
        <f t="shared" si="158"/>
        <v>7</v>
      </c>
      <c r="B665" s="394">
        <v>43828</v>
      </c>
      <c r="C665" s="79" t="s">
        <v>622</v>
      </c>
      <c r="D665" s="269"/>
      <c r="E665" s="78"/>
      <c r="F665" s="78"/>
      <c r="G665" s="78"/>
      <c r="H665" s="79"/>
      <c r="J665" s="138"/>
      <c r="T665" s="129"/>
      <c r="U665" s="120" t="str">
        <f t="shared" si="157"/>
        <v>GEO:7</v>
      </c>
    </row>
    <row r="666" spans="1:21" ht="12.75" hidden="1" customHeight="1" x14ac:dyDescent="0.25">
      <c r="A666" s="267">
        <f t="shared" si="158"/>
        <v>8</v>
      </c>
      <c r="B666" s="393">
        <v>43835</v>
      </c>
      <c r="C666" s="75" t="s">
        <v>622</v>
      </c>
      <c r="D666" s="268"/>
      <c r="E666" s="74"/>
      <c r="F666" s="74"/>
      <c r="G666" s="74"/>
      <c r="H666" s="75"/>
      <c r="J666" s="138"/>
      <c r="T666" s="129"/>
      <c r="U666" s="120" t="str">
        <f t="shared" si="157"/>
        <v>GEO:8</v>
      </c>
    </row>
    <row r="667" spans="1:21" ht="12.75" hidden="1" customHeight="1" x14ac:dyDescent="0.25">
      <c r="A667" s="120">
        <f t="shared" si="158"/>
        <v>8</v>
      </c>
      <c r="B667" s="392">
        <v>43842</v>
      </c>
      <c r="C667" s="77" t="s">
        <v>622</v>
      </c>
      <c r="D667" s="231"/>
      <c r="E667" s="76"/>
      <c r="F667" s="76"/>
      <c r="G667" s="76"/>
      <c r="H667" s="77"/>
      <c r="J667" s="138"/>
      <c r="T667" s="129"/>
      <c r="U667" s="120" t="str">
        <f t="shared" si="157"/>
        <v>GEO:8</v>
      </c>
    </row>
    <row r="668" spans="1:21" ht="12.75" hidden="1" customHeight="1" x14ac:dyDescent="0.25">
      <c r="A668" s="120">
        <f t="shared" si="158"/>
        <v>8</v>
      </c>
      <c r="B668" s="392">
        <v>43849</v>
      </c>
      <c r="C668" s="77" t="s">
        <v>622</v>
      </c>
      <c r="D668" s="231"/>
      <c r="E668" s="76"/>
      <c r="F668" s="76"/>
      <c r="G668" s="76"/>
      <c r="H668" s="77"/>
      <c r="J668" s="138"/>
      <c r="T668" s="129"/>
      <c r="U668" s="120" t="str">
        <f t="shared" si="157"/>
        <v>GEO:8</v>
      </c>
    </row>
    <row r="669" spans="1:21" ht="12.75" hidden="1" customHeight="1" x14ac:dyDescent="0.25">
      <c r="A669" s="120">
        <f t="shared" si="158"/>
        <v>8</v>
      </c>
      <c r="B669" s="392">
        <v>43856</v>
      </c>
      <c r="C669" s="77" t="s">
        <v>622</v>
      </c>
      <c r="D669" s="231"/>
      <c r="E669" s="76"/>
      <c r="F669" s="76"/>
      <c r="G669" s="76"/>
      <c r="H669" s="77"/>
      <c r="J669" s="138"/>
      <c r="T669" s="129"/>
      <c r="U669" s="120" t="str">
        <f t="shared" si="157"/>
        <v>GEO:8</v>
      </c>
    </row>
    <row r="670" spans="1:21" ht="12.75" hidden="1" customHeight="1" x14ac:dyDescent="0.25">
      <c r="A670" s="123">
        <f t="shared" si="158"/>
        <v>8</v>
      </c>
      <c r="B670" s="394">
        <v>43863</v>
      </c>
      <c r="C670" s="79" t="s">
        <v>622</v>
      </c>
      <c r="D670" s="269"/>
      <c r="E670" s="78"/>
      <c r="F670" s="78"/>
      <c r="G670" s="78"/>
      <c r="H670" s="79"/>
      <c r="J670" s="138"/>
      <c r="T670" s="129"/>
      <c r="U670" s="120" t="str">
        <f t="shared" si="157"/>
        <v>GEO:8</v>
      </c>
    </row>
    <row r="671" spans="1:21" ht="12.75" hidden="1" customHeight="1" x14ac:dyDescent="0.25">
      <c r="A671" s="267">
        <f t="shared" si="158"/>
        <v>9</v>
      </c>
      <c r="B671" s="393">
        <v>43870</v>
      </c>
      <c r="C671" s="75" t="s">
        <v>622</v>
      </c>
      <c r="D671" s="268"/>
      <c r="E671" s="74"/>
      <c r="F671" s="74"/>
      <c r="G671" s="74"/>
      <c r="H671" s="75"/>
      <c r="J671" s="138"/>
      <c r="T671" s="129"/>
      <c r="U671" s="120" t="str">
        <f t="shared" si="157"/>
        <v>GEO:9</v>
      </c>
    </row>
    <row r="672" spans="1:21" ht="12.75" hidden="1" customHeight="1" x14ac:dyDescent="0.25">
      <c r="A672" s="120">
        <f t="shared" si="158"/>
        <v>9</v>
      </c>
      <c r="B672" s="392">
        <v>43877</v>
      </c>
      <c r="C672" s="77" t="s">
        <v>622</v>
      </c>
      <c r="D672" s="231"/>
      <c r="E672" s="76"/>
      <c r="F672" s="76"/>
      <c r="G672" s="76"/>
      <c r="H672" s="77"/>
      <c r="J672" s="138"/>
      <c r="T672" s="129"/>
      <c r="U672" s="120" t="str">
        <f t="shared" si="157"/>
        <v>GEO:9</v>
      </c>
    </row>
    <row r="673" spans="1:21" ht="12.75" hidden="1" customHeight="1" x14ac:dyDescent="0.25">
      <c r="A673" s="120">
        <f t="shared" si="158"/>
        <v>9</v>
      </c>
      <c r="B673" s="392">
        <v>43884</v>
      </c>
      <c r="C673" s="77" t="s">
        <v>622</v>
      </c>
      <c r="D673" s="231"/>
      <c r="E673" s="76"/>
      <c r="F673" s="76"/>
      <c r="G673" s="76"/>
      <c r="H673" s="77"/>
      <c r="J673" s="138"/>
      <c r="T673" s="129"/>
      <c r="U673" s="120" t="str">
        <f t="shared" si="157"/>
        <v>GEO:9</v>
      </c>
    </row>
    <row r="674" spans="1:21" ht="12.75" hidden="1" customHeight="1" x14ac:dyDescent="0.25">
      <c r="A674" s="123">
        <f t="shared" si="158"/>
        <v>9</v>
      </c>
      <c r="B674" s="394">
        <v>43891</v>
      </c>
      <c r="C674" s="79" t="s">
        <v>622</v>
      </c>
      <c r="D674" s="269"/>
      <c r="E674" s="78"/>
      <c r="F674" s="78"/>
      <c r="G674" s="78"/>
      <c r="H674" s="79"/>
      <c r="J674" s="138"/>
      <c r="T674" s="129"/>
      <c r="U674" s="120" t="str">
        <f t="shared" si="157"/>
        <v>GEO:9</v>
      </c>
    </row>
    <row r="675" spans="1:21" ht="12.75" hidden="1" customHeight="1" x14ac:dyDescent="0.25">
      <c r="A675" s="267">
        <f t="shared" si="158"/>
        <v>10</v>
      </c>
      <c r="B675" s="393">
        <v>43898</v>
      </c>
      <c r="C675" s="75" t="s">
        <v>622</v>
      </c>
      <c r="D675" s="268"/>
      <c r="E675" s="74"/>
      <c r="F675" s="74"/>
      <c r="G675" s="74"/>
      <c r="H675" s="75"/>
      <c r="J675" s="138"/>
      <c r="T675" s="129"/>
      <c r="U675" s="120" t="str">
        <f t="shared" si="157"/>
        <v>GEO:10</v>
      </c>
    </row>
    <row r="676" spans="1:21" ht="12.75" hidden="1" customHeight="1" x14ac:dyDescent="0.25">
      <c r="A676" s="120">
        <f t="shared" si="158"/>
        <v>10</v>
      </c>
      <c r="B676" s="392">
        <v>43905</v>
      </c>
      <c r="C676" s="77" t="s">
        <v>622</v>
      </c>
      <c r="D676" s="231"/>
      <c r="E676" s="76"/>
      <c r="F676" s="76"/>
      <c r="G676" s="76"/>
      <c r="H676" s="77"/>
      <c r="J676" s="138"/>
      <c r="T676" s="129"/>
      <c r="U676" s="120" t="str">
        <f t="shared" si="157"/>
        <v>GEO:10</v>
      </c>
    </row>
    <row r="677" spans="1:21" ht="12.75" hidden="1" customHeight="1" x14ac:dyDescent="0.25">
      <c r="A677" s="120">
        <f t="shared" si="158"/>
        <v>10</v>
      </c>
      <c r="B677" s="392">
        <v>43912</v>
      </c>
      <c r="C677" s="77" t="s">
        <v>622</v>
      </c>
      <c r="D677" s="231"/>
      <c r="E677" s="76"/>
      <c r="F677" s="76"/>
      <c r="G677" s="76"/>
      <c r="H677" s="77"/>
      <c r="J677" s="138"/>
      <c r="T677" s="129"/>
      <c r="U677" s="120" t="str">
        <f t="shared" si="157"/>
        <v>GEO:10</v>
      </c>
    </row>
    <row r="678" spans="1:21" ht="12.75" hidden="1" customHeight="1" x14ac:dyDescent="0.25">
      <c r="A678" s="123">
        <f t="shared" si="158"/>
        <v>10</v>
      </c>
      <c r="B678" s="394">
        <v>43919</v>
      </c>
      <c r="C678" s="79" t="s">
        <v>622</v>
      </c>
      <c r="D678" s="269"/>
      <c r="E678" s="78"/>
      <c r="F678" s="78"/>
      <c r="G678" s="78"/>
      <c r="H678" s="79"/>
      <c r="I678" s="328"/>
      <c r="J678" s="138"/>
      <c r="T678" s="129"/>
      <c r="U678" s="120" t="str">
        <f t="shared" si="157"/>
        <v>GEO:10</v>
      </c>
    </row>
    <row r="679" spans="1:21" ht="12.75" hidden="1" customHeight="1" x14ac:dyDescent="0.25">
      <c r="A679" s="267">
        <f t="shared" si="158"/>
        <v>11</v>
      </c>
      <c r="B679" s="393">
        <v>43926</v>
      </c>
      <c r="C679" s="75" t="s">
        <v>622</v>
      </c>
      <c r="D679" s="268"/>
      <c r="E679" s="74"/>
      <c r="F679" s="74"/>
      <c r="G679" s="74"/>
      <c r="H679" s="75"/>
      <c r="I679" s="328"/>
      <c r="J679" s="138"/>
      <c r="T679" s="129"/>
      <c r="U679" s="120" t="str">
        <f t="shared" si="157"/>
        <v>GEO:11</v>
      </c>
    </row>
    <row r="680" spans="1:21" ht="12.75" hidden="1" customHeight="1" x14ac:dyDescent="0.25">
      <c r="A680" s="120">
        <f t="shared" si="158"/>
        <v>11</v>
      </c>
      <c r="B680" s="392">
        <v>43933</v>
      </c>
      <c r="C680" s="77" t="s">
        <v>622</v>
      </c>
      <c r="D680" s="231"/>
      <c r="E680" s="76"/>
      <c r="F680" s="76"/>
      <c r="G680" s="76"/>
      <c r="H680" s="77"/>
      <c r="I680" s="328"/>
      <c r="J680" s="138"/>
      <c r="T680" s="129"/>
      <c r="U680" s="120" t="str">
        <f t="shared" si="157"/>
        <v>GEO:11</v>
      </c>
    </row>
    <row r="681" spans="1:21" ht="12.75" hidden="1" customHeight="1" x14ac:dyDescent="0.25">
      <c r="A681" s="120">
        <f t="shared" si="158"/>
        <v>11</v>
      </c>
      <c r="B681" s="392">
        <v>43940</v>
      </c>
      <c r="C681" s="77" t="s">
        <v>622</v>
      </c>
      <c r="D681" s="231"/>
      <c r="E681" s="76"/>
      <c r="F681" s="76"/>
      <c r="G681" s="76"/>
      <c r="H681" s="77"/>
      <c r="J681" s="138"/>
      <c r="T681" s="129"/>
      <c r="U681" s="120" t="str">
        <f t="shared" si="157"/>
        <v>GEO:11</v>
      </c>
    </row>
    <row r="682" spans="1:21" ht="12.75" hidden="1" customHeight="1" x14ac:dyDescent="0.25">
      <c r="A682" s="123">
        <f t="shared" si="158"/>
        <v>11</v>
      </c>
      <c r="B682" s="394">
        <v>43947</v>
      </c>
      <c r="C682" s="79" t="s">
        <v>622</v>
      </c>
      <c r="D682" s="269"/>
      <c r="E682" s="78"/>
      <c r="F682" s="78"/>
      <c r="G682" s="78"/>
      <c r="H682" s="79"/>
      <c r="J682" s="138"/>
      <c r="T682" s="129"/>
      <c r="U682" s="120" t="str">
        <f t="shared" si="157"/>
        <v>GEO:11</v>
      </c>
    </row>
    <row r="683" spans="1:21" ht="12.75" hidden="1" customHeight="1" x14ac:dyDescent="0.25">
      <c r="A683" s="267">
        <f t="shared" si="158"/>
        <v>11</v>
      </c>
      <c r="B683" s="393">
        <v>43954</v>
      </c>
      <c r="C683" s="75" t="s">
        <v>622</v>
      </c>
      <c r="D683" s="268"/>
      <c r="E683" s="74"/>
      <c r="F683" s="74"/>
      <c r="G683" s="74"/>
      <c r="H683" s="75"/>
      <c r="I683" s="328"/>
      <c r="J683" s="138"/>
      <c r="T683" s="129"/>
      <c r="U683" s="120" t="str">
        <f t="shared" si="157"/>
        <v>GEO:11</v>
      </c>
    </row>
    <row r="684" spans="1:21" ht="12.75" hidden="1" customHeight="1" x14ac:dyDescent="0.25">
      <c r="A684" s="120">
        <f t="shared" si="158"/>
        <v>12</v>
      </c>
      <c r="B684" s="392">
        <v>43961</v>
      </c>
      <c r="C684" s="77" t="s">
        <v>622</v>
      </c>
      <c r="D684" s="231"/>
      <c r="E684" s="76"/>
      <c r="F684" s="76"/>
      <c r="G684" s="76"/>
      <c r="H684" s="77"/>
      <c r="J684" s="138"/>
      <c r="T684" s="129"/>
      <c r="U684" s="120" t="str">
        <f t="shared" si="157"/>
        <v>GEO:12</v>
      </c>
    </row>
    <row r="685" spans="1:21" ht="12.75" hidden="1" customHeight="1" x14ac:dyDescent="0.25">
      <c r="A685" s="120">
        <f t="shared" si="158"/>
        <v>12</v>
      </c>
      <c r="B685" s="392">
        <v>43968</v>
      </c>
      <c r="C685" s="77" t="s">
        <v>622</v>
      </c>
      <c r="D685" s="231"/>
      <c r="E685" s="76"/>
      <c r="F685" s="76"/>
      <c r="G685" s="76"/>
      <c r="H685" s="77"/>
      <c r="J685" s="138"/>
      <c r="L685" s="22"/>
      <c r="T685" s="129"/>
      <c r="U685" s="120" t="str">
        <f t="shared" si="157"/>
        <v>GEO:12</v>
      </c>
    </row>
    <row r="686" spans="1:21" ht="12.75" hidden="1" customHeight="1" x14ac:dyDescent="0.25">
      <c r="A686" s="120">
        <f t="shared" si="158"/>
        <v>12</v>
      </c>
      <c r="B686" s="392">
        <v>43975</v>
      </c>
      <c r="C686" s="77" t="s">
        <v>622</v>
      </c>
      <c r="D686" s="231"/>
      <c r="E686" s="76"/>
      <c r="F686" s="76"/>
      <c r="G686" s="76"/>
      <c r="H686" s="77"/>
      <c r="J686" s="138"/>
      <c r="T686" s="129"/>
      <c r="U686" s="120" t="str">
        <f t="shared" si="157"/>
        <v>GEO:12</v>
      </c>
    </row>
    <row r="687" spans="1:21" ht="12.75" hidden="1" customHeight="1" x14ac:dyDescent="0.25">
      <c r="A687" s="123">
        <f t="shared" si="158"/>
        <v>12</v>
      </c>
      <c r="B687" s="394">
        <v>43982</v>
      </c>
      <c r="C687" s="79" t="s">
        <v>622</v>
      </c>
      <c r="D687" s="269"/>
      <c r="E687" s="78"/>
      <c r="F687" s="78"/>
      <c r="G687" s="78"/>
      <c r="H687" s="79"/>
      <c r="J687" s="138"/>
      <c r="L687" s="22"/>
      <c r="T687" s="129"/>
      <c r="U687" s="120" t="str">
        <f t="shared" si="157"/>
        <v>GEO:12</v>
      </c>
    </row>
  </sheetData>
  <autoFilter ref="C21:C687">
    <filterColumn colId="0">
      <filters>
        <filter val="ANK"/>
      </filters>
    </filterColumn>
  </autoFilter>
  <conditionalFormatting sqref="B10:C10 H18:J19 B14:C14 B6:C6 H6:J6 B18:C19 E6:F6 E10:J10 H14:J14 E14:F14 E18:F19 L14:S14 L10:S10 L6:S6 L18:S19">
    <cfRule type="cellIs" dxfId="32" priority="28" operator="greaterThanOrEqual">
      <formula>0</formula>
    </cfRule>
    <cfRule type="cellIs" dxfId="31" priority="29" operator="lessThan">
      <formula>0</formula>
    </cfRule>
  </conditionalFormatting>
  <conditionalFormatting sqref="K295:L295 K288:L290">
    <cfRule type="expression" dxfId="30" priority="30">
      <formula>IF($V259=#REF!,1,0)</formula>
    </cfRule>
  </conditionalFormatting>
  <conditionalFormatting sqref="Q266 K266:L266">
    <cfRule type="expression" dxfId="29" priority="40">
      <formula>IF($V216=#REF!,1,0)</formula>
    </cfRule>
  </conditionalFormatting>
  <conditionalFormatting sqref="K363:L363 K366:L366">
    <cfRule type="expression" dxfId="28" priority="41">
      <formula>IF(#REF!=#REF!,1,0)</formula>
    </cfRule>
  </conditionalFormatting>
  <conditionalFormatting sqref="K365:L365">
    <cfRule type="expression" dxfId="27" priority="42">
      <formula>IF(#REF!=#REF!,1,0)</formula>
    </cfRule>
  </conditionalFormatting>
  <conditionalFormatting sqref="K364:L364">
    <cfRule type="expression" dxfId="26" priority="43">
      <formula>IF(#REF!=#REF!,1,0)</formula>
    </cfRule>
  </conditionalFormatting>
  <conditionalFormatting sqref="K360:L360">
    <cfRule type="expression" dxfId="25" priority="25">
      <formula>IF(#REF!=#REF!,1,0)</formula>
    </cfRule>
  </conditionalFormatting>
  <conditionalFormatting sqref="K362:L362">
    <cfRule type="expression" dxfId="24" priority="26">
      <formula>IF($V302=#REF!,1,0)</formula>
    </cfRule>
  </conditionalFormatting>
  <conditionalFormatting sqref="K361:L361">
    <cfRule type="expression" dxfId="23" priority="27">
      <formula>IF($V300=#REF!,1,0)</formula>
    </cfRule>
  </conditionalFormatting>
  <conditionalFormatting sqref="K359:L359">
    <cfRule type="expression" dxfId="22" priority="45">
      <formula>IF(#REF!=#REF!,1,0)</formula>
    </cfRule>
  </conditionalFormatting>
  <conditionalFormatting sqref="K299:L302">
    <cfRule type="expression" dxfId="21" priority="48">
      <formula>IF(#REF!=#REF!,1,0)</formula>
    </cfRule>
  </conditionalFormatting>
  <conditionalFormatting sqref="K319:L319">
    <cfRule type="expression" dxfId="20" priority="19">
      <formula>IF($V282=#REF!,1,0)</formula>
    </cfRule>
  </conditionalFormatting>
  <conditionalFormatting sqref="K279:L279 K353:L354 K303:L303 K315:L318">
    <cfRule type="expression" dxfId="19" priority="21">
      <formula>IF($V279=#REF!,1,0)</formula>
    </cfRule>
  </conditionalFormatting>
  <conditionalFormatting sqref="K347:L350 K323:L326">
    <cfRule type="expression" dxfId="18" priority="24">
      <formula>IF(#REF!=#REF!,1,0)</formula>
    </cfRule>
  </conditionalFormatting>
  <conditionalFormatting sqref="K304:L306">
    <cfRule type="expression" dxfId="17" priority="50">
      <formula>IF($V287=#REF!,1,0)</formula>
    </cfRule>
  </conditionalFormatting>
  <conditionalFormatting sqref="K343:L343 K327:L339">
    <cfRule type="expression" dxfId="16" priority="51">
      <formula>IF($V286=#REF!,1,0)</formula>
    </cfRule>
  </conditionalFormatting>
  <conditionalFormatting sqref="K280:L285">
    <cfRule type="expression" dxfId="15" priority="52">
      <formula>IF($V229=#REF!,1,0)</formula>
    </cfRule>
  </conditionalFormatting>
  <conditionalFormatting sqref="K286:L287">
    <cfRule type="expression" dxfId="14" priority="53">
      <formula>IF($V247=#REF!,1,0)</formula>
    </cfRule>
  </conditionalFormatting>
  <conditionalFormatting sqref="K307:L307">
    <cfRule type="expression" dxfId="13" priority="54">
      <formula>IF($V248=#REF!,1,0)</formula>
    </cfRule>
  </conditionalFormatting>
  <conditionalFormatting sqref="K14 K10 K6 K18:K19">
    <cfRule type="cellIs" dxfId="12" priority="6" operator="greaterThanOrEqual">
      <formula>0</formula>
    </cfRule>
    <cfRule type="cellIs" dxfId="11" priority="7" operator="lessThan">
      <formula>0</formula>
    </cfRule>
  </conditionalFormatting>
  <conditionalFormatting sqref="K291:L294">
    <cfRule type="expression" dxfId="10" priority="195">
      <formula>IF($V291=#REF!,1,0)</formula>
    </cfRule>
  </conditionalFormatting>
  <conditionalFormatting sqref="K282:L285">
    <cfRule type="expression" dxfId="9" priority="196">
      <formula>IF($V282=#REF!,1,0)</formula>
    </cfRule>
  </conditionalFormatting>
  <conditionalFormatting sqref="K296:L298">
    <cfRule type="expression" dxfId="8" priority="197">
      <formula>IF($V296=#REF!,1,0)</formula>
    </cfRule>
  </conditionalFormatting>
  <conditionalFormatting sqref="K357:L358">
    <cfRule type="expression" dxfId="7" priority="199">
      <formula>IF($V357=#REF!,1,0)</formula>
    </cfRule>
  </conditionalFormatting>
  <conditionalFormatting sqref="K355:L356 K331:L333 K351:L352 K344:L346 K306:L309 K320:L322 K327:L329 K340:L342">
    <cfRule type="expression" dxfId="6" priority="200">
      <formula>IF($V306=#REF!,1,0)</formula>
    </cfRule>
  </conditionalFormatting>
  <conditionalFormatting sqref="K308:L314">
    <cfRule type="expression" dxfId="5" priority="203">
      <formula>IF($V259=#REF!,1,0)</formula>
    </cfRule>
  </conditionalFormatting>
  <conditionalFormatting sqref="K276:L278">
    <cfRule type="expression" dxfId="4" priority="2">
      <formula>IF($V247=#REF!,1,0)</formula>
    </cfRule>
  </conditionalFormatting>
  <conditionalFormatting sqref="K267:L267">
    <cfRule type="expression" dxfId="3" priority="1">
      <formula>IF($V267=#REF!,1,0)</formula>
    </cfRule>
  </conditionalFormatting>
  <conditionalFormatting sqref="K268:L273 Q267:Q366">
    <cfRule type="expression" dxfId="2" priority="3">
      <formula>IF($V216=#REF!,1,0)</formula>
    </cfRule>
  </conditionalFormatting>
  <conditionalFormatting sqref="K274:L275">
    <cfRule type="expression" dxfId="1" priority="4">
      <formula>IF($V235=#REF!,1,0)</formula>
    </cfRule>
  </conditionalFormatting>
  <conditionalFormatting sqref="K270:L273">
    <cfRule type="expression" dxfId="0" priority="5">
      <formula>IF($V270=#REF!,1,0)</formula>
    </cfRule>
  </conditionalFormatting>
  <pageMargins left="0.7" right="0.7" top="0.75" bottom="0.75" header="0.51180555555555496" footer="0.51180555555555496"/>
  <pageSetup paperSize="9" firstPageNumber="0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5121" r:id="rId4" name="cboEmpId">
          <controlPr autoLine="0" linkedCell="$C$1" listFillRange="payEmpNames" r:id="rId5">
            <anchor moveWithCells="1">
              <from>
                <xdr:col>2</xdr:col>
                <xdr:colOff>30480</xdr:colOff>
                <xdr:row>0</xdr:row>
                <xdr:rowOff>0</xdr:rowOff>
              </from>
              <to>
                <xdr:col>3</xdr:col>
                <xdr:colOff>419100</xdr:colOff>
                <xdr:row>1</xdr:row>
                <xdr:rowOff>45720</xdr:rowOff>
              </to>
            </anchor>
          </controlPr>
        </control>
      </mc:Choice>
      <mc:Fallback>
        <control shapeId="5121" r:id="rId4" name="cboEmpId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O226"/>
  <sheetViews>
    <sheetView showZeros="0" zoomScaleNormal="100" workbookViewId="0">
      <pane ySplit="4" topLeftCell="A14" activePane="bottomLeft" state="frozen"/>
      <selection pane="bottomLeft" activeCell="G34" sqref="G34"/>
    </sheetView>
  </sheetViews>
  <sheetFormatPr defaultRowHeight="13.2" x14ac:dyDescent="0.25"/>
  <cols>
    <col min="1" max="1" width="11.5546875"/>
    <col min="2" max="3" width="11"/>
    <col min="4" max="4" width="5.5546875" style="62"/>
    <col min="5" max="8" width="11.5546875" style="62"/>
    <col min="9" max="9" width="11.5546875" style="272"/>
    <col min="10" max="10" width="5.5546875" style="62"/>
    <col min="11" max="12" width="11.5546875" style="62"/>
    <col min="13" max="13" width="11.5546875" style="272"/>
    <col min="14" max="14" width="11.5546875" style="62"/>
    <col min="15" max="1025" width="11"/>
  </cols>
  <sheetData>
    <row r="1" spans="1:15" s="176" customFormat="1" x14ac:dyDescent="0.25">
      <c r="A1" s="176" t="s">
        <v>445</v>
      </c>
      <c r="C1" s="176" t="s">
        <v>520</v>
      </c>
      <c r="D1" s="61"/>
      <c r="E1" s="61"/>
      <c r="F1" s="61"/>
      <c r="G1" s="61"/>
      <c r="H1" s="61"/>
      <c r="I1" s="272"/>
      <c r="J1" s="61"/>
      <c r="K1" s="273"/>
      <c r="L1" s="273"/>
      <c r="M1" s="272"/>
      <c r="N1" s="273"/>
    </row>
    <row r="2" spans="1:15" x14ac:dyDescent="0.25">
      <c r="A2" s="176" t="s">
        <v>521</v>
      </c>
    </row>
    <row r="3" spans="1:15" s="176" customFormat="1" x14ac:dyDescent="0.25">
      <c r="D3" s="273"/>
      <c r="E3" s="273"/>
      <c r="F3" s="273"/>
      <c r="G3" s="273" t="s">
        <v>37</v>
      </c>
      <c r="H3" s="273" t="s">
        <v>522</v>
      </c>
      <c r="I3" s="274" t="s">
        <v>61</v>
      </c>
      <c r="J3" s="273"/>
      <c r="K3" s="273" t="s">
        <v>523</v>
      </c>
      <c r="L3" s="273" t="s">
        <v>523</v>
      </c>
      <c r="M3" s="274" t="s">
        <v>60</v>
      </c>
      <c r="N3" s="273"/>
    </row>
    <row r="4" spans="1:15" x14ac:dyDescent="0.25">
      <c r="A4" s="176"/>
      <c r="B4" s="176"/>
      <c r="C4" s="176"/>
      <c r="D4" s="273"/>
      <c r="E4" s="273" t="s">
        <v>30</v>
      </c>
      <c r="F4" s="273" t="s">
        <v>53</v>
      </c>
      <c r="G4" s="273" t="s">
        <v>524</v>
      </c>
      <c r="H4" s="273"/>
      <c r="I4" s="275"/>
      <c r="J4" s="273"/>
      <c r="K4" s="273" t="s">
        <v>46</v>
      </c>
      <c r="L4" s="273" t="s">
        <v>525</v>
      </c>
      <c r="M4" s="275"/>
      <c r="N4" s="273"/>
    </row>
    <row r="5" spans="1:15" s="22" customFormat="1" x14ac:dyDescent="0.25">
      <c r="A5" s="276"/>
      <c r="B5" s="22" t="s">
        <v>57</v>
      </c>
      <c r="C5" s="277">
        <v>43659</v>
      </c>
      <c r="D5" s="128"/>
      <c r="E5" s="62">
        <v>265</v>
      </c>
      <c r="F5" s="62">
        <v>70</v>
      </c>
      <c r="G5" s="62">
        <v>580</v>
      </c>
      <c r="H5" s="128">
        <v>2079</v>
      </c>
      <c r="I5" s="272">
        <f t="shared" ref="I5:I52" si="0">SUM(E5:H5)</f>
        <v>2994</v>
      </c>
      <c r="J5" s="128"/>
      <c r="K5" s="128"/>
      <c r="L5" s="128"/>
      <c r="M5" s="272">
        <f t="shared" ref="M5:M52" si="1">SUM(K5:L5)</f>
        <v>0</v>
      </c>
      <c r="N5" s="128" t="s">
        <v>761</v>
      </c>
      <c r="O5" s="22" t="s">
        <v>762</v>
      </c>
    </row>
    <row r="6" spans="1:15" x14ac:dyDescent="0.25">
      <c r="A6" s="176"/>
      <c r="B6" s="22" t="s">
        <v>58</v>
      </c>
      <c r="C6" s="277"/>
      <c r="E6" s="62">
        <v>79</v>
      </c>
      <c r="G6" s="62">
        <v>460</v>
      </c>
      <c r="H6" s="62">
        <v>510</v>
      </c>
      <c r="I6" s="272">
        <f t="shared" si="0"/>
        <v>1049</v>
      </c>
      <c r="M6" s="272">
        <f t="shared" si="1"/>
        <v>0</v>
      </c>
      <c r="N6" s="62" t="s">
        <v>763</v>
      </c>
    </row>
    <row r="7" spans="1:15" x14ac:dyDescent="0.25">
      <c r="A7" s="176"/>
      <c r="B7" s="22" t="s">
        <v>622</v>
      </c>
      <c r="C7" s="277">
        <v>43659</v>
      </c>
      <c r="E7" s="62">
        <v>99</v>
      </c>
      <c r="F7" s="62">
        <v>79.900000000000006</v>
      </c>
      <c r="I7" s="272">
        <f t="shared" si="0"/>
        <v>178.9</v>
      </c>
      <c r="M7" s="272">
        <f t="shared" si="1"/>
        <v>0</v>
      </c>
    </row>
    <row r="8" spans="1:15" x14ac:dyDescent="0.25">
      <c r="A8" s="276"/>
      <c r="B8" t="s">
        <v>657</v>
      </c>
      <c r="C8" s="277">
        <v>43658</v>
      </c>
      <c r="E8" s="62">
        <v>91.9</v>
      </c>
      <c r="F8" s="62">
        <v>35</v>
      </c>
      <c r="G8" s="62">
        <v>28.7</v>
      </c>
      <c r="H8" s="62">
        <v>81.2</v>
      </c>
      <c r="I8" s="272">
        <f t="shared" si="0"/>
        <v>236.8</v>
      </c>
      <c r="M8" s="272">
        <f t="shared" si="1"/>
        <v>0</v>
      </c>
      <c r="N8" s="62" t="s">
        <v>753</v>
      </c>
    </row>
    <row r="9" spans="1:15" x14ac:dyDescent="0.25">
      <c r="B9" s="22" t="s">
        <v>658</v>
      </c>
      <c r="C9" s="277"/>
      <c r="E9" s="62">
        <v>22</v>
      </c>
      <c r="F9" s="62">
        <v>35</v>
      </c>
      <c r="I9" s="272">
        <f t="shared" si="0"/>
        <v>57</v>
      </c>
      <c r="M9" s="272">
        <f t="shared" si="1"/>
        <v>0</v>
      </c>
    </row>
    <row r="10" spans="1:15" x14ac:dyDescent="0.25">
      <c r="A10" s="176"/>
      <c r="C10" s="277"/>
      <c r="I10" s="272">
        <f t="shared" si="0"/>
        <v>0</v>
      </c>
      <c r="M10" s="272">
        <f t="shared" si="1"/>
        <v>0</v>
      </c>
    </row>
    <row r="11" spans="1:15" x14ac:dyDescent="0.25">
      <c r="A11" s="276"/>
      <c r="B11" s="22" t="s">
        <v>57</v>
      </c>
      <c r="C11" s="277">
        <v>43688</v>
      </c>
      <c r="E11" s="62">
        <v>265</v>
      </c>
      <c r="F11" s="62">
        <v>70</v>
      </c>
      <c r="G11" s="62">
        <v>670</v>
      </c>
      <c r="I11" s="272">
        <f t="shared" si="0"/>
        <v>1005</v>
      </c>
      <c r="M11" s="272">
        <f t="shared" si="1"/>
        <v>0</v>
      </c>
    </row>
    <row r="12" spans="1:15" x14ac:dyDescent="0.25">
      <c r="B12" s="22" t="s">
        <v>58</v>
      </c>
      <c r="C12" s="277"/>
      <c r="E12" s="62">
        <v>79</v>
      </c>
      <c r="G12" s="62">
        <v>490</v>
      </c>
      <c r="H12" s="62">
        <v>459</v>
      </c>
      <c r="I12" s="272">
        <f t="shared" si="0"/>
        <v>1028</v>
      </c>
      <c r="M12" s="272">
        <f t="shared" si="1"/>
        <v>0</v>
      </c>
      <c r="N12" s="62" t="s">
        <v>823</v>
      </c>
    </row>
    <row r="13" spans="1:15" x14ac:dyDescent="0.25">
      <c r="B13" s="22" t="s">
        <v>622</v>
      </c>
      <c r="C13" s="398" t="s">
        <v>824</v>
      </c>
      <c r="E13" s="62">
        <v>99</v>
      </c>
      <c r="F13" s="62">
        <v>79.900000000000006</v>
      </c>
      <c r="I13" s="272">
        <f t="shared" si="0"/>
        <v>178.9</v>
      </c>
      <c r="M13" s="272">
        <f t="shared" si="1"/>
        <v>0</v>
      </c>
    </row>
    <row r="14" spans="1:15" x14ac:dyDescent="0.25">
      <c r="B14" s="22" t="s">
        <v>657</v>
      </c>
      <c r="C14" s="277">
        <v>43690</v>
      </c>
      <c r="E14" s="62">
        <v>91.1</v>
      </c>
      <c r="F14" s="62">
        <v>35</v>
      </c>
      <c r="I14" s="272">
        <f t="shared" si="0"/>
        <v>126.1</v>
      </c>
    </row>
    <row r="15" spans="1:15" x14ac:dyDescent="0.25">
      <c r="B15" s="22" t="s">
        <v>658</v>
      </c>
      <c r="C15" s="277"/>
      <c r="E15" s="62">
        <v>26.6</v>
      </c>
      <c r="F15" s="62">
        <v>35</v>
      </c>
      <c r="I15" s="272">
        <f t="shared" si="0"/>
        <v>61.6</v>
      </c>
    </row>
    <row r="16" spans="1:15" x14ac:dyDescent="0.25">
      <c r="B16" s="22" t="s">
        <v>669</v>
      </c>
      <c r="C16" s="277">
        <v>43684</v>
      </c>
      <c r="E16" s="62">
        <v>175</v>
      </c>
      <c r="F16" s="62">
        <v>50</v>
      </c>
      <c r="G16" s="62">
        <v>375</v>
      </c>
      <c r="H16" s="62">
        <v>69</v>
      </c>
      <c r="I16" s="272">
        <f t="shared" si="0"/>
        <v>669</v>
      </c>
      <c r="N16" s="62" t="s">
        <v>808</v>
      </c>
    </row>
    <row r="17" spans="1:14" x14ac:dyDescent="0.25">
      <c r="B17" s="22" t="s">
        <v>678</v>
      </c>
      <c r="C17" s="277"/>
      <c r="E17" s="62">
        <v>150</v>
      </c>
      <c r="F17" s="62">
        <v>51</v>
      </c>
      <c r="G17" s="62">
        <v>350</v>
      </c>
      <c r="H17" s="62">
        <v>129</v>
      </c>
      <c r="I17" s="272">
        <f t="shared" si="0"/>
        <v>680</v>
      </c>
      <c r="N17" s="62" t="s">
        <v>809</v>
      </c>
    </row>
    <row r="18" spans="1:14" x14ac:dyDescent="0.25">
      <c r="C18" s="277"/>
      <c r="I18" s="272">
        <f t="shared" si="0"/>
        <v>0</v>
      </c>
      <c r="M18" s="272">
        <f t="shared" si="1"/>
        <v>0</v>
      </c>
    </row>
    <row r="19" spans="1:14" x14ac:dyDescent="0.25">
      <c r="A19" s="276"/>
      <c r="B19" t="s">
        <v>57</v>
      </c>
      <c r="C19" s="277">
        <v>43721</v>
      </c>
      <c r="E19" s="62">
        <v>265</v>
      </c>
      <c r="F19" s="62">
        <v>70</v>
      </c>
      <c r="G19" s="62">
        <v>690</v>
      </c>
      <c r="H19" s="62">
        <v>4456</v>
      </c>
      <c r="I19" s="272">
        <f t="shared" si="0"/>
        <v>5481</v>
      </c>
      <c r="M19" s="272">
        <f t="shared" si="1"/>
        <v>0</v>
      </c>
      <c r="N19" s="62" t="s">
        <v>874</v>
      </c>
    </row>
    <row r="20" spans="1:14" x14ac:dyDescent="0.25">
      <c r="B20" s="22" t="s">
        <v>58</v>
      </c>
      <c r="C20" s="277"/>
      <c r="E20" s="62">
        <v>79</v>
      </c>
      <c r="G20" s="62">
        <v>560</v>
      </c>
      <c r="H20" s="62">
        <v>920</v>
      </c>
      <c r="I20" s="272">
        <f t="shared" si="0"/>
        <v>1559</v>
      </c>
      <c r="M20" s="272">
        <f t="shared" si="1"/>
        <v>0</v>
      </c>
      <c r="N20" s="62" t="s">
        <v>875</v>
      </c>
    </row>
    <row r="21" spans="1:14" x14ac:dyDescent="0.25">
      <c r="A21" s="138"/>
      <c r="B21" t="s">
        <v>622</v>
      </c>
      <c r="C21" s="277">
        <v>43717</v>
      </c>
      <c r="E21" s="62">
        <v>99</v>
      </c>
      <c r="F21" s="62">
        <v>79.900000000000006</v>
      </c>
      <c r="I21" s="272">
        <f t="shared" si="0"/>
        <v>178.9</v>
      </c>
      <c r="M21" s="272">
        <f t="shared" si="1"/>
        <v>0</v>
      </c>
    </row>
    <row r="22" spans="1:14" x14ac:dyDescent="0.25">
      <c r="A22" s="276"/>
      <c r="B22" s="22" t="s">
        <v>657</v>
      </c>
      <c r="C22" s="277">
        <v>43719</v>
      </c>
      <c r="E22" s="62">
        <v>91.9</v>
      </c>
      <c r="F22" s="62">
        <v>35</v>
      </c>
      <c r="G22" s="62">
        <v>10.25</v>
      </c>
      <c r="H22" s="62">
        <v>2.8</v>
      </c>
      <c r="I22" s="272">
        <f t="shared" ref="I22:I25" si="2">SUM(E22:H22)</f>
        <v>139.95000000000002</v>
      </c>
      <c r="M22" s="272">
        <f t="shared" ref="M22:M23" si="3">SUM(K22:L22)</f>
        <v>0</v>
      </c>
      <c r="N22" s="62" t="s">
        <v>884</v>
      </c>
    </row>
    <row r="23" spans="1:14" x14ac:dyDescent="0.25">
      <c r="B23" s="22" t="s">
        <v>658</v>
      </c>
      <c r="C23" s="277"/>
      <c r="E23" s="62">
        <v>26.6</v>
      </c>
      <c r="F23" s="62">
        <v>35</v>
      </c>
      <c r="I23" s="272">
        <f t="shared" si="2"/>
        <v>61.6</v>
      </c>
      <c r="M23" s="272">
        <f t="shared" si="3"/>
        <v>0</v>
      </c>
    </row>
    <row r="24" spans="1:14" x14ac:dyDescent="0.25">
      <c r="B24" s="22" t="s">
        <v>669</v>
      </c>
      <c r="C24" s="277">
        <v>43713</v>
      </c>
      <c r="E24" s="62">
        <v>175</v>
      </c>
      <c r="F24" s="62">
        <v>50</v>
      </c>
      <c r="G24" s="62">
        <v>350</v>
      </c>
      <c r="I24" s="272">
        <f t="shared" si="2"/>
        <v>575</v>
      </c>
    </row>
    <row r="25" spans="1:14" x14ac:dyDescent="0.25">
      <c r="B25" s="22" t="s">
        <v>678</v>
      </c>
      <c r="C25" s="277"/>
      <c r="E25" s="62">
        <v>150</v>
      </c>
      <c r="F25" s="62">
        <v>51</v>
      </c>
      <c r="G25" s="62">
        <v>350</v>
      </c>
      <c r="I25" s="272">
        <f t="shared" si="2"/>
        <v>551</v>
      </c>
    </row>
    <row r="26" spans="1:14" x14ac:dyDescent="0.25">
      <c r="C26" s="277"/>
      <c r="I26" s="272">
        <f t="shared" si="0"/>
        <v>0</v>
      </c>
      <c r="M26" s="272">
        <f t="shared" si="1"/>
        <v>0</v>
      </c>
    </row>
    <row r="27" spans="1:14" x14ac:dyDescent="0.25">
      <c r="A27" s="276"/>
      <c r="B27" t="s">
        <v>57</v>
      </c>
      <c r="C27" s="277"/>
      <c r="I27" s="272">
        <f t="shared" si="0"/>
        <v>0</v>
      </c>
      <c r="M27" s="272">
        <f t="shared" si="1"/>
        <v>0</v>
      </c>
    </row>
    <row r="28" spans="1:14" x14ac:dyDescent="0.25">
      <c r="B28" s="22" t="s">
        <v>58</v>
      </c>
      <c r="C28" s="277"/>
      <c r="I28" s="272">
        <f t="shared" si="0"/>
        <v>0</v>
      </c>
      <c r="M28" s="272">
        <f t="shared" si="1"/>
        <v>0</v>
      </c>
    </row>
    <row r="29" spans="1:14" x14ac:dyDescent="0.25">
      <c r="A29" s="138"/>
      <c r="B29" t="s">
        <v>622</v>
      </c>
      <c r="C29" s="277"/>
      <c r="I29" s="272">
        <f t="shared" ref="I29:I33" si="4">SUM(E29:H29)</f>
        <v>0</v>
      </c>
      <c r="M29" s="272">
        <f t="shared" ref="M29:M31" si="5">SUM(K29:L29)</f>
        <v>0</v>
      </c>
    </row>
    <row r="30" spans="1:14" x14ac:dyDescent="0.25">
      <c r="A30" s="276"/>
      <c r="B30" t="s">
        <v>657</v>
      </c>
      <c r="C30" s="277"/>
      <c r="I30" s="272">
        <f t="shared" si="4"/>
        <v>0</v>
      </c>
      <c r="M30" s="272">
        <f t="shared" si="5"/>
        <v>0</v>
      </c>
    </row>
    <row r="31" spans="1:14" x14ac:dyDescent="0.25">
      <c r="B31" s="22" t="s">
        <v>658</v>
      </c>
      <c r="C31" s="277"/>
      <c r="I31" s="272">
        <f t="shared" si="4"/>
        <v>0</v>
      </c>
      <c r="M31" s="272">
        <f t="shared" si="5"/>
        <v>0</v>
      </c>
    </row>
    <row r="32" spans="1:14" x14ac:dyDescent="0.25">
      <c r="B32" s="22" t="s">
        <v>669</v>
      </c>
      <c r="C32" s="277">
        <v>43740</v>
      </c>
      <c r="E32" s="62">
        <v>175</v>
      </c>
      <c r="F32" s="62">
        <v>50</v>
      </c>
      <c r="G32" s="62">
        <v>375</v>
      </c>
      <c r="I32" s="272">
        <f t="shared" si="4"/>
        <v>600</v>
      </c>
    </row>
    <row r="33" spans="1:14" x14ac:dyDescent="0.25">
      <c r="B33" s="22" t="s">
        <v>678</v>
      </c>
      <c r="C33" s="277"/>
      <c r="E33" s="62">
        <v>150</v>
      </c>
      <c r="F33" s="62">
        <v>51</v>
      </c>
      <c r="G33" s="62">
        <v>325</v>
      </c>
      <c r="I33" s="272">
        <f t="shared" si="4"/>
        <v>526</v>
      </c>
    </row>
    <row r="34" spans="1:14" x14ac:dyDescent="0.25">
      <c r="C34" s="277"/>
      <c r="I34" s="272">
        <f t="shared" si="0"/>
        <v>0</v>
      </c>
      <c r="M34" s="272">
        <f t="shared" si="1"/>
        <v>0</v>
      </c>
    </row>
    <row r="35" spans="1:14" x14ac:dyDescent="0.25">
      <c r="A35" s="276"/>
      <c r="B35" s="22" t="s">
        <v>57</v>
      </c>
      <c r="C35" s="277"/>
      <c r="I35" s="272">
        <f t="shared" si="0"/>
        <v>0</v>
      </c>
      <c r="M35" s="272">
        <f t="shared" si="1"/>
        <v>0</v>
      </c>
      <c r="N35" s="349"/>
    </row>
    <row r="36" spans="1:14" x14ac:dyDescent="0.25">
      <c r="B36" s="22" t="s">
        <v>58</v>
      </c>
      <c r="C36" s="277"/>
      <c r="I36" s="272">
        <f t="shared" si="0"/>
        <v>0</v>
      </c>
      <c r="M36" s="272">
        <f t="shared" si="1"/>
        <v>0</v>
      </c>
      <c r="N36" s="349"/>
    </row>
    <row r="37" spans="1:14" x14ac:dyDescent="0.25">
      <c r="A37" s="138"/>
      <c r="B37" t="s">
        <v>622</v>
      </c>
      <c r="C37" s="277"/>
      <c r="I37" s="272">
        <f t="shared" ref="I37:I39" si="6">SUM(E37:H37)</f>
        <v>0</v>
      </c>
      <c r="M37" s="272">
        <f t="shared" si="1"/>
        <v>0</v>
      </c>
    </row>
    <row r="38" spans="1:14" x14ac:dyDescent="0.25">
      <c r="A38" s="276"/>
      <c r="B38" s="22" t="s">
        <v>657</v>
      </c>
      <c r="C38" s="277"/>
      <c r="I38" s="272">
        <f t="shared" si="6"/>
        <v>0</v>
      </c>
      <c r="M38" s="272">
        <f t="shared" ref="M38:M39" si="7">SUM(K38:L38)</f>
        <v>0</v>
      </c>
    </row>
    <row r="39" spans="1:14" x14ac:dyDescent="0.25">
      <c r="B39" s="22" t="s">
        <v>658</v>
      </c>
      <c r="C39" s="277"/>
      <c r="I39" s="272">
        <f t="shared" si="6"/>
        <v>0</v>
      </c>
      <c r="M39" s="272">
        <f t="shared" si="7"/>
        <v>0</v>
      </c>
    </row>
    <row r="40" spans="1:14" x14ac:dyDescent="0.25">
      <c r="B40" s="22" t="s">
        <v>669</v>
      </c>
      <c r="C40" s="277"/>
      <c r="I40" s="272">
        <f t="shared" si="0"/>
        <v>0</v>
      </c>
    </row>
    <row r="41" spans="1:14" x14ac:dyDescent="0.25">
      <c r="B41" s="22" t="s">
        <v>678</v>
      </c>
      <c r="C41" s="277"/>
      <c r="I41" s="272">
        <f t="shared" si="0"/>
        <v>0</v>
      </c>
    </row>
    <row r="42" spans="1:14" x14ac:dyDescent="0.25">
      <c r="C42" s="277"/>
      <c r="I42" s="272">
        <f t="shared" si="0"/>
        <v>0</v>
      </c>
      <c r="M42" s="272">
        <f t="shared" si="1"/>
        <v>0</v>
      </c>
    </row>
    <row r="43" spans="1:14" x14ac:dyDescent="0.25">
      <c r="A43" s="276"/>
      <c r="B43" s="22" t="s">
        <v>57</v>
      </c>
      <c r="C43" s="277"/>
      <c r="I43" s="272">
        <f t="shared" si="0"/>
        <v>0</v>
      </c>
      <c r="M43" s="272">
        <f t="shared" si="1"/>
        <v>0</v>
      </c>
    </row>
    <row r="44" spans="1:14" x14ac:dyDescent="0.25">
      <c r="B44" s="22" t="s">
        <v>58</v>
      </c>
      <c r="C44" s="277"/>
      <c r="I44" s="272">
        <f t="shared" si="0"/>
        <v>0</v>
      </c>
      <c r="M44" s="272">
        <f t="shared" si="1"/>
        <v>0</v>
      </c>
    </row>
    <row r="45" spans="1:14" x14ac:dyDescent="0.25">
      <c r="A45" s="138"/>
      <c r="B45" t="s">
        <v>622</v>
      </c>
      <c r="C45" s="277"/>
      <c r="I45" s="272">
        <f t="shared" si="0"/>
        <v>0</v>
      </c>
      <c r="M45" s="272">
        <f t="shared" ref="M45:M47" si="8">SUM(K45:L45)</f>
        <v>0</v>
      </c>
    </row>
    <row r="46" spans="1:14" x14ac:dyDescent="0.25">
      <c r="A46" s="276"/>
      <c r="B46" s="22" t="s">
        <v>657</v>
      </c>
      <c r="C46" s="277"/>
      <c r="I46" s="272">
        <f t="shared" ref="I46:I49" si="9">SUM(E46:H46)</f>
        <v>0</v>
      </c>
      <c r="M46" s="272">
        <f t="shared" si="8"/>
        <v>0</v>
      </c>
    </row>
    <row r="47" spans="1:14" x14ac:dyDescent="0.25">
      <c r="B47" s="22" t="s">
        <v>658</v>
      </c>
      <c r="C47" s="277"/>
      <c r="I47" s="272">
        <f t="shared" si="9"/>
        <v>0</v>
      </c>
      <c r="M47" s="272">
        <f t="shared" si="8"/>
        <v>0</v>
      </c>
    </row>
    <row r="48" spans="1:14" x14ac:dyDescent="0.25">
      <c r="B48" s="22" t="s">
        <v>669</v>
      </c>
      <c r="C48" s="277"/>
      <c r="I48" s="272">
        <f t="shared" si="9"/>
        <v>0</v>
      </c>
    </row>
    <row r="49" spans="1:14" x14ac:dyDescent="0.25">
      <c r="B49" s="22" t="s">
        <v>678</v>
      </c>
      <c r="C49" s="277"/>
      <c r="I49" s="272">
        <f t="shared" si="9"/>
        <v>0</v>
      </c>
    </row>
    <row r="50" spans="1:14" x14ac:dyDescent="0.25">
      <c r="C50" s="277"/>
      <c r="I50" s="272">
        <f t="shared" si="0"/>
        <v>0</v>
      </c>
      <c r="M50" s="272">
        <f t="shared" si="1"/>
        <v>0</v>
      </c>
    </row>
    <row r="51" spans="1:14" x14ac:dyDescent="0.25">
      <c r="B51" s="22" t="s">
        <v>57</v>
      </c>
      <c r="C51" s="277"/>
      <c r="I51" s="272">
        <f t="shared" si="0"/>
        <v>0</v>
      </c>
      <c r="M51" s="272">
        <f t="shared" si="1"/>
        <v>0</v>
      </c>
      <c r="N51" s="349"/>
    </row>
    <row r="52" spans="1:14" x14ac:dyDescent="0.25">
      <c r="B52" s="22" t="s">
        <v>58</v>
      </c>
      <c r="C52" s="277"/>
      <c r="I52" s="272">
        <f t="shared" si="0"/>
        <v>0</v>
      </c>
      <c r="M52" s="272">
        <f t="shared" si="1"/>
        <v>0</v>
      </c>
      <c r="N52" s="349"/>
    </row>
    <row r="53" spans="1:14" x14ac:dyDescent="0.25">
      <c r="A53" s="138"/>
      <c r="B53" t="s">
        <v>622</v>
      </c>
      <c r="C53" s="277"/>
      <c r="I53" s="272">
        <f t="shared" ref="I53:I94" si="10">SUM(E53:H53)</f>
        <v>0</v>
      </c>
      <c r="M53" s="272">
        <f t="shared" ref="M53:M94" si="11">SUM(K53:L53)</f>
        <v>0</v>
      </c>
    </row>
    <row r="54" spans="1:14" x14ac:dyDescent="0.25">
      <c r="A54" s="276"/>
      <c r="B54" s="22" t="s">
        <v>657</v>
      </c>
      <c r="C54" s="277"/>
      <c r="I54" s="272">
        <f t="shared" si="10"/>
        <v>0</v>
      </c>
      <c r="M54" s="272">
        <f t="shared" si="11"/>
        <v>0</v>
      </c>
      <c r="N54" s="349"/>
    </row>
    <row r="55" spans="1:14" x14ac:dyDescent="0.25">
      <c r="B55" s="22" t="s">
        <v>658</v>
      </c>
      <c r="C55" s="277"/>
      <c r="I55" s="272">
        <f t="shared" si="10"/>
        <v>0</v>
      </c>
      <c r="M55" s="272">
        <f t="shared" si="11"/>
        <v>0</v>
      </c>
    </row>
    <row r="56" spans="1:14" x14ac:dyDescent="0.25">
      <c r="C56" s="277"/>
      <c r="I56" s="272">
        <f t="shared" si="10"/>
        <v>0</v>
      </c>
      <c r="M56" s="272">
        <f t="shared" si="11"/>
        <v>0</v>
      </c>
    </row>
    <row r="57" spans="1:14" x14ac:dyDescent="0.25">
      <c r="B57" s="22" t="s">
        <v>57</v>
      </c>
      <c r="C57" s="277"/>
      <c r="I57" s="272">
        <f t="shared" si="10"/>
        <v>0</v>
      </c>
      <c r="M57" s="272">
        <f t="shared" si="11"/>
        <v>0</v>
      </c>
      <c r="N57" s="278"/>
    </row>
    <row r="58" spans="1:14" x14ac:dyDescent="0.25">
      <c r="B58" s="22" t="s">
        <v>58</v>
      </c>
      <c r="C58" s="277"/>
      <c r="I58" s="272">
        <f t="shared" si="10"/>
        <v>0</v>
      </c>
      <c r="M58" s="272">
        <f t="shared" si="11"/>
        <v>0</v>
      </c>
      <c r="N58" s="278"/>
    </row>
    <row r="59" spans="1:14" x14ac:dyDescent="0.25">
      <c r="A59" s="138"/>
      <c r="B59" t="s">
        <v>622</v>
      </c>
      <c r="C59" s="277"/>
      <c r="I59" s="272">
        <f t="shared" ref="I59:I63" si="12">SUM(E59:H59)</f>
        <v>0</v>
      </c>
      <c r="M59" s="272">
        <f t="shared" ref="M59:M61" si="13">SUM(K59:L59)</f>
        <v>0</v>
      </c>
    </row>
    <row r="60" spans="1:14" x14ac:dyDescent="0.25">
      <c r="A60" s="276"/>
      <c r="B60" s="22" t="s">
        <v>657</v>
      </c>
      <c r="C60" s="277"/>
      <c r="I60" s="272">
        <f t="shared" si="12"/>
        <v>0</v>
      </c>
      <c r="M60" s="272">
        <f t="shared" si="13"/>
        <v>0</v>
      </c>
    </row>
    <row r="61" spans="1:14" x14ac:dyDescent="0.25">
      <c r="B61" s="22" t="s">
        <v>658</v>
      </c>
      <c r="C61" s="277"/>
      <c r="I61" s="272">
        <f t="shared" si="12"/>
        <v>0</v>
      </c>
      <c r="M61" s="272">
        <f t="shared" si="13"/>
        <v>0</v>
      </c>
    </row>
    <row r="62" spans="1:14" x14ac:dyDescent="0.25">
      <c r="B62" s="22" t="s">
        <v>669</v>
      </c>
      <c r="C62" s="277"/>
      <c r="I62" s="272">
        <f t="shared" si="12"/>
        <v>0</v>
      </c>
    </row>
    <row r="63" spans="1:14" x14ac:dyDescent="0.25">
      <c r="B63" s="22" t="s">
        <v>678</v>
      </c>
      <c r="C63" s="277"/>
      <c r="I63" s="272">
        <f t="shared" si="12"/>
        <v>0</v>
      </c>
    </row>
    <row r="64" spans="1:14" x14ac:dyDescent="0.25">
      <c r="C64" s="277"/>
      <c r="I64" s="272">
        <f t="shared" si="10"/>
        <v>0</v>
      </c>
      <c r="M64" s="272">
        <f t="shared" si="11"/>
        <v>0</v>
      </c>
    </row>
    <row r="65" spans="1:14" x14ac:dyDescent="0.25">
      <c r="B65" s="22" t="s">
        <v>57</v>
      </c>
      <c r="C65" s="277"/>
      <c r="I65" s="272">
        <f>SUM(E65:H65)</f>
        <v>0</v>
      </c>
      <c r="M65" s="272">
        <f>SUM(K65:L65)</f>
        <v>0</v>
      </c>
    </row>
    <row r="66" spans="1:14" x14ac:dyDescent="0.25">
      <c r="B66" s="22" t="s">
        <v>58</v>
      </c>
      <c r="C66" s="277"/>
      <c r="I66" s="272">
        <f>SUM(E66:H66)</f>
        <v>0</v>
      </c>
      <c r="M66" s="272">
        <f>SUM(K66:L66)</f>
        <v>0</v>
      </c>
    </row>
    <row r="67" spans="1:14" x14ac:dyDescent="0.25">
      <c r="A67" s="138"/>
      <c r="B67" t="s">
        <v>622</v>
      </c>
      <c r="C67" s="277"/>
      <c r="I67" s="272">
        <f t="shared" ref="I67:I71" si="14">SUM(E67:H67)</f>
        <v>0</v>
      </c>
      <c r="M67" s="272">
        <f t="shared" ref="M67:M69" si="15">SUM(K67:L67)</f>
        <v>0</v>
      </c>
    </row>
    <row r="68" spans="1:14" x14ac:dyDescent="0.25">
      <c r="A68" s="276"/>
      <c r="B68" s="22" t="s">
        <v>657</v>
      </c>
      <c r="C68" s="277"/>
      <c r="I68" s="272">
        <f t="shared" si="14"/>
        <v>0</v>
      </c>
      <c r="M68" s="272">
        <f t="shared" si="15"/>
        <v>0</v>
      </c>
    </row>
    <row r="69" spans="1:14" x14ac:dyDescent="0.25">
      <c r="B69" s="22" t="s">
        <v>658</v>
      </c>
      <c r="C69" s="277"/>
      <c r="I69" s="272">
        <f t="shared" si="14"/>
        <v>0</v>
      </c>
      <c r="M69" s="272">
        <f t="shared" si="15"/>
        <v>0</v>
      </c>
    </row>
    <row r="70" spans="1:14" x14ac:dyDescent="0.25">
      <c r="B70" s="22" t="s">
        <v>669</v>
      </c>
      <c r="C70" s="277"/>
      <c r="I70" s="272">
        <f t="shared" si="14"/>
        <v>0</v>
      </c>
    </row>
    <row r="71" spans="1:14" x14ac:dyDescent="0.25">
      <c r="B71" s="22" t="s">
        <v>678</v>
      </c>
      <c r="C71" s="277"/>
      <c r="I71" s="272">
        <f t="shared" si="14"/>
        <v>0</v>
      </c>
    </row>
    <row r="72" spans="1:14" x14ac:dyDescent="0.25">
      <c r="C72" s="277"/>
      <c r="I72" s="272">
        <f t="shared" si="10"/>
        <v>0</v>
      </c>
      <c r="M72" s="272">
        <f t="shared" si="11"/>
        <v>0</v>
      </c>
    </row>
    <row r="73" spans="1:14" x14ac:dyDescent="0.25">
      <c r="B73" s="22" t="s">
        <v>57</v>
      </c>
      <c r="C73" s="277"/>
      <c r="I73" s="272">
        <f t="shared" si="10"/>
        <v>0</v>
      </c>
      <c r="M73" s="272">
        <f t="shared" si="11"/>
        <v>0</v>
      </c>
      <c r="N73" s="294"/>
    </row>
    <row r="74" spans="1:14" x14ac:dyDescent="0.25">
      <c r="B74" s="22" t="s">
        <v>58</v>
      </c>
      <c r="C74" s="277"/>
      <c r="I74" s="272">
        <f t="shared" si="10"/>
        <v>0</v>
      </c>
      <c r="M74" s="272">
        <f t="shared" si="11"/>
        <v>0</v>
      </c>
      <c r="N74" s="294"/>
    </row>
    <row r="75" spans="1:14" x14ac:dyDescent="0.25">
      <c r="A75" s="138"/>
      <c r="B75" t="s">
        <v>622</v>
      </c>
      <c r="C75" s="277"/>
      <c r="I75" s="272">
        <f t="shared" si="10"/>
        <v>0</v>
      </c>
      <c r="M75" s="272">
        <f t="shared" si="11"/>
        <v>0</v>
      </c>
    </row>
    <row r="76" spans="1:14" x14ac:dyDescent="0.25">
      <c r="A76" s="276"/>
      <c r="B76" s="22" t="s">
        <v>657</v>
      </c>
      <c r="C76" s="277"/>
      <c r="I76" s="272">
        <f t="shared" ref="I76:I79" si="16">SUM(E76:H76)</f>
        <v>0</v>
      </c>
      <c r="M76" s="272">
        <f t="shared" ref="M76:M77" si="17">SUM(K76:L76)</f>
        <v>0</v>
      </c>
    </row>
    <row r="77" spans="1:14" x14ac:dyDescent="0.25">
      <c r="B77" s="22" t="s">
        <v>658</v>
      </c>
      <c r="C77" s="277"/>
      <c r="I77" s="272">
        <f t="shared" si="16"/>
        <v>0</v>
      </c>
      <c r="M77" s="272">
        <f t="shared" si="17"/>
        <v>0</v>
      </c>
    </row>
    <row r="78" spans="1:14" x14ac:dyDescent="0.25">
      <c r="B78" s="22" t="s">
        <v>669</v>
      </c>
      <c r="C78" s="277"/>
      <c r="I78" s="272">
        <f t="shared" si="16"/>
        <v>0</v>
      </c>
    </row>
    <row r="79" spans="1:14" x14ac:dyDescent="0.25">
      <c r="B79" s="22" t="s">
        <v>678</v>
      </c>
      <c r="C79" s="277"/>
      <c r="I79" s="272">
        <f t="shared" si="16"/>
        <v>0</v>
      </c>
    </row>
    <row r="80" spans="1:14" x14ac:dyDescent="0.25">
      <c r="C80" s="277"/>
      <c r="I80" s="272">
        <f t="shared" si="10"/>
        <v>0</v>
      </c>
      <c r="M80" s="272">
        <f t="shared" si="11"/>
        <v>0</v>
      </c>
    </row>
    <row r="81" spans="1:14" x14ac:dyDescent="0.25">
      <c r="B81" s="22" t="s">
        <v>57</v>
      </c>
      <c r="C81" s="277"/>
      <c r="I81" s="272">
        <f t="shared" ref="I81:I82" si="18">SUM(E81:H81)</f>
        <v>0</v>
      </c>
      <c r="M81" s="272">
        <f t="shared" ref="M81:M82" si="19">SUM(K81:L81)</f>
        <v>0</v>
      </c>
      <c r="N81" s="294"/>
    </row>
    <row r="82" spans="1:14" x14ac:dyDescent="0.25">
      <c r="B82" s="22" t="s">
        <v>58</v>
      </c>
      <c r="C82" s="277"/>
      <c r="I82" s="272">
        <f t="shared" si="18"/>
        <v>0</v>
      </c>
      <c r="M82" s="272">
        <f t="shared" si="19"/>
        <v>0</v>
      </c>
      <c r="N82" s="294"/>
    </row>
    <row r="83" spans="1:14" x14ac:dyDescent="0.25">
      <c r="B83" s="22" t="s">
        <v>622</v>
      </c>
      <c r="C83" s="277"/>
      <c r="I83" s="272">
        <f t="shared" si="10"/>
        <v>0</v>
      </c>
      <c r="M83" s="272">
        <f t="shared" si="11"/>
        <v>0</v>
      </c>
    </row>
    <row r="84" spans="1:14" x14ac:dyDescent="0.25">
      <c r="A84" s="276"/>
      <c r="B84" s="22" t="s">
        <v>657</v>
      </c>
      <c r="C84" s="277"/>
      <c r="I84" s="272">
        <f t="shared" ref="I84:I85" si="20">SUM(E84:H84)</f>
        <v>0</v>
      </c>
      <c r="M84" s="272">
        <f t="shared" ref="M84:M85" si="21">SUM(K84:L84)</f>
        <v>0</v>
      </c>
    </row>
    <row r="85" spans="1:14" x14ac:dyDescent="0.25">
      <c r="B85" s="22" t="s">
        <v>658</v>
      </c>
      <c r="C85" s="277"/>
      <c r="I85" s="272">
        <f t="shared" si="20"/>
        <v>0</v>
      </c>
      <c r="M85" s="272">
        <f t="shared" si="21"/>
        <v>0</v>
      </c>
    </row>
    <row r="86" spans="1:14" x14ac:dyDescent="0.25">
      <c r="B86" s="22" t="s">
        <v>669</v>
      </c>
      <c r="C86" s="277"/>
      <c r="I86" s="272">
        <f t="shared" si="10"/>
        <v>0</v>
      </c>
      <c r="M86" s="272">
        <f t="shared" si="11"/>
        <v>0</v>
      </c>
    </row>
    <row r="87" spans="1:14" x14ac:dyDescent="0.25">
      <c r="B87" s="22" t="s">
        <v>678</v>
      </c>
      <c r="C87" s="277"/>
      <c r="I87" s="272">
        <f t="shared" si="10"/>
        <v>0</v>
      </c>
      <c r="M87" s="272">
        <f t="shared" si="11"/>
        <v>0</v>
      </c>
    </row>
    <row r="88" spans="1:14" x14ac:dyDescent="0.25">
      <c r="C88" s="277"/>
      <c r="I88" s="272">
        <f t="shared" si="10"/>
        <v>0</v>
      </c>
      <c r="M88" s="272">
        <f t="shared" si="11"/>
        <v>0</v>
      </c>
    </row>
    <row r="89" spans="1:14" x14ac:dyDescent="0.25">
      <c r="I89" s="272">
        <f t="shared" si="10"/>
        <v>0</v>
      </c>
      <c r="M89" s="272">
        <f t="shared" si="11"/>
        <v>0</v>
      </c>
    </row>
    <row r="90" spans="1:14" x14ac:dyDescent="0.25">
      <c r="I90" s="272">
        <f t="shared" si="10"/>
        <v>0</v>
      </c>
      <c r="M90" s="272">
        <f t="shared" si="11"/>
        <v>0</v>
      </c>
    </row>
    <row r="91" spans="1:14" x14ac:dyDescent="0.25">
      <c r="I91" s="272">
        <f t="shared" si="10"/>
        <v>0</v>
      </c>
      <c r="M91" s="272">
        <f t="shared" si="11"/>
        <v>0</v>
      </c>
    </row>
    <row r="92" spans="1:14" x14ac:dyDescent="0.25">
      <c r="I92" s="272">
        <f t="shared" si="10"/>
        <v>0</v>
      </c>
      <c r="M92" s="272">
        <f t="shared" si="11"/>
        <v>0</v>
      </c>
    </row>
    <row r="93" spans="1:14" x14ac:dyDescent="0.25">
      <c r="I93" s="272">
        <f t="shared" si="10"/>
        <v>0</v>
      </c>
      <c r="M93" s="272">
        <f t="shared" si="11"/>
        <v>0</v>
      </c>
    </row>
    <row r="94" spans="1:14" x14ac:dyDescent="0.25">
      <c r="I94" s="272">
        <f t="shared" si="10"/>
        <v>0</v>
      </c>
      <c r="M94" s="272">
        <f t="shared" si="11"/>
        <v>0</v>
      </c>
    </row>
    <row r="95" spans="1:14" x14ac:dyDescent="0.25">
      <c r="I95" s="272">
        <f t="shared" ref="I95:I126" si="22">SUM(E95:H95)</f>
        <v>0</v>
      </c>
      <c r="M95" s="272">
        <f t="shared" ref="M95:M126" si="23">SUM(K95:L95)</f>
        <v>0</v>
      </c>
    </row>
    <row r="96" spans="1:14" x14ac:dyDescent="0.25">
      <c r="I96" s="272">
        <f t="shared" si="22"/>
        <v>0</v>
      </c>
      <c r="M96" s="272">
        <f t="shared" si="23"/>
        <v>0</v>
      </c>
    </row>
    <row r="97" spans="9:13" x14ac:dyDescent="0.25">
      <c r="I97" s="272">
        <f t="shared" si="22"/>
        <v>0</v>
      </c>
      <c r="M97" s="272">
        <f t="shared" si="23"/>
        <v>0</v>
      </c>
    </row>
    <row r="98" spans="9:13" x14ac:dyDescent="0.25">
      <c r="I98" s="272">
        <f t="shared" si="22"/>
        <v>0</v>
      </c>
      <c r="M98" s="272">
        <f t="shared" si="23"/>
        <v>0</v>
      </c>
    </row>
    <row r="99" spans="9:13" x14ac:dyDescent="0.25">
      <c r="I99" s="272">
        <f t="shared" si="22"/>
        <v>0</v>
      </c>
      <c r="M99" s="272">
        <f t="shared" si="23"/>
        <v>0</v>
      </c>
    </row>
    <row r="100" spans="9:13" x14ac:dyDescent="0.25">
      <c r="I100" s="272">
        <f t="shared" si="22"/>
        <v>0</v>
      </c>
      <c r="M100" s="272">
        <f t="shared" si="23"/>
        <v>0</v>
      </c>
    </row>
    <row r="101" spans="9:13" x14ac:dyDescent="0.25">
      <c r="I101" s="272">
        <f t="shared" si="22"/>
        <v>0</v>
      </c>
      <c r="M101" s="272">
        <f t="shared" si="23"/>
        <v>0</v>
      </c>
    </row>
    <row r="102" spans="9:13" x14ac:dyDescent="0.25">
      <c r="I102" s="272">
        <f t="shared" si="22"/>
        <v>0</v>
      </c>
      <c r="M102" s="272">
        <f t="shared" si="23"/>
        <v>0</v>
      </c>
    </row>
    <row r="103" spans="9:13" x14ac:dyDescent="0.25">
      <c r="I103" s="272">
        <f t="shared" si="22"/>
        <v>0</v>
      </c>
      <c r="M103" s="272">
        <f t="shared" si="23"/>
        <v>0</v>
      </c>
    </row>
    <row r="104" spans="9:13" x14ac:dyDescent="0.25">
      <c r="I104" s="272">
        <f t="shared" si="22"/>
        <v>0</v>
      </c>
      <c r="M104" s="272">
        <f t="shared" si="23"/>
        <v>0</v>
      </c>
    </row>
    <row r="105" spans="9:13" x14ac:dyDescent="0.25">
      <c r="I105" s="272">
        <f t="shared" si="22"/>
        <v>0</v>
      </c>
      <c r="M105" s="272">
        <f t="shared" si="23"/>
        <v>0</v>
      </c>
    </row>
    <row r="106" spans="9:13" x14ac:dyDescent="0.25">
      <c r="I106" s="272">
        <f t="shared" si="22"/>
        <v>0</v>
      </c>
      <c r="M106" s="272">
        <f t="shared" si="23"/>
        <v>0</v>
      </c>
    </row>
    <row r="107" spans="9:13" x14ac:dyDescent="0.25">
      <c r="I107" s="272">
        <f t="shared" si="22"/>
        <v>0</v>
      </c>
      <c r="M107" s="272">
        <f t="shared" si="23"/>
        <v>0</v>
      </c>
    </row>
    <row r="108" spans="9:13" x14ac:dyDescent="0.25">
      <c r="I108" s="272">
        <f t="shared" si="22"/>
        <v>0</v>
      </c>
      <c r="M108" s="272">
        <f t="shared" si="23"/>
        <v>0</v>
      </c>
    </row>
    <row r="109" spans="9:13" x14ac:dyDescent="0.25">
      <c r="I109" s="272">
        <f t="shared" si="22"/>
        <v>0</v>
      </c>
      <c r="M109" s="272">
        <f t="shared" si="23"/>
        <v>0</v>
      </c>
    </row>
    <row r="110" spans="9:13" x14ac:dyDescent="0.25">
      <c r="I110" s="272">
        <f t="shared" si="22"/>
        <v>0</v>
      </c>
      <c r="M110" s="272">
        <f t="shared" si="23"/>
        <v>0</v>
      </c>
    </row>
    <row r="111" spans="9:13" x14ac:dyDescent="0.25">
      <c r="I111" s="272">
        <f t="shared" si="22"/>
        <v>0</v>
      </c>
      <c r="M111" s="272">
        <f t="shared" si="23"/>
        <v>0</v>
      </c>
    </row>
    <row r="112" spans="9:13" x14ac:dyDescent="0.25">
      <c r="I112" s="272">
        <f t="shared" si="22"/>
        <v>0</v>
      </c>
      <c r="M112" s="272">
        <f t="shared" si="23"/>
        <v>0</v>
      </c>
    </row>
    <row r="113" spans="9:13" x14ac:dyDescent="0.25">
      <c r="I113" s="272">
        <f t="shared" si="22"/>
        <v>0</v>
      </c>
      <c r="M113" s="272">
        <f t="shared" si="23"/>
        <v>0</v>
      </c>
    </row>
    <row r="114" spans="9:13" x14ac:dyDescent="0.25">
      <c r="I114" s="272">
        <f t="shared" si="22"/>
        <v>0</v>
      </c>
      <c r="M114" s="272">
        <f t="shared" si="23"/>
        <v>0</v>
      </c>
    </row>
    <row r="115" spans="9:13" x14ac:dyDescent="0.25">
      <c r="I115" s="272">
        <f t="shared" si="22"/>
        <v>0</v>
      </c>
      <c r="M115" s="272">
        <f t="shared" si="23"/>
        <v>0</v>
      </c>
    </row>
    <row r="116" spans="9:13" x14ac:dyDescent="0.25">
      <c r="I116" s="272">
        <f t="shared" si="22"/>
        <v>0</v>
      </c>
      <c r="M116" s="272">
        <f t="shared" si="23"/>
        <v>0</v>
      </c>
    </row>
    <row r="117" spans="9:13" x14ac:dyDescent="0.25">
      <c r="I117" s="272">
        <f t="shared" si="22"/>
        <v>0</v>
      </c>
      <c r="M117" s="272">
        <f t="shared" si="23"/>
        <v>0</v>
      </c>
    </row>
    <row r="118" spans="9:13" x14ac:dyDescent="0.25">
      <c r="I118" s="272">
        <f t="shared" si="22"/>
        <v>0</v>
      </c>
      <c r="M118" s="272">
        <f t="shared" si="23"/>
        <v>0</v>
      </c>
    </row>
    <row r="119" spans="9:13" x14ac:dyDescent="0.25">
      <c r="I119" s="272">
        <f t="shared" si="22"/>
        <v>0</v>
      </c>
      <c r="M119" s="272">
        <f t="shared" si="23"/>
        <v>0</v>
      </c>
    </row>
    <row r="120" spans="9:13" x14ac:dyDescent="0.25">
      <c r="I120" s="272">
        <f t="shared" si="22"/>
        <v>0</v>
      </c>
      <c r="M120" s="272">
        <f t="shared" si="23"/>
        <v>0</v>
      </c>
    </row>
    <row r="121" spans="9:13" x14ac:dyDescent="0.25">
      <c r="I121" s="272">
        <f t="shared" si="22"/>
        <v>0</v>
      </c>
      <c r="M121" s="272">
        <f t="shared" si="23"/>
        <v>0</v>
      </c>
    </row>
    <row r="122" spans="9:13" x14ac:dyDescent="0.25">
      <c r="I122" s="272">
        <f t="shared" si="22"/>
        <v>0</v>
      </c>
      <c r="M122" s="272">
        <f t="shared" si="23"/>
        <v>0</v>
      </c>
    </row>
    <row r="123" spans="9:13" x14ac:dyDescent="0.25">
      <c r="I123" s="272">
        <f t="shared" si="22"/>
        <v>0</v>
      </c>
      <c r="M123" s="272">
        <f t="shared" si="23"/>
        <v>0</v>
      </c>
    </row>
    <row r="124" spans="9:13" x14ac:dyDescent="0.25">
      <c r="I124" s="272">
        <f t="shared" si="22"/>
        <v>0</v>
      </c>
      <c r="M124" s="272">
        <f t="shared" si="23"/>
        <v>0</v>
      </c>
    </row>
    <row r="125" spans="9:13" x14ac:dyDescent="0.25">
      <c r="I125" s="272">
        <f t="shared" si="22"/>
        <v>0</v>
      </c>
      <c r="M125" s="272">
        <f t="shared" si="23"/>
        <v>0</v>
      </c>
    </row>
    <row r="126" spans="9:13" x14ac:dyDescent="0.25">
      <c r="I126" s="272">
        <f t="shared" si="22"/>
        <v>0</v>
      </c>
      <c r="M126" s="272">
        <f t="shared" si="23"/>
        <v>0</v>
      </c>
    </row>
    <row r="127" spans="9:13" x14ac:dyDescent="0.25">
      <c r="I127" s="272">
        <f t="shared" ref="I127:I158" si="24">SUM(E127:H127)</f>
        <v>0</v>
      </c>
      <c r="M127" s="272">
        <f t="shared" ref="M127:M158" si="25">SUM(K127:L127)</f>
        <v>0</v>
      </c>
    </row>
    <row r="128" spans="9:13" x14ac:dyDescent="0.25">
      <c r="I128" s="272">
        <f t="shared" si="24"/>
        <v>0</v>
      </c>
      <c r="M128" s="272">
        <f t="shared" si="25"/>
        <v>0</v>
      </c>
    </row>
    <row r="129" spans="9:13" x14ac:dyDescent="0.25">
      <c r="I129" s="272">
        <f t="shared" si="24"/>
        <v>0</v>
      </c>
      <c r="M129" s="272">
        <f t="shared" si="25"/>
        <v>0</v>
      </c>
    </row>
    <row r="130" spans="9:13" x14ac:dyDescent="0.25">
      <c r="I130" s="272">
        <f t="shared" si="24"/>
        <v>0</v>
      </c>
      <c r="M130" s="272">
        <f t="shared" si="25"/>
        <v>0</v>
      </c>
    </row>
    <row r="131" spans="9:13" x14ac:dyDescent="0.25">
      <c r="I131" s="272">
        <f t="shared" si="24"/>
        <v>0</v>
      </c>
      <c r="M131" s="272">
        <f t="shared" si="25"/>
        <v>0</v>
      </c>
    </row>
    <row r="132" spans="9:13" x14ac:dyDescent="0.25">
      <c r="I132" s="272">
        <f t="shared" si="24"/>
        <v>0</v>
      </c>
      <c r="M132" s="272">
        <f t="shared" si="25"/>
        <v>0</v>
      </c>
    </row>
    <row r="133" spans="9:13" x14ac:dyDescent="0.25">
      <c r="I133" s="272">
        <f t="shared" si="24"/>
        <v>0</v>
      </c>
      <c r="M133" s="272">
        <f t="shared" si="25"/>
        <v>0</v>
      </c>
    </row>
    <row r="134" spans="9:13" x14ac:dyDescent="0.25">
      <c r="I134" s="272">
        <f t="shared" si="24"/>
        <v>0</v>
      </c>
      <c r="M134" s="272">
        <f t="shared" si="25"/>
        <v>0</v>
      </c>
    </row>
    <row r="135" spans="9:13" x14ac:dyDescent="0.25">
      <c r="I135" s="272">
        <f t="shared" si="24"/>
        <v>0</v>
      </c>
      <c r="M135" s="272">
        <f t="shared" si="25"/>
        <v>0</v>
      </c>
    </row>
    <row r="136" spans="9:13" x14ac:dyDescent="0.25">
      <c r="I136" s="272">
        <f t="shared" si="24"/>
        <v>0</v>
      </c>
      <c r="M136" s="272">
        <f t="shared" si="25"/>
        <v>0</v>
      </c>
    </row>
    <row r="137" spans="9:13" x14ac:dyDescent="0.25">
      <c r="I137" s="272">
        <f t="shared" si="24"/>
        <v>0</v>
      </c>
      <c r="M137" s="272">
        <f t="shared" si="25"/>
        <v>0</v>
      </c>
    </row>
    <row r="138" spans="9:13" x14ac:dyDescent="0.25">
      <c r="I138" s="272">
        <f t="shared" si="24"/>
        <v>0</v>
      </c>
      <c r="M138" s="272">
        <f t="shared" si="25"/>
        <v>0</v>
      </c>
    </row>
    <row r="139" spans="9:13" x14ac:dyDescent="0.25">
      <c r="I139" s="272">
        <f t="shared" si="24"/>
        <v>0</v>
      </c>
      <c r="M139" s="272">
        <f t="shared" si="25"/>
        <v>0</v>
      </c>
    </row>
    <row r="140" spans="9:13" x14ac:dyDescent="0.25">
      <c r="I140" s="272">
        <f t="shared" si="24"/>
        <v>0</v>
      </c>
      <c r="M140" s="272">
        <f t="shared" si="25"/>
        <v>0</v>
      </c>
    </row>
    <row r="141" spans="9:13" x14ac:dyDescent="0.25">
      <c r="I141" s="272">
        <f t="shared" si="24"/>
        <v>0</v>
      </c>
      <c r="M141" s="272">
        <f t="shared" si="25"/>
        <v>0</v>
      </c>
    </row>
    <row r="142" spans="9:13" x14ac:dyDescent="0.25">
      <c r="I142" s="272">
        <f t="shared" si="24"/>
        <v>0</v>
      </c>
      <c r="M142" s="272">
        <f t="shared" si="25"/>
        <v>0</v>
      </c>
    </row>
    <row r="143" spans="9:13" x14ac:dyDescent="0.25">
      <c r="I143" s="272">
        <f t="shared" si="24"/>
        <v>0</v>
      </c>
      <c r="M143" s="272">
        <f t="shared" si="25"/>
        <v>0</v>
      </c>
    </row>
    <row r="144" spans="9:13" x14ac:dyDescent="0.25">
      <c r="I144" s="272">
        <f t="shared" si="24"/>
        <v>0</v>
      </c>
      <c r="M144" s="272">
        <f t="shared" si="25"/>
        <v>0</v>
      </c>
    </row>
    <row r="145" spans="9:13" x14ac:dyDescent="0.25">
      <c r="I145" s="272">
        <f t="shared" si="24"/>
        <v>0</v>
      </c>
      <c r="M145" s="272">
        <f t="shared" si="25"/>
        <v>0</v>
      </c>
    </row>
    <row r="146" spans="9:13" x14ac:dyDescent="0.25">
      <c r="I146" s="272">
        <f t="shared" si="24"/>
        <v>0</v>
      </c>
      <c r="M146" s="272">
        <f t="shared" si="25"/>
        <v>0</v>
      </c>
    </row>
    <row r="147" spans="9:13" x14ac:dyDescent="0.25">
      <c r="I147" s="272">
        <f t="shared" si="24"/>
        <v>0</v>
      </c>
      <c r="M147" s="272">
        <f t="shared" si="25"/>
        <v>0</v>
      </c>
    </row>
    <row r="148" spans="9:13" x14ac:dyDescent="0.25">
      <c r="I148" s="272">
        <f t="shared" si="24"/>
        <v>0</v>
      </c>
      <c r="M148" s="272">
        <f t="shared" si="25"/>
        <v>0</v>
      </c>
    </row>
    <row r="149" spans="9:13" x14ac:dyDescent="0.25">
      <c r="I149" s="272">
        <f t="shared" si="24"/>
        <v>0</v>
      </c>
      <c r="M149" s="272">
        <f t="shared" si="25"/>
        <v>0</v>
      </c>
    </row>
    <row r="150" spans="9:13" x14ac:dyDescent="0.25">
      <c r="I150" s="272">
        <f t="shared" si="24"/>
        <v>0</v>
      </c>
      <c r="M150" s="272">
        <f t="shared" si="25"/>
        <v>0</v>
      </c>
    </row>
    <row r="151" spans="9:13" x14ac:dyDescent="0.25">
      <c r="I151" s="272">
        <f t="shared" si="24"/>
        <v>0</v>
      </c>
      <c r="M151" s="272">
        <f t="shared" si="25"/>
        <v>0</v>
      </c>
    </row>
    <row r="152" spans="9:13" x14ac:dyDescent="0.25">
      <c r="I152" s="272">
        <f t="shared" si="24"/>
        <v>0</v>
      </c>
      <c r="M152" s="272">
        <f t="shared" si="25"/>
        <v>0</v>
      </c>
    </row>
    <row r="153" spans="9:13" x14ac:dyDescent="0.25">
      <c r="I153" s="272">
        <f t="shared" si="24"/>
        <v>0</v>
      </c>
      <c r="M153" s="272">
        <f t="shared" si="25"/>
        <v>0</v>
      </c>
    </row>
    <row r="154" spans="9:13" x14ac:dyDescent="0.25">
      <c r="I154" s="272">
        <f t="shared" si="24"/>
        <v>0</v>
      </c>
      <c r="M154" s="272">
        <f t="shared" si="25"/>
        <v>0</v>
      </c>
    </row>
    <row r="155" spans="9:13" x14ac:dyDescent="0.25">
      <c r="I155" s="272">
        <f t="shared" si="24"/>
        <v>0</v>
      </c>
      <c r="M155" s="272">
        <f t="shared" si="25"/>
        <v>0</v>
      </c>
    </row>
    <row r="156" spans="9:13" x14ac:dyDescent="0.25">
      <c r="I156" s="272">
        <f t="shared" si="24"/>
        <v>0</v>
      </c>
      <c r="M156" s="272">
        <f t="shared" si="25"/>
        <v>0</v>
      </c>
    </row>
    <row r="157" spans="9:13" x14ac:dyDescent="0.25">
      <c r="I157" s="272">
        <f t="shared" si="24"/>
        <v>0</v>
      </c>
      <c r="M157" s="272">
        <f t="shared" si="25"/>
        <v>0</v>
      </c>
    </row>
    <row r="158" spans="9:13" x14ac:dyDescent="0.25">
      <c r="I158" s="272">
        <f t="shared" si="24"/>
        <v>0</v>
      </c>
      <c r="M158" s="272">
        <f t="shared" si="25"/>
        <v>0</v>
      </c>
    </row>
    <row r="159" spans="9:13" x14ac:dyDescent="0.25">
      <c r="I159" s="272">
        <f t="shared" ref="I159:I190" si="26">SUM(E159:H159)</f>
        <v>0</v>
      </c>
      <c r="M159" s="272">
        <f t="shared" ref="M159:M190" si="27">SUM(K159:L159)</f>
        <v>0</v>
      </c>
    </row>
    <row r="160" spans="9:13" x14ac:dyDescent="0.25">
      <c r="I160" s="272">
        <f t="shared" si="26"/>
        <v>0</v>
      </c>
      <c r="M160" s="272">
        <f t="shared" si="27"/>
        <v>0</v>
      </c>
    </row>
    <row r="161" spans="9:13" x14ac:dyDescent="0.25">
      <c r="I161" s="272">
        <f t="shared" si="26"/>
        <v>0</v>
      </c>
      <c r="M161" s="272">
        <f t="shared" si="27"/>
        <v>0</v>
      </c>
    </row>
    <row r="162" spans="9:13" x14ac:dyDescent="0.25">
      <c r="I162" s="272">
        <f t="shared" si="26"/>
        <v>0</v>
      </c>
      <c r="M162" s="272">
        <f t="shared" si="27"/>
        <v>0</v>
      </c>
    </row>
    <row r="163" spans="9:13" x14ac:dyDescent="0.25">
      <c r="I163" s="272">
        <f t="shared" si="26"/>
        <v>0</v>
      </c>
      <c r="M163" s="272">
        <f t="shared" si="27"/>
        <v>0</v>
      </c>
    </row>
    <row r="164" spans="9:13" x14ac:dyDescent="0.25">
      <c r="I164" s="272">
        <f t="shared" si="26"/>
        <v>0</v>
      </c>
      <c r="M164" s="272">
        <f t="shared" si="27"/>
        <v>0</v>
      </c>
    </row>
    <row r="165" spans="9:13" x14ac:dyDescent="0.25">
      <c r="I165" s="272">
        <f t="shared" si="26"/>
        <v>0</v>
      </c>
      <c r="M165" s="272">
        <f t="shared" si="27"/>
        <v>0</v>
      </c>
    </row>
    <row r="166" spans="9:13" x14ac:dyDescent="0.25">
      <c r="I166" s="272">
        <f t="shared" si="26"/>
        <v>0</v>
      </c>
      <c r="M166" s="272">
        <f t="shared" si="27"/>
        <v>0</v>
      </c>
    </row>
    <row r="167" spans="9:13" x14ac:dyDescent="0.25">
      <c r="I167" s="272">
        <f t="shared" si="26"/>
        <v>0</v>
      </c>
      <c r="M167" s="272">
        <f t="shared" si="27"/>
        <v>0</v>
      </c>
    </row>
    <row r="168" spans="9:13" x14ac:dyDescent="0.25">
      <c r="I168" s="272">
        <f t="shared" si="26"/>
        <v>0</v>
      </c>
      <c r="M168" s="272">
        <f t="shared" si="27"/>
        <v>0</v>
      </c>
    </row>
    <row r="169" spans="9:13" x14ac:dyDescent="0.25">
      <c r="I169" s="272">
        <f t="shared" si="26"/>
        <v>0</v>
      </c>
      <c r="M169" s="272">
        <f t="shared" si="27"/>
        <v>0</v>
      </c>
    </row>
    <row r="170" spans="9:13" x14ac:dyDescent="0.25">
      <c r="I170" s="272">
        <f t="shared" si="26"/>
        <v>0</v>
      </c>
      <c r="M170" s="272">
        <f t="shared" si="27"/>
        <v>0</v>
      </c>
    </row>
    <row r="171" spans="9:13" x14ac:dyDescent="0.25">
      <c r="I171" s="272">
        <f t="shared" si="26"/>
        <v>0</v>
      </c>
      <c r="M171" s="272">
        <f t="shared" si="27"/>
        <v>0</v>
      </c>
    </row>
    <row r="172" spans="9:13" x14ac:dyDescent="0.25">
      <c r="I172" s="272">
        <f t="shared" si="26"/>
        <v>0</v>
      </c>
      <c r="M172" s="272">
        <f t="shared" si="27"/>
        <v>0</v>
      </c>
    </row>
    <row r="173" spans="9:13" x14ac:dyDescent="0.25">
      <c r="I173" s="272">
        <f t="shared" si="26"/>
        <v>0</v>
      </c>
      <c r="M173" s="272">
        <f t="shared" si="27"/>
        <v>0</v>
      </c>
    </row>
    <row r="174" spans="9:13" x14ac:dyDescent="0.25">
      <c r="I174" s="272">
        <f t="shared" si="26"/>
        <v>0</v>
      </c>
      <c r="M174" s="272">
        <f t="shared" si="27"/>
        <v>0</v>
      </c>
    </row>
    <row r="175" spans="9:13" x14ac:dyDescent="0.25">
      <c r="I175" s="272">
        <f t="shared" si="26"/>
        <v>0</v>
      </c>
      <c r="M175" s="272">
        <f t="shared" si="27"/>
        <v>0</v>
      </c>
    </row>
    <row r="176" spans="9:13" x14ac:dyDescent="0.25">
      <c r="I176" s="272">
        <f t="shared" si="26"/>
        <v>0</v>
      </c>
      <c r="M176" s="272">
        <f t="shared" si="27"/>
        <v>0</v>
      </c>
    </row>
    <row r="177" spans="9:13" x14ac:dyDescent="0.25">
      <c r="I177" s="272">
        <f t="shared" si="26"/>
        <v>0</v>
      </c>
      <c r="M177" s="272">
        <f t="shared" si="27"/>
        <v>0</v>
      </c>
    </row>
    <row r="178" spans="9:13" x14ac:dyDescent="0.25">
      <c r="I178" s="272">
        <f t="shared" si="26"/>
        <v>0</v>
      </c>
      <c r="M178" s="272">
        <f t="shared" si="27"/>
        <v>0</v>
      </c>
    </row>
    <row r="179" spans="9:13" x14ac:dyDescent="0.25">
      <c r="I179" s="272">
        <f t="shared" si="26"/>
        <v>0</v>
      </c>
      <c r="M179" s="272">
        <f t="shared" si="27"/>
        <v>0</v>
      </c>
    </row>
    <row r="180" spans="9:13" x14ac:dyDescent="0.25">
      <c r="I180" s="272">
        <f t="shared" si="26"/>
        <v>0</v>
      </c>
      <c r="M180" s="272">
        <f t="shared" si="27"/>
        <v>0</v>
      </c>
    </row>
    <row r="181" spans="9:13" x14ac:dyDescent="0.25">
      <c r="I181" s="272">
        <f t="shared" si="26"/>
        <v>0</v>
      </c>
      <c r="M181" s="272">
        <f t="shared" si="27"/>
        <v>0</v>
      </c>
    </row>
    <row r="182" spans="9:13" x14ac:dyDescent="0.25">
      <c r="I182" s="272">
        <f t="shared" si="26"/>
        <v>0</v>
      </c>
      <c r="M182" s="272">
        <f t="shared" si="27"/>
        <v>0</v>
      </c>
    </row>
    <row r="183" spans="9:13" x14ac:dyDescent="0.25">
      <c r="I183" s="272">
        <f t="shared" si="26"/>
        <v>0</v>
      </c>
      <c r="M183" s="272">
        <f t="shared" si="27"/>
        <v>0</v>
      </c>
    </row>
    <row r="184" spans="9:13" x14ac:dyDescent="0.25">
      <c r="I184" s="272">
        <f t="shared" si="26"/>
        <v>0</v>
      </c>
      <c r="M184" s="272">
        <f t="shared" si="27"/>
        <v>0</v>
      </c>
    </row>
    <row r="185" spans="9:13" x14ac:dyDescent="0.25">
      <c r="I185" s="272">
        <f t="shared" si="26"/>
        <v>0</v>
      </c>
      <c r="M185" s="272">
        <f t="shared" si="27"/>
        <v>0</v>
      </c>
    </row>
    <row r="186" spans="9:13" x14ac:dyDescent="0.25">
      <c r="I186" s="272">
        <f t="shared" si="26"/>
        <v>0</v>
      </c>
      <c r="M186" s="272">
        <f t="shared" si="27"/>
        <v>0</v>
      </c>
    </row>
    <row r="187" spans="9:13" x14ac:dyDescent="0.25">
      <c r="I187" s="272">
        <f t="shared" si="26"/>
        <v>0</v>
      </c>
      <c r="M187" s="272">
        <f t="shared" si="27"/>
        <v>0</v>
      </c>
    </row>
    <row r="188" spans="9:13" x14ac:dyDescent="0.25">
      <c r="I188" s="272">
        <f t="shared" si="26"/>
        <v>0</v>
      </c>
      <c r="M188" s="272">
        <f t="shared" si="27"/>
        <v>0</v>
      </c>
    </row>
    <row r="189" spans="9:13" x14ac:dyDescent="0.25">
      <c r="I189" s="272">
        <f t="shared" si="26"/>
        <v>0</v>
      </c>
      <c r="M189" s="272">
        <f t="shared" si="27"/>
        <v>0</v>
      </c>
    </row>
    <row r="190" spans="9:13" x14ac:dyDescent="0.25">
      <c r="I190" s="272">
        <f t="shared" si="26"/>
        <v>0</v>
      </c>
      <c r="M190" s="272">
        <f t="shared" si="27"/>
        <v>0</v>
      </c>
    </row>
    <row r="191" spans="9:13" x14ac:dyDescent="0.25">
      <c r="I191" s="272">
        <f t="shared" ref="I191:I222" si="28">SUM(E191:H191)</f>
        <v>0</v>
      </c>
      <c r="M191" s="272">
        <f t="shared" ref="M191:M222" si="29">SUM(K191:L191)</f>
        <v>0</v>
      </c>
    </row>
    <row r="192" spans="9:13" x14ac:dyDescent="0.25">
      <c r="I192" s="272">
        <f t="shared" si="28"/>
        <v>0</v>
      </c>
      <c r="M192" s="272">
        <f t="shared" si="29"/>
        <v>0</v>
      </c>
    </row>
    <row r="193" spans="9:13" x14ac:dyDescent="0.25">
      <c r="I193" s="272">
        <f t="shared" si="28"/>
        <v>0</v>
      </c>
      <c r="M193" s="272">
        <f t="shared" si="29"/>
        <v>0</v>
      </c>
    </row>
    <row r="194" spans="9:13" x14ac:dyDescent="0.25">
      <c r="I194" s="272">
        <f t="shared" si="28"/>
        <v>0</v>
      </c>
      <c r="M194" s="272">
        <f t="shared" si="29"/>
        <v>0</v>
      </c>
    </row>
    <row r="195" spans="9:13" x14ac:dyDescent="0.25">
      <c r="I195" s="272">
        <f t="shared" si="28"/>
        <v>0</v>
      </c>
      <c r="M195" s="272">
        <f t="shared" si="29"/>
        <v>0</v>
      </c>
    </row>
    <row r="196" spans="9:13" x14ac:dyDescent="0.25">
      <c r="I196" s="272">
        <f t="shared" si="28"/>
        <v>0</v>
      </c>
      <c r="M196" s="272">
        <f t="shared" si="29"/>
        <v>0</v>
      </c>
    </row>
    <row r="197" spans="9:13" x14ac:dyDescent="0.25">
      <c r="I197" s="272">
        <f t="shared" si="28"/>
        <v>0</v>
      </c>
      <c r="M197" s="272">
        <f t="shared" si="29"/>
        <v>0</v>
      </c>
    </row>
    <row r="198" spans="9:13" x14ac:dyDescent="0.25">
      <c r="I198" s="272">
        <f t="shared" si="28"/>
        <v>0</v>
      </c>
      <c r="M198" s="272">
        <f t="shared" si="29"/>
        <v>0</v>
      </c>
    </row>
    <row r="199" spans="9:13" x14ac:dyDescent="0.25">
      <c r="I199" s="272">
        <f t="shared" si="28"/>
        <v>0</v>
      </c>
      <c r="M199" s="272">
        <f t="shared" si="29"/>
        <v>0</v>
      </c>
    </row>
    <row r="200" spans="9:13" x14ac:dyDescent="0.25">
      <c r="I200" s="272">
        <f t="shared" si="28"/>
        <v>0</v>
      </c>
      <c r="M200" s="272">
        <f t="shared" si="29"/>
        <v>0</v>
      </c>
    </row>
    <row r="201" spans="9:13" x14ac:dyDescent="0.25">
      <c r="I201" s="272">
        <f t="shared" si="28"/>
        <v>0</v>
      </c>
      <c r="M201" s="272">
        <f t="shared" si="29"/>
        <v>0</v>
      </c>
    </row>
    <row r="202" spans="9:13" x14ac:dyDescent="0.25">
      <c r="I202" s="272">
        <f t="shared" si="28"/>
        <v>0</v>
      </c>
      <c r="M202" s="272">
        <f t="shared" si="29"/>
        <v>0</v>
      </c>
    </row>
    <row r="203" spans="9:13" x14ac:dyDescent="0.25">
      <c r="I203" s="272">
        <f t="shared" si="28"/>
        <v>0</v>
      </c>
      <c r="M203" s="272">
        <f t="shared" si="29"/>
        <v>0</v>
      </c>
    </row>
    <row r="204" spans="9:13" x14ac:dyDescent="0.25">
      <c r="I204" s="272">
        <f t="shared" si="28"/>
        <v>0</v>
      </c>
      <c r="M204" s="272">
        <f t="shared" si="29"/>
        <v>0</v>
      </c>
    </row>
    <row r="205" spans="9:13" x14ac:dyDescent="0.25">
      <c r="I205" s="272">
        <f t="shared" si="28"/>
        <v>0</v>
      </c>
      <c r="M205" s="272">
        <f t="shared" si="29"/>
        <v>0</v>
      </c>
    </row>
    <row r="206" spans="9:13" x14ac:dyDescent="0.25">
      <c r="I206" s="272">
        <f t="shared" si="28"/>
        <v>0</v>
      </c>
      <c r="M206" s="272">
        <f t="shared" si="29"/>
        <v>0</v>
      </c>
    </row>
    <row r="207" spans="9:13" x14ac:dyDescent="0.25">
      <c r="I207" s="272">
        <f t="shared" si="28"/>
        <v>0</v>
      </c>
      <c r="M207" s="272">
        <f t="shared" si="29"/>
        <v>0</v>
      </c>
    </row>
    <row r="208" spans="9:13" x14ac:dyDescent="0.25">
      <c r="I208" s="272">
        <f t="shared" si="28"/>
        <v>0</v>
      </c>
      <c r="M208" s="272">
        <f t="shared" si="29"/>
        <v>0</v>
      </c>
    </row>
    <row r="209" spans="9:13" x14ac:dyDescent="0.25">
      <c r="I209" s="272">
        <f t="shared" si="28"/>
        <v>0</v>
      </c>
      <c r="M209" s="272">
        <f t="shared" si="29"/>
        <v>0</v>
      </c>
    </row>
    <row r="210" spans="9:13" x14ac:dyDescent="0.25">
      <c r="I210" s="272">
        <f t="shared" si="28"/>
        <v>0</v>
      </c>
      <c r="M210" s="272">
        <f t="shared" si="29"/>
        <v>0</v>
      </c>
    </row>
    <row r="211" spans="9:13" x14ac:dyDescent="0.25">
      <c r="I211" s="272">
        <f t="shared" si="28"/>
        <v>0</v>
      </c>
      <c r="M211" s="272">
        <f t="shared" si="29"/>
        <v>0</v>
      </c>
    </row>
    <row r="212" spans="9:13" x14ac:dyDescent="0.25">
      <c r="I212" s="272">
        <f t="shared" si="28"/>
        <v>0</v>
      </c>
      <c r="M212" s="272">
        <f t="shared" si="29"/>
        <v>0</v>
      </c>
    </row>
    <row r="213" spans="9:13" x14ac:dyDescent="0.25">
      <c r="I213" s="272">
        <f t="shared" si="28"/>
        <v>0</v>
      </c>
      <c r="M213" s="272">
        <f t="shared" si="29"/>
        <v>0</v>
      </c>
    </row>
    <row r="214" spans="9:13" x14ac:dyDescent="0.25">
      <c r="I214" s="272">
        <f t="shared" si="28"/>
        <v>0</v>
      </c>
      <c r="M214" s="272">
        <f t="shared" si="29"/>
        <v>0</v>
      </c>
    </row>
    <row r="215" spans="9:13" x14ac:dyDescent="0.25">
      <c r="I215" s="272">
        <f t="shared" si="28"/>
        <v>0</v>
      </c>
      <c r="M215" s="272">
        <f t="shared" si="29"/>
        <v>0</v>
      </c>
    </row>
    <row r="216" spans="9:13" x14ac:dyDescent="0.25">
      <c r="I216" s="272">
        <f t="shared" si="28"/>
        <v>0</v>
      </c>
      <c r="M216" s="272">
        <f t="shared" si="29"/>
        <v>0</v>
      </c>
    </row>
    <row r="217" spans="9:13" x14ac:dyDescent="0.25">
      <c r="I217" s="272">
        <f t="shared" si="28"/>
        <v>0</v>
      </c>
      <c r="M217" s="272">
        <f t="shared" si="29"/>
        <v>0</v>
      </c>
    </row>
    <row r="218" spans="9:13" x14ac:dyDescent="0.25">
      <c r="I218" s="272">
        <f t="shared" si="28"/>
        <v>0</v>
      </c>
      <c r="M218" s="272">
        <f t="shared" si="29"/>
        <v>0</v>
      </c>
    </row>
    <row r="219" spans="9:13" x14ac:dyDescent="0.25">
      <c r="I219" s="272">
        <f t="shared" si="28"/>
        <v>0</v>
      </c>
      <c r="M219" s="272">
        <f t="shared" si="29"/>
        <v>0</v>
      </c>
    </row>
    <row r="220" spans="9:13" x14ac:dyDescent="0.25">
      <c r="I220" s="272">
        <f t="shared" si="28"/>
        <v>0</v>
      </c>
      <c r="M220" s="272">
        <f t="shared" si="29"/>
        <v>0</v>
      </c>
    </row>
    <row r="221" spans="9:13" x14ac:dyDescent="0.25">
      <c r="I221" s="272">
        <f t="shared" si="28"/>
        <v>0</v>
      </c>
      <c r="M221" s="272">
        <f t="shared" si="29"/>
        <v>0</v>
      </c>
    </row>
    <row r="222" spans="9:13" x14ac:dyDescent="0.25">
      <c r="I222" s="272">
        <f t="shared" si="28"/>
        <v>0</v>
      </c>
      <c r="M222" s="272">
        <f t="shared" si="29"/>
        <v>0</v>
      </c>
    </row>
    <row r="223" spans="9:13" x14ac:dyDescent="0.25">
      <c r="I223" s="272">
        <f>SUM(E223:H223)</f>
        <v>0</v>
      </c>
      <c r="M223" s="272">
        <f>SUM(K223:L223)</f>
        <v>0</v>
      </c>
    </row>
    <row r="224" spans="9:13" x14ac:dyDescent="0.25">
      <c r="I224" s="272">
        <f>SUM(E224:H224)</f>
        <v>0</v>
      </c>
      <c r="M224" s="272">
        <f>SUM(K224:L224)</f>
        <v>0</v>
      </c>
    </row>
    <row r="225" spans="9:13" x14ac:dyDescent="0.25">
      <c r="I225" s="272">
        <f>SUM(E225:H225)</f>
        <v>0</v>
      </c>
      <c r="M225" s="272">
        <f>SUM(K225:L225)</f>
        <v>0</v>
      </c>
    </row>
    <row r="226" spans="9:13" x14ac:dyDescent="0.25">
      <c r="I226" s="272">
        <f>SUM(E226:H226)</f>
        <v>0</v>
      </c>
      <c r="M226" s="272">
        <f>SUM(K226:L226)</f>
        <v>0</v>
      </c>
    </row>
  </sheetData>
  <pageMargins left="0.7" right="0.7" top="0.75" bottom="0.75" header="0.51180555555555496" footer="0.51180555555555496"/>
  <pageSetup paperSize="9" firstPageNumber="0" orientation="portrait" horizontalDpi="300" verticalDpi="3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 filterMode="1"/>
  <dimension ref="A1:T158"/>
  <sheetViews>
    <sheetView showZeros="0" topLeftCell="B1" zoomScaleNormal="100" workbookViewId="0">
      <pane ySplit="2" topLeftCell="A3" activePane="bottomLeft" state="frozen"/>
      <selection activeCell="D3" sqref="D3"/>
      <selection pane="bottomLeft" activeCell="I19" sqref="I19"/>
    </sheetView>
  </sheetViews>
  <sheetFormatPr defaultRowHeight="13.2" x14ac:dyDescent="0.25"/>
  <cols>
    <col min="1" max="1" width="0" hidden="1" customWidth="1"/>
    <col min="2" max="2" width="15.5546875"/>
    <col min="3" max="3" width="11"/>
    <col min="4" max="4" width="19.5546875"/>
    <col min="5" max="9" width="11"/>
    <col min="10" max="10" width="12.44140625"/>
    <col min="11" max="12" width="9.5546875"/>
    <col min="13" max="13" width="14.5546875"/>
    <col min="14" max="14" width="34.44140625"/>
    <col min="15" max="1025" width="11"/>
  </cols>
  <sheetData>
    <row r="1" spans="1:20" x14ac:dyDescent="0.25">
      <c r="A1" s="279"/>
      <c r="B1" s="280"/>
      <c r="C1" s="281"/>
      <c r="D1" s="281"/>
      <c r="E1" s="281" t="s">
        <v>31</v>
      </c>
      <c r="F1" s="180" t="s">
        <v>31</v>
      </c>
      <c r="G1" s="180" t="s">
        <v>138</v>
      </c>
      <c r="H1" s="180" t="s">
        <v>138</v>
      </c>
      <c r="I1" s="180" t="s">
        <v>464</v>
      </c>
      <c r="J1" s="180" t="s">
        <v>464</v>
      </c>
      <c r="K1" s="180"/>
      <c r="L1" s="180" t="s">
        <v>526</v>
      </c>
      <c r="M1" s="180" t="s">
        <v>478</v>
      </c>
      <c r="N1" s="279"/>
    </row>
    <row r="2" spans="1:20" hidden="1" x14ac:dyDescent="0.25">
      <c r="A2" s="259" t="s">
        <v>465</v>
      </c>
      <c r="B2" s="282" t="s">
        <v>446</v>
      </c>
      <c r="C2" s="156" t="s">
        <v>477</v>
      </c>
      <c r="D2" s="156" t="s">
        <v>138</v>
      </c>
      <c r="E2" s="156" t="s">
        <v>445</v>
      </c>
      <c r="F2" s="67" t="s">
        <v>488</v>
      </c>
      <c r="G2" s="67" t="s">
        <v>128</v>
      </c>
      <c r="H2" s="67" t="s">
        <v>489</v>
      </c>
      <c r="I2" s="67" t="s">
        <v>128</v>
      </c>
      <c r="J2" s="67" t="s">
        <v>489</v>
      </c>
      <c r="K2" s="67" t="s">
        <v>490</v>
      </c>
      <c r="L2" s="67" t="s">
        <v>491</v>
      </c>
      <c r="M2" s="67" t="s">
        <v>477</v>
      </c>
      <c r="N2" s="259" t="s">
        <v>492</v>
      </c>
    </row>
    <row r="3" spans="1:20" hidden="1" x14ac:dyDescent="0.25">
      <c r="A3" s="283" t="str">
        <f t="shared" ref="A3:A44" si="0">B3&amp;":"&amp;C3</f>
        <v>:</v>
      </c>
      <c r="B3" s="284"/>
      <c r="C3" s="285"/>
      <c r="D3" s="15" t="s">
        <v>527</v>
      </c>
      <c r="E3" s="285" t="s">
        <v>528</v>
      </c>
      <c r="F3" s="286" t="s">
        <v>529</v>
      </c>
      <c r="G3" s="76">
        <v>0</v>
      </c>
      <c r="H3" s="76">
        <v>0</v>
      </c>
      <c r="I3" s="76">
        <f ca="1">G3*(1-OFFSET(payMgmtRate,0,L3))</f>
        <v>0</v>
      </c>
      <c r="J3" s="76"/>
      <c r="K3" s="287" t="s">
        <v>530</v>
      </c>
      <c r="L3" s="288">
        <v>1</v>
      </c>
      <c r="M3" s="288">
        <v>1</v>
      </c>
      <c r="N3" s="289"/>
    </row>
    <row r="4" spans="1:20" hidden="1" x14ac:dyDescent="0.25">
      <c r="A4" s="283" t="str">
        <f t="shared" si="0"/>
        <v>ANZ:ARH</v>
      </c>
      <c r="B4" s="284" t="s">
        <v>397</v>
      </c>
      <c r="C4" s="285" t="s">
        <v>531</v>
      </c>
      <c r="D4" s="15" t="s">
        <v>239</v>
      </c>
      <c r="E4" s="285" t="s">
        <v>528</v>
      </c>
      <c r="F4" s="286" t="s">
        <v>529</v>
      </c>
      <c r="G4" s="76">
        <v>875</v>
      </c>
      <c r="H4" s="76">
        <v>875</v>
      </c>
      <c r="I4" s="76">
        <f ca="1">G4*(1-OFFSET(payMgmtRate,0,L4))</f>
        <v>831.25</v>
      </c>
      <c r="J4" s="76"/>
      <c r="K4" s="287" t="s">
        <v>530</v>
      </c>
      <c r="L4" s="288">
        <v>1</v>
      </c>
      <c r="M4" s="288">
        <v>1</v>
      </c>
      <c r="N4" s="289"/>
    </row>
    <row r="5" spans="1:20" hidden="1" x14ac:dyDescent="0.25">
      <c r="A5" s="283" t="str">
        <f t="shared" si="0"/>
        <v>AVANTIS:SMB</v>
      </c>
      <c r="B5" s="284" t="s">
        <v>532</v>
      </c>
      <c r="C5" s="285" t="s">
        <v>533</v>
      </c>
      <c r="D5" s="15" t="s">
        <v>195</v>
      </c>
      <c r="E5" s="285" t="s">
        <v>528</v>
      </c>
      <c r="F5" s="286" t="s">
        <v>529</v>
      </c>
      <c r="G5" s="76">
        <v>800</v>
      </c>
      <c r="H5" s="76">
        <v>800</v>
      </c>
      <c r="I5" s="76">
        <v>760</v>
      </c>
      <c r="J5" s="76"/>
      <c r="K5" s="287" t="s">
        <v>534</v>
      </c>
      <c r="L5" s="288"/>
      <c r="M5" s="288">
        <v>1</v>
      </c>
      <c r="N5" s="289"/>
    </row>
    <row r="6" spans="1:20" hidden="1" x14ac:dyDescent="0.25">
      <c r="A6" s="283" t="str">
        <f t="shared" si="0"/>
        <v>BCB:SRP</v>
      </c>
      <c r="B6" s="284" t="s">
        <v>535</v>
      </c>
      <c r="C6" s="285" t="s">
        <v>536</v>
      </c>
      <c r="D6" s="15" t="s">
        <v>537</v>
      </c>
      <c r="E6" s="285" t="s">
        <v>538</v>
      </c>
      <c r="F6" s="286" t="s">
        <v>539</v>
      </c>
      <c r="G6" s="76">
        <v>100</v>
      </c>
      <c r="H6" s="76">
        <v>100</v>
      </c>
      <c r="I6" s="76">
        <f ca="1">G6*(1-OFFSET(payMgmtRate,0,L6))</f>
        <v>95</v>
      </c>
      <c r="J6" s="76"/>
      <c r="K6" s="287" t="s">
        <v>530</v>
      </c>
      <c r="L6" s="288">
        <v>1</v>
      </c>
      <c r="M6" s="288">
        <v>1</v>
      </c>
      <c r="N6" s="289"/>
    </row>
    <row r="7" spans="1:20" hidden="1" x14ac:dyDescent="0.25">
      <c r="A7" s="283" t="str">
        <f t="shared" si="0"/>
        <v>C3:RR</v>
      </c>
      <c r="B7" s="284" t="s">
        <v>540</v>
      </c>
      <c r="C7" s="285" t="s">
        <v>541</v>
      </c>
      <c r="D7" s="15" t="s">
        <v>542</v>
      </c>
      <c r="E7" s="285" t="s">
        <v>528</v>
      </c>
      <c r="F7" s="286" t="s">
        <v>529</v>
      </c>
      <c r="G7" s="76">
        <v>800</v>
      </c>
      <c r="H7" s="76">
        <v>800</v>
      </c>
      <c r="I7" s="76">
        <v>5600</v>
      </c>
      <c r="J7" s="76"/>
      <c r="K7" s="287" t="s">
        <v>530</v>
      </c>
      <c r="L7" s="288"/>
      <c r="M7" s="288"/>
      <c r="N7" s="289"/>
    </row>
    <row r="8" spans="1:20" hidden="1" x14ac:dyDescent="0.25">
      <c r="A8" s="283" t="str">
        <f t="shared" si="0"/>
        <v>CBA:CRP</v>
      </c>
      <c r="B8" s="284" t="s">
        <v>543</v>
      </c>
      <c r="C8" s="285" t="s">
        <v>57</v>
      </c>
      <c r="D8" s="15" t="s">
        <v>209</v>
      </c>
      <c r="E8" s="285" t="s">
        <v>538</v>
      </c>
      <c r="F8" s="286" t="s">
        <v>529</v>
      </c>
      <c r="G8" s="76">
        <v>650</v>
      </c>
      <c r="H8" s="76">
        <v>650</v>
      </c>
      <c r="I8" s="76">
        <f ca="1">G8*(1-OFFSET(payMgmtRate,0,L8))</f>
        <v>617.5</v>
      </c>
      <c r="J8" s="76"/>
      <c r="K8" s="287" t="s">
        <v>530</v>
      </c>
      <c r="L8" s="288">
        <v>1</v>
      </c>
      <c r="M8" s="288">
        <v>1</v>
      </c>
      <c r="N8" s="289"/>
    </row>
    <row r="9" spans="1:20" hidden="1" x14ac:dyDescent="0.25">
      <c r="A9" s="283" t="str">
        <f t="shared" si="0"/>
        <v>CBA1:CRP</v>
      </c>
      <c r="B9" s="284" t="s">
        <v>544</v>
      </c>
      <c r="C9" s="285" t="s">
        <v>57</v>
      </c>
      <c r="D9" s="15" t="s">
        <v>214</v>
      </c>
      <c r="E9" s="285" t="s">
        <v>528</v>
      </c>
      <c r="F9" s="286" t="s">
        <v>529</v>
      </c>
      <c r="G9" s="76">
        <v>800</v>
      </c>
      <c r="H9" s="76">
        <v>100</v>
      </c>
      <c r="I9" s="76">
        <f ca="1">G9*(1-OFFSET(payMgmtRate,0,L9))</f>
        <v>760</v>
      </c>
      <c r="J9" s="76">
        <v>100</v>
      </c>
      <c r="K9" s="287" t="s">
        <v>530</v>
      </c>
      <c r="L9" s="288">
        <v>1</v>
      </c>
      <c r="M9" s="288">
        <v>1</v>
      </c>
      <c r="N9" s="289"/>
    </row>
    <row r="10" spans="1:20" hidden="1" x14ac:dyDescent="0.25">
      <c r="A10" s="283" t="str">
        <f t="shared" si="0"/>
        <v>CCA:SMB</v>
      </c>
      <c r="B10" s="284" t="s">
        <v>197</v>
      </c>
      <c r="C10" s="285" t="s">
        <v>533</v>
      </c>
      <c r="D10" s="15" t="s">
        <v>545</v>
      </c>
      <c r="E10" s="285" t="s">
        <v>528</v>
      </c>
      <c r="F10" s="286" t="s">
        <v>529</v>
      </c>
      <c r="G10" s="76">
        <v>725</v>
      </c>
      <c r="H10" s="76">
        <v>725</v>
      </c>
      <c r="I10" s="76">
        <f ca="1">G10*(1-OFFSET(payDirRate,0,L10))</f>
        <v>688.75</v>
      </c>
      <c r="J10" s="76"/>
      <c r="K10" s="287" t="s">
        <v>534</v>
      </c>
      <c r="L10" s="288"/>
      <c r="M10" s="288">
        <v>1</v>
      </c>
      <c r="N10" s="289"/>
    </row>
    <row r="11" spans="1:20" hidden="1" x14ac:dyDescent="0.25">
      <c r="A11" s="283" t="str">
        <f t="shared" si="0"/>
        <v>CIS:EB</v>
      </c>
      <c r="B11" s="284" t="s">
        <v>546</v>
      </c>
      <c r="C11" s="285" t="s">
        <v>547</v>
      </c>
      <c r="D11" s="15" t="s">
        <v>388</v>
      </c>
      <c r="E11" s="285" t="s">
        <v>528</v>
      </c>
      <c r="F11" s="286" t="s">
        <v>529</v>
      </c>
      <c r="G11" s="76">
        <v>800</v>
      </c>
      <c r="H11" s="76">
        <v>800</v>
      </c>
      <c r="I11" s="76">
        <v>0</v>
      </c>
      <c r="J11" s="76"/>
      <c r="K11" s="287" t="s">
        <v>530</v>
      </c>
      <c r="L11" s="288"/>
      <c r="M11" s="288">
        <v>1</v>
      </c>
      <c r="N11" s="289"/>
    </row>
    <row r="12" spans="1:20" hidden="1" x14ac:dyDescent="0.25">
      <c r="A12" s="283" t="str">
        <f t="shared" si="0"/>
        <v>CIT:SRP</v>
      </c>
      <c r="B12" s="284" t="s">
        <v>548</v>
      </c>
      <c r="C12" s="285" t="s">
        <v>536</v>
      </c>
      <c r="D12" s="15" t="s">
        <v>233</v>
      </c>
      <c r="E12" s="285" t="s">
        <v>528</v>
      </c>
      <c r="F12" s="286" t="s">
        <v>529</v>
      </c>
      <c r="G12" s="76">
        <v>1100</v>
      </c>
      <c r="H12" s="76">
        <v>1100</v>
      </c>
      <c r="I12" s="76">
        <f t="shared" ref="I12:I31" ca="1" si="1">G12*(1-OFFSET(payMgmtRate,0,L12))</f>
        <v>1045</v>
      </c>
      <c r="J12" s="76">
        <v>760</v>
      </c>
      <c r="K12" s="287" t="s">
        <v>534</v>
      </c>
      <c r="L12" s="288">
        <v>1</v>
      </c>
      <c r="M12" s="288">
        <v>1</v>
      </c>
      <c r="N12" s="289"/>
    </row>
    <row r="13" spans="1:20" hidden="1" x14ac:dyDescent="0.25">
      <c r="A13" s="283" t="str">
        <f t="shared" si="0"/>
        <v>COAL:ARH</v>
      </c>
      <c r="B13" s="284" t="s">
        <v>549</v>
      </c>
      <c r="C13" s="285" t="s">
        <v>531</v>
      </c>
      <c r="D13" s="15" t="s">
        <v>550</v>
      </c>
      <c r="E13" s="285" t="s">
        <v>528</v>
      </c>
      <c r="F13" s="286" t="s">
        <v>529</v>
      </c>
      <c r="G13" s="76">
        <v>950</v>
      </c>
      <c r="H13" s="76">
        <v>950</v>
      </c>
      <c r="I13" s="76">
        <f t="shared" ca="1" si="1"/>
        <v>902.5</v>
      </c>
      <c r="J13" s="76"/>
      <c r="K13" s="287" t="s">
        <v>530</v>
      </c>
      <c r="L13" s="288">
        <v>1</v>
      </c>
      <c r="M13" s="288">
        <v>1</v>
      </c>
      <c r="N13" s="289"/>
    </row>
    <row r="14" spans="1:20" hidden="1" x14ac:dyDescent="0.25">
      <c r="A14" s="283" t="str">
        <f t="shared" si="0"/>
        <v>CRP:SM</v>
      </c>
      <c r="B14" s="284" t="s">
        <v>57</v>
      </c>
      <c r="C14" s="285" t="s">
        <v>58</v>
      </c>
      <c r="D14" s="15" t="s">
        <v>209</v>
      </c>
      <c r="E14" s="285" t="s">
        <v>528</v>
      </c>
      <c r="F14" s="286" t="s">
        <v>529</v>
      </c>
      <c r="G14" s="76"/>
      <c r="H14" s="76"/>
      <c r="I14" s="76">
        <f t="shared" ca="1" si="1"/>
        <v>0</v>
      </c>
      <c r="J14" s="76">
        <v>5000</v>
      </c>
      <c r="K14" s="287" t="s">
        <v>530</v>
      </c>
      <c r="L14" s="288">
        <v>1</v>
      </c>
      <c r="M14" s="288">
        <v>1</v>
      </c>
      <c r="N14" s="289" t="s">
        <v>551</v>
      </c>
    </row>
    <row r="15" spans="1:20" hidden="1" x14ac:dyDescent="0.25">
      <c r="A15" s="283" t="str">
        <f t="shared" si="0"/>
        <v>CRP1:SM</v>
      </c>
      <c r="B15" s="284" t="s">
        <v>552</v>
      </c>
      <c r="C15" s="285" t="s">
        <v>58</v>
      </c>
      <c r="D15" s="15" t="s">
        <v>209</v>
      </c>
      <c r="E15" s="285" t="s">
        <v>528</v>
      </c>
      <c r="F15" s="286" t="s">
        <v>529</v>
      </c>
      <c r="G15" s="76"/>
      <c r="H15" s="76"/>
      <c r="I15" s="76">
        <f t="shared" ca="1" si="1"/>
        <v>0</v>
      </c>
      <c r="J15" s="76">
        <v>2000</v>
      </c>
      <c r="K15" s="287" t="s">
        <v>530</v>
      </c>
      <c r="L15" s="288">
        <v>1</v>
      </c>
      <c r="M15" s="288">
        <v>1</v>
      </c>
      <c r="N15" s="289" t="s">
        <v>551</v>
      </c>
    </row>
    <row r="16" spans="1:20" hidden="1" x14ac:dyDescent="0.25">
      <c r="A16" s="283" t="str">
        <f t="shared" si="0"/>
        <v>CRP2:SKR</v>
      </c>
      <c r="B16" s="284" t="s">
        <v>553</v>
      </c>
      <c r="C16" s="285" t="s">
        <v>554</v>
      </c>
      <c r="D16" s="15" t="s">
        <v>209</v>
      </c>
      <c r="E16" s="285" t="s">
        <v>528</v>
      </c>
      <c r="F16" s="286" t="s">
        <v>529</v>
      </c>
      <c r="G16" s="76"/>
      <c r="H16" s="76"/>
      <c r="I16" s="76">
        <f t="shared" ca="1" si="1"/>
        <v>0</v>
      </c>
      <c r="J16" s="76">
        <v>6000</v>
      </c>
      <c r="K16" s="287" t="s">
        <v>534</v>
      </c>
      <c r="L16" s="288">
        <v>1</v>
      </c>
      <c r="M16" s="288">
        <v>1</v>
      </c>
      <c r="N16" s="289" t="s">
        <v>555</v>
      </c>
      <c r="T16" s="62"/>
    </row>
    <row r="17" spans="1:14" hidden="1" x14ac:dyDescent="0.25">
      <c r="A17" s="283" t="str">
        <f t="shared" si="0"/>
        <v>CRP2:SM</v>
      </c>
      <c r="B17" s="284" t="s">
        <v>553</v>
      </c>
      <c r="C17" s="285" t="s">
        <v>58</v>
      </c>
      <c r="D17" s="15" t="s">
        <v>209</v>
      </c>
      <c r="E17" s="285" t="s">
        <v>528</v>
      </c>
      <c r="F17" s="286" t="s">
        <v>529</v>
      </c>
      <c r="G17" s="76"/>
      <c r="H17" s="76"/>
      <c r="I17" s="76">
        <f t="shared" ca="1" si="1"/>
        <v>0</v>
      </c>
      <c r="J17" s="76">
        <v>3000</v>
      </c>
      <c r="K17" s="287" t="s">
        <v>530</v>
      </c>
      <c r="L17" s="288">
        <v>1</v>
      </c>
      <c r="M17" s="288">
        <v>1</v>
      </c>
      <c r="N17" s="289" t="s">
        <v>551</v>
      </c>
    </row>
    <row r="18" spans="1:14" hidden="1" x14ac:dyDescent="0.25">
      <c r="A18" s="283" t="str">
        <f t="shared" si="0"/>
        <v>CRP3:SM</v>
      </c>
      <c r="B18" s="284" t="s">
        <v>556</v>
      </c>
      <c r="C18" s="285" t="s">
        <v>58</v>
      </c>
      <c r="D18" s="15" t="s">
        <v>209</v>
      </c>
      <c r="E18" s="285" t="s">
        <v>528</v>
      </c>
      <c r="F18" s="286" t="s">
        <v>529</v>
      </c>
      <c r="G18" s="76"/>
      <c r="H18" s="76"/>
      <c r="I18" s="76">
        <f t="shared" ca="1" si="1"/>
        <v>0</v>
      </c>
      <c r="J18" s="76">
        <v>8000</v>
      </c>
      <c r="K18" s="287" t="s">
        <v>534</v>
      </c>
      <c r="L18" s="288">
        <v>1</v>
      </c>
      <c r="M18" s="288">
        <v>1</v>
      </c>
      <c r="N18" s="289" t="s">
        <v>555</v>
      </c>
    </row>
    <row r="19" spans="1:14" hidden="1" x14ac:dyDescent="0.25">
      <c r="A19" s="283" t="str">
        <f t="shared" si="0"/>
        <v>EQLD50:CRP</v>
      </c>
      <c r="B19" s="284" t="s">
        <v>668</v>
      </c>
      <c r="C19" s="285" t="s">
        <v>57</v>
      </c>
      <c r="D19" s="15" t="s">
        <v>571</v>
      </c>
      <c r="E19" s="285" t="s">
        <v>528</v>
      </c>
      <c r="F19" s="286" t="s">
        <v>529</v>
      </c>
      <c r="G19" s="76">
        <f>1000*0.5</f>
        <v>500</v>
      </c>
      <c r="H19" s="76">
        <f>1000*0.5</f>
        <v>500</v>
      </c>
      <c r="I19" s="76">
        <f>1000*0.98*0.5</f>
        <v>490</v>
      </c>
      <c r="J19" s="76"/>
      <c r="K19" s="287" t="s">
        <v>573</v>
      </c>
      <c r="L19" s="288">
        <v>1</v>
      </c>
      <c r="M19" s="288">
        <v>1</v>
      </c>
      <c r="N19" s="289"/>
    </row>
    <row r="20" spans="1:14" hidden="1" x14ac:dyDescent="0.25">
      <c r="A20" s="283" t="str">
        <f t="shared" si="0"/>
        <v>EQLD50:SM</v>
      </c>
      <c r="B20" s="284" t="s">
        <v>668</v>
      </c>
      <c r="C20" s="285" t="s">
        <v>58</v>
      </c>
      <c r="D20" s="15" t="s">
        <v>571</v>
      </c>
      <c r="E20" s="285" t="s">
        <v>528</v>
      </c>
      <c r="F20" s="286" t="s">
        <v>529</v>
      </c>
      <c r="G20" s="76">
        <f>1000*0.5</f>
        <v>500</v>
      </c>
      <c r="H20" s="76">
        <f>1000*0.5</f>
        <v>500</v>
      </c>
      <c r="I20" s="76">
        <f>1000*0.98*0.5</f>
        <v>490</v>
      </c>
      <c r="J20" s="76"/>
      <c r="K20" s="287" t="s">
        <v>573</v>
      </c>
      <c r="L20" s="288">
        <v>1</v>
      </c>
      <c r="M20" s="288">
        <v>1</v>
      </c>
      <c r="N20" s="289"/>
    </row>
    <row r="21" spans="1:14" hidden="1" x14ac:dyDescent="0.25">
      <c r="A21" s="283" t="str">
        <f t="shared" ref="A21:A22" si="2">B21&amp;":"&amp;C21</f>
        <v>EQLD50:DP</v>
      </c>
      <c r="B21" s="284" t="s">
        <v>668</v>
      </c>
      <c r="C21" s="285" t="s">
        <v>669</v>
      </c>
      <c r="D21" s="15" t="s">
        <v>571</v>
      </c>
      <c r="E21" s="285" t="s">
        <v>570</v>
      </c>
      <c r="F21" s="286" t="s">
        <v>529</v>
      </c>
      <c r="G21" s="76">
        <f>900*0.5</f>
        <v>450</v>
      </c>
      <c r="H21" s="76">
        <f>900*0.5</f>
        <v>450</v>
      </c>
      <c r="I21" s="76">
        <f>900*0.95*0.5</f>
        <v>427.5</v>
      </c>
      <c r="J21" s="76"/>
      <c r="K21" s="287" t="s">
        <v>573</v>
      </c>
      <c r="L21" s="288">
        <v>1</v>
      </c>
      <c r="M21" s="288">
        <v>1</v>
      </c>
      <c r="N21" s="289"/>
    </row>
    <row r="22" spans="1:14" hidden="1" x14ac:dyDescent="0.25">
      <c r="A22" s="283" t="str">
        <f t="shared" si="2"/>
        <v>EQLD50:ANK</v>
      </c>
      <c r="B22" s="284" t="s">
        <v>668</v>
      </c>
      <c r="C22" s="285" t="s">
        <v>678</v>
      </c>
      <c r="D22" s="15" t="s">
        <v>571</v>
      </c>
      <c r="E22" s="285" t="s">
        <v>570</v>
      </c>
      <c r="F22" s="286" t="s">
        <v>529</v>
      </c>
      <c r="G22" s="76">
        <f>900*0.5</f>
        <v>450</v>
      </c>
      <c r="H22" s="76">
        <f>900*0.5</f>
        <v>450</v>
      </c>
      <c r="I22" s="76">
        <f>900*0.95*0.5</f>
        <v>427.5</v>
      </c>
      <c r="J22" s="76"/>
      <c r="K22" s="287" t="s">
        <v>573</v>
      </c>
      <c r="L22" s="288">
        <v>1</v>
      </c>
      <c r="M22" s="288">
        <v>1</v>
      </c>
      <c r="N22" s="289"/>
    </row>
    <row r="23" spans="1:14" hidden="1" x14ac:dyDescent="0.25">
      <c r="A23" s="283" t="str">
        <f t="shared" si="0"/>
        <v>EQLD50:VAK</v>
      </c>
      <c r="B23" s="284" t="s">
        <v>668</v>
      </c>
      <c r="C23" s="285" t="s">
        <v>657</v>
      </c>
      <c r="D23" s="15" t="s">
        <v>660</v>
      </c>
      <c r="E23" s="285" t="s">
        <v>528</v>
      </c>
      <c r="F23" s="286" t="s">
        <v>529</v>
      </c>
      <c r="G23" s="76">
        <f>890*0.5</f>
        <v>445</v>
      </c>
      <c r="H23" s="76">
        <f>890*0.5</f>
        <v>445</v>
      </c>
      <c r="I23" s="76">
        <f>890*0.95*0.5</f>
        <v>422.75</v>
      </c>
      <c r="J23" s="76"/>
      <c r="K23" s="287" t="s">
        <v>573</v>
      </c>
      <c r="L23" s="288">
        <v>1</v>
      </c>
      <c r="M23" s="288">
        <v>1</v>
      </c>
      <c r="N23" s="289"/>
    </row>
    <row r="24" spans="1:14" hidden="1" x14ac:dyDescent="0.25">
      <c r="A24" s="283" t="str">
        <f t="shared" si="0"/>
        <v>EQLD50:ASW</v>
      </c>
      <c r="B24" s="284" t="s">
        <v>668</v>
      </c>
      <c r="C24" s="285" t="s">
        <v>658</v>
      </c>
      <c r="D24" s="15" t="s">
        <v>660</v>
      </c>
      <c r="E24" s="285" t="s">
        <v>528</v>
      </c>
      <c r="F24" s="286" t="s">
        <v>529</v>
      </c>
      <c r="G24" s="76">
        <f>890*0.5</f>
        <v>445</v>
      </c>
      <c r="H24" s="76">
        <f>890*0.5</f>
        <v>445</v>
      </c>
      <c r="I24" s="76">
        <f>890*0.95*0.5</f>
        <v>422.75</v>
      </c>
      <c r="J24" s="76"/>
      <c r="K24" s="287" t="s">
        <v>573</v>
      </c>
      <c r="L24" s="288">
        <v>1</v>
      </c>
      <c r="M24" s="288">
        <v>1</v>
      </c>
      <c r="N24" s="289"/>
    </row>
    <row r="25" spans="1:14" hidden="1" x14ac:dyDescent="0.25">
      <c r="A25" s="283" t="str">
        <f t="shared" ref="A25:A26" si="3">B25&amp;":"&amp;C25</f>
        <v>EQLD62:VAK</v>
      </c>
      <c r="B25" s="284" t="s">
        <v>674</v>
      </c>
      <c r="C25" s="285" t="s">
        <v>657</v>
      </c>
      <c r="D25" s="15" t="s">
        <v>660</v>
      </c>
      <c r="E25" s="285" t="s">
        <v>528</v>
      </c>
      <c r="F25" s="286" t="s">
        <v>529</v>
      </c>
      <c r="G25" s="76">
        <f>890*0.7</f>
        <v>623</v>
      </c>
      <c r="H25" s="76">
        <f>890*0.7</f>
        <v>623</v>
      </c>
      <c r="I25" s="76">
        <f>890*0.95*0.62</f>
        <v>524.21</v>
      </c>
      <c r="J25" s="76"/>
      <c r="K25" s="287" t="s">
        <v>573</v>
      </c>
      <c r="L25" s="288">
        <v>1</v>
      </c>
      <c r="M25" s="288">
        <v>1</v>
      </c>
      <c r="N25" s="289"/>
    </row>
    <row r="26" spans="1:14" hidden="1" x14ac:dyDescent="0.25">
      <c r="A26" s="283" t="str">
        <f t="shared" si="3"/>
        <v>EQLD38:ASW</v>
      </c>
      <c r="B26" s="284" t="s">
        <v>673</v>
      </c>
      <c r="C26" s="285" t="s">
        <v>658</v>
      </c>
      <c r="D26" s="15" t="s">
        <v>660</v>
      </c>
      <c r="E26" s="285" t="s">
        <v>528</v>
      </c>
      <c r="F26" s="286" t="s">
        <v>529</v>
      </c>
      <c r="G26" s="76">
        <f>890*0.3</f>
        <v>267</v>
      </c>
      <c r="H26" s="76">
        <f>890*0.3</f>
        <v>267</v>
      </c>
      <c r="I26" s="76">
        <f>890*0.95*0.38</f>
        <v>321.29000000000002</v>
      </c>
      <c r="J26" s="76"/>
      <c r="K26" s="287" t="s">
        <v>573</v>
      </c>
      <c r="L26" s="288">
        <v>1</v>
      </c>
      <c r="M26" s="288">
        <v>1</v>
      </c>
      <c r="N26" s="289"/>
    </row>
    <row r="27" spans="1:14" hidden="1" x14ac:dyDescent="0.25">
      <c r="A27" s="283" t="str">
        <f t="shared" ref="A27:A28" si="4">B27&amp;":"&amp;C27</f>
        <v>EQLD62a:VAK</v>
      </c>
      <c r="B27" s="284" t="s">
        <v>777</v>
      </c>
      <c r="C27" s="285" t="s">
        <v>657</v>
      </c>
      <c r="D27" s="15" t="s">
        <v>660</v>
      </c>
      <c r="E27" s="285" t="s">
        <v>528</v>
      </c>
      <c r="F27" s="286" t="s">
        <v>529</v>
      </c>
      <c r="G27" s="76">
        <f>890.21*0.7</f>
        <v>623.14699999999993</v>
      </c>
      <c r="H27" s="76">
        <f>890.21*0.7</f>
        <v>623.14699999999993</v>
      </c>
      <c r="I27" s="76">
        <f>890.21*0.95*0.62</f>
        <v>524.33368999999993</v>
      </c>
      <c r="J27" s="76"/>
      <c r="K27" s="287" t="s">
        <v>573</v>
      </c>
      <c r="L27" s="288">
        <v>1</v>
      </c>
      <c r="M27" s="288">
        <v>1</v>
      </c>
      <c r="N27" s="289"/>
    </row>
    <row r="28" spans="1:14" hidden="1" x14ac:dyDescent="0.25">
      <c r="A28" s="283" t="str">
        <f t="shared" si="4"/>
        <v>EQLD38a:ASW</v>
      </c>
      <c r="B28" s="284" t="s">
        <v>778</v>
      </c>
      <c r="C28" s="285" t="s">
        <v>658</v>
      </c>
      <c r="D28" s="15" t="s">
        <v>660</v>
      </c>
      <c r="E28" s="285" t="s">
        <v>528</v>
      </c>
      <c r="F28" s="286" t="s">
        <v>529</v>
      </c>
      <c r="G28" s="76">
        <f>890.21*0.3</f>
        <v>267.06299999999999</v>
      </c>
      <c r="H28" s="76">
        <f>890.21*0.3</f>
        <v>267.06299999999999</v>
      </c>
      <c r="I28" s="76">
        <f>890.21*0.95*0.38</f>
        <v>321.36581000000001</v>
      </c>
      <c r="J28" s="76"/>
      <c r="K28" s="287" t="s">
        <v>573</v>
      </c>
      <c r="L28" s="288">
        <v>1</v>
      </c>
      <c r="M28" s="288">
        <v>1</v>
      </c>
      <c r="N28" s="289"/>
    </row>
    <row r="29" spans="1:14" hidden="1" x14ac:dyDescent="0.25">
      <c r="A29" s="283" t="str">
        <f t="shared" si="0"/>
        <v>CWB:SRP</v>
      </c>
      <c r="B29" s="284" t="s">
        <v>557</v>
      </c>
      <c r="C29" s="285" t="s">
        <v>536</v>
      </c>
      <c r="D29" s="15" t="s">
        <v>537</v>
      </c>
      <c r="E29" s="285" t="s">
        <v>538</v>
      </c>
      <c r="F29" s="286" t="s">
        <v>539</v>
      </c>
      <c r="G29" s="76">
        <v>100</v>
      </c>
      <c r="H29" s="76">
        <v>100</v>
      </c>
      <c r="I29" s="76">
        <f t="shared" ca="1" si="1"/>
        <v>95</v>
      </c>
      <c r="J29" s="76"/>
      <c r="K29" s="287" t="s">
        <v>530</v>
      </c>
      <c r="L29" s="288">
        <v>1</v>
      </c>
      <c r="M29" s="288">
        <v>1</v>
      </c>
      <c r="N29" s="289"/>
    </row>
    <row r="30" spans="1:14" hidden="1" x14ac:dyDescent="0.25">
      <c r="A30" s="283" t="str">
        <f t="shared" si="0"/>
        <v>DUMMY:SRP</v>
      </c>
      <c r="B30" s="284" t="s">
        <v>558</v>
      </c>
      <c r="C30" s="285" t="s">
        <v>536</v>
      </c>
      <c r="D30" s="15" t="s">
        <v>559</v>
      </c>
      <c r="E30" s="285" t="s">
        <v>528</v>
      </c>
      <c r="F30" s="286" t="s">
        <v>529</v>
      </c>
      <c r="G30" s="76">
        <v>631.58000000000004</v>
      </c>
      <c r="H30" s="76">
        <v>1090</v>
      </c>
      <c r="I30" s="76">
        <f t="shared" ca="1" si="1"/>
        <v>600.00099999999998</v>
      </c>
      <c r="J30" s="76"/>
      <c r="K30" s="287" t="s">
        <v>530</v>
      </c>
      <c r="L30" s="288">
        <v>1</v>
      </c>
      <c r="M30" s="288">
        <v>1</v>
      </c>
      <c r="N30" s="289"/>
    </row>
    <row r="31" spans="1:14" hidden="1" x14ac:dyDescent="0.25">
      <c r="A31" s="283" t="str">
        <f t="shared" si="0"/>
        <v>EB:CRP</v>
      </c>
      <c r="B31" s="284" t="s">
        <v>547</v>
      </c>
      <c r="C31" s="285" t="s">
        <v>57</v>
      </c>
      <c r="D31" s="15" t="s">
        <v>234</v>
      </c>
      <c r="E31" s="285" t="s">
        <v>528</v>
      </c>
      <c r="F31" s="286" t="s">
        <v>529</v>
      </c>
      <c r="G31" s="76">
        <v>900</v>
      </c>
      <c r="H31" s="76">
        <v>100</v>
      </c>
      <c r="I31" s="76">
        <f t="shared" ca="1" si="1"/>
        <v>855</v>
      </c>
      <c r="J31" s="76">
        <v>100</v>
      </c>
      <c r="K31" s="287" t="s">
        <v>534</v>
      </c>
      <c r="L31" s="288">
        <v>1</v>
      </c>
      <c r="M31" s="288">
        <v>1</v>
      </c>
      <c r="N31" s="289"/>
    </row>
    <row r="32" spans="1:14" hidden="1" x14ac:dyDescent="0.25">
      <c r="A32" s="283" t="str">
        <f t="shared" si="0"/>
        <v>EB:KMP</v>
      </c>
      <c r="B32" s="284" t="s">
        <v>547</v>
      </c>
      <c r="C32" s="285" t="s">
        <v>560</v>
      </c>
      <c r="D32" s="15" t="s">
        <v>388</v>
      </c>
      <c r="E32" s="285" t="s">
        <v>528</v>
      </c>
      <c r="F32" s="286" t="s">
        <v>529</v>
      </c>
      <c r="G32" s="76"/>
      <c r="H32" s="76"/>
      <c r="I32" s="76"/>
      <c r="J32" s="76">
        <v>6000</v>
      </c>
      <c r="K32" s="287" t="s">
        <v>534</v>
      </c>
      <c r="L32" s="288"/>
      <c r="M32" s="288">
        <v>1</v>
      </c>
      <c r="N32" s="289"/>
    </row>
    <row r="33" spans="1:14" hidden="1" x14ac:dyDescent="0.25">
      <c r="A33" s="283" t="str">
        <f t="shared" si="0"/>
        <v>EB:SKR</v>
      </c>
      <c r="B33" s="284" t="s">
        <v>547</v>
      </c>
      <c r="C33" s="285" t="s">
        <v>554</v>
      </c>
      <c r="D33" s="15" t="s">
        <v>388</v>
      </c>
      <c r="E33" s="285" t="s">
        <v>528</v>
      </c>
      <c r="F33" s="286" t="s">
        <v>529</v>
      </c>
      <c r="G33" s="76"/>
      <c r="H33" s="76"/>
      <c r="I33" s="76"/>
      <c r="J33" s="76">
        <v>7000</v>
      </c>
      <c r="K33" s="287" t="s">
        <v>534</v>
      </c>
      <c r="L33" s="288"/>
      <c r="M33" s="288">
        <v>1</v>
      </c>
      <c r="N33" s="289"/>
    </row>
    <row r="34" spans="1:14" hidden="1" x14ac:dyDescent="0.25">
      <c r="A34" s="283" t="str">
        <f t="shared" si="0"/>
        <v>EB:SRP</v>
      </c>
      <c r="B34" s="284" t="s">
        <v>547</v>
      </c>
      <c r="C34" s="285" t="s">
        <v>536</v>
      </c>
      <c r="D34" s="15" t="s">
        <v>388</v>
      </c>
      <c r="E34" s="285" t="s">
        <v>528</v>
      </c>
      <c r="F34" s="286" t="s">
        <v>529</v>
      </c>
      <c r="G34" s="76"/>
      <c r="H34" s="76"/>
      <c r="I34" s="76"/>
      <c r="J34" s="76">
        <v>7000</v>
      </c>
      <c r="K34" s="287" t="s">
        <v>534</v>
      </c>
      <c r="L34" s="288"/>
      <c r="M34" s="288"/>
      <c r="N34" s="289"/>
    </row>
    <row r="35" spans="1:14" hidden="1" x14ac:dyDescent="0.25">
      <c r="A35" s="283" t="str">
        <f t="shared" si="0"/>
        <v>EB:SS</v>
      </c>
      <c r="B35" s="284" t="s">
        <v>547</v>
      </c>
      <c r="C35" s="285" t="s">
        <v>561</v>
      </c>
      <c r="D35" s="15" t="s">
        <v>388</v>
      </c>
      <c r="E35" s="285" t="s">
        <v>528</v>
      </c>
      <c r="F35" s="286" t="s">
        <v>529</v>
      </c>
      <c r="G35" s="76"/>
      <c r="H35" s="76"/>
      <c r="I35" s="76"/>
      <c r="J35" s="76">
        <v>8000</v>
      </c>
      <c r="K35" s="287" t="s">
        <v>534</v>
      </c>
      <c r="L35" s="288"/>
      <c r="M35" s="288">
        <v>1</v>
      </c>
      <c r="N35" s="289"/>
    </row>
    <row r="36" spans="1:14" hidden="1" x14ac:dyDescent="0.25">
      <c r="A36" s="283" t="str">
        <f t="shared" si="0"/>
        <v>EB1:CRP</v>
      </c>
      <c r="B36" s="284" t="s">
        <v>562</v>
      </c>
      <c r="C36" s="285" t="s">
        <v>57</v>
      </c>
      <c r="D36" s="15" t="s">
        <v>388</v>
      </c>
      <c r="E36" s="285" t="s">
        <v>528</v>
      </c>
      <c r="F36" s="286" t="s">
        <v>529</v>
      </c>
      <c r="G36" s="76"/>
      <c r="H36" s="76"/>
      <c r="I36" s="76"/>
      <c r="J36" s="76">
        <v>12000</v>
      </c>
      <c r="K36" s="287" t="s">
        <v>534</v>
      </c>
      <c r="L36" s="288"/>
      <c r="M36" s="288"/>
      <c r="N36" s="289"/>
    </row>
    <row r="37" spans="1:14" hidden="1" x14ac:dyDescent="0.25">
      <c r="A37" s="283" t="str">
        <f t="shared" si="0"/>
        <v>EB1:SRP</v>
      </c>
      <c r="B37" s="284" t="s">
        <v>562</v>
      </c>
      <c r="C37" s="285" t="s">
        <v>536</v>
      </c>
      <c r="D37" s="15" t="s">
        <v>388</v>
      </c>
      <c r="E37" s="285" t="s">
        <v>528</v>
      </c>
      <c r="F37" s="286" t="s">
        <v>529</v>
      </c>
      <c r="G37" s="76"/>
      <c r="H37" s="76"/>
      <c r="I37" s="76"/>
      <c r="J37" s="76">
        <v>13440</v>
      </c>
      <c r="K37" s="287" t="s">
        <v>534</v>
      </c>
      <c r="L37" s="288"/>
      <c r="M37" s="288"/>
      <c r="N37" s="289"/>
    </row>
    <row r="38" spans="1:14" hidden="1" x14ac:dyDescent="0.25">
      <c r="A38" s="283" t="str">
        <f t="shared" si="0"/>
        <v>EXPERIS:CRP</v>
      </c>
      <c r="B38" s="284" t="s">
        <v>563</v>
      </c>
      <c r="C38" s="285" t="s">
        <v>57</v>
      </c>
      <c r="D38" s="15" t="s">
        <v>559</v>
      </c>
      <c r="E38" s="285" t="s">
        <v>528</v>
      </c>
      <c r="F38" s="286" t="s">
        <v>539</v>
      </c>
      <c r="G38" s="76">
        <v>94.07</v>
      </c>
      <c r="H38" s="76">
        <v>94.07</v>
      </c>
      <c r="I38" s="76">
        <f ca="1">G38*(1-OFFSET(payMgmtRate,0,L38))</f>
        <v>90.777549999999991</v>
      </c>
      <c r="J38" s="76"/>
      <c r="K38" s="287" t="s">
        <v>534</v>
      </c>
      <c r="L38" s="288">
        <v>2</v>
      </c>
      <c r="M38" s="288">
        <v>1</v>
      </c>
      <c r="N38" s="289"/>
    </row>
    <row r="39" spans="1:14" hidden="1" x14ac:dyDescent="0.25">
      <c r="A39" s="283" t="str">
        <f t="shared" si="0"/>
        <v>EXPERIS:SRP</v>
      </c>
      <c r="B39" s="284" t="s">
        <v>563</v>
      </c>
      <c r="C39" s="285" t="s">
        <v>536</v>
      </c>
      <c r="D39" s="15" t="s">
        <v>559</v>
      </c>
      <c r="E39" s="285" t="s">
        <v>528</v>
      </c>
      <c r="F39" s="286" t="s">
        <v>539</v>
      </c>
      <c r="G39" s="76">
        <v>94.07</v>
      </c>
      <c r="H39" s="76">
        <v>94.07</v>
      </c>
      <c r="I39" s="76">
        <f ca="1">G39*(1-OFFSET(payMgmtRate,0,L39))</f>
        <v>90.777549999999991</v>
      </c>
      <c r="J39" s="76"/>
      <c r="K39" s="287" t="s">
        <v>534</v>
      </c>
      <c r="L39" s="288">
        <v>2</v>
      </c>
      <c r="M39" s="288">
        <v>1</v>
      </c>
      <c r="N39" s="289"/>
    </row>
    <row r="40" spans="1:14" hidden="1" x14ac:dyDescent="0.25">
      <c r="A40" s="283" t="str">
        <f t="shared" si="0"/>
        <v>HCL:AP</v>
      </c>
      <c r="B40" s="284" t="s">
        <v>231</v>
      </c>
      <c r="C40" s="285" t="s">
        <v>564</v>
      </c>
      <c r="D40" s="15" t="s">
        <v>212</v>
      </c>
      <c r="E40" s="285" t="s">
        <v>528</v>
      </c>
      <c r="F40" s="286" t="s">
        <v>529</v>
      </c>
      <c r="G40" s="76">
        <v>700</v>
      </c>
      <c r="H40" s="76">
        <v>700</v>
      </c>
      <c r="I40" s="76">
        <v>630</v>
      </c>
      <c r="J40" s="76"/>
      <c r="K40" s="287" t="s">
        <v>530</v>
      </c>
      <c r="L40" s="288"/>
      <c r="M40" s="288">
        <v>1</v>
      </c>
      <c r="N40" s="289"/>
    </row>
    <row r="41" spans="1:14" hidden="1" x14ac:dyDescent="0.25">
      <c r="A41" s="283" t="str">
        <f t="shared" si="0"/>
        <v>HCL2:AP</v>
      </c>
      <c r="B41" s="284" t="s">
        <v>565</v>
      </c>
      <c r="C41" s="285" t="s">
        <v>564</v>
      </c>
      <c r="D41" s="15" t="s">
        <v>212</v>
      </c>
      <c r="E41" s="285" t="s">
        <v>528</v>
      </c>
      <c r="F41" s="286" t="s">
        <v>529</v>
      </c>
      <c r="G41" s="76">
        <v>800</v>
      </c>
      <c r="H41" s="76">
        <v>800</v>
      </c>
      <c r="I41" s="76">
        <v>752</v>
      </c>
      <c r="J41" s="76"/>
      <c r="K41" s="287" t="s">
        <v>530</v>
      </c>
      <c r="L41" s="288"/>
      <c r="M41" s="288">
        <v>1</v>
      </c>
      <c r="N41" s="289"/>
    </row>
    <row r="42" spans="1:14" hidden="1" x14ac:dyDescent="0.25">
      <c r="A42" s="283" t="str">
        <f t="shared" si="0"/>
        <v>IAG:MAM</v>
      </c>
      <c r="B42" s="284" t="s">
        <v>350</v>
      </c>
      <c r="C42" s="285" t="s">
        <v>55</v>
      </c>
      <c r="D42" s="15" t="s">
        <v>217</v>
      </c>
      <c r="E42" s="285" t="s">
        <v>528</v>
      </c>
      <c r="F42" s="286" t="s">
        <v>529</v>
      </c>
      <c r="G42" s="76">
        <v>900</v>
      </c>
      <c r="H42" s="76">
        <v>900</v>
      </c>
      <c r="I42" s="76"/>
      <c r="J42" s="76"/>
      <c r="K42" s="287" t="s">
        <v>530</v>
      </c>
      <c r="L42" s="288">
        <v>2</v>
      </c>
      <c r="M42" s="288"/>
      <c r="N42" s="289"/>
    </row>
    <row r="43" spans="1:14" hidden="1" x14ac:dyDescent="0.25">
      <c r="A43" s="283" t="str">
        <f t="shared" si="0"/>
        <v>TMB:MAM</v>
      </c>
      <c r="B43" s="284" t="s">
        <v>566</v>
      </c>
      <c r="C43" s="285" t="s">
        <v>55</v>
      </c>
      <c r="D43" s="15" t="s">
        <v>567</v>
      </c>
      <c r="E43" s="285" t="s">
        <v>528</v>
      </c>
      <c r="F43" s="286" t="s">
        <v>529</v>
      </c>
      <c r="G43" s="76">
        <v>800</v>
      </c>
      <c r="H43" s="76">
        <v>800</v>
      </c>
      <c r="I43" s="76"/>
      <c r="J43" s="76"/>
      <c r="K43" s="287" t="s">
        <v>530</v>
      </c>
      <c r="L43" s="288">
        <v>2</v>
      </c>
      <c r="M43" s="288"/>
      <c r="N43" s="289"/>
    </row>
    <row r="44" spans="1:14" hidden="1" x14ac:dyDescent="0.25">
      <c r="A44" s="283" t="str">
        <f t="shared" si="0"/>
        <v>MAGMA:MAM</v>
      </c>
      <c r="B44" s="284" t="s">
        <v>495</v>
      </c>
      <c r="C44" s="285" t="s">
        <v>55</v>
      </c>
      <c r="D44" s="15" t="s">
        <v>559</v>
      </c>
      <c r="E44" s="285" t="s">
        <v>568</v>
      </c>
      <c r="F44" s="286" t="s">
        <v>529</v>
      </c>
      <c r="G44" s="76"/>
      <c r="H44" s="76"/>
      <c r="I44" s="76">
        <v>60000</v>
      </c>
      <c r="J44" s="76"/>
      <c r="K44" s="287" t="s">
        <v>534</v>
      </c>
      <c r="L44" s="288"/>
      <c r="M44" s="288"/>
      <c r="N44" s="289"/>
    </row>
    <row r="45" spans="1:14" hidden="1" x14ac:dyDescent="0.25">
      <c r="A45" s="283" t="str">
        <f t="shared" ref="A45:A77" si="5">B45&amp;":"&amp;C45</f>
        <v>MAGMA:JEC</v>
      </c>
      <c r="B45" s="284" t="s">
        <v>495</v>
      </c>
      <c r="C45" s="285" t="s">
        <v>56</v>
      </c>
      <c r="D45" s="15" t="s">
        <v>559</v>
      </c>
      <c r="E45" s="285" t="s">
        <v>528</v>
      </c>
      <c r="F45" s="286" t="s">
        <v>529</v>
      </c>
      <c r="G45" s="76">
        <v>6000</v>
      </c>
      <c r="H45" s="76">
        <v>6000</v>
      </c>
      <c r="I45" s="76">
        <v>5820</v>
      </c>
      <c r="J45" s="76"/>
      <c r="K45" s="287" t="s">
        <v>534</v>
      </c>
      <c r="L45" s="288">
        <v>0</v>
      </c>
      <c r="M45" s="288">
        <v>1</v>
      </c>
      <c r="N45" s="289"/>
    </row>
    <row r="46" spans="1:14" hidden="1" x14ac:dyDescent="0.25">
      <c r="A46" s="283" t="str">
        <f t="shared" si="5"/>
        <v>MLC:MAM</v>
      </c>
      <c r="B46" s="284" t="s">
        <v>180</v>
      </c>
      <c r="C46" s="285" t="s">
        <v>55</v>
      </c>
      <c r="D46" s="15" t="s">
        <v>182</v>
      </c>
      <c r="E46" s="285" t="s">
        <v>528</v>
      </c>
      <c r="F46" s="286" t="s">
        <v>529</v>
      </c>
      <c r="G46" s="76">
        <v>945</v>
      </c>
      <c r="H46" s="76">
        <v>945</v>
      </c>
      <c r="I46" s="76">
        <v>15000</v>
      </c>
      <c r="J46" s="76"/>
      <c r="K46" s="287" t="s">
        <v>530</v>
      </c>
      <c r="L46" s="288">
        <v>2</v>
      </c>
      <c r="M46" s="288">
        <v>1</v>
      </c>
      <c r="N46" s="289"/>
    </row>
    <row r="47" spans="1:14" hidden="1" x14ac:dyDescent="0.25">
      <c r="A47" s="283" t="str">
        <f t="shared" si="5"/>
        <v>NAB:MAM</v>
      </c>
      <c r="B47" s="284" t="s">
        <v>504</v>
      </c>
      <c r="C47" s="285" t="s">
        <v>55</v>
      </c>
      <c r="D47" s="15" t="s">
        <v>183</v>
      </c>
      <c r="E47" s="285" t="s">
        <v>528</v>
      </c>
      <c r="F47" s="286" t="s">
        <v>529</v>
      </c>
      <c r="G47" s="76">
        <v>950</v>
      </c>
      <c r="H47" s="76">
        <v>950</v>
      </c>
      <c r="I47" s="76">
        <v>900</v>
      </c>
      <c r="J47" s="76"/>
      <c r="K47" s="287" t="s">
        <v>530</v>
      </c>
      <c r="L47" s="288">
        <v>1</v>
      </c>
      <c r="M47" s="288">
        <v>1</v>
      </c>
      <c r="N47" s="289"/>
    </row>
    <row r="48" spans="1:14" hidden="1" x14ac:dyDescent="0.25">
      <c r="A48" s="283" t="str">
        <f t="shared" si="5"/>
        <v>MINE:MAM</v>
      </c>
      <c r="B48" s="284" t="s">
        <v>659</v>
      </c>
      <c r="C48" s="285" t="s">
        <v>55</v>
      </c>
      <c r="D48" s="15" t="s">
        <v>559</v>
      </c>
      <c r="E48" s="285" t="s">
        <v>528</v>
      </c>
      <c r="F48" s="286" t="s">
        <v>529</v>
      </c>
      <c r="G48" s="76">
        <v>950</v>
      </c>
      <c r="H48" s="76">
        <v>950</v>
      </c>
      <c r="I48" s="76">
        <v>900</v>
      </c>
      <c r="J48" s="76"/>
      <c r="K48" s="287" t="s">
        <v>530</v>
      </c>
      <c r="L48" s="288">
        <v>1</v>
      </c>
      <c r="M48" s="288">
        <v>1</v>
      </c>
      <c r="N48" s="289"/>
    </row>
    <row r="49" spans="1:14" hidden="1" x14ac:dyDescent="0.25">
      <c r="A49" s="283" t="str">
        <f t="shared" si="5"/>
        <v>NEWS:MAM</v>
      </c>
      <c r="B49" s="284" t="s">
        <v>503</v>
      </c>
      <c r="C49" s="285" t="s">
        <v>55</v>
      </c>
      <c r="D49" s="15" t="s">
        <v>224</v>
      </c>
      <c r="E49" s="285" t="s">
        <v>528</v>
      </c>
      <c r="F49" s="286" t="s">
        <v>529</v>
      </c>
      <c r="G49" s="76">
        <v>950</v>
      </c>
      <c r="H49" s="76">
        <v>950</v>
      </c>
      <c r="I49" s="76"/>
      <c r="J49" s="76"/>
      <c r="K49" s="287" t="s">
        <v>530</v>
      </c>
      <c r="L49" s="288">
        <v>2</v>
      </c>
      <c r="M49" s="288">
        <v>1</v>
      </c>
      <c r="N49" s="289"/>
    </row>
    <row r="50" spans="1:14" hidden="1" x14ac:dyDescent="0.25">
      <c r="A50" s="283" t="str">
        <f t="shared" si="5"/>
        <v>NEWS:SRP</v>
      </c>
      <c r="B50" s="284" t="s">
        <v>503</v>
      </c>
      <c r="C50" s="285" t="s">
        <v>536</v>
      </c>
      <c r="D50" s="15" t="s">
        <v>569</v>
      </c>
      <c r="E50" s="285" t="s">
        <v>570</v>
      </c>
      <c r="F50" s="286" t="s">
        <v>529</v>
      </c>
      <c r="G50" s="76">
        <v>850</v>
      </c>
      <c r="H50" s="76">
        <v>850</v>
      </c>
      <c r="I50" s="76">
        <f ca="1">G50*(1-OFFSET(payMgmtRate,0,L50))</f>
        <v>807.5</v>
      </c>
      <c r="J50" s="76"/>
      <c r="K50" s="287" t="s">
        <v>530</v>
      </c>
      <c r="L50" s="288">
        <v>1</v>
      </c>
      <c r="M50" s="288">
        <v>1</v>
      </c>
      <c r="N50" s="289"/>
    </row>
    <row r="51" spans="1:14" hidden="1" x14ac:dyDescent="0.25">
      <c r="A51" s="283" t="str">
        <f t="shared" si="5"/>
        <v>NBN:MAM</v>
      </c>
      <c r="B51" s="284" t="s">
        <v>370</v>
      </c>
      <c r="C51" s="285" t="s">
        <v>55</v>
      </c>
      <c r="D51" s="15" t="s">
        <v>571</v>
      </c>
      <c r="E51" s="285" t="s">
        <v>528</v>
      </c>
      <c r="F51" s="286" t="s">
        <v>529</v>
      </c>
      <c r="G51" s="76">
        <v>800</v>
      </c>
      <c r="H51" s="76">
        <v>800</v>
      </c>
      <c r="I51" s="76"/>
      <c r="J51" s="76"/>
      <c r="K51" s="287" t="s">
        <v>530</v>
      </c>
      <c r="L51" s="288">
        <v>2</v>
      </c>
      <c r="M51" s="288">
        <v>1</v>
      </c>
      <c r="N51" s="289"/>
    </row>
    <row r="52" spans="1:14" hidden="1" x14ac:dyDescent="0.25">
      <c r="A52" s="283" t="str">
        <f t="shared" si="5"/>
        <v>NBN2:MAM</v>
      </c>
      <c r="B52" s="284" t="s">
        <v>500</v>
      </c>
      <c r="C52" s="285" t="s">
        <v>55</v>
      </c>
      <c r="D52" s="15" t="s">
        <v>571</v>
      </c>
      <c r="E52" s="285" t="s">
        <v>528</v>
      </c>
      <c r="F52" s="286" t="s">
        <v>529</v>
      </c>
      <c r="G52" s="76">
        <v>850</v>
      </c>
      <c r="H52" s="76">
        <v>850</v>
      </c>
      <c r="I52" s="76"/>
      <c r="J52" s="76"/>
      <c r="K52" s="287" t="s">
        <v>530</v>
      </c>
      <c r="L52" s="288">
        <v>2</v>
      </c>
      <c r="M52" s="288">
        <v>1</v>
      </c>
      <c r="N52" s="289"/>
    </row>
    <row r="53" spans="1:14" hidden="1" x14ac:dyDescent="0.25">
      <c r="A53" s="283" t="str">
        <f t="shared" si="5"/>
        <v>NBN:RPG</v>
      </c>
      <c r="B53" s="284" t="s">
        <v>370</v>
      </c>
      <c r="C53" s="285" t="s">
        <v>59</v>
      </c>
      <c r="D53" s="15" t="s">
        <v>571</v>
      </c>
      <c r="E53" s="285" t="s">
        <v>528</v>
      </c>
      <c r="F53" s="286" t="s">
        <v>529</v>
      </c>
      <c r="G53" s="76">
        <v>700</v>
      </c>
      <c r="H53" s="76">
        <v>700</v>
      </c>
      <c r="I53" s="76">
        <f ca="1">G53*(1-OFFSET(payMgmtRate,0,L53))</f>
        <v>665</v>
      </c>
      <c r="J53" s="76"/>
      <c r="K53" s="287" t="s">
        <v>530</v>
      </c>
      <c r="L53" s="288">
        <v>1</v>
      </c>
      <c r="M53" s="288">
        <v>1</v>
      </c>
      <c r="N53" s="289"/>
    </row>
    <row r="54" spans="1:14" hidden="1" x14ac:dyDescent="0.25">
      <c r="A54" s="283" t="str">
        <f t="shared" si="5"/>
        <v>NEWS:RPG</v>
      </c>
      <c r="B54" s="284" t="s">
        <v>503</v>
      </c>
      <c r="C54" s="285" t="s">
        <v>59</v>
      </c>
      <c r="D54" s="15" t="s">
        <v>571</v>
      </c>
      <c r="E54" s="285" t="s">
        <v>528</v>
      </c>
      <c r="F54" s="286" t="s">
        <v>529</v>
      </c>
      <c r="G54" s="76">
        <v>700</v>
      </c>
      <c r="H54" s="76">
        <v>700</v>
      </c>
      <c r="I54" s="76">
        <f ca="1">G54*(1-OFFSET(payMgmtRate,0,L54))</f>
        <v>665</v>
      </c>
      <c r="J54" s="76"/>
      <c r="K54" s="287" t="s">
        <v>530</v>
      </c>
      <c r="L54" s="288">
        <v>1</v>
      </c>
      <c r="M54" s="288">
        <v>1</v>
      </c>
      <c r="N54" s="289"/>
    </row>
    <row r="55" spans="1:14" hidden="1" x14ac:dyDescent="0.25">
      <c r="A55" s="283" t="str">
        <f t="shared" si="5"/>
        <v>QSUPER:MAM</v>
      </c>
      <c r="B55" s="284" t="s">
        <v>572</v>
      </c>
      <c r="C55" s="285" t="s">
        <v>55</v>
      </c>
      <c r="D55" s="15" t="s">
        <v>224</v>
      </c>
      <c r="E55" s="285" t="s">
        <v>528</v>
      </c>
      <c r="F55" s="286" t="s">
        <v>529</v>
      </c>
      <c r="G55" s="76">
        <v>800</v>
      </c>
      <c r="H55" s="76">
        <v>800</v>
      </c>
      <c r="I55" s="76">
        <v>0</v>
      </c>
      <c r="J55" s="76"/>
      <c r="K55" s="287" t="s">
        <v>573</v>
      </c>
      <c r="L55" s="288"/>
      <c r="M55" s="288">
        <v>1</v>
      </c>
      <c r="N55" s="289"/>
    </row>
    <row r="56" spans="1:14" hidden="1" x14ac:dyDescent="0.25">
      <c r="A56" s="283" t="str">
        <f t="shared" si="5"/>
        <v>SATYAM:EP</v>
      </c>
      <c r="B56" s="284" t="s">
        <v>574</v>
      </c>
      <c r="C56" s="285" t="s">
        <v>575</v>
      </c>
      <c r="D56" s="15" t="s">
        <v>212</v>
      </c>
      <c r="E56" s="285" t="s">
        <v>568</v>
      </c>
      <c r="F56" s="286" t="s">
        <v>529</v>
      </c>
      <c r="G56" s="76">
        <v>400</v>
      </c>
      <c r="H56" s="76">
        <v>400</v>
      </c>
      <c r="I56" s="76">
        <v>3333.33</v>
      </c>
      <c r="J56" s="76"/>
      <c r="K56" s="287" t="s">
        <v>576</v>
      </c>
      <c r="L56" s="288"/>
      <c r="M56" s="288"/>
      <c r="N56" s="289"/>
    </row>
    <row r="57" spans="1:14" hidden="1" x14ac:dyDescent="0.25">
      <c r="A57" s="283" t="str">
        <f t="shared" si="5"/>
        <v>SATYAM:MK</v>
      </c>
      <c r="B57" s="284" t="s">
        <v>574</v>
      </c>
      <c r="C57" s="285" t="s">
        <v>577</v>
      </c>
      <c r="D57" s="15" t="s">
        <v>212</v>
      </c>
      <c r="E57" s="285" t="s">
        <v>568</v>
      </c>
      <c r="F57" s="286" t="s">
        <v>529</v>
      </c>
      <c r="G57" s="76">
        <v>400</v>
      </c>
      <c r="H57" s="76">
        <v>400</v>
      </c>
      <c r="I57" s="76">
        <v>3333.33</v>
      </c>
      <c r="J57" s="76"/>
      <c r="K57" s="287" t="s">
        <v>576</v>
      </c>
      <c r="L57" s="288"/>
      <c r="M57" s="288"/>
      <c r="N57" s="289"/>
    </row>
    <row r="58" spans="1:14" hidden="1" x14ac:dyDescent="0.25">
      <c r="A58" s="283" t="str">
        <f t="shared" si="5"/>
        <v>SATYAM:NK</v>
      </c>
      <c r="B58" s="284" t="s">
        <v>574</v>
      </c>
      <c r="C58" s="285" t="s">
        <v>578</v>
      </c>
      <c r="D58" s="15" t="s">
        <v>212</v>
      </c>
      <c r="E58" s="285" t="s">
        <v>568</v>
      </c>
      <c r="F58" s="286" t="s">
        <v>529</v>
      </c>
      <c r="G58" s="76">
        <v>400</v>
      </c>
      <c r="H58" s="76">
        <v>400</v>
      </c>
      <c r="I58" s="76">
        <v>3333.33</v>
      </c>
      <c r="J58" s="76"/>
      <c r="K58" s="287" t="s">
        <v>576</v>
      </c>
      <c r="L58" s="288"/>
      <c r="M58" s="288"/>
      <c r="N58" s="289"/>
    </row>
    <row r="59" spans="1:14" hidden="1" x14ac:dyDescent="0.25">
      <c r="A59" s="283" t="str">
        <f t="shared" si="5"/>
        <v>SATYAM:PK</v>
      </c>
      <c r="B59" s="284" t="s">
        <v>574</v>
      </c>
      <c r="C59" s="285" t="s">
        <v>579</v>
      </c>
      <c r="D59" s="15" t="s">
        <v>212</v>
      </c>
      <c r="E59" s="285" t="s">
        <v>568</v>
      </c>
      <c r="F59" s="286" t="s">
        <v>529</v>
      </c>
      <c r="G59" s="76">
        <v>400</v>
      </c>
      <c r="H59" s="76">
        <v>400</v>
      </c>
      <c r="I59" s="76">
        <v>3333.33</v>
      </c>
      <c r="J59" s="76"/>
      <c r="K59" s="287" t="s">
        <v>576</v>
      </c>
      <c r="L59" s="288"/>
      <c r="M59" s="288"/>
      <c r="N59" s="289"/>
    </row>
    <row r="60" spans="1:14" hidden="1" x14ac:dyDescent="0.25">
      <c r="A60" s="283" t="str">
        <f t="shared" si="5"/>
        <v>SATYAM:SRP</v>
      </c>
      <c r="B60" s="284" t="s">
        <v>574</v>
      </c>
      <c r="C60" s="285" t="s">
        <v>536</v>
      </c>
      <c r="D60" s="15" t="s">
        <v>212</v>
      </c>
      <c r="E60" s="285" t="s">
        <v>528</v>
      </c>
      <c r="F60" s="286" t="s">
        <v>529</v>
      </c>
      <c r="G60" s="76">
        <v>875</v>
      </c>
      <c r="H60" s="76">
        <v>875</v>
      </c>
      <c r="I60" s="76">
        <f ca="1">G60*(1-OFFSET(payMgmtRate,0,L60))</f>
        <v>831.25</v>
      </c>
      <c r="J60" s="76"/>
      <c r="K60" s="287" t="s">
        <v>576</v>
      </c>
      <c r="L60" s="288">
        <v>1</v>
      </c>
      <c r="M60" s="288">
        <v>1</v>
      </c>
      <c r="N60" s="289"/>
    </row>
    <row r="61" spans="1:14" hidden="1" x14ac:dyDescent="0.25">
      <c r="A61" s="283" t="str">
        <f t="shared" si="5"/>
        <v>SATYAM_OS:SRP</v>
      </c>
      <c r="B61" s="284" t="s">
        <v>580</v>
      </c>
      <c r="C61" s="285" t="s">
        <v>536</v>
      </c>
      <c r="D61" s="15" t="s">
        <v>212</v>
      </c>
      <c r="E61" s="285" t="s">
        <v>528</v>
      </c>
      <c r="F61" s="286" t="s">
        <v>529</v>
      </c>
      <c r="G61" s="76">
        <v>1100</v>
      </c>
      <c r="H61" s="76">
        <v>1100</v>
      </c>
      <c r="I61" s="76">
        <f ca="1">G61*(1-OFFSET(payMgmtRate,0,L61))</f>
        <v>1045</v>
      </c>
      <c r="J61" s="76"/>
      <c r="K61" s="287" t="s">
        <v>534</v>
      </c>
      <c r="L61" s="288">
        <v>1</v>
      </c>
      <c r="M61" s="288">
        <v>1</v>
      </c>
      <c r="N61" s="289"/>
    </row>
    <row r="62" spans="1:14" hidden="1" x14ac:dyDescent="0.25">
      <c r="A62" s="283" t="str">
        <f t="shared" si="5"/>
        <v>SATYAM1:EP</v>
      </c>
      <c r="B62" s="284" t="s">
        <v>581</v>
      </c>
      <c r="C62" s="285" t="s">
        <v>575</v>
      </c>
      <c r="D62" s="15" t="s">
        <v>212</v>
      </c>
      <c r="E62" s="285" t="s">
        <v>568</v>
      </c>
      <c r="F62" s="286" t="s">
        <v>529</v>
      </c>
      <c r="G62" s="76">
        <v>400</v>
      </c>
      <c r="H62" s="76">
        <v>400</v>
      </c>
      <c r="I62" s="76">
        <v>3833.33</v>
      </c>
      <c r="J62" s="76">
        <f>I62/21.6666</f>
        <v>176.92346745682295</v>
      </c>
      <c r="K62" s="287" t="s">
        <v>576</v>
      </c>
      <c r="L62" s="288"/>
      <c r="M62" s="288"/>
      <c r="N62" s="289"/>
    </row>
    <row r="63" spans="1:14" hidden="1" x14ac:dyDescent="0.25">
      <c r="A63" s="283" t="str">
        <f t="shared" si="5"/>
        <v>SATYAM1:MK</v>
      </c>
      <c r="B63" s="284" t="s">
        <v>581</v>
      </c>
      <c r="C63" s="285" t="s">
        <v>577</v>
      </c>
      <c r="D63" s="15" t="s">
        <v>212</v>
      </c>
      <c r="E63" s="285" t="s">
        <v>568</v>
      </c>
      <c r="F63" s="286" t="s">
        <v>529</v>
      </c>
      <c r="G63" s="76">
        <v>400</v>
      </c>
      <c r="H63" s="76">
        <v>400</v>
      </c>
      <c r="I63" s="76">
        <v>3833.33</v>
      </c>
      <c r="J63" s="76">
        <f>I63/21.6666</f>
        <v>176.92346745682295</v>
      </c>
      <c r="K63" s="287" t="s">
        <v>576</v>
      </c>
      <c r="L63" s="288"/>
      <c r="M63" s="288"/>
      <c r="N63" s="289"/>
    </row>
    <row r="64" spans="1:14" hidden="1" x14ac:dyDescent="0.25">
      <c r="A64" s="283" t="str">
        <f t="shared" si="5"/>
        <v>SATYAM1:NK</v>
      </c>
      <c r="B64" s="284" t="s">
        <v>581</v>
      </c>
      <c r="C64" s="285" t="s">
        <v>578</v>
      </c>
      <c r="D64" s="15" t="s">
        <v>212</v>
      </c>
      <c r="E64" s="285" t="s">
        <v>568</v>
      </c>
      <c r="F64" s="286" t="s">
        <v>529</v>
      </c>
      <c r="G64" s="76">
        <v>400</v>
      </c>
      <c r="H64" s="76">
        <v>400</v>
      </c>
      <c r="I64" s="76">
        <v>3833.33</v>
      </c>
      <c r="J64" s="76">
        <f>I64/21.6666</f>
        <v>176.92346745682295</v>
      </c>
      <c r="K64" s="287" t="s">
        <v>576</v>
      </c>
      <c r="L64" s="288"/>
      <c r="M64" s="288"/>
      <c r="N64" s="289"/>
    </row>
    <row r="65" spans="1:14" hidden="1" x14ac:dyDescent="0.25">
      <c r="A65" s="283" t="str">
        <f t="shared" si="5"/>
        <v>SATYAM1:PK</v>
      </c>
      <c r="B65" s="284" t="s">
        <v>581</v>
      </c>
      <c r="C65" s="285" t="s">
        <v>579</v>
      </c>
      <c r="D65" s="15" t="s">
        <v>212</v>
      </c>
      <c r="E65" s="285" t="s">
        <v>568</v>
      </c>
      <c r="F65" s="286" t="s">
        <v>529</v>
      </c>
      <c r="G65" s="76">
        <v>400</v>
      </c>
      <c r="H65" s="76">
        <v>400</v>
      </c>
      <c r="I65" s="76">
        <v>3833.33</v>
      </c>
      <c r="J65" s="76">
        <f>I65/21.6666</f>
        <v>176.92346745682295</v>
      </c>
      <c r="K65" s="287" t="s">
        <v>576</v>
      </c>
      <c r="L65" s="288"/>
      <c r="M65" s="288"/>
      <c r="N65" s="289"/>
    </row>
    <row r="66" spans="1:14" hidden="1" x14ac:dyDescent="0.25">
      <c r="A66" s="283" t="str">
        <f t="shared" si="5"/>
        <v>SATYAM1:SRP</v>
      </c>
      <c r="B66" s="284" t="s">
        <v>581</v>
      </c>
      <c r="C66" s="285" t="s">
        <v>536</v>
      </c>
      <c r="D66" s="15" t="s">
        <v>212</v>
      </c>
      <c r="E66" s="285" t="s">
        <v>528</v>
      </c>
      <c r="F66" s="286" t="s">
        <v>529</v>
      </c>
      <c r="G66" s="76">
        <v>1100</v>
      </c>
      <c r="H66" s="76">
        <v>1100</v>
      </c>
      <c r="I66" s="76">
        <f ca="1">G66*(1-OFFSET(payMgmtRate,0,L66))</f>
        <v>1045</v>
      </c>
      <c r="J66" s="76"/>
      <c r="K66" s="287" t="s">
        <v>576</v>
      </c>
      <c r="L66" s="288">
        <v>1</v>
      </c>
      <c r="M66" s="288">
        <v>1</v>
      </c>
      <c r="N66" s="289"/>
    </row>
    <row r="67" spans="1:14" hidden="1" x14ac:dyDescent="0.25">
      <c r="A67" s="283" t="str">
        <f t="shared" si="5"/>
        <v>SATYAM2:AP</v>
      </c>
      <c r="B67" s="284" t="s">
        <v>582</v>
      </c>
      <c r="C67" s="285" t="s">
        <v>564</v>
      </c>
      <c r="D67" s="15" t="s">
        <v>212</v>
      </c>
      <c r="E67" s="285" t="s">
        <v>528</v>
      </c>
      <c r="F67" s="286" t="s">
        <v>529</v>
      </c>
      <c r="G67" s="76">
        <v>800</v>
      </c>
      <c r="H67" s="76">
        <v>800</v>
      </c>
      <c r="I67" s="76">
        <v>640</v>
      </c>
      <c r="J67" s="76"/>
      <c r="K67" s="287" t="s">
        <v>576</v>
      </c>
      <c r="L67" s="288"/>
      <c r="M67" s="288">
        <v>1</v>
      </c>
      <c r="N67" s="289"/>
    </row>
    <row r="68" spans="1:14" hidden="1" x14ac:dyDescent="0.25">
      <c r="A68" s="283" t="str">
        <f t="shared" si="5"/>
        <v>SATYAM2:EP</v>
      </c>
      <c r="B68" s="284" t="s">
        <v>582</v>
      </c>
      <c r="C68" s="285" t="s">
        <v>575</v>
      </c>
      <c r="D68" s="15" t="s">
        <v>212</v>
      </c>
      <c r="E68" s="285" t="s">
        <v>568</v>
      </c>
      <c r="F68" s="286" t="s">
        <v>529</v>
      </c>
      <c r="G68" s="76">
        <v>400</v>
      </c>
      <c r="H68" s="76">
        <v>400</v>
      </c>
      <c r="I68" s="76">
        <v>4600</v>
      </c>
      <c r="J68" s="76">
        <f>I68/21.6666</f>
        <v>212.30834556414021</v>
      </c>
      <c r="K68" s="287" t="s">
        <v>576</v>
      </c>
      <c r="L68" s="288"/>
      <c r="M68" s="288"/>
      <c r="N68" s="289"/>
    </row>
    <row r="69" spans="1:14" hidden="1" x14ac:dyDescent="0.25">
      <c r="A69" s="283" t="str">
        <f t="shared" si="5"/>
        <v>SATYAM3:AP</v>
      </c>
      <c r="B69" s="284" t="s">
        <v>583</v>
      </c>
      <c r="C69" s="285" t="s">
        <v>564</v>
      </c>
      <c r="D69" s="15" t="s">
        <v>212</v>
      </c>
      <c r="E69" s="285" t="s">
        <v>528</v>
      </c>
      <c r="F69" s="286" t="s">
        <v>529</v>
      </c>
      <c r="G69" s="76">
        <v>800</v>
      </c>
      <c r="H69" s="76">
        <v>800</v>
      </c>
      <c r="I69" s="76">
        <v>680</v>
      </c>
      <c r="J69" s="76"/>
      <c r="K69" s="287" t="s">
        <v>576</v>
      </c>
      <c r="L69" s="288"/>
      <c r="M69" s="288">
        <v>1</v>
      </c>
      <c r="N69" s="289"/>
    </row>
    <row r="70" spans="1:14" hidden="1" x14ac:dyDescent="0.25">
      <c r="A70" s="283" t="str">
        <f t="shared" si="5"/>
        <v>SATYAM4:AP</v>
      </c>
      <c r="B70" s="284" t="s">
        <v>584</v>
      </c>
      <c r="C70" s="285" t="s">
        <v>564</v>
      </c>
      <c r="D70" s="15" t="s">
        <v>212</v>
      </c>
      <c r="E70" s="285" t="s">
        <v>528</v>
      </c>
      <c r="F70" s="286" t="s">
        <v>529</v>
      </c>
      <c r="G70" s="76">
        <v>800</v>
      </c>
      <c r="H70" s="76">
        <v>800</v>
      </c>
      <c r="I70" s="76">
        <v>720</v>
      </c>
      <c r="J70" s="76"/>
      <c r="K70" s="287" t="s">
        <v>576</v>
      </c>
      <c r="L70" s="288"/>
      <c r="M70" s="288">
        <v>1</v>
      </c>
      <c r="N70" s="289"/>
    </row>
    <row r="71" spans="1:14" hidden="1" x14ac:dyDescent="0.25">
      <c r="A71" s="283" t="str">
        <f t="shared" si="5"/>
        <v>SATYAMtr:CRP</v>
      </c>
      <c r="B71" s="284" t="s">
        <v>585</v>
      </c>
      <c r="C71" s="285" t="s">
        <v>57</v>
      </c>
      <c r="D71" s="15" t="s">
        <v>212</v>
      </c>
      <c r="E71" s="285" t="s">
        <v>538</v>
      </c>
      <c r="F71" s="286" t="s">
        <v>529</v>
      </c>
      <c r="G71" s="76">
        <v>7500</v>
      </c>
      <c r="H71" s="76">
        <v>7500</v>
      </c>
      <c r="I71" s="76">
        <f t="shared" ref="I71:I82" ca="1" si="6">G71*(1-OFFSET(payMgmtRate,0,L71))</f>
        <v>7125</v>
      </c>
      <c r="J71" s="76"/>
      <c r="K71" s="287" t="s">
        <v>576</v>
      </c>
      <c r="L71" s="288">
        <v>1</v>
      </c>
      <c r="M71" s="288">
        <v>1</v>
      </c>
      <c r="N71" s="289"/>
    </row>
    <row r="72" spans="1:14" hidden="1" x14ac:dyDescent="0.25">
      <c r="A72" s="283" t="str">
        <f t="shared" si="5"/>
        <v>SATYAMtr2:CRP</v>
      </c>
      <c r="B72" s="284" t="s">
        <v>586</v>
      </c>
      <c r="C72" s="285" t="s">
        <v>57</v>
      </c>
      <c r="D72" s="15" t="s">
        <v>212</v>
      </c>
      <c r="E72" s="285" t="s">
        <v>538</v>
      </c>
      <c r="F72" s="286" t="s">
        <v>529</v>
      </c>
      <c r="G72" s="76">
        <v>1000</v>
      </c>
      <c r="H72" s="76">
        <v>1000</v>
      </c>
      <c r="I72" s="76">
        <f t="shared" ca="1" si="6"/>
        <v>950</v>
      </c>
      <c r="J72" s="76"/>
      <c r="K72" s="287" t="s">
        <v>576</v>
      </c>
      <c r="L72" s="288">
        <v>1</v>
      </c>
      <c r="M72" s="288">
        <v>1</v>
      </c>
      <c r="N72" s="289"/>
    </row>
    <row r="73" spans="1:14" hidden="1" x14ac:dyDescent="0.25">
      <c r="A73" s="283" t="str">
        <f t="shared" si="5"/>
        <v>SPA:CRP</v>
      </c>
      <c r="B73" s="284" t="s">
        <v>587</v>
      </c>
      <c r="C73" s="285" t="s">
        <v>57</v>
      </c>
      <c r="D73" s="15" t="s">
        <v>237</v>
      </c>
      <c r="E73" s="285" t="s">
        <v>528</v>
      </c>
      <c r="F73" s="286" t="s">
        <v>529</v>
      </c>
      <c r="G73" s="76">
        <v>1000</v>
      </c>
      <c r="H73" s="76">
        <v>1000</v>
      </c>
      <c r="I73" s="76">
        <f t="shared" ca="1" si="6"/>
        <v>965</v>
      </c>
      <c r="J73" s="76"/>
      <c r="K73" s="287" t="s">
        <v>534</v>
      </c>
      <c r="L73" s="288">
        <v>2</v>
      </c>
      <c r="M73" s="288">
        <v>1</v>
      </c>
      <c r="N73" s="289"/>
    </row>
    <row r="74" spans="1:14" hidden="1" x14ac:dyDescent="0.25">
      <c r="A74" s="283" t="str">
        <f t="shared" si="5"/>
        <v>SPA:KMP</v>
      </c>
      <c r="B74" s="284" t="s">
        <v>587</v>
      </c>
      <c r="C74" s="285" t="s">
        <v>560</v>
      </c>
      <c r="D74" s="15" t="s">
        <v>237</v>
      </c>
      <c r="E74" s="285" t="s">
        <v>528</v>
      </c>
      <c r="F74" s="286" t="s">
        <v>529</v>
      </c>
      <c r="G74" s="76">
        <v>1000</v>
      </c>
      <c r="H74" s="76">
        <v>1000</v>
      </c>
      <c r="I74" s="76">
        <f t="shared" ca="1" si="6"/>
        <v>965</v>
      </c>
      <c r="J74" s="76"/>
      <c r="K74" s="287" t="s">
        <v>534</v>
      </c>
      <c r="L74" s="288">
        <v>2</v>
      </c>
      <c r="M74" s="288">
        <v>1</v>
      </c>
      <c r="N74" s="289"/>
    </row>
    <row r="75" spans="1:14" hidden="1" x14ac:dyDescent="0.25">
      <c r="A75" s="283" t="str">
        <f t="shared" si="5"/>
        <v>SPA:SKR</v>
      </c>
      <c r="B75" s="284" t="s">
        <v>587</v>
      </c>
      <c r="C75" s="285" t="s">
        <v>554</v>
      </c>
      <c r="D75" s="15" t="s">
        <v>237</v>
      </c>
      <c r="E75" s="285" t="s">
        <v>528</v>
      </c>
      <c r="F75" s="286" t="s">
        <v>529</v>
      </c>
      <c r="G75" s="76">
        <v>1000</v>
      </c>
      <c r="H75" s="76">
        <v>1000</v>
      </c>
      <c r="I75" s="76">
        <f t="shared" ca="1" si="6"/>
        <v>965</v>
      </c>
      <c r="J75" s="76"/>
      <c r="K75" s="287" t="s">
        <v>534</v>
      </c>
      <c r="L75" s="288">
        <v>2</v>
      </c>
      <c r="M75" s="288">
        <v>1</v>
      </c>
      <c r="N75" s="289"/>
    </row>
    <row r="76" spans="1:14" hidden="1" x14ac:dyDescent="0.25">
      <c r="A76" s="283" t="str">
        <f t="shared" si="5"/>
        <v>SPA:SRP</v>
      </c>
      <c r="B76" s="284" t="s">
        <v>587</v>
      </c>
      <c r="C76" s="285" t="s">
        <v>536</v>
      </c>
      <c r="D76" s="15" t="s">
        <v>237</v>
      </c>
      <c r="E76" s="285" t="s">
        <v>528</v>
      </c>
      <c r="F76" s="286" t="s">
        <v>529</v>
      </c>
      <c r="G76" s="76">
        <v>1000</v>
      </c>
      <c r="H76" s="76">
        <v>1000</v>
      </c>
      <c r="I76" s="76">
        <f t="shared" ca="1" si="6"/>
        <v>965</v>
      </c>
      <c r="J76" s="76"/>
      <c r="K76" s="287" t="s">
        <v>534</v>
      </c>
      <c r="L76" s="288">
        <v>2</v>
      </c>
      <c r="M76" s="288">
        <v>1</v>
      </c>
      <c r="N76" s="289"/>
    </row>
    <row r="77" spans="1:14" hidden="1" x14ac:dyDescent="0.25">
      <c r="A77" s="283" t="str">
        <f t="shared" si="5"/>
        <v>SPA1:CRP</v>
      </c>
      <c r="B77" s="284" t="s">
        <v>588</v>
      </c>
      <c r="C77" s="285" t="s">
        <v>57</v>
      </c>
      <c r="D77" s="15" t="s">
        <v>237</v>
      </c>
      <c r="E77" s="285" t="s">
        <v>528</v>
      </c>
      <c r="F77" s="286" t="s">
        <v>529</v>
      </c>
      <c r="G77" s="76">
        <v>1000</v>
      </c>
      <c r="H77" s="76">
        <v>1000</v>
      </c>
      <c r="I77" s="76">
        <f t="shared" ca="1" si="6"/>
        <v>950</v>
      </c>
      <c r="J77" s="76"/>
      <c r="K77" s="287" t="s">
        <v>534</v>
      </c>
      <c r="L77" s="288">
        <v>1</v>
      </c>
      <c r="M77" s="288">
        <v>1</v>
      </c>
      <c r="N77" s="289"/>
    </row>
    <row r="78" spans="1:14" hidden="1" x14ac:dyDescent="0.25">
      <c r="A78" s="283" t="str">
        <f t="shared" ref="A78:A124" si="7">B78&amp;":"&amp;C78</f>
        <v>SPA1:KMP</v>
      </c>
      <c r="B78" s="284" t="s">
        <v>588</v>
      </c>
      <c r="C78" s="285" t="s">
        <v>560</v>
      </c>
      <c r="D78" s="15" t="s">
        <v>237</v>
      </c>
      <c r="E78" s="285" t="s">
        <v>528</v>
      </c>
      <c r="F78" s="286" t="s">
        <v>529</v>
      </c>
      <c r="G78" s="76">
        <v>1000</v>
      </c>
      <c r="H78" s="76">
        <v>1000</v>
      </c>
      <c r="I78" s="76">
        <f t="shared" ca="1" si="6"/>
        <v>950</v>
      </c>
      <c r="J78" s="76"/>
      <c r="K78" s="287" t="s">
        <v>534</v>
      </c>
      <c r="L78" s="288">
        <v>1</v>
      </c>
      <c r="M78" s="288">
        <v>1</v>
      </c>
      <c r="N78" s="289"/>
    </row>
    <row r="79" spans="1:14" hidden="1" x14ac:dyDescent="0.25">
      <c r="A79" s="283" t="str">
        <f t="shared" si="7"/>
        <v>SPA1:SKR</v>
      </c>
      <c r="B79" s="284" t="s">
        <v>588</v>
      </c>
      <c r="C79" s="285" t="s">
        <v>554</v>
      </c>
      <c r="D79" s="15" t="s">
        <v>237</v>
      </c>
      <c r="E79" s="285" t="s">
        <v>528</v>
      </c>
      <c r="F79" s="286" t="s">
        <v>529</v>
      </c>
      <c r="G79" s="76">
        <v>1000</v>
      </c>
      <c r="H79" s="76">
        <v>1000</v>
      </c>
      <c r="I79" s="76">
        <f t="shared" ca="1" si="6"/>
        <v>950</v>
      </c>
      <c r="J79" s="76"/>
      <c r="K79" s="287" t="s">
        <v>534</v>
      </c>
      <c r="L79" s="288">
        <v>1</v>
      </c>
      <c r="M79" s="288">
        <v>1</v>
      </c>
      <c r="N79" s="289"/>
    </row>
    <row r="80" spans="1:14" hidden="1" x14ac:dyDescent="0.25">
      <c r="A80" s="283" t="str">
        <f t="shared" si="7"/>
        <v>SPA1:SM</v>
      </c>
      <c r="B80" s="284" t="s">
        <v>588</v>
      </c>
      <c r="C80" s="285" t="s">
        <v>58</v>
      </c>
      <c r="D80" s="15" t="s">
        <v>237</v>
      </c>
      <c r="E80" s="285" t="s">
        <v>528</v>
      </c>
      <c r="F80" s="286" t="s">
        <v>529</v>
      </c>
      <c r="G80" s="76">
        <v>1000</v>
      </c>
      <c r="H80" s="76">
        <v>1000</v>
      </c>
      <c r="I80" s="76">
        <f t="shared" ca="1" si="6"/>
        <v>950</v>
      </c>
      <c r="J80" s="76"/>
      <c r="K80" s="287" t="s">
        <v>534</v>
      </c>
      <c r="L80" s="288">
        <v>1</v>
      </c>
      <c r="M80" s="288">
        <v>1</v>
      </c>
      <c r="N80" s="289"/>
    </row>
    <row r="81" spans="1:14" hidden="1" x14ac:dyDescent="0.25">
      <c r="A81" s="283" t="str">
        <f t="shared" si="7"/>
        <v>SPA1:SRP</v>
      </c>
      <c r="B81" s="284" t="s">
        <v>588</v>
      </c>
      <c r="C81" s="285" t="s">
        <v>536</v>
      </c>
      <c r="D81" s="15" t="s">
        <v>237</v>
      </c>
      <c r="E81" s="285" t="s">
        <v>528</v>
      </c>
      <c r="F81" s="286" t="s">
        <v>529</v>
      </c>
      <c r="G81" s="76">
        <v>1000</v>
      </c>
      <c r="H81" s="76">
        <v>1000</v>
      </c>
      <c r="I81" s="76">
        <f t="shared" ca="1" si="6"/>
        <v>950</v>
      </c>
      <c r="J81" s="76"/>
      <c r="K81" s="287" t="s">
        <v>534</v>
      </c>
      <c r="L81" s="288">
        <v>1</v>
      </c>
      <c r="M81" s="288">
        <v>1</v>
      </c>
      <c r="N81" s="289"/>
    </row>
    <row r="82" spans="1:14" hidden="1" x14ac:dyDescent="0.25">
      <c r="A82" s="283" t="str">
        <f t="shared" si="7"/>
        <v>SPA1:SS</v>
      </c>
      <c r="B82" s="284" t="s">
        <v>588</v>
      </c>
      <c r="C82" s="285" t="s">
        <v>561</v>
      </c>
      <c r="D82" s="15" t="s">
        <v>237</v>
      </c>
      <c r="E82" s="285" t="s">
        <v>528</v>
      </c>
      <c r="F82" s="286" t="s">
        <v>529</v>
      </c>
      <c r="G82" s="76">
        <v>1000</v>
      </c>
      <c r="H82" s="76">
        <v>1000</v>
      </c>
      <c r="I82" s="76">
        <f t="shared" ca="1" si="6"/>
        <v>950</v>
      </c>
      <c r="J82" s="76"/>
      <c r="K82" s="287" t="s">
        <v>534</v>
      </c>
      <c r="L82" s="288">
        <v>1</v>
      </c>
      <c r="M82" s="288">
        <v>1</v>
      </c>
      <c r="N82" s="289"/>
    </row>
    <row r="83" spans="1:14" hidden="1" x14ac:dyDescent="0.25">
      <c r="A83" s="283" t="str">
        <f t="shared" si="7"/>
        <v>SPARQ100:CRP</v>
      </c>
      <c r="B83" s="284" t="s">
        <v>589</v>
      </c>
      <c r="C83" s="285" t="s">
        <v>57</v>
      </c>
      <c r="D83" s="15" t="s">
        <v>571</v>
      </c>
      <c r="E83" s="285" t="s">
        <v>528</v>
      </c>
      <c r="F83" s="286" t="s">
        <v>529</v>
      </c>
      <c r="G83" s="76">
        <v>970</v>
      </c>
      <c r="H83" s="76">
        <v>970</v>
      </c>
      <c r="I83" s="76">
        <f>970*0.97</f>
        <v>940.9</v>
      </c>
      <c r="J83" s="76"/>
      <c r="K83" s="287" t="s">
        <v>573</v>
      </c>
      <c r="L83" s="288"/>
      <c r="M83" s="288">
        <v>1</v>
      </c>
      <c r="N83" s="289"/>
    </row>
    <row r="84" spans="1:14" hidden="1" x14ac:dyDescent="0.25">
      <c r="A84" s="283" t="str">
        <f t="shared" si="7"/>
        <v>SPARQ100:SM</v>
      </c>
      <c r="B84" s="284" t="s">
        <v>589</v>
      </c>
      <c r="C84" s="285" t="s">
        <v>58</v>
      </c>
      <c r="D84" s="15" t="s">
        <v>571</v>
      </c>
      <c r="E84" s="285" t="s">
        <v>528</v>
      </c>
      <c r="F84" s="286" t="s">
        <v>529</v>
      </c>
      <c r="G84" s="76">
        <v>970</v>
      </c>
      <c r="H84" s="76">
        <v>970</v>
      </c>
      <c r="I84" s="76">
        <f>970*0.97</f>
        <v>940.9</v>
      </c>
      <c r="J84" s="76"/>
      <c r="K84" s="287" t="s">
        <v>573</v>
      </c>
      <c r="L84" s="288"/>
      <c r="M84" s="288">
        <v>1</v>
      </c>
      <c r="N84" s="289"/>
    </row>
    <row r="85" spans="1:14" hidden="1" x14ac:dyDescent="0.25">
      <c r="A85" s="283" t="str">
        <f t="shared" ref="A85:A86" si="8">B85&amp;":"&amp;C85</f>
        <v>SPARQ70:CRP</v>
      </c>
      <c r="B85" s="284" t="s">
        <v>493</v>
      </c>
      <c r="C85" s="285" t="s">
        <v>57</v>
      </c>
      <c r="D85" s="15" t="s">
        <v>571</v>
      </c>
      <c r="E85" s="285" t="s">
        <v>528</v>
      </c>
      <c r="F85" s="286" t="s">
        <v>529</v>
      </c>
      <c r="G85" s="76">
        <f>970*0.7</f>
        <v>679</v>
      </c>
      <c r="H85" s="76">
        <f>970*0.7</f>
        <v>679</v>
      </c>
      <c r="I85" s="76">
        <f>970*0.97*0.7</f>
        <v>658.63</v>
      </c>
      <c r="J85" s="76"/>
      <c r="K85" s="287" t="s">
        <v>573</v>
      </c>
      <c r="L85" s="288"/>
      <c r="M85" s="288">
        <v>1</v>
      </c>
      <c r="N85" s="289"/>
    </row>
    <row r="86" spans="1:14" hidden="1" x14ac:dyDescent="0.25">
      <c r="A86" s="283" t="str">
        <f t="shared" si="8"/>
        <v>SPARQ30:SM</v>
      </c>
      <c r="B86" s="284" t="s">
        <v>494</v>
      </c>
      <c r="C86" s="285" t="s">
        <v>58</v>
      </c>
      <c r="D86" s="15" t="s">
        <v>571</v>
      </c>
      <c r="E86" s="285" t="s">
        <v>528</v>
      </c>
      <c r="F86" s="286" t="s">
        <v>529</v>
      </c>
      <c r="G86" s="76">
        <f>970*0.3</f>
        <v>291</v>
      </c>
      <c r="H86" s="76">
        <f>970*0.3</f>
        <v>291</v>
      </c>
      <c r="I86" s="76">
        <f>970*0.97*0.3</f>
        <v>282.27</v>
      </c>
      <c r="J86" s="76"/>
      <c r="K86" s="287" t="s">
        <v>573</v>
      </c>
      <c r="L86" s="288"/>
      <c r="M86" s="288">
        <v>1</v>
      </c>
      <c r="N86" s="289"/>
    </row>
    <row r="87" spans="1:14" hidden="1" x14ac:dyDescent="0.25">
      <c r="A87" s="283" t="str">
        <f t="shared" si="7"/>
        <v>SPARQ50:CRP</v>
      </c>
      <c r="B87" s="284" t="s">
        <v>643</v>
      </c>
      <c r="C87" s="285" t="s">
        <v>57</v>
      </c>
      <c r="D87" s="15" t="s">
        <v>571</v>
      </c>
      <c r="E87" s="285" t="s">
        <v>528</v>
      </c>
      <c r="F87" s="286" t="s">
        <v>529</v>
      </c>
      <c r="G87" s="76">
        <f>970*0.5</f>
        <v>485</v>
      </c>
      <c r="H87" s="76">
        <f>970*0.5</f>
        <v>485</v>
      </c>
      <c r="I87" s="76">
        <f>970*0.97*0.5</f>
        <v>470.45</v>
      </c>
      <c r="J87" s="76"/>
      <c r="K87" s="287" t="s">
        <v>573</v>
      </c>
      <c r="L87" s="288"/>
      <c r="M87" s="288">
        <v>1</v>
      </c>
      <c r="N87" s="289"/>
    </row>
    <row r="88" spans="1:14" hidden="1" x14ac:dyDescent="0.25">
      <c r="A88" s="283" t="str">
        <f t="shared" si="7"/>
        <v>SPARQ50:SM</v>
      </c>
      <c r="B88" s="284" t="s">
        <v>643</v>
      </c>
      <c r="C88" s="285" t="s">
        <v>58</v>
      </c>
      <c r="D88" s="15" t="s">
        <v>571</v>
      </c>
      <c r="E88" s="285" t="s">
        <v>528</v>
      </c>
      <c r="F88" s="286" t="s">
        <v>529</v>
      </c>
      <c r="G88" s="76">
        <f>970*0.5</f>
        <v>485</v>
      </c>
      <c r="H88" s="76">
        <f>970*0.5</f>
        <v>485</v>
      </c>
      <c r="I88" s="76">
        <f>970*0.97*0.5</f>
        <v>470.45</v>
      </c>
      <c r="J88" s="76"/>
      <c r="K88" s="287" t="s">
        <v>573</v>
      </c>
      <c r="L88" s="288"/>
      <c r="M88" s="288">
        <v>1</v>
      </c>
      <c r="N88" s="289"/>
    </row>
    <row r="89" spans="1:14" hidden="1" x14ac:dyDescent="0.25">
      <c r="A89" s="283" t="str">
        <f t="shared" si="7"/>
        <v>SPARQa70:CRP</v>
      </c>
      <c r="B89" s="284" t="s">
        <v>590</v>
      </c>
      <c r="C89" s="285" t="s">
        <v>57</v>
      </c>
      <c r="D89" s="15" t="s">
        <v>571</v>
      </c>
      <c r="E89" s="285" t="s">
        <v>528</v>
      </c>
      <c r="F89" s="286" t="s">
        <v>529</v>
      </c>
      <c r="G89" s="76">
        <f>970*0.7</f>
        <v>679</v>
      </c>
      <c r="H89" s="76">
        <f>970*0.7</f>
        <v>679</v>
      </c>
      <c r="I89" s="76">
        <f>970*0.98*0.7</f>
        <v>665.42</v>
      </c>
      <c r="J89" s="76"/>
      <c r="K89" s="287" t="s">
        <v>573</v>
      </c>
      <c r="L89" s="288"/>
      <c r="M89" s="288">
        <v>1</v>
      </c>
      <c r="N89" s="289" t="s">
        <v>591</v>
      </c>
    </row>
    <row r="90" spans="1:14" hidden="1" x14ac:dyDescent="0.25">
      <c r="A90" s="283" t="str">
        <f t="shared" si="7"/>
        <v>SPARQa30:SM</v>
      </c>
      <c r="B90" s="284" t="s">
        <v>592</v>
      </c>
      <c r="C90" s="285" t="s">
        <v>58</v>
      </c>
      <c r="D90" s="15" t="s">
        <v>571</v>
      </c>
      <c r="E90" s="285" t="s">
        <v>528</v>
      </c>
      <c r="F90" s="286" t="s">
        <v>529</v>
      </c>
      <c r="G90" s="76">
        <f>970*0.3</f>
        <v>291</v>
      </c>
      <c r="H90" s="76">
        <f>970*0.3</f>
        <v>291</v>
      </c>
      <c r="I90" s="76">
        <f>970*0.98*0.3</f>
        <v>285.18</v>
      </c>
      <c r="J90" s="76"/>
      <c r="K90" s="287" t="s">
        <v>573</v>
      </c>
      <c r="L90" s="288"/>
      <c r="M90" s="288">
        <v>1</v>
      </c>
      <c r="N90" s="289"/>
    </row>
    <row r="91" spans="1:14" hidden="1" x14ac:dyDescent="0.25">
      <c r="A91" s="283" t="str">
        <f t="shared" si="7"/>
        <v>QUU80:CRP</v>
      </c>
      <c r="B91" s="284" t="s">
        <v>662</v>
      </c>
      <c r="C91" s="285" t="s">
        <v>57</v>
      </c>
      <c r="D91" s="15" t="s">
        <v>571</v>
      </c>
      <c r="E91" s="285" t="s">
        <v>528</v>
      </c>
      <c r="F91" s="286" t="s">
        <v>529</v>
      </c>
      <c r="G91" s="76">
        <f>1000*0.8</f>
        <v>800</v>
      </c>
      <c r="H91" s="76">
        <f>1000*0.8</f>
        <v>800</v>
      </c>
      <c r="I91" s="76">
        <f>1000*0.97*0.8</f>
        <v>776</v>
      </c>
      <c r="J91" s="76"/>
      <c r="K91" s="287" t="s">
        <v>573</v>
      </c>
      <c r="L91" s="288"/>
      <c r="M91" s="288">
        <v>1</v>
      </c>
      <c r="N91" s="289"/>
    </row>
    <row r="92" spans="1:14" hidden="1" x14ac:dyDescent="0.25">
      <c r="A92" s="283" t="str">
        <f t="shared" si="7"/>
        <v>QUU20:SM</v>
      </c>
      <c r="B92" s="284" t="s">
        <v>663</v>
      </c>
      <c r="C92" s="285" t="s">
        <v>58</v>
      </c>
      <c r="D92" s="15" t="s">
        <v>571</v>
      </c>
      <c r="E92" s="285" t="s">
        <v>528</v>
      </c>
      <c r="F92" s="286" t="s">
        <v>529</v>
      </c>
      <c r="G92" s="76">
        <f>1000*0.2</f>
        <v>200</v>
      </c>
      <c r="H92" s="76">
        <f>1000*0.2</f>
        <v>200</v>
      </c>
      <c r="I92" s="76">
        <f>1000*0.97*0.2</f>
        <v>194</v>
      </c>
      <c r="J92" s="76"/>
      <c r="K92" s="287" t="s">
        <v>573</v>
      </c>
      <c r="L92" s="288"/>
      <c r="M92" s="288">
        <v>1</v>
      </c>
      <c r="N92" s="289"/>
    </row>
    <row r="93" spans="1:14" hidden="1" x14ac:dyDescent="0.25">
      <c r="A93" s="283" t="str">
        <f t="shared" ref="A93:A94" si="9">B93&amp;":"&amp;C93</f>
        <v>QUU80a:CRP</v>
      </c>
      <c r="B93" s="284" t="s">
        <v>671</v>
      </c>
      <c r="C93" s="285" t="s">
        <v>57</v>
      </c>
      <c r="D93" s="15" t="s">
        <v>571</v>
      </c>
      <c r="E93" s="285" t="s">
        <v>528</v>
      </c>
      <c r="F93" s="286" t="s">
        <v>529</v>
      </c>
      <c r="G93" s="76">
        <f>1000*0.8</f>
        <v>800</v>
      </c>
      <c r="H93" s="76">
        <f>1000*0.8</f>
        <v>800</v>
      </c>
      <c r="I93" s="76">
        <f>1000*0.98*0.8</f>
        <v>784</v>
      </c>
      <c r="J93" s="76"/>
      <c r="K93" s="287" t="s">
        <v>573</v>
      </c>
      <c r="L93" s="288"/>
      <c r="M93" s="288">
        <v>1</v>
      </c>
      <c r="N93" s="289" t="s">
        <v>675</v>
      </c>
    </row>
    <row r="94" spans="1:14" hidden="1" x14ac:dyDescent="0.25">
      <c r="A94" s="283" t="str">
        <f t="shared" si="9"/>
        <v>QUU20a:SM</v>
      </c>
      <c r="B94" s="284" t="s">
        <v>672</v>
      </c>
      <c r="C94" s="285" t="s">
        <v>58</v>
      </c>
      <c r="D94" s="15" t="s">
        <v>571</v>
      </c>
      <c r="E94" s="285" t="s">
        <v>528</v>
      </c>
      <c r="F94" s="286" t="s">
        <v>529</v>
      </c>
      <c r="G94" s="76">
        <f>1000*0.2</f>
        <v>200</v>
      </c>
      <c r="H94" s="76">
        <f>1000*0.2</f>
        <v>200</v>
      </c>
      <c r="I94" s="76">
        <f>1000*0.98*0.2</f>
        <v>196</v>
      </c>
      <c r="J94" s="76"/>
      <c r="K94" s="287" t="s">
        <v>573</v>
      </c>
      <c r="L94" s="288"/>
      <c r="M94" s="288">
        <v>1</v>
      </c>
      <c r="N94" s="289"/>
    </row>
    <row r="95" spans="1:14" hidden="1" x14ac:dyDescent="0.25">
      <c r="A95" s="283" t="str">
        <f t="shared" ref="A95:A96" si="10">B95&amp;":"&amp;C95</f>
        <v>QUU50a:CRP</v>
      </c>
      <c r="B95" s="284" t="s">
        <v>682</v>
      </c>
      <c r="C95" s="285" t="s">
        <v>57</v>
      </c>
      <c r="D95" s="15" t="s">
        <v>571</v>
      </c>
      <c r="E95" s="285" t="s">
        <v>528</v>
      </c>
      <c r="F95" s="286" t="s">
        <v>529</v>
      </c>
      <c r="G95" s="76">
        <f>1000*0.5</f>
        <v>500</v>
      </c>
      <c r="H95" s="76">
        <f>1000*0.5</f>
        <v>500</v>
      </c>
      <c r="I95" s="76">
        <f>1000*0.98*0.5</f>
        <v>490</v>
      </c>
      <c r="J95" s="76"/>
      <c r="K95" s="287" t="s">
        <v>573</v>
      </c>
      <c r="L95" s="288"/>
      <c r="M95" s="288">
        <v>1</v>
      </c>
      <c r="N95" s="289" t="s">
        <v>675</v>
      </c>
    </row>
    <row r="96" spans="1:14" hidden="1" x14ac:dyDescent="0.25">
      <c r="A96" s="283" t="str">
        <f t="shared" si="10"/>
        <v>QUU50a:SM</v>
      </c>
      <c r="B96" s="284" t="s">
        <v>682</v>
      </c>
      <c r="C96" s="285" t="s">
        <v>58</v>
      </c>
      <c r="D96" s="15" t="s">
        <v>571</v>
      </c>
      <c r="E96" s="285" t="s">
        <v>528</v>
      </c>
      <c r="F96" s="286" t="s">
        <v>529</v>
      </c>
      <c r="G96" s="76">
        <f>1000*0.5</f>
        <v>500</v>
      </c>
      <c r="H96" s="76">
        <f>1000*0.5</f>
        <v>500</v>
      </c>
      <c r="I96" s="76">
        <f>1000*0.98*0.5</f>
        <v>490</v>
      </c>
      <c r="J96" s="76"/>
      <c r="K96" s="287" t="s">
        <v>573</v>
      </c>
      <c r="L96" s="288"/>
      <c r="M96" s="288">
        <v>1</v>
      </c>
      <c r="N96" s="289"/>
    </row>
    <row r="97" spans="1:14" hidden="1" x14ac:dyDescent="0.25">
      <c r="A97" s="283" t="str">
        <f t="shared" ref="A97:A100" si="11">B97&amp;":"&amp;C97</f>
        <v>QUU75:CRP</v>
      </c>
      <c r="B97" s="284" t="s">
        <v>653</v>
      </c>
      <c r="C97" s="285" t="s">
        <v>57</v>
      </c>
      <c r="D97" s="15" t="s">
        <v>571</v>
      </c>
      <c r="E97" s="285" t="s">
        <v>528</v>
      </c>
      <c r="F97" s="286" t="s">
        <v>529</v>
      </c>
      <c r="G97" s="76">
        <f>1000*0.75</f>
        <v>750</v>
      </c>
      <c r="H97" s="76">
        <f>1000*0.75</f>
        <v>750</v>
      </c>
      <c r="I97" s="76">
        <f>1000*0.97*0.75</f>
        <v>727.5</v>
      </c>
      <c r="J97" s="76"/>
      <c r="K97" s="287" t="s">
        <v>573</v>
      </c>
      <c r="L97" s="288"/>
      <c r="M97" s="288">
        <v>1</v>
      </c>
      <c r="N97" s="289"/>
    </row>
    <row r="98" spans="1:14" hidden="1" x14ac:dyDescent="0.25">
      <c r="A98" s="283" t="str">
        <f t="shared" si="11"/>
        <v>QUU25:SM</v>
      </c>
      <c r="B98" s="284" t="s">
        <v>654</v>
      </c>
      <c r="C98" s="285" t="s">
        <v>58</v>
      </c>
      <c r="D98" s="15" t="s">
        <v>571</v>
      </c>
      <c r="E98" s="285" t="s">
        <v>528</v>
      </c>
      <c r="F98" s="286" t="s">
        <v>529</v>
      </c>
      <c r="G98" s="76">
        <f>1000*0.25</f>
        <v>250</v>
      </c>
      <c r="H98" s="76">
        <f>1000*0.25</f>
        <v>250</v>
      </c>
      <c r="I98" s="76">
        <f>1000*0.97*0.25</f>
        <v>242.5</v>
      </c>
      <c r="J98" s="76"/>
      <c r="K98" s="287" t="s">
        <v>573</v>
      </c>
      <c r="L98" s="288"/>
      <c r="M98" s="288">
        <v>1</v>
      </c>
      <c r="N98" s="289"/>
    </row>
    <row r="99" spans="1:14" hidden="1" x14ac:dyDescent="0.25">
      <c r="A99" s="283" t="str">
        <f t="shared" si="11"/>
        <v>QUU50:CRP</v>
      </c>
      <c r="B99" s="284" t="s">
        <v>647</v>
      </c>
      <c r="C99" s="285" t="s">
        <v>57</v>
      </c>
      <c r="D99" s="15" t="s">
        <v>571</v>
      </c>
      <c r="E99" s="285" t="s">
        <v>528</v>
      </c>
      <c r="F99" s="286" t="s">
        <v>529</v>
      </c>
      <c r="G99" s="76">
        <f>1000*0.5</f>
        <v>500</v>
      </c>
      <c r="H99" s="76">
        <f>1000*0.5</f>
        <v>500</v>
      </c>
      <c r="I99" s="76">
        <f>1000*0.97*0.5</f>
        <v>485</v>
      </c>
      <c r="J99" s="76"/>
      <c r="K99" s="287" t="s">
        <v>573</v>
      </c>
      <c r="L99" s="288"/>
      <c r="M99" s="288">
        <v>1</v>
      </c>
      <c r="N99" s="289"/>
    </row>
    <row r="100" spans="1:14" hidden="1" x14ac:dyDescent="0.25">
      <c r="A100" s="283" t="str">
        <f t="shared" si="11"/>
        <v>QUU50:SM</v>
      </c>
      <c r="B100" s="284" t="s">
        <v>647</v>
      </c>
      <c r="C100" s="285" t="s">
        <v>58</v>
      </c>
      <c r="D100" s="15" t="s">
        <v>571</v>
      </c>
      <c r="E100" s="285" t="s">
        <v>528</v>
      </c>
      <c r="F100" s="286" t="s">
        <v>529</v>
      </c>
      <c r="G100" s="76">
        <f>1000*0.5</f>
        <v>500</v>
      </c>
      <c r="H100" s="76">
        <f>1000*0.5</f>
        <v>500</v>
      </c>
      <c r="I100" s="76">
        <f>1000*0.97*0.5</f>
        <v>485</v>
      </c>
      <c r="J100" s="76"/>
      <c r="K100" s="287" t="s">
        <v>573</v>
      </c>
      <c r="L100" s="288"/>
      <c r="M100" s="288">
        <v>1</v>
      </c>
      <c r="N100" s="289"/>
    </row>
    <row r="101" spans="1:14" hidden="1" x14ac:dyDescent="0.25">
      <c r="A101" s="283" t="str">
        <f t="shared" ref="A101:A102" si="12">B101&amp;":"&amp;C101</f>
        <v>QUU50:DP</v>
      </c>
      <c r="B101" s="284" t="s">
        <v>647</v>
      </c>
      <c r="C101" s="285" t="s">
        <v>669</v>
      </c>
      <c r="D101" s="15" t="s">
        <v>571</v>
      </c>
      <c r="E101" s="285" t="s">
        <v>570</v>
      </c>
      <c r="F101" s="286" t="s">
        <v>529</v>
      </c>
      <c r="G101" s="76">
        <f>915*0.5</f>
        <v>457.5</v>
      </c>
      <c r="H101" s="76">
        <f>915*0.5</f>
        <v>457.5</v>
      </c>
      <c r="I101" s="76">
        <f>915*0.94*0.5</f>
        <v>430.04999999999995</v>
      </c>
      <c r="J101" s="76"/>
      <c r="K101" s="287" t="s">
        <v>573</v>
      </c>
      <c r="L101" s="288">
        <v>1</v>
      </c>
      <c r="M101" s="288">
        <v>1</v>
      </c>
      <c r="N101" s="289"/>
    </row>
    <row r="102" spans="1:14" hidden="1" x14ac:dyDescent="0.25">
      <c r="A102" s="283" t="str">
        <f t="shared" si="12"/>
        <v>QUU50:ANK</v>
      </c>
      <c r="B102" s="284" t="s">
        <v>647</v>
      </c>
      <c r="C102" s="285" t="s">
        <v>678</v>
      </c>
      <c r="D102" s="15" t="s">
        <v>571</v>
      </c>
      <c r="E102" s="285" t="s">
        <v>570</v>
      </c>
      <c r="F102" s="286" t="s">
        <v>529</v>
      </c>
      <c r="G102" s="76">
        <f>915*0.5</f>
        <v>457.5</v>
      </c>
      <c r="H102" s="76">
        <f>915*0.5</f>
        <v>457.5</v>
      </c>
      <c r="I102" s="76">
        <f>915*0.94*0.5</f>
        <v>430.04999999999995</v>
      </c>
      <c r="J102" s="76"/>
      <c r="K102" s="287" t="s">
        <v>573</v>
      </c>
      <c r="L102" s="288"/>
      <c r="M102" s="288">
        <v>1</v>
      </c>
      <c r="N102" s="289"/>
    </row>
    <row r="103" spans="1:14" hidden="1" x14ac:dyDescent="0.25">
      <c r="A103" s="283" t="str">
        <f t="shared" si="7"/>
        <v>SRP:SS</v>
      </c>
      <c r="B103" s="284" t="s">
        <v>536</v>
      </c>
      <c r="C103" s="285" t="s">
        <v>561</v>
      </c>
      <c r="D103" s="15" t="s">
        <v>209</v>
      </c>
      <c r="E103" s="285" t="s">
        <v>528</v>
      </c>
      <c r="F103" s="286" t="s">
        <v>529</v>
      </c>
      <c r="G103" s="76"/>
      <c r="H103" s="76"/>
      <c r="I103" s="76">
        <f ca="1">G103*(1-OFFSET(payMgmtRate,0,L103))</f>
        <v>0</v>
      </c>
      <c r="J103" s="76">
        <v>8000</v>
      </c>
      <c r="K103" s="287" t="s">
        <v>534</v>
      </c>
      <c r="L103" s="288">
        <v>1</v>
      </c>
      <c r="M103" s="288">
        <v>1</v>
      </c>
      <c r="N103" s="289" t="s">
        <v>593</v>
      </c>
    </row>
    <row r="104" spans="1:14" hidden="1" x14ac:dyDescent="0.25">
      <c r="A104" s="283" t="str">
        <f t="shared" si="7"/>
        <v>STANDARD:RR</v>
      </c>
      <c r="B104" s="284" t="s">
        <v>594</v>
      </c>
      <c r="C104" s="285" t="s">
        <v>541</v>
      </c>
      <c r="D104" s="15" t="s">
        <v>212</v>
      </c>
      <c r="E104" s="285" t="s">
        <v>568</v>
      </c>
      <c r="F104" s="286" t="s">
        <v>529</v>
      </c>
      <c r="G104" s="76">
        <v>725</v>
      </c>
      <c r="H104" s="76">
        <v>725</v>
      </c>
      <c r="I104" s="76">
        <v>4400</v>
      </c>
      <c r="J104" s="76">
        <v>222.22219999999999</v>
      </c>
      <c r="K104" s="287" t="s">
        <v>534</v>
      </c>
      <c r="L104" s="288"/>
      <c r="M104" s="288"/>
      <c r="N104" s="289"/>
    </row>
    <row r="105" spans="1:14" hidden="1" x14ac:dyDescent="0.25">
      <c r="A105" s="283" t="str">
        <f t="shared" si="7"/>
        <v>SUNCORP:ABD</v>
      </c>
      <c r="B105" s="284" t="s">
        <v>595</v>
      </c>
      <c r="C105" s="285" t="s">
        <v>596</v>
      </c>
      <c r="D105" s="15" t="s">
        <v>597</v>
      </c>
      <c r="E105" s="285" t="s">
        <v>568</v>
      </c>
      <c r="F105" s="286" t="s">
        <v>529</v>
      </c>
      <c r="G105" s="76">
        <v>600</v>
      </c>
      <c r="H105" s="76">
        <v>600</v>
      </c>
      <c r="I105" s="76">
        <v>5600</v>
      </c>
      <c r="J105" s="76">
        <f>I105/21.6666</f>
        <v>258.46233373025763</v>
      </c>
      <c r="K105" s="287" t="s">
        <v>530</v>
      </c>
      <c r="L105" s="288"/>
      <c r="M105" s="288"/>
      <c r="N105" s="289"/>
    </row>
    <row r="106" spans="1:14" hidden="1" x14ac:dyDescent="0.25">
      <c r="A106" s="283" t="str">
        <f t="shared" si="7"/>
        <v>SUNCORP:RR</v>
      </c>
      <c r="B106" s="284" t="s">
        <v>595</v>
      </c>
      <c r="C106" s="285" t="s">
        <v>541</v>
      </c>
      <c r="D106" s="15" t="s">
        <v>212</v>
      </c>
      <c r="E106" s="285" t="s">
        <v>568</v>
      </c>
      <c r="F106" s="286" t="s">
        <v>529</v>
      </c>
      <c r="G106" s="76">
        <v>660</v>
      </c>
      <c r="H106" s="76">
        <v>660</v>
      </c>
      <c r="I106" s="76">
        <v>5600</v>
      </c>
      <c r="J106" s="76">
        <f>I106/21.6666</f>
        <v>258.46233373025763</v>
      </c>
      <c r="K106" s="287" t="s">
        <v>573</v>
      </c>
      <c r="L106" s="288"/>
      <c r="M106" s="288"/>
      <c r="N106" s="289"/>
    </row>
    <row r="107" spans="1:14" x14ac:dyDescent="0.25">
      <c r="A107" s="283" t="str">
        <f>B107&amp;":"&amp;C107</f>
        <v>TAGGLE:GEO</v>
      </c>
      <c r="B107" s="284" t="s">
        <v>499</v>
      </c>
      <c r="C107" s="285" t="s">
        <v>622</v>
      </c>
      <c r="D107" s="15" t="s">
        <v>559</v>
      </c>
      <c r="E107" s="285" t="s">
        <v>528</v>
      </c>
      <c r="F107" s="286" t="s">
        <v>529</v>
      </c>
      <c r="G107" s="76">
        <v>700</v>
      </c>
      <c r="H107" s="76">
        <v>700</v>
      </c>
      <c r="I107" s="76">
        <f>H107*0.95</f>
        <v>665</v>
      </c>
      <c r="J107" s="76"/>
      <c r="K107" s="287" t="s">
        <v>530</v>
      </c>
      <c r="L107" s="288">
        <v>2</v>
      </c>
      <c r="M107" s="288">
        <v>1</v>
      </c>
      <c r="N107" s="289"/>
    </row>
    <row r="108" spans="1:14" hidden="1" x14ac:dyDescent="0.25">
      <c r="A108" s="283" t="str">
        <f t="shared" si="7"/>
        <v>TAGGLE:JOC</v>
      </c>
      <c r="B108" s="284" t="s">
        <v>499</v>
      </c>
      <c r="C108" s="285" t="s">
        <v>146</v>
      </c>
      <c r="D108" s="15" t="s">
        <v>559</v>
      </c>
      <c r="E108" s="285" t="s">
        <v>528</v>
      </c>
      <c r="F108" s="286" t="s">
        <v>529</v>
      </c>
      <c r="G108" s="76">
        <v>950</v>
      </c>
      <c r="H108" s="76">
        <v>950</v>
      </c>
      <c r="I108" s="76"/>
      <c r="J108" s="76"/>
      <c r="K108" s="287" t="s">
        <v>530</v>
      </c>
      <c r="L108" s="288">
        <v>3</v>
      </c>
      <c r="M108" s="288">
        <v>1</v>
      </c>
      <c r="N108" s="289"/>
    </row>
    <row r="109" spans="1:14" hidden="1" x14ac:dyDescent="0.25">
      <c r="A109" s="283" t="str">
        <f t="shared" si="7"/>
        <v>TASUNI:MAM</v>
      </c>
      <c r="B109" s="284" t="s">
        <v>598</v>
      </c>
      <c r="C109" s="285" t="s">
        <v>55</v>
      </c>
      <c r="D109" s="15" t="s">
        <v>559</v>
      </c>
      <c r="E109" s="285" t="s">
        <v>528</v>
      </c>
      <c r="F109" s="286" t="s">
        <v>529</v>
      </c>
      <c r="G109" s="76">
        <v>1000</v>
      </c>
      <c r="H109" s="76">
        <v>1000</v>
      </c>
      <c r="I109" s="76">
        <f ca="1">G109*(1-OFFSET(payMgmtRate,0,L109))</f>
        <v>965</v>
      </c>
      <c r="J109" s="76"/>
      <c r="K109" s="287" t="s">
        <v>599</v>
      </c>
      <c r="L109" s="288">
        <v>2</v>
      </c>
      <c r="M109" s="288">
        <v>1</v>
      </c>
      <c r="N109" s="289"/>
    </row>
    <row r="110" spans="1:14" hidden="1" x14ac:dyDescent="0.25">
      <c r="A110" s="283" t="str">
        <f t="shared" si="7"/>
        <v>TELSTRA:SRP</v>
      </c>
      <c r="B110" s="284" t="s">
        <v>600</v>
      </c>
      <c r="C110" s="285" t="s">
        <v>536</v>
      </c>
      <c r="D110" s="15" t="s">
        <v>231</v>
      </c>
      <c r="E110" s="285" t="s">
        <v>528</v>
      </c>
      <c r="F110" s="286" t="s">
        <v>529</v>
      </c>
      <c r="G110" s="76">
        <v>800</v>
      </c>
      <c r="H110" s="76">
        <v>800</v>
      </c>
      <c r="I110" s="76">
        <f ca="1">G110*(1-OFFSET(payMgmtRate,0,L110))</f>
        <v>760</v>
      </c>
      <c r="J110" s="76"/>
      <c r="K110" s="287" t="s">
        <v>576</v>
      </c>
      <c r="L110" s="288">
        <v>1</v>
      </c>
      <c r="M110" s="288">
        <v>1</v>
      </c>
      <c r="N110" s="289"/>
    </row>
    <row r="111" spans="1:14" hidden="1" x14ac:dyDescent="0.25">
      <c r="A111" s="283" t="str">
        <f t="shared" si="7"/>
        <v>TRAIN:CRP</v>
      </c>
      <c r="B111" s="284" t="s">
        <v>601</v>
      </c>
      <c r="C111" s="285" t="s">
        <v>57</v>
      </c>
      <c r="D111" s="15" t="s">
        <v>559</v>
      </c>
      <c r="E111" s="285" t="s">
        <v>568</v>
      </c>
      <c r="F111" s="286" t="s">
        <v>529</v>
      </c>
      <c r="G111" s="76">
        <v>400</v>
      </c>
      <c r="H111" s="76">
        <v>400</v>
      </c>
      <c r="I111" s="76">
        <v>100</v>
      </c>
      <c r="J111" s="76"/>
      <c r="K111" s="287" t="s">
        <v>530</v>
      </c>
      <c r="L111" s="288">
        <v>1</v>
      </c>
      <c r="M111" s="288">
        <v>1</v>
      </c>
      <c r="N111" s="289"/>
    </row>
    <row r="112" spans="1:14" hidden="1" x14ac:dyDescent="0.25">
      <c r="A112" s="283" t="str">
        <f t="shared" si="7"/>
        <v>UNILEVER:EP</v>
      </c>
      <c r="B112" s="284" t="s">
        <v>602</v>
      </c>
      <c r="C112" s="285" t="s">
        <v>575</v>
      </c>
      <c r="D112" s="15" t="s">
        <v>212</v>
      </c>
      <c r="E112" s="285" t="s">
        <v>568</v>
      </c>
      <c r="F112" s="286" t="s">
        <v>529</v>
      </c>
      <c r="G112" s="76">
        <v>400</v>
      </c>
      <c r="H112" s="76">
        <v>400</v>
      </c>
      <c r="I112" s="76">
        <v>4000</v>
      </c>
      <c r="J112" s="76"/>
      <c r="K112" s="287" t="s">
        <v>530</v>
      </c>
      <c r="L112" s="288"/>
      <c r="M112" s="288"/>
      <c r="N112" s="289"/>
    </row>
    <row r="113" spans="1:14" hidden="1" x14ac:dyDescent="0.25">
      <c r="A113" s="283" t="str">
        <f t="shared" si="7"/>
        <v>UNILEVER1:SK</v>
      </c>
      <c r="B113" s="284" t="s">
        <v>603</v>
      </c>
      <c r="C113" s="285" t="s">
        <v>604</v>
      </c>
      <c r="D113" s="15" t="s">
        <v>212</v>
      </c>
      <c r="E113" s="285" t="s">
        <v>528</v>
      </c>
      <c r="F113" s="286" t="s">
        <v>529</v>
      </c>
      <c r="G113" s="76">
        <v>700</v>
      </c>
      <c r="H113" s="76">
        <v>700</v>
      </c>
      <c r="I113" s="76">
        <v>600</v>
      </c>
      <c r="J113" s="76"/>
      <c r="K113" s="287" t="s">
        <v>530</v>
      </c>
      <c r="L113" s="288"/>
      <c r="M113" s="288">
        <v>1</v>
      </c>
      <c r="N113" s="289"/>
    </row>
    <row r="114" spans="1:14" hidden="1" x14ac:dyDescent="0.25">
      <c r="A114" s="283" t="str">
        <f t="shared" si="7"/>
        <v>URBAN:HVO</v>
      </c>
      <c r="B114" s="284" t="s">
        <v>605</v>
      </c>
      <c r="C114" s="285" t="s">
        <v>606</v>
      </c>
      <c r="D114" s="15" t="s">
        <v>388</v>
      </c>
      <c r="E114" s="285" t="s">
        <v>528</v>
      </c>
      <c r="F114" s="286" t="s">
        <v>529</v>
      </c>
      <c r="G114" s="76">
        <v>850</v>
      </c>
      <c r="H114" s="76">
        <v>850</v>
      </c>
      <c r="I114" s="76">
        <v>725</v>
      </c>
      <c r="J114" s="76"/>
      <c r="K114" s="287" t="s">
        <v>530</v>
      </c>
      <c r="L114" s="288"/>
      <c r="M114" s="288">
        <v>1</v>
      </c>
      <c r="N114" s="289"/>
    </row>
    <row r="115" spans="1:14" hidden="1" x14ac:dyDescent="0.25">
      <c r="A115" s="290" t="str">
        <f t="shared" si="7"/>
        <v>MAGMA:RPG</v>
      </c>
      <c r="B115" s="284" t="s">
        <v>495</v>
      </c>
      <c r="C115" s="285" t="s">
        <v>59</v>
      </c>
      <c r="D115" s="15" t="s">
        <v>559</v>
      </c>
      <c r="E115" s="285" t="s">
        <v>568</v>
      </c>
      <c r="F115" s="286" t="s">
        <v>529</v>
      </c>
      <c r="G115" s="76">
        <f>82000/12</f>
        <v>6833.333333333333</v>
      </c>
      <c r="H115" s="76"/>
      <c r="I115" s="76">
        <f ca="1">G115*(1-OFFSET(payMgmtRate,0,L115))</f>
        <v>6491.6666666666661</v>
      </c>
      <c r="J115" s="76"/>
      <c r="K115" s="287" t="s">
        <v>530</v>
      </c>
      <c r="L115" s="288">
        <v>1</v>
      </c>
      <c r="M115" s="288">
        <v>1</v>
      </c>
      <c r="N115" s="289"/>
    </row>
    <row r="116" spans="1:14" hidden="1" x14ac:dyDescent="0.25">
      <c r="A116" s="290" t="str">
        <f t="shared" si="7"/>
        <v>SPARQ:RPG</v>
      </c>
      <c r="B116" s="284" t="s">
        <v>607</v>
      </c>
      <c r="C116" s="285" t="s">
        <v>59</v>
      </c>
      <c r="D116" s="15" t="s">
        <v>571</v>
      </c>
      <c r="E116" s="285" t="s">
        <v>528</v>
      </c>
      <c r="F116" s="286" t="s">
        <v>529</v>
      </c>
      <c r="G116" s="76">
        <v>800</v>
      </c>
      <c r="H116" s="76">
        <v>800</v>
      </c>
      <c r="I116" s="76">
        <f ca="1">G116*(1-OFFSET(payMgmtRate,0,L116))</f>
        <v>760</v>
      </c>
      <c r="J116" s="76"/>
      <c r="K116" s="287" t="s">
        <v>573</v>
      </c>
      <c r="L116" s="288">
        <v>1</v>
      </c>
      <c r="M116" s="288">
        <v>1</v>
      </c>
      <c r="N116" s="289"/>
    </row>
    <row r="117" spans="1:14" hidden="1" x14ac:dyDescent="0.25">
      <c r="A117" s="290" t="str">
        <f t="shared" si="7"/>
        <v>AMP55:QJZ</v>
      </c>
      <c r="B117" s="284" t="s">
        <v>608</v>
      </c>
      <c r="C117" s="285" t="s">
        <v>635</v>
      </c>
      <c r="D117" s="15" t="s">
        <v>227</v>
      </c>
      <c r="E117" s="285" t="s">
        <v>528</v>
      </c>
      <c r="F117" s="286" t="s">
        <v>529</v>
      </c>
      <c r="G117" s="76">
        <f>800*0.55</f>
        <v>440.00000000000006</v>
      </c>
      <c r="H117" s="76">
        <f>800*0.55</f>
        <v>440.00000000000006</v>
      </c>
      <c r="I117" s="76">
        <f>800*0.97*0.55</f>
        <v>426.8</v>
      </c>
      <c r="J117" s="76"/>
      <c r="K117" s="287" t="s">
        <v>530</v>
      </c>
      <c r="L117" s="287"/>
      <c r="M117" s="288">
        <v>1</v>
      </c>
      <c r="N117" s="289"/>
    </row>
    <row r="118" spans="1:14" hidden="1" x14ac:dyDescent="0.25">
      <c r="A118" s="290" t="str">
        <f t="shared" si="7"/>
        <v>AMP50:QJZ</v>
      </c>
      <c r="B118" s="284" t="s">
        <v>609</v>
      </c>
      <c r="C118" s="285" t="s">
        <v>635</v>
      </c>
      <c r="D118" s="15" t="s">
        <v>227</v>
      </c>
      <c r="E118" s="285" t="s">
        <v>528</v>
      </c>
      <c r="F118" s="286" t="s">
        <v>529</v>
      </c>
      <c r="G118" s="76">
        <f>800*0.5</f>
        <v>400</v>
      </c>
      <c r="H118" s="76">
        <f>800*0.5</f>
        <v>400</v>
      </c>
      <c r="I118" s="76">
        <f>800*0.97*0.5</f>
        <v>388</v>
      </c>
      <c r="J118" s="76"/>
      <c r="K118" s="287" t="s">
        <v>530</v>
      </c>
      <c r="L118" s="287"/>
      <c r="M118" s="288">
        <v>1</v>
      </c>
      <c r="N118" s="289"/>
    </row>
    <row r="119" spans="1:14" hidden="1" x14ac:dyDescent="0.25">
      <c r="A119" s="290" t="str">
        <f t="shared" si="7"/>
        <v>AMP45:QJZ</v>
      </c>
      <c r="B119" s="284" t="s">
        <v>610</v>
      </c>
      <c r="C119" s="285" t="s">
        <v>635</v>
      </c>
      <c r="D119" s="15" t="s">
        <v>227</v>
      </c>
      <c r="E119" s="285" t="s">
        <v>528</v>
      </c>
      <c r="F119" s="286" t="s">
        <v>529</v>
      </c>
      <c r="G119" s="76">
        <f>800*0.45</f>
        <v>360</v>
      </c>
      <c r="H119" s="76">
        <f>800*0.45</f>
        <v>360</v>
      </c>
      <c r="I119" s="76">
        <f>800*0.97*0.45</f>
        <v>349.2</v>
      </c>
      <c r="J119" s="76"/>
      <c r="K119" s="287" t="s">
        <v>530</v>
      </c>
      <c r="L119" s="287"/>
      <c r="M119" s="288">
        <v>1</v>
      </c>
      <c r="N119" s="289"/>
    </row>
    <row r="120" spans="1:14" hidden="1" x14ac:dyDescent="0.25">
      <c r="A120" s="290" t="str">
        <f t="shared" si="7"/>
        <v>AMP40:QJZ</v>
      </c>
      <c r="B120" s="284" t="s">
        <v>611</v>
      </c>
      <c r="C120" s="285" t="s">
        <v>635</v>
      </c>
      <c r="D120" s="15" t="s">
        <v>227</v>
      </c>
      <c r="E120" s="285" t="s">
        <v>528</v>
      </c>
      <c r="F120" s="286" t="s">
        <v>529</v>
      </c>
      <c r="G120" s="76">
        <f>800*0.4</f>
        <v>320</v>
      </c>
      <c r="H120" s="76">
        <f>800*0.4</f>
        <v>320</v>
      </c>
      <c r="I120" s="76">
        <f>800*0.97*0.4</f>
        <v>310.40000000000003</v>
      </c>
      <c r="J120" s="76"/>
      <c r="K120" s="287" t="s">
        <v>530</v>
      </c>
      <c r="L120" s="287"/>
      <c r="M120" s="288">
        <v>1</v>
      </c>
      <c r="N120" s="289"/>
    </row>
    <row r="121" spans="1:14" hidden="1" x14ac:dyDescent="0.25">
      <c r="A121" s="290" t="str">
        <f t="shared" si="7"/>
        <v>AMP50:KAI</v>
      </c>
      <c r="B121" s="284" t="s">
        <v>609</v>
      </c>
      <c r="C121" s="285" t="s">
        <v>472</v>
      </c>
      <c r="D121" s="15" t="s">
        <v>227</v>
      </c>
      <c r="E121" s="285" t="s">
        <v>612</v>
      </c>
      <c r="F121" s="286" t="s">
        <v>529</v>
      </c>
      <c r="G121" s="76">
        <f>800*0.5</f>
        <v>400</v>
      </c>
      <c r="H121" s="76">
        <f>800*0.5</f>
        <v>400</v>
      </c>
      <c r="I121" s="76">
        <f>800*0.97*0.5</f>
        <v>388</v>
      </c>
      <c r="J121" s="76"/>
      <c r="K121" s="287" t="s">
        <v>530</v>
      </c>
      <c r="L121" s="287"/>
      <c r="M121" s="288">
        <v>1</v>
      </c>
      <c r="N121" s="289"/>
    </row>
    <row r="122" spans="1:14" hidden="1" x14ac:dyDescent="0.25">
      <c r="A122" s="290" t="str">
        <f t="shared" si="7"/>
        <v>AMP45:KAI</v>
      </c>
      <c r="B122" s="284" t="s">
        <v>610</v>
      </c>
      <c r="C122" s="285" t="s">
        <v>472</v>
      </c>
      <c r="D122" s="15" t="s">
        <v>227</v>
      </c>
      <c r="E122" s="285" t="s">
        <v>612</v>
      </c>
      <c r="F122" s="286" t="s">
        <v>529</v>
      </c>
      <c r="G122" s="76">
        <f>800*0.45</f>
        <v>360</v>
      </c>
      <c r="H122" s="76">
        <f>800*0.45</f>
        <v>360</v>
      </c>
      <c r="I122" s="76">
        <f>800*0.97*0.45</f>
        <v>349.2</v>
      </c>
      <c r="J122" s="76"/>
      <c r="K122" s="287" t="s">
        <v>530</v>
      </c>
      <c r="L122" s="287"/>
      <c r="M122" s="288">
        <v>1</v>
      </c>
      <c r="N122" s="289"/>
    </row>
    <row r="123" spans="1:14" hidden="1" x14ac:dyDescent="0.25">
      <c r="A123" s="290" t="str">
        <f t="shared" si="7"/>
        <v>AMP40:KAI</v>
      </c>
      <c r="B123" s="284" t="s">
        <v>611</v>
      </c>
      <c r="C123" s="285" t="s">
        <v>472</v>
      </c>
      <c r="D123" s="15" t="s">
        <v>227</v>
      </c>
      <c r="E123" s="285" t="s">
        <v>612</v>
      </c>
      <c r="F123" s="286" t="s">
        <v>529</v>
      </c>
      <c r="G123" s="76">
        <f>800*0.4</f>
        <v>320</v>
      </c>
      <c r="H123" s="76">
        <f>800*0.4</f>
        <v>320</v>
      </c>
      <c r="I123" s="76">
        <f>800*0.97*0.4</f>
        <v>310.40000000000003</v>
      </c>
      <c r="J123" s="76"/>
      <c r="K123" s="287" t="s">
        <v>530</v>
      </c>
      <c r="L123" s="287"/>
      <c r="M123" s="288">
        <v>1</v>
      </c>
      <c r="N123" s="289"/>
    </row>
    <row r="124" spans="1:14" hidden="1" x14ac:dyDescent="0.25">
      <c r="A124" s="290" t="str">
        <f t="shared" si="7"/>
        <v>AMP35:KAI</v>
      </c>
      <c r="B124" s="284" t="s">
        <v>613</v>
      </c>
      <c r="C124" s="285" t="s">
        <v>472</v>
      </c>
      <c r="D124" s="15" t="s">
        <v>227</v>
      </c>
      <c r="E124" s="285" t="s">
        <v>612</v>
      </c>
      <c r="F124" s="286" t="s">
        <v>529</v>
      </c>
      <c r="G124" s="76">
        <f>800*0.35</f>
        <v>280</v>
      </c>
      <c r="H124" s="76">
        <f>800*0.35</f>
        <v>280</v>
      </c>
      <c r="I124" s="76">
        <f>800*0.97*0.35</f>
        <v>271.59999999999997</v>
      </c>
      <c r="J124" s="76"/>
      <c r="K124" s="287" t="s">
        <v>530</v>
      </c>
      <c r="L124" s="287"/>
      <c r="M124" s="288">
        <v>1</v>
      </c>
      <c r="N124" s="289"/>
    </row>
    <row r="125" spans="1:14" hidden="1" x14ac:dyDescent="0.25">
      <c r="A125" s="290" t="str">
        <f t="shared" ref="A125:A147" si="13">B125&amp;":"&amp;C125</f>
        <v>AMP15:YU</v>
      </c>
      <c r="B125" s="284" t="s">
        <v>614</v>
      </c>
      <c r="C125" s="285" t="s">
        <v>474</v>
      </c>
      <c r="D125" s="15" t="s">
        <v>227</v>
      </c>
      <c r="E125" s="285" t="s">
        <v>528</v>
      </c>
      <c r="F125" s="286" t="s">
        <v>529</v>
      </c>
      <c r="G125" s="76">
        <f>800*0.15</f>
        <v>120</v>
      </c>
      <c r="H125" s="76">
        <f>800*0.15</f>
        <v>120</v>
      </c>
      <c r="I125" s="76">
        <f>800*0.97*0.15</f>
        <v>116.39999999999999</v>
      </c>
      <c r="J125" s="76"/>
      <c r="K125" s="287" t="s">
        <v>530</v>
      </c>
      <c r="L125" s="287"/>
      <c r="M125" s="288">
        <v>1</v>
      </c>
      <c r="N125" s="289"/>
    </row>
    <row r="126" spans="1:14" hidden="1" x14ac:dyDescent="0.25">
      <c r="A126" s="290" t="str">
        <f t="shared" si="13"/>
        <v>AMP10:YU</v>
      </c>
      <c r="B126" s="284" t="s">
        <v>615</v>
      </c>
      <c r="C126" s="285" t="s">
        <v>474</v>
      </c>
      <c r="D126" s="15" t="s">
        <v>227</v>
      </c>
      <c r="E126" s="285" t="s">
        <v>528</v>
      </c>
      <c r="F126" s="286" t="s">
        <v>529</v>
      </c>
      <c r="G126" s="76">
        <f>800*0.1</f>
        <v>80</v>
      </c>
      <c r="H126" s="76">
        <f>800*0.1</f>
        <v>80</v>
      </c>
      <c r="I126" s="76">
        <f>800*0.97*0.1</f>
        <v>77.600000000000009</v>
      </c>
      <c r="J126" s="76"/>
      <c r="K126" s="287" t="s">
        <v>530</v>
      </c>
      <c r="L126" s="287"/>
      <c r="M126" s="288">
        <v>1</v>
      </c>
      <c r="N126" s="289"/>
    </row>
    <row r="127" spans="1:14" hidden="1" x14ac:dyDescent="0.25">
      <c r="A127" s="290" t="str">
        <f t="shared" si="13"/>
        <v>AMP05:YU</v>
      </c>
      <c r="B127" s="284" t="s">
        <v>616</v>
      </c>
      <c r="C127" s="285" t="s">
        <v>474</v>
      </c>
      <c r="D127" s="15" t="s">
        <v>227</v>
      </c>
      <c r="E127" s="285" t="s">
        <v>528</v>
      </c>
      <c r="F127" s="286" t="s">
        <v>529</v>
      </c>
      <c r="G127" s="76">
        <f>800*0.05</f>
        <v>40</v>
      </c>
      <c r="H127" s="76">
        <f>800*0.05</f>
        <v>40</v>
      </c>
      <c r="I127" s="76">
        <f>800*0.97*0.05</f>
        <v>38.800000000000004</v>
      </c>
      <c r="J127" s="76"/>
      <c r="K127" s="287" t="s">
        <v>530</v>
      </c>
      <c r="L127" s="287"/>
      <c r="M127" s="288">
        <v>1</v>
      </c>
      <c r="N127" s="289"/>
    </row>
    <row r="128" spans="1:14" hidden="1" x14ac:dyDescent="0.25">
      <c r="A128" s="290" t="str">
        <f t="shared" si="13"/>
        <v>IAG100:QJZ</v>
      </c>
      <c r="B128" s="284" t="s">
        <v>631</v>
      </c>
      <c r="C128" s="285" t="s">
        <v>635</v>
      </c>
      <c r="D128" s="15" t="s">
        <v>227</v>
      </c>
      <c r="E128" s="285" t="s">
        <v>528</v>
      </c>
      <c r="F128" s="286" t="s">
        <v>529</v>
      </c>
      <c r="G128" s="76">
        <f>800</f>
        <v>800</v>
      </c>
      <c r="H128" s="76">
        <f>800</f>
        <v>800</v>
      </c>
      <c r="I128" s="76">
        <f>800*0.97</f>
        <v>776</v>
      </c>
      <c r="J128" s="76"/>
      <c r="K128" s="287" t="s">
        <v>530</v>
      </c>
      <c r="L128" s="287"/>
      <c r="M128" s="288">
        <v>1</v>
      </c>
      <c r="N128" s="289"/>
    </row>
    <row r="129" spans="1:14" hidden="1" x14ac:dyDescent="0.25">
      <c r="A129" s="290" t="str">
        <f t="shared" ref="A129" si="14">B129&amp;":"&amp;C129</f>
        <v>IAG70:QJZ</v>
      </c>
      <c r="B129" s="284" t="s">
        <v>627</v>
      </c>
      <c r="C129" s="285" t="s">
        <v>635</v>
      </c>
      <c r="D129" s="15" t="s">
        <v>227</v>
      </c>
      <c r="E129" s="285" t="s">
        <v>528</v>
      </c>
      <c r="F129" s="286" t="s">
        <v>529</v>
      </c>
      <c r="G129" s="76">
        <f>800*0.7</f>
        <v>560</v>
      </c>
      <c r="H129" s="76">
        <f>800*0.7</f>
        <v>560</v>
      </c>
      <c r="I129" s="76">
        <f>800*0.97*0.7</f>
        <v>543.19999999999993</v>
      </c>
      <c r="J129" s="76"/>
      <c r="K129" s="287" t="s">
        <v>530</v>
      </c>
      <c r="L129" s="287"/>
      <c r="M129" s="288">
        <v>1</v>
      </c>
      <c r="N129" s="289"/>
    </row>
    <row r="130" spans="1:14" hidden="1" x14ac:dyDescent="0.25">
      <c r="A130" s="290" t="str">
        <f t="shared" si="13"/>
        <v>IAG55:QJZ</v>
      </c>
      <c r="B130" s="284" t="s">
        <v>506</v>
      </c>
      <c r="C130" s="285" t="s">
        <v>635</v>
      </c>
      <c r="D130" s="15" t="s">
        <v>227</v>
      </c>
      <c r="E130" s="285" t="s">
        <v>528</v>
      </c>
      <c r="F130" s="286" t="s">
        <v>529</v>
      </c>
      <c r="G130" s="76">
        <f>800*0.55</f>
        <v>440.00000000000006</v>
      </c>
      <c r="H130" s="76">
        <f>800*0.55</f>
        <v>440.00000000000006</v>
      </c>
      <c r="I130" s="76">
        <f>800*0.97*0.55</f>
        <v>426.8</v>
      </c>
      <c r="J130" s="76"/>
      <c r="K130" s="287" t="s">
        <v>530</v>
      </c>
      <c r="L130" s="287"/>
      <c r="M130" s="288">
        <v>1</v>
      </c>
      <c r="N130" s="289"/>
    </row>
    <row r="131" spans="1:14" hidden="1" x14ac:dyDescent="0.25">
      <c r="A131" s="290" t="str">
        <f t="shared" si="13"/>
        <v>IAG50:QJZ</v>
      </c>
      <c r="B131" s="284" t="s">
        <v>497</v>
      </c>
      <c r="C131" s="285" t="s">
        <v>635</v>
      </c>
      <c r="D131" s="15" t="s">
        <v>227</v>
      </c>
      <c r="E131" s="285" t="s">
        <v>528</v>
      </c>
      <c r="F131" s="286" t="s">
        <v>529</v>
      </c>
      <c r="G131" s="76">
        <f>800*0.5</f>
        <v>400</v>
      </c>
      <c r="H131" s="76">
        <f>800*0.5</f>
        <v>400</v>
      </c>
      <c r="I131" s="76">
        <f>800*0.97*0.5</f>
        <v>388</v>
      </c>
      <c r="J131" s="76"/>
      <c r="K131" s="287" t="s">
        <v>530</v>
      </c>
      <c r="L131" s="287"/>
      <c r="M131" s="288">
        <v>1</v>
      </c>
      <c r="N131" s="289"/>
    </row>
    <row r="132" spans="1:14" hidden="1" x14ac:dyDescent="0.25">
      <c r="A132" s="290" t="str">
        <f t="shared" si="13"/>
        <v>IAG45:QJZ</v>
      </c>
      <c r="B132" s="284" t="s">
        <v>505</v>
      </c>
      <c r="C132" s="285" t="s">
        <v>635</v>
      </c>
      <c r="D132" s="15" t="s">
        <v>227</v>
      </c>
      <c r="E132" s="285" t="s">
        <v>528</v>
      </c>
      <c r="F132" s="286" t="s">
        <v>529</v>
      </c>
      <c r="G132" s="76">
        <f>800*0.45</f>
        <v>360</v>
      </c>
      <c r="H132" s="76">
        <f>800*0.45</f>
        <v>360</v>
      </c>
      <c r="I132" s="76">
        <f>800*0.97*0.45</f>
        <v>349.2</v>
      </c>
      <c r="J132" s="76"/>
      <c r="K132" s="287" t="s">
        <v>530</v>
      </c>
      <c r="L132" s="287"/>
      <c r="M132" s="288">
        <v>1</v>
      </c>
      <c r="N132" s="289"/>
    </row>
    <row r="133" spans="1:14" hidden="1" x14ac:dyDescent="0.25">
      <c r="A133" s="290" t="str">
        <f>B133&amp;":"&amp;C133</f>
        <v>IAG40:QJZ</v>
      </c>
      <c r="B133" s="284" t="s">
        <v>496</v>
      </c>
      <c r="C133" s="285" t="s">
        <v>635</v>
      </c>
      <c r="D133" s="15" t="s">
        <v>227</v>
      </c>
      <c r="E133" s="285" t="s">
        <v>528</v>
      </c>
      <c r="F133" s="286" t="s">
        <v>529</v>
      </c>
      <c r="G133" s="76">
        <f>800*0.4</f>
        <v>320</v>
      </c>
      <c r="H133" s="76">
        <f>800*0.4</f>
        <v>320</v>
      </c>
      <c r="I133" s="76">
        <f>800*0.97*0.4</f>
        <v>310.40000000000003</v>
      </c>
      <c r="J133" s="76"/>
      <c r="K133" s="287" t="s">
        <v>530</v>
      </c>
      <c r="L133" s="287"/>
      <c r="M133" s="288">
        <v>1</v>
      </c>
      <c r="N133" s="289"/>
    </row>
    <row r="134" spans="1:14" s="328" customFormat="1" hidden="1" x14ac:dyDescent="0.25">
      <c r="A134" s="319" t="str">
        <f t="shared" si="13"/>
        <v>ANZ65:QJZ</v>
      </c>
      <c r="B134" s="319" t="s">
        <v>636</v>
      </c>
      <c r="C134" s="320" t="s">
        <v>635</v>
      </c>
      <c r="D134" s="321" t="s">
        <v>227</v>
      </c>
      <c r="E134" s="320" t="s">
        <v>528</v>
      </c>
      <c r="F134" s="322" t="s">
        <v>529</v>
      </c>
      <c r="G134" s="323">
        <f>1000*0.65</f>
        <v>650</v>
      </c>
      <c r="H134" s="323">
        <f>1000*0.65</f>
        <v>650</v>
      </c>
      <c r="I134" s="323">
        <f>1000*0.97*0.65</f>
        <v>630.5</v>
      </c>
      <c r="J134" s="323"/>
      <c r="K134" s="324" t="s">
        <v>530</v>
      </c>
      <c r="L134" s="325"/>
      <c r="M134" s="326">
        <v>1</v>
      </c>
      <c r="N134" s="327"/>
    </row>
    <row r="135" spans="1:14" s="328" customFormat="1" hidden="1" x14ac:dyDescent="0.25">
      <c r="A135" s="319" t="str">
        <f t="shared" ref="A135" si="15">B135&amp;":"&amp;C135</f>
        <v>ANZ75:QJZ</v>
      </c>
      <c r="B135" s="319" t="s">
        <v>639</v>
      </c>
      <c r="C135" s="320" t="s">
        <v>635</v>
      </c>
      <c r="D135" s="321" t="s">
        <v>227</v>
      </c>
      <c r="E135" s="320" t="s">
        <v>528</v>
      </c>
      <c r="F135" s="322" t="s">
        <v>529</v>
      </c>
      <c r="G135" s="323">
        <f>1000*0.75</f>
        <v>750</v>
      </c>
      <c r="H135" s="323">
        <f>1000*0.75</f>
        <v>750</v>
      </c>
      <c r="I135" s="323">
        <f>1000*0.97*0.75</f>
        <v>727.5</v>
      </c>
      <c r="J135" s="323"/>
      <c r="K135" s="324" t="s">
        <v>530</v>
      </c>
      <c r="L135" s="325"/>
      <c r="M135" s="326">
        <v>1</v>
      </c>
      <c r="N135" s="327"/>
    </row>
    <row r="136" spans="1:14" s="328" customFormat="1" hidden="1" x14ac:dyDescent="0.25">
      <c r="A136" s="319" t="str">
        <f t="shared" ref="A136" si="16">B136&amp;":"&amp;C136</f>
        <v>ANZ25:KAI</v>
      </c>
      <c r="B136" s="319" t="s">
        <v>637</v>
      </c>
      <c r="C136" s="320" t="s">
        <v>472</v>
      </c>
      <c r="D136" s="321" t="s">
        <v>227</v>
      </c>
      <c r="E136" s="320" t="s">
        <v>528</v>
      </c>
      <c r="F136" s="322" t="s">
        <v>529</v>
      </c>
      <c r="G136" s="323">
        <f>1000*0.25</f>
        <v>250</v>
      </c>
      <c r="H136" s="323">
        <f>1000*0.25</f>
        <v>250</v>
      </c>
      <c r="I136" s="323">
        <f>1000*0.97*0.25</f>
        <v>242.5</v>
      </c>
      <c r="J136" s="323"/>
      <c r="K136" s="324" t="s">
        <v>530</v>
      </c>
      <c r="L136" s="325"/>
      <c r="M136" s="326">
        <v>1</v>
      </c>
      <c r="N136" s="327"/>
    </row>
    <row r="137" spans="1:14" s="328" customFormat="1" hidden="1" x14ac:dyDescent="0.25">
      <c r="A137" s="319" t="str">
        <f t="shared" ref="A137:A138" si="17">B137&amp;":"&amp;C137</f>
        <v>ANZ20:KAI</v>
      </c>
      <c r="B137" s="319" t="s">
        <v>640</v>
      </c>
      <c r="C137" s="320" t="s">
        <v>472</v>
      </c>
      <c r="D137" s="321" t="s">
        <v>227</v>
      </c>
      <c r="E137" s="320" t="s">
        <v>528</v>
      </c>
      <c r="F137" s="322" t="s">
        <v>529</v>
      </c>
      <c r="G137" s="323">
        <f>1000*0.2</f>
        <v>200</v>
      </c>
      <c r="H137" s="323">
        <f>1000*0.2</f>
        <v>200</v>
      </c>
      <c r="I137" s="323">
        <f>1000*0.97*0.2</f>
        <v>194</v>
      </c>
      <c r="J137" s="323"/>
      <c r="K137" s="324" t="s">
        <v>530</v>
      </c>
      <c r="L137" s="325"/>
      <c r="M137" s="326">
        <v>1</v>
      </c>
      <c r="N137" s="327"/>
    </row>
    <row r="138" spans="1:14" s="328" customFormat="1" hidden="1" x14ac:dyDescent="0.25">
      <c r="A138" s="319" t="str">
        <f t="shared" si="17"/>
        <v>ANZ10:YU</v>
      </c>
      <c r="B138" s="319" t="s">
        <v>638</v>
      </c>
      <c r="C138" s="320" t="s">
        <v>474</v>
      </c>
      <c r="D138" s="321" t="s">
        <v>227</v>
      </c>
      <c r="E138" s="320" t="s">
        <v>528</v>
      </c>
      <c r="F138" s="322" t="s">
        <v>529</v>
      </c>
      <c r="G138" s="323">
        <f>1000*0.1</f>
        <v>100</v>
      </c>
      <c r="H138" s="323">
        <f>1000*0.1</f>
        <v>100</v>
      </c>
      <c r="I138" s="323">
        <f>1000*0.97*0.1</f>
        <v>97</v>
      </c>
      <c r="J138" s="323"/>
      <c r="K138" s="324" t="s">
        <v>530</v>
      </c>
      <c r="L138" s="325"/>
      <c r="M138" s="326">
        <v>1</v>
      </c>
      <c r="N138" s="327"/>
    </row>
    <row r="139" spans="1:14" s="328" customFormat="1" hidden="1" x14ac:dyDescent="0.25">
      <c r="A139" s="319" t="str">
        <f t="shared" ref="A139" si="18">B139&amp;":"&amp;C139</f>
        <v>ANZ05:YU</v>
      </c>
      <c r="B139" s="319" t="s">
        <v>641</v>
      </c>
      <c r="C139" s="320" t="s">
        <v>474</v>
      </c>
      <c r="D139" s="321" t="s">
        <v>227</v>
      </c>
      <c r="E139" s="320" t="s">
        <v>528</v>
      </c>
      <c r="F139" s="322" t="s">
        <v>529</v>
      </c>
      <c r="G139" s="323">
        <f>1000*0.05</f>
        <v>50</v>
      </c>
      <c r="H139" s="323">
        <f>1000*0.05</f>
        <v>50</v>
      </c>
      <c r="I139" s="323">
        <f>1000*0.97*0.05</f>
        <v>48.5</v>
      </c>
      <c r="J139" s="323"/>
      <c r="K139" s="324" t="s">
        <v>530</v>
      </c>
      <c r="L139" s="325"/>
      <c r="M139" s="326">
        <v>1</v>
      </c>
      <c r="N139" s="327"/>
    </row>
    <row r="140" spans="1:14" hidden="1" x14ac:dyDescent="0.25">
      <c r="A140" s="290" t="str">
        <f t="shared" si="13"/>
        <v>IAG51:KAI</v>
      </c>
      <c r="B140" s="284" t="s">
        <v>501</v>
      </c>
      <c r="C140" s="285" t="s">
        <v>472</v>
      </c>
      <c r="D140" s="15" t="s">
        <v>227</v>
      </c>
      <c r="E140" s="285" t="s">
        <v>612</v>
      </c>
      <c r="F140" s="286" t="s">
        <v>529</v>
      </c>
      <c r="G140" s="76">
        <f>800*0.51</f>
        <v>408</v>
      </c>
      <c r="H140" s="76">
        <f>800*0.51</f>
        <v>408</v>
      </c>
      <c r="I140" s="76">
        <f>800*0.97*0.51</f>
        <v>395.76</v>
      </c>
      <c r="J140" s="76"/>
      <c r="K140" s="287" t="s">
        <v>530</v>
      </c>
      <c r="L140" s="287"/>
      <c r="M140" s="288">
        <v>1</v>
      </c>
      <c r="N140" s="289"/>
    </row>
    <row r="141" spans="1:14" hidden="1" x14ac:dyDescent="0.25">
      <c r="A141" s="290" t="str">
        <f t="shared" si="13"/>
        <v>IAG50:KAI</v>
      </c>
      <c r="B141" s="284" t="s">
        <v>497</v>
      </c>
      <c r="C141" s="285" t="s">
        <v>472</v>
      </c>
      <c r="D141" s="15" t="s">
        <v>227</v>
      </c>
      <c r="E141" s="285" t="s">
        <v>612</v>
      </c>
      <c r="F141" s="286" t="s">
        <v>529</v>
      </c>
      <c r="G141" s="76">
        <f>800*0.5</f>
        <v>400</v>
      </c>
      <c r="H141" s="76">
        <f>800*0.5</f>
        <v>400</v>
      </c>
      <c r="I141" s="76">
        <f>800*0.97*0.5</f>
        <v>388</v>
      </c>
      <c r="J141" s="76"/>
      <c r="K141" s="287" t="s">
        <v>530</v>
      </c>
      <c r="L141" s="287"/>
      <c r="M141" s="288">
        <v>1</v>
      </c>
      <c r="N141" s="289"/>
    </row>
    <row r="142" spans="1:14" hidden="1" x14ac:dyDescent="0.25">
      <c r="A142" s="290" t="str">
        <f t="shared" si="13"/>
        <v>IAG55:KAI</v>
      </c>
      <c r="B142" s="284" t="s">
        <v>506</v>
      </c>
      <c r="C142" s="285" t="s">
        <v>472</v>
      </c>
      <c r="D142" s="15" t="s">
        <v>227</v>
      </c>
      <c r="E142" s="285" t="s">
        <v>612</v>
      </c>
      <c r="F142" s="286" t="s">
        <v>529</v>
      </c>
      <c r="G142" s="76">
        <f>800*0.55</f>
        <v>440.00000000000006</v>
      </c>
      <c r="H142" s="76">
        <f>800*0.55</f>
        <v>440.00000000000006</v>
      </c>
      <c r="I142" s="76">
        <f>800*0.97*0.55</f>
        <v>426.8</v>
      </c>
      <c r="J142" s="76"/>
      <c r="K142" s="287" t="s">
        <v>530</v>
      </c>
      <c r="L142" s="287"/>
      <c r="M142" s="288">
        <v>1</v>
      </c>
      <c r="N142" s="289"/>
    </row>
    <row r="143" spans="1:14" hidden="1" x14ac:dyDescent="0.25">
      <c r="A143" s="290" t="str">
        <f t="shared" ref="A143" si="19">B143&amp;":"&amp;C143</f>
        <v>IAG40:KAI</v>
      </c>
      <c r="B143" s="284" t="s">
        <v>496</v>
      </c>
      <c r="C143" s="285" t="s">
        <v>472</v>
      </c>
      <c r="D143" s="15" t="s">
        <v>227</v>
      </c>
      <c r="E143" s="285" t="s">
        <v>612</v>
      </c>
      <c r="F143" s="286" t="s">
        <v>529</v>
      </c>
      <c r="G143" s="76">
        <f>800*0.4</f>
        <v>320</v>
      </c>
      <c r="H143" s="76">
        <f>800*0.4</f>
        <v>320</v>
      </c>
      <c r="I143" s="76">
        <f>800*0.97*0.4</f>
        <v>310.40000000000003</v>
      </c>
      <c r="J143" s="76"/>
      <c r="K143" s="287" t="s">
        <v>530</v>
      </c>
      <c r="L143" s="287"/>
      <c r="M143" s="288">
        <v>1</v>
      </c>
      <c r="N143" s="289"/>
    </row>
    <row r="144" spans="1:14" hidden="1" x14ac:dyDescent="0.25">
      <c r="A144" s="290" t="str">
        <f t="shared" si="13"/>
        <v>IAG30:KAI</v>
      </c>
      <c r="B144" s="284" t="s">
        <v>628</v>
      </c>
      <c r="C144" s="285" t="s">
        <v>472</v>
      </c>
      <c r="D144" s="15" t="s">
        <v>227</v>
      </c>
      <c r="E144" s="285" t="s">
        <v>612</v>
      </c>
      <c r="F144" s="286" t="s">
        <v>529</v>
      </c>
      <c r="G144" s="76">
        <f>800*0.3</f>
        <v>240</v>
      </c>
      <c r="H144" s="76">
        <f>800*0.3</f>
        <v>240</v>
      </c>
      <c r="I144" s="76">
        <f>800*0.97*0.3</f>
        <v>232.79999999999998</v>
      </c>
      <c r="J144" s="76"/>
      <c r="K144" s="287" t="s">
        <v>530</v>
      </c>
      <c r="L144" s="287"/>
      <c r="M144" s="288">
        <v>1</v>
      </c>
      <c r="N144" s="289"/>
    </row>
    <row r="145" spans="1:16" hidden="1" x14ac:dyDescent="0.25">
      <c r="A145" s="290" t="str">
        <f t="shared" si="13"/>
        <v>IAG05:YU</v>
      </c>
      <c r="B145" s="284" t="s">
        <v>617</v>
      </c>
      <c r="C145" s="285" t="s">
        <v>474</v>
      </c>
      <c r="D145" s="15" t="s">
        <v>227</v>
      </c>
      <c r="E145" s="285" t="s">
        <v>528</v>
      </c>
      <c r="F145" s="286" t="s">
        <v>529</v>
      </c>
      <c r="G145" s="76">
        <f>800*0.05</f>
        <v>40</v>
      </c>
      <c r="H145" s="76">
        <f>800*0.05</f>
        <v>40</v>
      </c>
      <c r="I145" s="76">
        <f>800*0.97*0.05</f>
        <v>38.800000000000004</v>
      </c>
      <c r="J145" s="76"/>
      <c r="K145" s="287" t="s">
        <v>530</v>
      </c>
      <c r="L145" s="287"/>
      <c r="M145" s="288">
        <v>1</v>
      </c>
      <c r="N145" s="289"/>
    </row>
    <row r="146" spans="1:16" hidden="1" x14ac:dyDescent="0.25">
      <c r="A146" s="290" t="str">
        <f t="shared" si="13"/>
        <v>IAG09:YU</v>
      </c>
      <c r="B146" s="284" t="s">
        <v>502</v>
      </c>
      <c r="C146" s="285" t="s">
        <v>474</v>
      </c>
      <c r="D146" s="15" t="s">
        <v>227</v>
      </c>
      <c r="E146" s="285" t="s">
        <v>528</v>
      </c>
      <c r="F146" s="286" t="s">
        <v>529</v>
      </c>
      <c r="G146" s="76">
        <f>800*0.09</f>
        <v>72</v>
      </c>
      <c r="H146" s="76">
        <f>800*0.09</f>
        <v>72</v>
      </c>
      <c r="I146" s="76">
        <f>800*0.97*0.09</f>
        <v>69.84</v>
      </c>
      <c r="J146" s="76"/>
      <c r="K146" s="287" t="s">
        <v>530</v>
      </c>
      <c r="L146" s="287"/>
      <c r="M146" s="288">
        <v>1</v>
      </c>
      <c r="N146" s="289"/>
    </row>
    <row r="147" spans="1:16" hidden="1" x14ac:dyDescent="0.25">
      <c r="A147" s="290" t="str">
        <f t="shared" si="13"/>
        <v>IAG10:YU</v>
      </c>
      <c r="B147" s="284" t="s">
        <v>498</v>
      </c>
      <c r="C147" s="285" t="s">
        <v>474</v>
      </c>
      <c r="D147" s="15" t="s">
        <v>227</v>
      </c>
      <c r="E147" s="285" t="s">
        <v>528</v>
      </c>
      <c r="F147" s="286" t="s">
        <v>529</v>
      </c>
      <c r="G147" s="76">
        <f>800*0.1</f>
        <v>80</v>
      </c>
      <c r="H147" s="76">
        <f>800*0.1</f>
        <v>80</v>
      </c>
      <c r="I147" s="76">
        <f>800*0.97*0.1</f>
        <v>77.600000000000009</v>
      </c>
      <c r="J147" s="76"/>
      <c r="K147" s="287" t="s">
        <v>530</v>
      </c>
      <c r="L147" s="287"/>
      <c r="M147" s="288">
        <v>1</v>
      </c>
      <c r="N147" s="289"/>
    </row>
    <row r="148" spans="1:16" hidden="1" x14ac:dyDescent="0.25"/>
    <row r="149" spans="1:16" hidden="1" x14ac:dyDescent="0.25">
      <c r="G149" s="180" t="s">
        <v>526</v>
      </c>
      <c r="H149" s="180" t="s">
        <v>618</v>
      </c>
      <c r="I149" s="180" t="s">
        <v>619</v>
      </c>
      <c r="J149" s="180" t="s">
        <v>620</v>
      </c>
      <c r="K149" s="180" t="s">
        <v>480</v>
      </c>
      <c r="L149" s="180" t="s">
        <v>482</v>
      </c>
      <c r="M149" s="279" t="s">
        <v>483</v>
      </c>
    </row>
    <row r="150" spans="1:16" hidden="1" x14ac:dyDescent="0.25">
      <c r="G150" s="67" t="s">
        <v>621</v>
      </c>
      <c r="H150" s="67" t="s">
        <v>621</v>
      </c>
      <c r="I150" s="67" t="s">
        <v>621</v>
      </c>
      <c r="J150" s="67" t="s">
        <v>621</v>
      </c>
      <c r="K150" s="67" t="s">
        <v>128</v>
      </c>
      <c r="L150" s="67" t="s">
        <v>128</v>
      </c>
      <c r="M150" s="259" t="s">
        <v>128</v>
      </c>
      <c r="P150" s="62"/>
    </row>
    <row r="151" spans="1:16" hidden="1" x14ac:dyDescent="0.25">
      <c r="G151" s="291">
        <v>0.03</v>
      </c>
      <c r="H151" s="292">
        <v>0.05</v>
      </c>
      <c r="I151" s="292">
        <v>3.5000000000000003E-2</v>
      </c>
      <c r="J151" s="292">
        <v>0</v>
      </c>
      <c r="K151" s="292">
        <v>9.5000000000000001E-2</v>
      </c>
      <c r="L151" s="292">
        <v>0.01</v>
      </c>
      <c r="M151" s="293">
        <v>2.5000000000000001E-2</v>
      </c>
    </row>
    <row r="152" spans="1:16" hidden="1" x14ac:dyDescent="0.25">
      <c r="G152" s="291">
        <v>0.03</v>
      </c>
      <c r="H152" s="292">
        <v>0.05</v>
      </c>
      <c r="I152" s="292">
        <v>3.5000000000000003E-2</v>
      </c>
      <c r="J152" s="292">
        <v>0</v>
      </c>
      <c r="K152" s="292">
        <v>9.5000000000000001E-2</v>
      </c>
      <c r="L152" s="292">
        <v>9.4999999999999998E-3</v>
      </c>
      <c r="M152" s="293">
        <v>2.5000000000000001E-2</v>
      </c>
    </row>
    <row r="153" spans="1:16" hidden="1" x14ac:dyDescent="0.25"/>
    <row r="154" spans="1:16" hidden="1" x14ac:dyDescent="0.25"/>
    <row r="155" spans="1:16" hidden="1" x14ac:dyDescent="0.25"/>
    <row r="156" spans="1:16" hidden="1" x14ac:dyDescent="0.25"/>
    <row r="157" spans="1:16" hidden="1" x14ac:dyDescent="0.25"/>
    <row r="158" spans="1:16" hidden="1" x14ac:dyDescent="0.25"/>
  </sheetData>
  <autoFilter ref="B1:C158">
    <filterColumn colId="1">
      <filters>
        <filter val="GEO"/>
      </filters>
    </filterColumn>
  </autoFilter>
  <pageMargins left="0.75" right="0.75" top="1" bottom="1" header="0.51180555555555496" footer="0.51180555555555496"/>
  <pageSetup paperSize="9" firstPageNumber="0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73</vt:i4>
      </vt:variant>
    </vt:vector>
  </HeadingPairs>
  <TitlesOfParts>
    <vt:vector size="90" baseType="lpstr">
      <vt:lpstr>Rcpts</vt:lpstr>
      <vt:lpstr>Paid</vt:lpstr>
      <vt:lpstr>BAS</vt:lpstr>
      <vt:lpstr>Amex</vt:lpstr>
      <vt:lpstr>=1</vt:lpstr>
      <vt:lpstr>Invs</vt:lpstr>
      <vt:lpstr>Custs</vt:lpstr>
      <vt:lpstr>Pivot</vt:lpstr>
      <vt:lpstr>=2</vt:lpstr>
      <vt:lpstr>Totals</vt:lpstr>
      <vt:lpstr>Netbank</vt:lpstr>
      <vt:lpstr>=3</vt:lpstr>
      <vt:lpstr>PAYG</vt:lpstr>
      <vt:lpstr>Emps</vt:lpstr>
      <vt:lpstr>Emps2019</vt:lpstr>
      <vt:lpstr>Expenses</vt:lpstr>
      <vt:lpstr>Tables</vt:lpstr>
      <vt:lpstr>bankDirect</vt:lpstr>
      <vt:lpstr>basGstNet</vt:lpstr>
      <vt:lpstr>basPayG</vt:lpstr>
      <vt:lpstr>Customer</vt:lpstr>
      <vt:lpstr>Emps2019!EmpID</vt:lpstr>
      <vt:lpstr>EmpID</vt:lpstr>
      <vt:lpstr>Custs!Error</vt:lpstr>
      <vt:lpstr>InsureRate</vt:lpstr>
      <vt:lpstr>InsureRate2</vt:lpstr>
      <vt:lpstr>invCustomer</vt:lpstr>
      <vt:lpstr>invProject</vt:lpstr>
      <vt:lpstr>PaidApr</vt:lpstr>
      <vt:lpstr>PaidAug</vt:lpstr>
      <vt:lpstr>PaidDec</vt:lpstr>
      <vt:lpstr>PaidFeb</vt:lpstr>
      <vt:lpstr>PaidFed</vt:lpstr>
      <vt:lpstr>PaidJan</vt:lpstr>
      <vt:lpstr>PaidJul</vt:lpstr>
      <vt:lpstr>PaidJun</vt:lpstr>
      <vt:lpstr>PaidMar</vt:lpstr>
      <vt:lpstr>PaidMay</vt:lpstr>
      <vt:lpstr>PaidNov</vt:lpstr>
      <vt:lpstr>PaidOct</vt:lpstr>
      <vt:lpstr>PaidSep</vt:lpstr>
      <vt:lpstr>Emps2019!payAllow</vt:lpstr>
      <vt:lpstr>payAllow</vt:lpstr>
      <vt:lpstr>payCapGstQ1</vt:lpstr>
      <vt:lpstr>payCapGstQ2</vt:lpstr>
      <vt:lpstr>payCapGstQ3</vt:lpstr>
      <vt:lpstr>payCapGstQ4</vt:lpstr>
      <vt:lpstr>Emps2019!payDay</vt:lpstr>
      <vt:lpstr>payDay</vt:lpstr>
      <vt:lpstr>Emps2019!payDet</vt:lpstr>
      <vt:lpstr>payDet</vt:lpstr>
      <vt:lpstr>payDirRate</vt:lpstr>
      <vt:lpstr>Emps2019!payEmpIDs</vt:lpstr>
      <vt:lpstr>payEmpIDs</vt:lpstr>
      <vt:lpstr>Emps2019!payEmpNames</vt:lpstr>
      <vt:lpstr>payEmpNames</vt:lpstr>
      <vt:lpstr>Emps2019!payEmpPay</vt:lpstr>
      <vt:lpstr>payEmpPay</vt:lpstr>
      <vt:lpstr>payMgmtRate</vt:lpstr>
      <vt:lpstr>payNonGstQ1</vt:lpstr>
      <vt:lpstr>payNonGstQ2</vt:lpstr>
      <vt:lpstr>payNonGstQ3</vt:lpstr>
      <vt:lpstr>payNonGstQ4</vt:lpstr>
      <vt:lpstr>Emps2019!payNonMonth</vt:lpstr>
      <vt:lpstr>payNonMonth</vt:lpstr>
      <vt:lpstr>PayRollRate</vt:lpstr>
      <vt:lpstr>Emps2019!payTot</vt:lpstr>
      <vt:lpstr>payTot</vt:lpstr>
      <vt:lpstr>Project</vt:lpstr>
      <vt:lpstr>rcpApr</vt:lpstr>
      <vt:lpstr>rcpAug</vt:lpstr>
      <vt:lpstr>rcpDec</vt:lpstr>
      <vt:lpstr>rcpFeb</vt:lpstr>
      <vt:lpstr>rcpGstQ1</vt:lpstr>
      <vt:lpstr>rcpGstQ2</vt:lpstr>
      <vt:lpstr>rcpGstQ3</vt:lpstr>
      <vt:lpstr>rcpGstQ4</vt:lpstr>
      <vt:lpstr>rcpJan</vt:lpstr>
      <vt:lpstr>rcpJul</vt:lpstr>
      <vt:lpstr>rcpJun</vt:lpstr>
      <vt:lpstr>rcpMar</vt:lpstr>
      <vt:lpstr>rcpMay</vt:lpstr>
      <vt:lpstr>rcpNov</vt:lpstr>
      <vt:lpstr>rcpOct</vt:lpstr>
      <vt:lpstr>rcpRcptQ1</vt:lpstr>
      <vt:lpstr>rcpRcptQ2</vt:lpstr>
      <vt:lpstr>rcpRcptQ3</vt:lpstr>
      <vt:lpstr>rcpRcptQ4</vt:lpstr>
      <vt:lpstr>rcpSep</vt:lpstr>
      <vt:lpstr>tblPayRates</vt:lpstr>
    </vt:vector>
  </TitlesOfParts>
  <Company>Magma Computing Solutions Pty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McRae</dc:creator>
  <cp:lastModifiedBy>Michael A McRae</cp:lastModifiedBy>
  <cp:revision>2</cp:revision>
  <cp:lastPrinted>2016-02-26T00:06:27Z</cp:lastPrinted>
  <dcterms:created xsi:type="dcterms:W3CDTF">1997-07-01T08:08:57Z</dcterms:created>
  <dcterms:modified xsi:type="dcterms:W3CDTF">2019-10-03T23:29:28Z</dcterms:modified>
  <dc:language>en-AU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15.0300</vt:lpwstr>
  </property>
  <property fmtid="{D5CDD505-2E9C-101B-9397-08002B2CF9AE}" pid="3" name="Company">
    <vt:lpwstr>Magma Computing Solutions Pty Ltd</vt:lpwstr>
  </property>
  <property fmtid="{D5CDD505-2E9C-101B-9397-08002B2CF9AE}" pid="4" name="DocSecurity">
    <vt:i4>0</vt:i4>
  </property>
  <property fmtid="{D5CDD505-2E9C-101B-9397-08002B2CF9AE}" pid="5" name="HyperlinksChanged">
    <vt:bool>true</vt:bool>
  </property>
  <property fmtid="{D5CDD505-2E9C-101B-9397-08002B2CF9AE}" pid="6" name="LinksUpToDate">
    <vt:bool>true</vt:bool>
  </property>
  <property fmtid="{D5CDD505-2E9C-101B-9397-08002B2CF9AE}" pid="7" name="ScaleCrop">
    <vt:bool>true</vt:bool>
  </property>
  <property fmtid="{D5CDD505-2E9C-101B-9397-08002B2CF9AE}" pid="8" name="ShareDoc">
    <vt:bool>true</vt:bool>
  </property>
</Properties>
</file>